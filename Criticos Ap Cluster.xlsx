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iemensenergyag-my.sharepoint.com/personal/thays_santos_de_souza_ext_siemens-energy_com/Documents/Documentos/"/>
    </mc:Choice>
  </mc:AlternateContent>
  <xr:revisionPtr revIDLastSave="1822" documentId="8_{2CE8FDB3-8BE8-4E40-8E57-EE165D94AE54}" xr6:coauthVersionLast="47" xr6:coauthVersionMax="47" xr10:uidLastSave="{6191AE17-70FD-4577-B809-6FC5F847E021}"/>
  <bookViews>
    <workbookView xWindow="-110" yWindow="-110" windowWidth="19420" windowHeight="10300" activeTab="1" xr2:uid="{5F0A852F-982F-4326-A7BA-84A38490EE1F}"/>
  </bookViews>
  <sheets>
    <sheet name="Base" sheetId="1" r:id="rId1"/>
    <sheet name="Grafico" sheetId="3" r:id="rId2"/>
    <sheet name="SQVI" sheetId="5" r:id="rId3"/>
    <sheet name="LRR" sheetId="4" r:id="rId4"/>
    <sheet name="Est. Parq." sheetId="6" r:id="rId5"/>
    <sheet name="Din" sheetId="2" r:id="rId6"/>
  </sheets>
  <definedNames>
    <definedName name="_xlnm._FilterDatabase" localSheetId="0" hidden="1">Base!$A$1:$A$97</definedName>
    <definedName name="_xlnm._FilterDatabase" localSheetId="4" hidden="1">'Est. Parq.'!$A$1:$M$328</definedName>
    <definedName name="_xlnm._FilterDatabase" localSheetId="2" hidden="1">SQVI!$A$1:$BI$547</definedName>
    <definedName name="SegmentaçãodeDados_Planta">#N/A</definedName>
    <definedName name="SegmentaçãodeDados_Status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2" i="4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L68" i="1"/>
  <c r="M4" i="1"/>
  <c r="K10" i="1"/>
  <c r="K9" i="1"/>
  <c r="K12" i="1"/>
  <c r="K11" i="1"/>
  <c r="K14" i="1"/>
  <c r="K13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" i="1"/>
  <c r="K42" i="1"/>
  <c r="K43" i="1"/>
  <c r="K3" i="1"/>
  <c r="K44" i="1"/>
  <c r="K45" i="1"/>
  <c r="K46" i="1"/>
  <c r="K48" i="1"/>
  <c r="K47" i="1"/>
  <c r="K4" i="1"/>
  <c r="K49" i="1"/>
  <c r="K50" i="1"/>
  <c r="K5" i="1"/>
  <c r="K51" i="1"/>
  <c r="K53" i="1"/>
  <c r="K52" i="1"/>
  <c r="K55" i="1"/>
  <c r="K54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6" i="1"/>
  <c r="K7" i="1"/>
  <c r="K8" i="1"/>
  <c r="K97" i="1"/>
  <c r="K96" i="1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" i="5" l="1"/>
  <c r="A86" i="1"/>
  <c r="A87" i="1"/>
  <c r="A88" i="1"/>
  <c r="A89" i="1"/>
  <c r="A90" i="1"/>
  <c r="A91" i="1"/>
  <c r="A92" i="1"/>
  <c r="A93" i="1"/>
  <c r="A94" i="1"/>
  <c r="A95" i="1"/>
  <c r="A96" i="1"/>
  <c r="A9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2" i="1"/>
  <c r="G46" i="1" l="1"/>
  <c r="G88" i="1"/>
  <c r="G8" i="1"/>
  <c r="G19" i="1"/>
  <c r="G26" i="1"/>
  <c r="G82" i="1"/>
  <c r="G89" i="1"/>
  <c r="G35" i="1"/>
  <c r="G9" i="1"/>
  <c r="G22" i="1"/>
  <c r="G23" i="1"/>
  <c r="G51" i="1"/>
  <c r="G63" i="1"/>
  <c r="G11" i="1"/>
  <c r="G52" i="1"/>
  <c r="G24" i="1"/>
  <c r="G77" i="1"/>
  <c r="G36" i="1"/>
  <c r="G95" i="1"/>
  <c r="G62" i="1"/>
  <c r="G79" i="1"/>
  <c r="G58" i="1"/>
  <c r="H58" i="1" s="1"/>
  <c r="G74" i="1"/>
  <c r="G70" i="1"/>
  <c r="G75" i="1"/>
  <c r="G56" i="1"/>
  <c r="G97" i="1"/>
  <c r="G65" i="1"/>
  <c r="G42" i="1"/>
  <c r="G43" i="1"/>
  <c r="G16" i="1"/>
  <c r="G68" i="1"/>
  <c r="G84" i="1"/>
  <c r="G25" i="1"/>
  <c r="G45" i="1"/>
  <c r="G34" i="1"/>
  <c r="G60" i="1"/>
  <c r="G87" i="1"/>
  <c r="G80" i="1"/>
  <c r="G41" i="1"/>
  <c r="G37" i="1"/>
  <c r="G53" i="1"/>
  <c r="G54" i="1"/>
  <c r="G44" i="1"/>
  <c r="G6" i="1"/>
  <c r="G20" i="1"/>
  <c r="G92" i="1"/>
  <c r="G61" i="1"/>
  <c r="G48" i="1"/>
  <c r="G59" i="1"/>
  <c r="G72" i="1"/>
  <c r="G73" i="1"/>
  <c r="G83" i="1"/>
  <c r="G67" i="1"/>
  <c r="G55" i="1"/>
  <c r="G17" i="1"/>
  <c r="G64" i="1"/>
  <c r="G7" i="1"/>
  <c r="G57" i="1"/>
  <c r="G5" i="1"/>
  <c r="G21" i="1"/>
  <c r="G91" i="1"/>
  <c r="G66" i="1"/>
  <c r="G50" i="1"/>
  <c r="G76" i="1"/>
  <c r="G13" i="1"/>
  <c r="G2" i="1"/>
  <c r="G69" i="1"/>
  <c r="G32" i="1"/>
  <c r="G29" i="1"/>
  <c r="G15" i="1"/>
  <c r="G94" i="1"/>
  <c r="G4" i="1"/>
  <c r="G40" i="1"/>
  <c r="G49" i="1"/>
  <c r="G33" i="1"/>
  <c r="G27" i="1"/>
  <c r="G78" i="1"/>
  <c r="H78" i="1" s="1"/>
  <c r="G85" i="1"/>
  <c r="G96" i="1"/>
  <c r="G38" i="1"/>
  <c r="G86" i="1"/>
  <c r="G81" i="1"/>
  <c r="G28" i="1"/>
  <c r="G39" i="1"/>
  <c r="G14" i="1"/>
  <c r="G30" i="1"/>
  <c r="G3" i="1"/>
  <c r="G71" i="1"/>
  <c r="G90" i="1"/>
  <c r="G18" i="1"/>
  <c r="G12" i="1"/>
  <c r="G47" i="1"/>
  <c r="G31" i="1"/>
  <c r="G93" i="1"/>
  <c r="G10" i="1"/>
  <c r="I8" i="1"/>
  <c r="I32" i="1"/>
  <c r="I97" i="1"/>
  <c r="I87" i="1"/>
  <c r="I63" i="1"/>
  <c r="I31" i="1"/>
  <c r="I74" i="1"/>
  <c r="I2" i="1"/>
  <c r="I18" i="1"/>
  <c r="I7" i="1"/>
  <c r="I85" i="1"/>
  <c r="I73" i="1"/>
  <c r="I61" i="1"/>
  <c r="I50" i="1"/>
  <c r="I41" i="1"/>
  <c r="I29" i="1"/>
  <c r="I17" i="1"/>
  <c r="I6" i="1"/>
  <c r="I43" i="1"/>
  <c r="I86" i="1"/>
  <c r="I28" i="1"/>
  <c r="I95" i="1"/>
  <c r="I40" i="1"/>
  <c r="I83" i="1"/>
  <c r="I71" i="1"/>
  <c r="I59" i="1"/>
  <c r="I4" i="1"/>
  <c r="I39" i="1"/>
  <c r="I27" i="1"/>
  <c r="I15" i="1"/>
  <c r="I94" i="1"/>
  <c r="I88" i="1"/>
  <c r="I82" i="1"/>
  <c r="I70" i="1"/>
  <c r="I58" i="1"/>
  <c r="I47" i="1"/>
  <c r="I38" i="1"/>
  <c r="I26" i="1"/>
  <c r="I13" i="1"/>
  <c r="I93" i="1"/>
  <c r="I60" i="1"/>
  <c r="I81" i="1"/>
  <c r="I69" i="1"/>
  <c r="I57" i="1"/>
  <c r="I48" i="1"/>
  <c r="I37" i="1"/>
  <c r="I25" i="1"/>
  <c r="I14" i="1"/>
  <c r="I92" i="1"/>
  <c r="I53" i="1"/>
  <c r="I42" i="1"/>
  <c r="I80" i="1"/>
  <c r="I68" i="1"/>
  <c r="I56" i="1"/>
  <c r="I46" i="1"/>
  <c r="I36" i="1"/>
  <c r="I24" i="1"/>
  <c r="I11" i="1"/>
  <c r="I91" i="1"/>
  <c r="I20" i="1"/>
  <c r="I75" i="1"/>
  <c r="I51" i="1"/>
  <c r="I19" i="1"/>
  <c r="I62" i="1"/>
  <c r="I30" i="1"/>
  <c r="I84" i="1"/>
  <c r="I72" i="1"/>
  <c r="I49" i="1"/>
  <c r="I16" i="1"/>
  <c r="I79" i="1"/>
  <c r="I67" i="1"/>
  <c r="I54" i="1"/>
  <c r="I45" i="1"/>
  <c r="I35" i="1"/>
  <c r="I23" i="1"/>
  <c r="I12" i="1"/>
  <c r="I90" i="1"/>
  <c r="I76" i="1"/>
  <c r="I5" i="1"/>
  <c r="I78" i="1"/>
  <c r="I66" i="1"/>
  <c r="I55" i="1"/>
  <c r="I44" i="1"/>
  <c r="I34" i="1"/>
  <c r="I22" i="1"/>
  <c r="I9" i="1"/>
  <c r="I89" i="1"/>
  <c r="I64" i="1"/>
  <c r="I77" i="1"/>
  <c r="I65" i="1"/>
  <c r="I52" i="1"/>
  <c r="I3" i="1"/>
  <c r="I33" i="1"/>
  <c r="I21" i="1"/>
  <c r="I96" i="1"/>
  <c r="I10" i="1"/>
  <c r="L44" i="1"/>
  <c r="M10" i="1"/>
  <c r="M9" i="1"/>
  <c r="M12" i="1"/>
  <c r="M11" i="1"/>
  <c r="M14" i="1"/>
  <c r="M1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  <c r="M42" i="1"/>
  <c r="M43" i="1"/>
  <c r="M3" i="1"/>
  <c r="M44" i="1"/>
  <c r="M45" i="1"/>
  <c r="M46" i="1"/>
  <c r="M48" i="1"/>
  <c r="M47" i="1"/>
  <c r="M49" i="1"/>
  <c r="M50" i="1"/>
  <c r="M5" i="1"/>
  <c r="M51" i="1"/>
  <c r="M53" i="1"/>
  <c r="M52" i="1"/>
  <c r="M55" i="1"/>
  <c r="M54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6" i="1"/>
  <c r="M7" i="1"/>
  <c r="M8" i="1"/>
  <c r="M97" i="1"/>
  <c r="M96" i="1"/>
  <c r="L10" i="1"/>
  <c r="L9" i="1"/>
  <c r="L12" i="1"/>
  <c r="L11" i="1"/>
  <c r="L14" i="1"/>
  <c r="L13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  <c r="L42" i="1"/>
  <c r="L43" i="1"/>
  <c r="L3" i="1"/>
  <c r="L45" i="1"/>
  <c r="L46" i="1"/>
  <c r="L48" i="1"/>
  <c r="L47" i="1"/>
  <c r="L4" i="1"/>
  <c r="L49" i="1"/>
  <c r="L50" i="1"/>
  <c r="L5" i="1"/>
  <c r="L51" i="1"/>
  <c r="L53" i="1"/>
  <c r="L52" i="1"/>
  <c r="L55" i="1"/>
  <c r="L54" i="1"/>
  <c r="L56" i="1"/>
  <c r="L57" i="1"/>
  <c r="L58" i="1"/>
  <c r="L59" i="1"/>
  <c r="L60" i="1"/>
  <c r="L61" i="1"/>
  <c r="L62" i="1"/>
  <c r="L63" i="1"/>
  <c r="L64" i="1"/>
  <c r="L65" i="1"/>
  <c r="L66" i="1"/>
  <c r="L67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6" i="1"/>
  <c r="L7" i="1"/>
  <c r="L8" i="1"/>
  <c r="L97" i="1"/>
  <c r="L96" i="1"/>
  <c r="H68" i="1" l="1"/>
  <c r="H25" i="1"/>
  <c r="H66" i="1"/>
  <c r="H33" i="1"/>
  <c r="H87" i="1"/>
  <c r="H12" i="1"/>
  <c r="H82" i="1"/>
  <c r="H11" i="1"/>
  <c r="H69" i="1"/>
  <c r="H36" i="1"/>
  <c r="H70" i="1"/>
  <c r="H17" i="1"/>
  <c r="H80" i="1"/>
  <c r="H91" i="1"/>
  <c r="H37" i="1"/>
  <c r="H65" i="1"/>
  <c r="H24" i="1"/>
  <c r="H72" i="1"/>
  <c r="H90" i="1"/>
  <c r="H55" i="1"/>
  <c r="H76" i="1"/>
  <c r="H96" i="1"/>
  <c r="H6" i="1"/>
  <c r="H71" i="1"/>
  <c r="H47" i="1"/>
  <c r="H64" i="1"/>
  <c r="H79" i="1"/>
  <c r="H34" i="1"/>
  <c r="H85" i="1"/>
  <c r="H54" i="1"/>
  <c r="H43" i="1"/>
  <c r="H9" i="1"/>
  <c r="H26" i="1"/>
  <c r="H38" i="1"/>
  <c r="H18" i="1"/>
  <c r="H53" i="1"/>
  <c r="H22" i="1"/>
  <c r="H86" i="1"/>
  <c r="H20" i="1"/>
  <c r="H84" i="1"/>
  <c r="H44" i="1"/>
  <c r="H67" i="1"/>
  <c r="H51" i="1"/>
  <c r="H23" i="1"/>
  <c r="H50" i="1"/>
  <c r="H97" i="1"/>
  <c r="H52" i="1"/>
  <c r="H14" i="1"/>
  <c r="H28" i="1"/>
  <c r="H61" i="1"/>
  <c r="H8" i="1"/>
  <c r="H62" i="1"/>
  <c r="H32" i="1"/>
  <c r="H2" i="1"/>
  <c r="H16" i="1"/>
  <c r="H95" i="1"/>
  <c r="H13" i="1"/>
  <c r="H3" i="1"/>
  <c r="H27" i="1"/>
  <c r="H83" i="1"/>
  <c r="H42" i="1"/>
  <c r="H77" i="1"/>
  <c r="H35" i="1"/>
  <c r="H41" i="1"/>
  <c r="H89" i="1"/>
  <c r="H7" i="1"/>
  <c r="H73" i="1"/>
  <c r="H93" i="1"/>
  <c r="H56" i="1"/>
  <c r="H10" i="1"/>
  <c r="H39" i="1"/>
  <c r="H4" i="1"/>
  <c r="H21" i="1"/>
  <c r="H48" i="1"/>
  <c r="H60" i="1"/>
  <c r="H75" i="1"/>
  <c r="H63" i="1"/>
  <c r="H19" i="1"/>
  <c r="H94" i="1"/>
  <c r="H5" i="1"/>
  <c r="H31" i="1"/>
  <c r="H81" i="1"/>
  <c r="H15" i="1"/>
  <c r="H57" i="1"/>
  <c r="H92" i="1"/>
  <c r="H45" i="1"/>
  <c r="H74" i="1"/>
  <c r="H88" i="1"/>
  <c r="H29" i="1"/>
  <c r="H46" i="1"/>
  <c r="H49" i="1"/>
  <c r="H40" i="1"/>
  <c r="H59" i="1"/>
  <c r="H30" i="1"/>
</calcChain>
</file>

<file path=xl/sharedStrings.xml><?xml version="1.0" encoding="utf-8"?>
<sst xmlns="http://schemas.openxmlformats.org/spreadsheetml/2006/main" count="82218" uniqueCount="3260">
  <si>
    <t>GP</t>
  </si>
  <si>
    <t>Descrição</t>
  </si>
  <si>
    <t>Planta</t>
  </si>
  <si>
    <t>Parque</t>
  </si>
  <si>
    <t xml:space="preserve">Previsão no Parque </t>
  </si>
  <si>
    <t>Status</t>
  </si>
  <si>
    <t>VALVULA RV8-10-C-0-50</t>
  </si>
  <si>
    <t>B865</t>
  </si>
  <si>
    <t>TERRA SANTA</t>
  </si>
  <si>
    <t>Criar RC</t>
  </si>
  <si>
    <t>B864</t>
  </si>
  <si>
    <t>REDUTORA PRV1-10-C-0-6</t>
  </si>
  <si>
    <t>AMB0155</t>
  </si>
  <si>
    <t>VENTILADOR 230V 127W IP44</t>
  </si>
  <si>
    <t>GP004263</t>
  </si>
  <si>
    <t>OPTOCOUPLER RELAY OPT-24DC-24DC-2</t>
  </si>
  <si>
    <t>B825</t>
  </si>
  <si>
    <t>BLOCO NORTE SUL (BNS)</t>
  </si>
  <si>
    <t>Pendente</t>
  </si>
  <si>
    <t>B832</t>
  </si>
  <si>
    <t>UNIÃO DOS VENTOS (UDV)</t>
  </si>
  <si>
    <t>B856</t>
  </si>
  <si>
    <t>VSMI</t>
  </si>
  <si>
    <t>B857</t>
  </si>
  <si>
    <t>VSMII</t>
  </si>
  <si>
    <t>B867</t>
  </si>
  <si>
    <t>VSMIII</t>
  </si>
  <si>
    <t>GP004892</t>
  </si>
  <si>
    <t>ENTRADAS DIGITAIS</t>
  </si>
  <si>
    <t>GP004897</t>
  </si>
  <si>
    <t>ENTRADAS ANALOGICAS</t>
  </si>
  <si>
    <t>Entregue parcial</t>
  </si>
  <si>
    <t>GP004975</t>
  </si>
  <si>
    <t>PLC CONTROLADOR DE CAMPO</t>
  </si>
  <si>
    <t>Entregue</t>
  </si>
  <si>
    <t>GP008618</t>
  </si>
  <si>
    <t>On delay time RockWell 700-HT3</t>
  </si>
  <si>
    <t>GP013211</t>
  </si>
  <si>
    <t>GENERICO OLEOS DA UNIDADE HIDRAULICA</t>
  </si>
  <si>
    <t>GP019518</t>
  </si>
  <si>
    <t>SWITCH ETHERNET MOXA EDS-308-MM-ST</t>
  </si>
  <si>
    <t>GP023882</t>
  </si>
  <si>
    <t>DIODO PADRAO 540A 2700V XX</t>
  </si>
  <si>
    <t>GP069610</t>
  </si>
  <si>
    <t>LEVEL SWITCH HINE LM1FA500NASP  ALARM</t>
  </si>
  <si>
    <t xml:space="preserve">GP069610 </t>
  </si>
  <si>
    <t>GP078780</t>
  </si>
  <si>
    <t>SMP12C</t>
  </si>
  <si>
    <t>B838</t>
  </si>
  <si>
    <t>VACI</t>
  </si>
  <si>
    <t>GP082783</t>
  </si>
  <si>
    <t>IB IL TEMP 4/8 RTD/EF-PAC</t>
  </si>
  <si>
    <t>GP091014</t>
  </si>
  <si>
    <t>RESISTENCIA DE POTENCIA 33R 600W 10%</t>
  </si>
  <si>
    <t>GP091145</t>
  </si>
  <si>
    <t>CARTÃO DUPLO DE DRIVERS</t>
  </si>
  <si>
    <t>GP124403</t>
  </si>
  <si>
    <t>AMB_EBM_K2E225RA9209</t>
  </si>
  <si>
    <t>CENTRIFUGAL FAN 230V\1260m3\h UL-LOW NOI</t>
  </si>
  <si>
    <t>Sem necessidade parque</t>
  </si>
  <si>
    <t>GP127960</t>
  </si>
  <si>
    <t>GENERIC G9X ELECTRIC ROTATING JOINT STD</t>
  </si>
  <si>
    <t>GP131157</t>
  </si>
  <si>
    <t>COTTON CLOTHS PACKAGE</t>
  </si>
  <si>
    <t>GP135716</t>
  </si>
  <si>
    <t>AXIAL FAN 230V 80W 544CFM JASON</t>
  </si>
  <si>
    <t>GP145852</t>
  </si>
  <si>
    <t>ENCODER HOG 9 DN2048 I WITH CONNECTOR</t>
  </si>
  <si>
    <t>GP224705</t>
  </si>
  <si>
    <t>TER YAW SENSOR M18 Z12</t>
  </si>
  <si>
    <t>GP241858</t>
  </si>
  <si>
    <t>INDUCTIVE SENSOR M18</t>
  </si>
  <si>
    <t>GP249817</t>
  </si>
  <si>
    <t>FAN_JAS_FJ28082MAB</t>
  </si>
  <si>
    <t>GP254146</t>
  </si>
  <si>
    <t>RELIEF VALVE RV1-10-C-0-30</t>
  </si>
  <si>
    <t>GP269250</t>
  </si>
  <si>
    <t>DIRECTIONAL VALVE DG4V32AMUH760</t>
  </si>
  <si>
    <t>GP294080</t>
  </si>
  <si>
    <t>CCU INGECON WIND G9X 2.5KHZ VECT AS3179</t>
  </si>
  <si>
    <t>Obsoleto</t>
  </si>
  <si>
    <t>GP295110</t>
  </si>
  <si>
    <t>H-1SC-20-MFL35-TLML35-NA-NA-C3-3500</t>
  </si>
  <si>
    <t>GP296945</t>
  </si>
  <si>
    <t>MOTOR AM 112 B5 M132 S-2_4 5,5kW 400V 50</t>
  </si>
  <si>
    <t>GP307720</t>
  </si>
  <si>
    <t>GENERIC PITCH CYL 140-90-1056 ALIGN.HYD</t>
  </si>
  <si>
    <t>GP335709</t>
  </si>
  <si>
    <t>B/Y ANTISLIP ADHESIVE TAPE 50MM X 300MM</t>
  </si>
  <si>
    <t>GP347294</t>
  </si>
  <si>
    <t>CNT_MOX_ADP-SCM-STF-S</t>
  </si>
  <si>
    <t>GP347778</t>
  </si>
  <si>
    <t>LAFERT YAW MOTOR 60HZ 3.6KW</t>
  </si>
  <si>
    <t>GP351497</t>
  </si>
  <si>
    <t>INT_WEI_IE-SW-BL05T-5TX_1240850000</t>
  </si>
  <si>
    <t>GP371842</t>
  </si>
  <si>
    <t>PROPORTIONAL VALVE 50-25L/MIN 10VDC</t>
  </si>
  <si>
    <t>GP410281</t>
  </si>
  <si>
    <t>ROD SEAL 105/120.1X6.3 M12T</t>
  </si>
  <si>
    <t>GP410282</t>
  </si>
  <si>
    <t>GP411469</t>
  </si>
  <si>
    <t>MOTOR 2P 112M 3.53KW B14 400VD 35HZ</t>
  </si>
  <si>
    <t>GP422280</t>
  </si>
  <si>
    <t>FRECUENCY CONVERTER_SCH_ATV320U40N4B</t>
  </si>
  <si>
    <t>GP459925</t>
  </si>
  <si>
    <t>GEN PITCH CYLINDER 160-105-1175 HC HD</t>
  </si>
  <si>
    <t>GP467716</t>
  </si>
  <si>
    <t>SPARE KIT IGBT MOD + ADAPT BOARD_ AS3347</t>
  </si>
  <si>
    <t>GP486500</t>
  </si>
  <si>
    <t>BAS-PLC-BPT-24DC/21-2900445</t>
  </si>
  <si>
    <t>GP525859</t>
  </si>
  <si>
    <t>SCRAPER 105/117.2X8.1 M12T</t>
  </si>
  <si>
    <t>Rótulos de Linha</t>
  </si>
  <si>
    <t>Contagem de GP</t>
  </si>
  <si>
    <t>Total Geral</t>
  </si>
  <si>
    <t>*</t>
  </si>
  <si>
    <t>Mes/Ano</t>
  </si>
  <si>
    <t>FEV/2027</t>
  </si>
  <si>
    <t>JAN/2027</t>
  </si>
  <si>
    <t>MAR/2027</t>
  </si>
  <si>
    <t>NOV/2026</t>
  </si>
  <si>
    <t>OUT/2026</t>
  </si>
  <si>
    <t>Coluna3</t>
  </si>
  <si>
    <t>Coluna4</t>
  </si>
  <si>
    <t>(Vários itens)</t>
  </si>
  <si>
    <t>Conc</t>
  </si>
  <si>
    <t>LRR</t>
  </si>
  <si>
    <t>Material</t>
  </si>
  <si>
    <t>ZY</t>
  </si>
  <si>
    <t>ZS20</t>
  </si>
  <si>
    <t>ZRP</t>
  </si>
  <si>
    <t>SE</t>
  </si>
  <si>
    <t>WB</t>
  </si>
  <si>
    <t>Z001</t>
  </si>
  <si>
    <t>PD</t>
  </si>
  <si>
    <t>149391-002</t>
  </si>
  <si>
    <t>COOLER LIQUID FOR VCS COOLER_20L</t>
  </si>
  <si>
    <t>Z009</t>
  </si>
  <si>
    <t>C393068</t>
  </si>
  <si>
    <t>C393083</t>
  </si>
  <si>
    <t>C393086</t>
  </si>
  <si>
    <t>GP000877</t>
  </si>
  <si>
    <t>GP004258</t>
  </si>
  <si>
    <t>GP004260</t>
  </si>
  <si>
    <t>GP004265</t>
  </si>
  <si>
    <t>GP004890</t>
  </si>
  <si>
    <t>GP004894</t>
  </si>
  <si>
    <t>GP004895</t>
  </si>
  <si>
    <t>GP004896</t>
  </si>
  <si>
    <t>GP004898</t>
  </si>
  <si>
    <t>GP005798</t>
  </si>
  <si>
    <t>GP005890</t>
  </si>
  <si>
    <t>GP007157</t>
  </si>
  <si>
    <t>GP011681</t>
  </si>
  <si>
    <t>GP019520</t>
  </si>
  <si>
    <t>GP021313</t>
  </si>
  <si>
    <t>GP022119</t>
  </si>
  <si>
    <t>GP037930</t>
  </si>
  <si>
    <t>GP040684</t>
  </si>
  <si>
    <t>GP040689</t>
  </si>
  <si>
    <t>GP050735</t>
  </si>
  <si>
    <t>GP051944</t>
  </si>
  <si>
    <t>ZS10</t>
  </si>
  <si>
    <t>GP067034</t>
  </si>
  <si>
    <t>GP089087</t>
  </si>
  <si>
    <t>GP091027</t>
  </si>
  <si>
    <t>GP091030</t>
  </si>
  <si>
    <t>GP091182</t>
  </si>
  <si>
    <t>GP091183</t>
  </si>
  <si>
    <t>GP091184</t>
  </si>
  <si>
    <t>GP091188</t>
  </si>
  <si>
    <t>GP097228</t>
  </si>
  <si>
    <t>GP099734</t>
  </si>
  <si>
    <t>GP101805</t>
  </si>
  <si>
    <t>GP111814</t>
  </si>
  <si>
    <t>GP119052</t>
  </si>
  <si>
    <t>GP122842</t>
  </si>
  <si>
    <t>Z010</t>
  </si>
  <si>
    <t>GP132911</t>
  </si>
  <si>
    <t>GP134149</t>
  </si>
  <si>
    <t>F.A. GENERIC 15W FAN</t>
  </si>
  <si>
    <t>GP141738</t>
  </si>
  <si>
    <t>WHITE DUPONT TYVEK DUAL COVERALL L</t>
  </si>
  <si>
    <t>GP189308</t>
  </si>
  <si>
    <t>GP202343</t>
  </si>
  <si>
    <t>GP218789</t>
  </si>
  <si>
    <t>GP305361</t>
  </si>
  <si>
    <t>GP310527</t>
  </si>
  <si>
    <t>GP325616</t>
  </si>
  <si>
    <t>GP326250</t>
  </si>
  <si>
    <t>GP331382</t>
  </si>
  <si>
    <t>GP404153</t>
  </si>
  <si>
    <t>GP454170</t>
  </si>
  <si>
    <t>GP486978-004</t>
  </si>
  <si>
    <t>SHELL TELLUS S2VX32 FINE HYDR OIL 208,2L</t>
  </si>
  <si>
    <t>Z174</t>
  </si>
  <si>
    <t>GP520189</t>
  </si>
  <si>
    <t>ULTRADEG WASH D 50 DEGREASER</t>
  </si>
  <si>
    <t>P390110</t>
  </si>
  <si>
    <t>P390350</t>
  </si>
  <si>
    <t>Z017</t>
  </si>
  <si>
    <t>P390351</t>
  </si>
  <si>
    <t>P393126</t>
  </si>
  <si>
    <t>R9E1495P01</t>
  </si>
  <si>
    <t>A9B00019165</t>
  </si>
  <si>
    <t>GREASE SHELL RHODINA, 5 KG, BBZ</t>
  </si>
  <si>
    <t>Z005</t>
  </si>
  <si>
    <t>C393085</t>
  </si>
  <si>
    <t>C393106</t>
  </si>
  <si>
    <t>GP001017</t>
  </si>
  <si>
    <t>GP002984</t>
  </si>
  <si>
    <t>GP004249</t>
  </si>
  <si>
    <t>GP004259</t>
  </si>
  <si>
    <t>GP004849</t>
  </si>
  <si>
    <t>GP004888</t>
  </si>
  <si>
    <t>GP004891</t>
  </si>
  <si>
    <t>GP004970</t>
  </si>
  <si>
    <t>GP004976</t>
  </si>
  <si>
    <t>GP006031</t>
  </si>
  <si>
    <t>GP006039</t>
  </si>
  <si>
    <t>GP006115</t>
  </si>
  <si>
    <t>GP007339</t>
  </si>
  <si>
    <t>GP007359</t>
  </si>
  <si>
    <t>GP007373-001</t>
  </si>
  <si>
    <t>GP007545</t>
  </si>
  <si>
    <t>GP007548</t>
  </si>
  <si>
    <t>GP007571</t>
  </si>
  <si>
    <t>GP008616</t>
  </si>
  <si>
    <t>GP008877</t>
  </si>
  <si>
    <t>GP008951</t>
  </si>
  <si>
    <t>GP010568</t>
  </si>
  <si>
    <t>GP015070</t>
  </si>
  <si>
    <t>GP016645</t>
  </si>
  <si>
    <t>GP018876</t>
  </si>
  <si>
    <t>GP019453</t>
  </si>
  <si>
    <t>GP019457</t>
  </si>
  <si>
    <t>GP022119-001</t>
  </si>
  <si>
    <t>SILICONE DOW CORNING 7093 WHITE_</t>
  </si>
  <si>
    <t>GP023855</t>
  </si>
  <si>
    <t>GP023862</t>
  </si>
  <si>
    <t>GP023867</t>
  </si>
  <si>
    <t>GP023881</t>
  </si>
  <si>
    <t>GP025889</t>
  </si>
  <si>
    <t>GP051555-001</t>
  </si>
  <si>
    <t>GP052417</t>
  </si>
  <si>
    <t>GP054670</t>
  </si>
  <si>
    <t>GP074871</t>
  </si>
  <si>
    <t>GP075083</t>
  </si>
  <si>
    <t>GP082782</t>
  </si>
  <si>
    <t>GP091016</t>
  </si>
  <si>
    <t>GP091144</t>
  </si>
  <si>
    <t>GP091185</t>
  </si>
  <si>
    <t>GP091205</t>
  </si>
  <si>
    <t>GP092844</t>
  </si>
  <si>
    <t>GP095586</t>
  </si>
  <si>
    <t>GP101477</t>
  </si>
  <si>
    <t>GP112993</t>
  </si>
  <si>
    <t>GP112994</t>
  </si>
  <si>
    <t>GP124059</t>
  </si>
  <si>
    <t>GP134165</t>
  </si>
  <si>
    <t>GP135067</t>
  </si>
  <si>
    <t>KLUBERPLEX GREASE AG 11-462 (CAN 25KG)</t>
  </si>
  <si>
    <t>GP136128</t>
  </si>
  <si>
    <t>GP139061</t>
  </si>
  <si>
    <t>GP139201</t>
  </si>
  <si>
    <t>GENERIC HYD. FILTER ELEMENT 3MICRON</t>
  </si>
  <si>
    <t>GP139202</t>
  </si>
  <si>
    <t>GP169357</t>
  </si>
  <si>
    <t>GP171641</t>
  </si>
  <si>
    <t>GP171727</t>
  </si>
  <si>
    <t>GP172165</t>
  </si>
  <si>
    <t>GP172167</t>
  </si>
  <si>
    <t>GP172175</t>
  </si>
  <si>
    <t>GP172176</t>
  </si>
  <si>
    <t>GP190332</t>
  </si>
  <si>
    <t>GP201330</t>
  </si>
  <si>
    <t>GP207357</t>
  </si>
  <si>
    <t>GP237962</t>
  </si>
  <si>
    <t>GP237977</t>
  </si>
  <si>
    <t>GP238650</t>
  </si>
  <si>
    <t>SCREEN_SCHNEIDER_HMIGTO2310</t>
  </si>
  <si>
    <t>GP241208</t>
  </si>
  <si>
    <t>GP244210</t>
  </si>
  <si>
    <t>GP261693</t>
  </si>
  <si>
    <t>GP262708</t>
  </si>
  <si>
    <t>GP267025</t>
  </si>
  <si>
    <t>GP269602</t>
  </si>
  <si>
    <t>GP280499</t>
  </si>
  <si>
    <t>GP310528</t>
  </si>
  <si>
    <t>GP312265</t>
  </si>
  <si>
    <t>GP337294</t>
  </si>
  <si>
    <t>GP404152</t>
  </si>
  <si>
    <t>GP427293</t>
  </si>
  <si>
    <t>GP456194</t>
  </si>
  <si>
    <t>GP463390</t>
  </si>
  <si>
    <t>KRM_ABB_AF265-30-11-13_1SFL547002R1311</t>
  </si>
  <si>
    <t>GP485051-001</t>
  </si>
  <si>
    <t>SHELL OMALA S5 WIND SYNTHETIC_ 20L</t>
  </si>
  <si>
    <t>GP486499</t>
  </si>
  <si>
    <t>P100037</t>
  </si>
  <si>
    <t>P300519</t>
  </si>
  <si>
    <t>P370104</t>
  </si>
  <si>
    <t>P390117</t>
  </si>
  <si>
    <t>P393073</t>
  </si>
  <si>
    <t>PLE0690</t>
  </si>
  <si>
    <t>R9B0405P37</t>
  </si>
  <si>
    <t>R9B0405P38</t>
  </si>
  <si>
    <t>R9E1766P01</t>
  </si>
  <si>
    <t>GP004262</t>
  </si>
  <si>
    <t>GP007640</t>
  </si>
  <si>
    <t>GP016235</t>
  </si>
  <si>
    <t>GP019007</t>
  </si>
  <si>
    <t>GP023886</t>
  </si>
  <si>
    <t>GP040686</t>
  </si>
  <si>
    <t>GP052043</t>
  </si>
  <si>
    <t>GP069789</t>
  </si>
  <si>
    <t>GP072706</t>
  </si>
  <si>
    <t>ISOPROPIL ALCOHOL 10P DISTILLED WATER 1L</t>
  </si>
  <si>
    <t>GP091208</t>
  </si>
  <si>
    <t>GP091223</t>
  </si>
  <si>
    <t>GP119773</t>
  </si>
  <si>
    <t>GP133456</t>
  </si>
  <si>
    <t>GP199428</t>
  </si>
  <si>
    <t>GP206196</t>
  </si>
  <si>
    <t>GP249310</t>
  </si>
  <si>
    <t>GP254148</t>
  </si>
  <si>
    <t>GP262029</t>
  </si>
  <si>
    <t>GP263048</t>
  </si>
  <si>
    <t>INDUCTIVE SENSOR M18X1 8MM PNP PPS</t>
  </si>
  <si>
    <t>GP268651</t>
  </si>
  <si>
    <t>GP273228</t>
  </si>
  <si>
    <t>GP291497</t>
  </si>
  <si>
    <t>GP295106</t>
  </si>
  <si>
    <t>GP295107</t>
  </si>
  <si>
    <t>GP295109</t>
  </si>
  <si>
    <t>GP415875</t>
  </si>
  <si>
    <t>P393220</t>
  </si>
  <si>
    <t>LOCTITE 401 ADHESIVE</t>
  </si>
  <si>
    <t>094588C</t>
  </si>
  <si>
    <t>SET OF ANTI-SLIP BANDS</t>
  </si>
  <si>
    <t>149776-001</t>
  </si>
  <si>
    <t>AIS0253</t>
  </si>
  <si>
    <t>CAX0089</t>
  </si>
  <si>
    <t>CBL0663</t>
  </si>
  <si>
    <t>F250014</t>
  </si>
  <si>
    <t>GP000973</t>
  </si>
  <si>
    <t>GP001128</t>
  </si>
  <si>
    <t>GP001930</t>
  </si>
  <si>
    <t>GP003442</t>
  </si>
  <si>
    <t>GP004844</t>
  </si>
  <si>
    <t>GP004889</t>
  </si>
  <si>
    <t>GP006557</t>
  </si>
  <si>
    <t>GP006558</t>
  </si>
  <si>
    <t>GP007073</t>
  </si>
  <si>
    <t>GP007546</t>
  </si>
  <si>
    <t>GP007637</t>
  </si>
  <si>
    <t>GP007964</t>
  </si>
  <si>
    <t>GP008340</t>
  </si>
  <si>
    <t>SCR ISO4017 M10X40 8.8 FLZNL NC 1000H</t>
  </si>
  <si>
    <t>GP009028</t>
  </si>
  <si>
    <t>GP009627</t>
  </si>
  <si>
    <t>GP010406</t>
  </si>
  <si>
    <t>GP010564</t>
  </si>
  <si>
    <t>GP011625</t>
  </si>
  <si>
    <t>GP012852</t>
  </si>
  <si>
    <t>GP016533</t>
  </si>
  <si>
    <t>GP017127</t>
  </si>
  <si>
    <t>GP018129</t>
  </si>
  <si>
    <t>GP019439</t>
  </si>
  <si>
    <t>GP019521</t>
  </si>
  <si>
    <t>GP021038-001</t>
  </si>
  <si>
    <t>Z062</t>
  </si>
  <si>
    <t>GP023013</t>
  </si>
  <si>
    <t>GP023271</t>
  </si>
  <si>
    <t>GP024297</t>
  </si>
  <si>
    <t>ROLL OF FILTER BLANKET A-25 CLASE G-3</t>
  </si>
  <si>
    <t>GP026647</t>
  </si>
  <si>
    <t>HEXAGON NUT ISO 4032 M12 A4-70</t>
  </si>
  <si>
    <t>GP029282</t>
  </si>
  <si>
    <t>GP030622</t>
  </si>
  <si>
    <t>GP031912</t>
  </si>
  <si>
    <t>GP034619</t>
  </si>
  <si>
    <t>GP040682</t>
  </si>
  <si>
    <t>GP041249</t>
  </si>
  <si>
    <t>WAS ISO7089 M16 300HV FLZNL NC 1000H</t>
  </si>
  <si>
    <t>GP041335</t>
  </si>
  <si>
    <t>GP042104</t>
  </si>
  <si>
    <t>GP043119</t>
  </si>
  <si>
    <t>GP054705</t>
  </si>
  <si>
    <t>GP055944</t>
  </si>
  <si>
    <t>GP062661</t>
  </si>
  <si>
    <t>GP065434</t>
  </si>
  <si>
    <t>GP081007</t>
  </si>
  <si>
    <t>WASHER NYLON CONIC ANTI-LOSS M5</t>
  </si>
  <si>
    <t>GP081676</t>
  </si>
  <si>
    <t>GP084723</t>
  </si>
  <si>
    <t>GP095593</t>
  </si>
  <si>
    <t>GP112325</t>
  </si>
  <si>
    <t>CLEANER LOCTITE 7200</t>
  </si>
  <si>
    <t>GP112567</t>
  </si>
  <si>
    <t>GP112995</t>
  </si>
  <si>
    <t>GP118688</t>
  </si>
  <si>
    <t>GP119035</t>
  </si>
  <si>
    <t>GP123319-002</t>
  </si>
  <si>
    <t>GP133461</t>
  </si>
  <si>
    <t>GP139203</t>
  </si>
  <si>
    <t>GP139206</t>
  </si>
  <si>
    <t>GP144559-001</t>
  </si>
  <si>
    <t>GP218944</t>
  </si>
  <si>
    <t>GP231270</t>
  </si>
  <si>
    <t>GP234956</t>
  </si>
  <si>
    <t>GP235307</t>
  </si>
  <si>
    <t>GP242943</t>
  </si>
  <si>
    <t>GP253668</t>
  </si>
  <si>
    <t>ORING SEAL ORAR00354-N7T40</t>
  </si>
  <si>
    <t>GP255064</t>
  </si>
  <si>
    <t>GP265248</t>
  </si>
  <si>
    <t>SCRAPER RSV300900-M12T (90/105,1X6,3)</t>
  </si>
  <si>
    <t>GP269908</t>
  </si>
  <si>
    <t>GP286530</t>
  </si>
  <si>
    <t>GP331381</t>
  </si>
  <si>
    <t>GP345208</t>
  </si>
  <si>
    <t>RING ELASTIC D200 X 5</t>
  </si>
  <si>
    <t>GP349522</t>
  </si>
  <si>
    <t>GP358901</t>
  </si>
  <si>
    <t>GP374143</t>
  </si>
  <si>
    <t>GP425734</t>
  </si>
  <si>
    <t>GP463523</t>
  </si>
  <si>
    <t>GP463528</t>
  </si>
  <si>
    <t>GP466869</t>
  </si>
  <si>
    <t>GP475473</t>
  </si>
  <si>
    <t>GP475474</t>
  </si>
  <si>
    <t>GP579055</t>
  </si>
  <si>
    <t>GP634923</t>
  </si>
  <si>
    <t>P390054</t>
  </si>
  <si>
    <t>P390352</t>
  </si>
  <si>
    <t>P393070</t>
  </si>
  <si>
    <t>P422660</t>
  </si>
  <si>
    <t>P422731</t>
  </si>
  <si>
    <t>P630248</t>
  </si>
  <si>
    <t>P670143</t>
  </si>
  <si>
    <t>NUT ISO 10511 M10 A4-70</t>
  </si>
  <si>
    <t>R9B0405P35</t>
  </si>
  <si>
    <t>AMB0154</t>
  </si>
  <si>
    <t>GP004261</t>
  </si>
  <si>
    <t>GP007544</t>
  </si>
  <si>
    <t>GP009823</t>
  </si>
  <si>
    <t>GP023866</t>
  </si>
  <si>
    <t>GP065867</t>
  </si>
  <si>
    <t>GP091195</t>
  </si>
  <si>
    <t>GP183406</t>
  </si>
  <si>
    <t>GP231575</t>
  </si>
  <si>
    <t>GP327268</t>
  </si>
  <si>
    <t>P422730</t>
  </si>
  <si>
    <t>B817</t>
  </si>
  <si>
    <t>DBF1</t>
  </si>
  <si>
    <t>BAG FOR COLLECTING BLADE GREASE</t>
  </si>
  <si>
    <t>GP030255</t>
  </si>
  <si>
    <t>GP145859</t>
  </si>
  <si>
    <t>GP254074</t>
  </si>
  <si>
    <t>GP255390</t>
  </si>
  <si>
    <t>GP284317</t>
  </si>
  <si>
    <t>GP008811</t>
  </si>
  <si>
    <t>GP021978-003</t>
  </si>
  <si>
    <t>GP023916</t>
  </si>
  <si>
    <t>GP075099</t>
  </si>
  <si>
    <t>GP361514</t>
  </si>
  <si>
    <t>P630645</t>
  </si>
  <si>
    <t>SCR ISO4017 M8X25 8.8 FLZNL NC 1000H</t>
  </si>
  <si>
    <t>GP012777-001</t>
  </si>
  <si>
    <t>GP014423</t>
  </si>
  <si>
    <t>GP036343</t>
  </si>
  <si>
    <t>GP118501</t>
  </si>
  <si>
    <t>GP233669</t>
  </si>
  <si>
    <t>BRAKE DISC MACHINED G114</t>
  </si>
  <si>
    <t>CABLE WA79 G114</t>
  </si>
  <si>
    <t>GP237221</t>
  </si>
  <si>
    <t>GP239836</t>
  </si>
  <si>
    <t>CABLE WS251C G114</t>
  </si>
  <si>
    <t>GP255506</t>
  </si>
  <si>
    <t>GP330681</t>
  </si>
  <si>
    <t>GP403315</t>
  </si>
  <si>
    <t>Z116</t>
  </si>
  <si>
    <t>GP007684</t>
  </si>
  <si>
    <t>GP013657</t>
  </si>
  <si>
    <t>GP014680</t>
  </si>
  <si>
    <t>GP017831</t>
  </si>
  <si>
    <t>GP021038</t>
  </si>
  <si>
    <t>GP026649</t>
  </si>
  <si>
    <t>GP030468</t>
  </si>
  <si>
    <t>GP044002</t>
  </si>
  <si>
    <t>GP068973</t>
  </si>
  <si>
    <t>GP091181</t>
  </si>
  <si>
    <t>GP230441</t>
  </si>
  <si>
    <t>GP235779-001</t>
  </si>
  <si>
    <t>GP255063</t>
  </si>
  <si>
    <t>GP268205</t>
  </si>
  <si>
    <t>GP268208</t>
  </si>
  <si>
    <t>FILTER ELEMENT 2U 944442Q</t>
  </si>
  <si>
    <t>GP268224</t>
  </si>
  <si>
    <t>GP268236</t>
  </si>
  <si>
    <t>GP268270</t>
  </si>
  <si>
    <t>GP280704</t>
  </si>
  <si>
    <t>GP286459</t>
  </si>
  <si>
    <t>GP344470</t>
  </si>
  <si>
    <t>BATTERY GEL 60AH</t>
  </si>
  <si>
    <t>GP355611</t>
  </si>
  <si>
    <t>GP467360</t>
  </si>
  <si>
    <t>GP515579-001</t>
  </si>
  <si>
    <t>GP526923</t>
  </si>
  <si>
    <t>P370103</t>
  </si>
  <si>
    <t>B825SBN1</t>
  </si>
  <si>
    <t>SBN1</t>
  </si>
  <si>
    <t>1U6001JDE32</t>
  </si>
  <si>
    <t>A9B10239097</t>
  </si>
  <si>
    <t>AMB0132</t>
  </si>
  <si>
    <t>C393107</t>
  </si>
  <si>
    <t>GP002988</t>
  </si>
  <si>
    <t>GP003004</t>
  </si>
  <si>
    <t>GP005208</t>
  </si>
  <si>
    <t>GP007750</t>
  </si>
  <si>
    <t>GP009684</t>
  </si>
  <si>
    <t>GP012554</t>
  </si>
  <si>
    <t>GP013663</t>
  </si>
  <si>
    <t>GP014169</t>
  </si>
  <si>
    <t>GP015160</t>
  </si>
  <si>
    <t>GP018228</t>
  </si>
  <si>
    <t>GP019516</t>
  </si>
  <si>
    <t>GP023876</t>
  </si>
  <si>
    <t>GP023893</t>
  </si>
  <si>
    <t>GP023920</t>
  </si>
  <si>
    <t>GP024618</t>
  </si>
  <si>
    <t>GP026644</t>
  </si>
  <si>
    <t>GP030206</t>
  </si>
  <si>
    <t>GP030262</t>
  </si>
  <si>
    <t>GP030621</t>
  </si>
  <si>
    <t>GP036514</t>
  </si>
  <si>
    <t>GP052416</t>
  </si>
  <si>
    <t>GP069675</t>
  </si>
  <si>
    <t>GP069702</t>
  </si>
  <si>
    <t>GP076344</t>
  </si>
  <si>
    <t>GP081487</t>
  </si>
  <si>
    <t>GP086233</t>
  </si>
  <si>
    <t>M42 HARD THICK WASHER</t>
  </si>
  <si>
    <t>GP099593</t>
  </si>
  <si>
    <t>GP107744</t>
  </si>
  <si>
    <t>GP118070</t>
  </si>
  <si>
    <t>GP119033</t>
  </si>
  <si>
    <t>GP119039</t>
  </si>
  <si>
    <t>GP132060</t>
  </si>
  <si>
    <t>GP138790</t>
  </si>
  <si>
    <t>UNILINE 240-669-503</t>
  </si>
  <si>
    <t>GP139040</t>
  </si>
  <si>
    <t>GP139745</t>
  </si>
  <si>
    <t>GP171637</t>
  </si>
  <si>
    <t>GP207515</t>
  </si>
  <si>
    <t>GP220304</t>
  </si>
  <si>
    <t>GP225748</t>
  </si>
  <si>
    <t>GP231032</t>
  </si>
  <si>
    <t>GP231111</t>
  </si>
  <si>
    <t>ELASTOMER FOR TORQUE ARM G114</t>
  </si>
  <si>
    <t>GP231114</t>
  </si>
  <si>
    <t>GP231593</t>
  </si>
  <si>
    <t>GP233556</t>
  </si>
  <si>
    <t>GP234869</t>
  </si>
  <si>
    <t>GP235459</t>
  </si>
  <si>
    <t>GP235618</t>
  </si>
  <si>
    <t>GP235625</t>
  </si>
  <si>
    <t>GP236011</t>
  </si>
  <si>
    <t>GP237944</t>
  </si>
  <si>
    <t>GP238042</t>
  </si>
  <si>
    <t>GP238575</t>
  </si>
  <si>
    <t>GP238675</t>
  </si>
  <si>
    <t>GP238677</t>
  </si>
  <si>
    <t>GP238678</t>
  </si>
  <si>
    <t>GP238679</t>
  </si>
  <si>
    <t>GP239839</t>
  </si>
  <si>
    <t>GP240363</t>
  </si>
  <si>
    <t>GP240740</t>
  </si>
  <si>
    <t>GP247973</t>
  </si>
  <si>
    <t>GP251492</t>
  </si>
  <si>
    <t>GP254914</t>
  </si>
  <si>
    <t>GP262709</t>
  </si>
  <si>
    <t>GP263929</t>
  </si>
  <si>
    <t>GP267019</t>
  </si>
  <si>
    <t>GP267020</t>
  </si>
  <si>
    <t>GP267022</t>
  </si>
  <si>
    <t>GP267023</t>
  </si>
  <si>
    <t>GP267024</t>
  </si>
  <si>
    <t>GP268269</t>
  </si>
  <si>
    <t>GP269598</t>
  </si>
  <si>
    <t>GP272425</t>
  </si>
  <si>
    <t>GP273230</t>
  </si>
  <si>
    <t>GP273531</t>
  </si>
  <si>
    <t>GP273983</t>
  </si>
  <si>
    <t>GP274984</t>
  </si>
  <si>
    <t>GP287409</t>
  </si>
  <si>
    <t>GP288720</t>
  </si>
  <si>
    <t>GP288968</t>
  </si>
  <si>
    <t>MOTOR 4/6P 2BOB LS100L 2.2/0.5KW B14</t>
  </si>
  <si>
    <t>GP292993</t>
  </si>
  <si>
    <t>GP293634</t>
  </si>
  <si>
    <t>GP293977</t>
  </si>
  <si>
    <t>GP328601</t>
  </si>
  <si>
    <t>SAFETY LINE AGUERRI L=112M</t>
  </si>
  <si>
    <t>GP331368</t>
  </si>
  <si>
    <t>FAL_WEI_ PRO MAX 480W 24V 20A_1478140000</t>
  </si>
  <si>
    <t>GP345212</t>
  </si>
  <si>
    <t>GP349147</t>
  </si>
  <si>
    <t>GP349148</t>
  </si>
  <si>
    <t>GP349149</t>
  </si>
  <si>
    <t>GP356084</t>
  </si>
  <si>
    <t>GP369244</t>
  </si>
  <si>
    <t>GP389291</t>
  </si>
  <si>
    <t>MOTOR 4/8P 100L 3/0.37KW 690V 60HZ F S1</t>
  </si>
  <si>
    <t>GP435399</t>
  </si>
  <si>
    <t>GP444427</t>
  </si>
  <si>
    <t>GP452740</t>
  </si>
  <si>
    <t>ACCUMULATOR BLADDER EHV 32-330</t>
  </si>
  <si>
    <t>GP467178</t>
  </si>
  <si>
    <t>HIGH SPEED SHAFT COUPLING PROTECTION 1</t>
  </si>
  <si>
    <t>P390050</t>
  </si>
  <si>
    <t>GP295834</t>
  </si>
  <si>
    <t>GP298746</t>
  </si>
  <si>
    <t>B830</t>
  </si>
  <si>
    <t>SCA6</t>
  </si>
  <si>
    <t>GP007526</t>
  </si>
  <si>
    <t>GP007878</t>
  </si>
  <si>
    <t>GP008584</t>
  </si>
  <si>
    <t>GP011051</t>
  </si>
  <si>
    <t>GP011664</t>
  </si>
  <si>
    <t>GP030486</t>
  </si>
  <si>
    <t>GP055753</t>
  </si>
  <si>
    <t>GP069121</t>
  </si>
  <si>
    <t>GP091143</t>
  </si>
  <si>
    <t>GP095930</t>
  </si>
  <si>
    <t>WAS HARD THICK 36 300HV FLZNL NC 1000H</t>
  </si>
  <si>
    <t>GP108981</t>
  </si>
  <si>
    <t>GREASE MOLYKOTE G RAPID PLUS</t>
  </si>
  <si>
    <t>GP112910</t>
  </si>
  <si>
    <t>GP219353</t>
  </si>
  <si>
    <t>GP225755</t>
  </si>
  <si>
    <t>GP231112</t>
  </si>
  <si>
    <t>GP231113</t>
  </si>
  <si>
    <t>GP242583</t>
  </si>
  <si>
    <t>D2415 X 10 AISI 316 TENSIONING DEVICE</t>
  </si>
  <si>
    <t>GP266089</t>
  </si>
  <si>
    <t>GP296380</t>
  </si>
  <si>
    <t>GP298758</t>
  </si>
  <si>
    <t>GP469730</t>
  </si>
  <si>
    <t>PITCH CYLINDER FRICTION DISC</t>
  </si>
  <si>
    <t>P390256</t>
  </si>
  <si>
    <t>P393183</t>
  </si>
  <si>
    <t>B832SUV1</t>
  </si>
  <si>
    <t>SUV1</t>
  </si>
  <si>
    <t>114676I</t>
  </si>
  <si>
    <t>GP001611</t>
  </si>
  <si>
    <t>GP001889</t>
  </si>
  <si>
    <t>GP011177</t>
  </si>
  <si>
    <t>GP021978-001</t>
  </si>
  <si>
    <t>GP023660</t>
  </si>
  <si>
    <t>GP023906</t>
  </si>
  <si>
    <t>GP023907</t>
  </si>
  <si>
    <t>GP023908</t>
  </si>
  <si>
    <t>GP046882</t>
  </si>
  <si>
    <t>GP051692</t>
  </si>
  <si>
    <t>GP069179</t>
  </si>
  <si>
    <t>GP073280</t>
  </si>
  <si>
    <t>GP084217-001</t>
  </si>
  <si>
    <t>GP087514</t>
  </si>
  <si>
    <t>GP095923</t>
  </si>
  <si>
    <t>GP101673</t>
  </si>
  <si>
    <t>GP102875</t>
  </si>
  <si>
    <t>GP135711</t>
  </si>
  <si>
    <t>GP238676</t>
  </si>
  <si>
    <t>GP239271</t>
  </si>
  <si>
    <t>GP262631</t>
  </si>
  <si>
    <t>GP272888</t>
  </si>
  <si>
    <t>GP283781</t>
  </si>
  <si>
    <t>GP289052</t>
  </si>
  <si>
    <t>GP293968</t>
  </si>
  <si>
    <t>GP296378</t>
  </si>
  <si>
    <t>GP298757</t>
  </si>
  <si>
    <t>GP311809</t>
  </si>
  <si>
    <t>GP321370</t>
  </si>
  <si>
    <t>GP330658</t>
  </si>
  <si>
    <t>GP333101</t>
  </si>
  <si>
    <t>GP334593</t>
  </si>
  <si>
    <t>GP334751</t>
  </si>
  <si>
    <t>GENERIC LSS-G BEARING</t>
  </si>
  <si>
    <t>GP418634</t>
  </si>
  <si>
    <t>GP418635</t>
  </si>
  <si>
    <t>GP418636</t>
  </si>
  <si>
    <t>GP429344</t>
  </si>
  <si>
    <t>GP464294</t>
  </si>
  <si>
    <t>GP547582</t>
  </si>
  <si>
    <t>GP560169</t>
  </si>
  <si>
    <t>B833</t>
  </si>
  <si>
    <t>B833SUV2</t>
  </si>
  <si>
    <t>SUV2</t>
  </si>
  <si>
    <t>1U0100BCA3L</t>
  </si>
  <si>
    <t>GP008969</t>
  </si>
  <si>
    <t>GP009909</t>
  </si>
  <si>
    <t>GP054155</t>
  </si>
  <si>
    <t>GP127788</t>
  </si>
  <si>
    <t>GP144138</t>
  </si>
  <si>
    <t>GP164975</t>
  </si>
  <si>
    <t>CCU S4</t>
  </si>
  <si>
    <t>GP239067</t>
  </si>
  <si>
    <t>GP247999</t>
  </si>
  <si>
    <t>GP289795</t>
  </si>
  <si>
    <t>GP289832</t>
  </si>
  <si>
    <t>DEHN_GD M TNS 275 FM_952405</t>
  </si>
  <si>
    <t>GP289838</t>
  </si>
  <si>
    <t>GP290450</t>
  </si>
  <si>
    <t>GP293007</t>
  </si>
  <si>
    <t>GP298550</t>
  </si>
  <si>
    <t>GP326354</t>
  </si>
  <si>
    <t>GP331653</t>
  </si>
  <si>
    <t>GP332446</t>
  </si>
  <si>
    <t>GP332766</t>
  </si>
  <si>
    <t>GP396950</t>
  </si>
  <si>
    <t>GP448053</t>
  </si>
  <si>
    <t>GP457905</t>
  </si>
  <si>
    <t>GP514717</t>
  </si>
  <si>
    <t>COOLING LUZAR ORGANIC CARPEMAR</t>
  </si>
  <si>
    <t>GP570324</t>
  </si>
  <si>
    <t>KRM0083</t>
  </si>
  <si>
    <t>P392748</t>
  </si>
  <si>
    <t>P393060</t>
  </si>
  <si>
    <t>COOLER LIQUID FOR VCS COOLER</t>
  </si>
  <si>
    <t>GP001139</t>
  </si>
  <si>
    <t>GRID FOR TRAFO FLUX GATE</t>
  </si>
  <si>
    <t>GP023877</t>
  </si>
  <si>
    <t>GP249287</t>
  </si>
  <si>
    <t>REL_ALLENBRADLEY_700HA33A234L</t>
  </si>
  <si>
    <t>GP265383</t>
  </si>
  <si>
    <t>GP268260</t>
  </si>
  <si>
    <t>NOR00058</t>
  </si>
  <si>
    <t>COLOR HEMPATEX ENAMEL 56360 BLUE RAL5009</t>
  </si>
  <si>
    <t>B837</t>
  </si>
  <si>
    <t>SPC1</t>
  </si>
  <si>
    <t>GP001921</t>
  </si>
  <si>
    <t>GP344471</t>
  </si>
  <si>
    <t>B838SVA1</t>
  </si>
  <si>
    <t>SVA1</t>
  </si>
  <si>
    <t>GP008873</t>
  </si>
  <si>
    <t>GP023901</t>
  </si>
  <si>
    <t>GP135428</t>
  </si>
  <si>
    <t>GP135713</t>
  </si>
  <si>
    <t>GP144559-002</t>
  </si>
  <si>
    <t>GP172178</t>
  </si>
  <si>
    <t>GP207514</t>
  </si>
  <si>
    <t>GP235626</t>
  </si>
  <si>
    <t>GP238522</t>
  </si>
  <si>
    <t>GP243612</t>
  </si>
  <si>
    <t>GP248189</t>
  </si>
  <si>
    <t>GP262131</t>
  </si>
  <si>
    <t>GP268629</t>
  </si>
  <si>
    <t>GP307243</t>
  </si>
  <si>
    <t>CCU INGECON WIND V3.3 VECTORIAL AS2916</t>
  </si>
  <si>
    <t>GP311012</t>
  </si>
  <si>
    <t>SEN_SCH_ARC DETECTOR RELAY VAMP120</t>
  </si>
  <si>
    <t>GP326958</t>
  </si>
  <si>
    <t>GP341213</t>
  </si>
  <si>
    <t>GP341272</t>
  </si>
  <si>
    <t>GP342850</t>
  </si>
  <si>
    <t>GP342896</t>
  </si>
  <si>
    <t>GP344466</t>
  </si>
  <si>
    <t>GP347593</t>
  </si>
  <si>
    <t>GP356544</t>
  </si>
  <si>
    <t>GP392486</t>
  </si>
  <si>
    <t>GP402176</t>
  </si>
  <si>
    <t>GP432763</t>
  </si>
  <si>
    <t>GP485135</t>
  </si>
  <si>
    <t>CABLE WA79 3.4</t>
  </si>
  <si>
    <t>GP054196</t>
  </si>
  <si>
    <t>LOCTITE 243 (250 ML)</t>
  </si>
  <si>
    <t>GP078798</t>
  </si>
  <si>
    <t>FLANGE SEALER LOCTITE 518</t>
  </si>
  <si>
    <t>GP091699</t>
  </si>
  <si>
    <t>GP219352</t>
  </si>
  <si>
    <t>GP240491</t>
  </si>
  <si>
    <t>GP554968</t>
  </si>
  <si>
    <t>LEFT-ALIGNABLE INTERBUS MASTER</t>
  </si>
  <si>
    <t>GP608539</t>
  </si>
  <si>
    <t>B855</t>
  </si>
  <si>
    <t>SSL2</t>
  </si>
  <si>
    <t>GP004913</t>
  </si>
  <si>
    <t>GP019452</t>
  </si>
  <si>
    <t>GP069343</t>
  </si>
  <si>
    <t>GP073809</t>
  </si>
  <si>
    <t>GP111620</t>
  </si>
  <si>
    <t>GP207359</t>
  </si>
  <si>
    <t>ABB_AF09Z-30-10-21_1SBL 136 001 R2110</t>
  </si>
  <si>
    <t>GP226936</t>
  </si>
  <si>
    <t>EPCOS_B32686-S1474-K505</t>
  </si>
  <si>
    <t>GP243466</t>
  </si>
  <si>
    <t>GP252242</t>
  </si>
  <si>
    <t>GP254103</t>
  </si>
  <si>
    <t>GP265262</t>
  </si>
  <si>
    <t>GP269910</t>
  </si>
  <si>
    <t>GP289857</t>
  </si>
  <si>
    <t>GP301081</t>
  </si>
  <si>
    <t>GP311217</t>
  </si>
  <si>
    <t>GP315334</t>
  </si>
  <si>
    <t>INDUCTIVE SENSOR M18 + CABLE WS101 3.3MW</t>
  </si>
  <si>
    <t>GP316861</t>
  </si>
  <si>
    <t>GP320879</t>
  </si>
  <si>
    <t>GP322888</t>
  </si>
  <si>
    <t>GP330657</t>
  </si>
  <si>
    <t>GP332689</t>
  </si>
  <si>
    <t>GP332690</t>
  </si>
  <si>
    <t>GP335319</t>
  </si>
  <si>
    <t>GP340132</t>
  </si>
  <si>
    <t>GP340135</t>
  </si>
  <si>
    <t>GP340136</t>
  </si>
  <si>
    <t>GP340976</t>
  </si>
  <si>
    <t>GP345064</t>
  </si>
  <si>
    <t>GP346311</t>
  </si>
  <si>
    <t>GP350789</t>
  </si>
  <si>
    <t>GP361490</t>
  </si>
  <si>
    <t>GP364581</t>
  </si>
  <si>
    <t>GP384713</t>
  </si>
  <si>
    <t>GP389966</t>
  </si>
  <si>
    <t>GP392490</t>
  </si>
  <si>
    <t>GP404625</t>
  </si>
  <si>
    <t>GP410278</t>
  </si>
  <si>
    <t>POSITION TRANSDUCER G7 L=1300 M18 SA381</t>
  </si>
  <si>
    <t>GP410280</t>
  </si>
  <si>
    <t>GP436706</t>
  </si>
  <si>
    <t>IND SENSOR NBN12-18GK50-E2-M+CABLE</t>
  </si>
  <si>
    <t>GP437954</t>
  </si>
  <si>
    <t>CABLE WS250B 3.4</t>
  </si>
  <si>
    <t>GP440217</t>
  </si>
  <si>
    <t>OFFLINE FILTER INSERT 15/36</t>
  </si>
  <si>
    <t>GP460970</t>
  </si>
  <si>
    <t>MOTOR AC 100 4P 3KW 400V 50/60HZ STEEL</t>
  </si>
  <si>
    <t>GP463530</t>
  </si>
  <si>
    <t>GP465459</t>
  </si>
  <si>
    <t>GP467358</t>
  </si>
  <si>
    <t>GP467359</t>
  </si>
  <si>
    <t>GP479694</t>
  </si>
  <si>
    <t>BRUSH WN 711GC R7</t>
  </si>
  <si>
    <t>GP479703</t>
  </si>
  <si>
    <t>BEARING 6338 C4</t>
  </si>
  <si>
    <t>GP482713</t>
  </si>
  <si>
    <t>GP525863</t>
  </si>
  <si>
    <t>GP534882</t>
  </si>
  <si>
    <t>GP571519</t>
  </si>
  <si>
    <t>SHORT DELTA COPPER PIPE 1LES387853</t>
  </si>
  <si>
    <t>INT0427</t>
  </si>
  <si>
    <t>B856SVS1</t>
  </si>
  <si>
    <t>SVS1</t>
  </si>
  <si>
    <t>GP030307</t>
  </si>
  <si>
    <t>GP069649</t>
  </si>
  <si>
    <t>GP076374</t>
  </si>
  <si>
    <t>GP083493</t>
  </si>
  <si>
    <t>GP088284</t>
  </si>
  <si>
    <t>GP088285</t>
  </si>
  <si>
    <t>GP108116</t>
  </si>
  <si>
    <t>GP112931</t>
  </si>
  <si>
    <t>GP139043</t>
  </si>
  <si>
    <t>GP165581</t>
  </si>
  <si>
    <t>GP194540</t>
  </si>
  <si>
    <t>GP219358</t>
  </si>
  <si>
    <t>GP226236</t>
  </si>
  <si>
    <t>GP237955</t>
  </si>
  <si>
    <t>GP243465</t>
  </si>
  <si>
    <t>GP243613</t>
  </si>
  <si>
    <t>GP244409</t>
  </si>
  <si>
    <t>GP254104</t>
  </si>
  <si>
    <t>GP254676</t>
  </si>
  <si>
    <t>GP265201</t>
  </si>
  <si>
    <t>WD-40 RUST INHIBITOR</t>
  </si>
  <si>
    <t>GP268263</t>
  </si>
  <si>
    <t>GP286170</t>
  </si>
  <si>
    <t>GP286370</t>
  </si>
  <si>
    <t>GP289796</t>
  </si>
  <si>
    <t>GP292327</t>
  </si>
  <si>
    <t>GP297079</t>
  </si>
  <si>
    <t>O-RING 13X2MM PULT -40ºC 90SH</t>
  </si>
  <si>
    <t>GP298548</t>
  </si>
  <si>
    <t>GP311567</t>
  </si>
  <si>
    <t>GP312102</t>
  </si>
  <si>
    <t>ALUMINIUM LADDER 3.3MW</t>
  </si>
  <si>
    <t>GP317614</t>
  </si>
  <si>
    <t>GP321116</t>
  </si>
  <si>
    <t>GP321121</t>
  </si>
  <si>
    <t>GP322848</t>
  </si>
  <si>
    <t>GP322849</t>
  </si>
  <si>
    <t>GP322891</t>
  </si>
  <si>
    <t>GP323355</t>
  </si>
  <si>
    <t>GP323356</t>
  </si>
  <si>
    <t>GP323357</t>
  </si>
  <si>
    <t>ABB_YU 220-240 VAC/DC_1SDA073700R1</t>
  </si>
  <si>
    <t>GP323359</t>
  </si>
  <si>
    <t>GP330313</t>
  </si>
  <si>
    <t>GP330582</t>
  </si>
  <si>
    <t>GP332213</t>
  </si>
  <si>
    <t>GP340133</t>
  </si>
  <si>
    <t>GP345545</t>
  </si>
  <si>
    <t>GP347644</t>
  </si>
  <si>
    <t>GP347645</t>
  </si>
  <si>
    <t>GP350312</t>
  </si>
  <si>
    <t>GP350315</t>
  </si>
  <si>
    <t>GP350317</t>
  </si>
  <si>
    <t>GP356037</t>
  </si>
  <si>
    <t>GP363685</t>
  </si>
  <si>
    <t>PASSIVE PAD PETP D119.5X25</t>
  </si>
  <si>
    <t>GP372532</t>
  </si>
  <si>
    <t>GP374770</t>
  </si>
  <si>
    <t>GP386246</t>
  </si>
  <si>
    <t>GP386275</t>
  </si>
  <si>
    <t>GP386279</t>
  </si>
  <si>
    <t>GP386280</t>
  </si>
  <si>
    <t>GP386293</t>
  </si>
  <si>
    <t>GP386295</t>
  </si>
  <si>
    <t>GP389965</t>
  </si>
  <si>
    <t>GP392491</t>
  </si>
  <si>
    <t>GP394700</t>
  </si>
  <si>
    <t>GP394701</t>
  </si>
  <si>
    <t>GP403215</t>
  </si>
  <si>
    <t>GP408818</t>
  </si>
  <si>
    <t>GP410260</t>
  </si>
  <si>
    <t>GP410420</t>
  </si>
  <si>
    <t>GP410421</t>
  </si>
  <si>
    <t>GP410547</t>
  </si>
  <si>
    <t>GP410668</t>
  </si>
  <si>
    <t>GP410669</t>
  </si>
  <si>
    <t>WIND VANE NRG HYBRID XT+CABLE WS309B</t>
  </si>
  <si>
    <t>GP411896</t>
  </si>
  <si>
    <t>GP427122</t>
  </si>
  <si>
    <t>GP428970</t>
  </si>
  <si>
    <t>GP429176</t>
  </si>
  <si>
    <t>GP429272</t>
  </si>
  <si>
    <t>GP430403</t>
  </si>
  <si>
    <t>GP439917</t>
  </si>
  <si>
    <t>GP440023</t>
  </si>
  <si>
    <t>GP440027</t>
  </si>
  <si>
    <t>GP445556</t>
  </si>
  <si>
    <t>GP452019</t>
  </si>
  <si>
    <t>GP452232</t>
  </si>
  <si>
    <t>GP455375</t>
  </si>
  <si>
    <t>GP458620</t>
  </si>
  <si>
    <t>GP464550</t>
  </si>
  <si>
    <t>GP466248</t>
  </si>
  <si>
    <t>GP479066</t>
  </si>
  <si>
    <t>GP479069</t>
  </si>
  <si>
    <t>GP484697</t>
  </si>
  <si>
    <t>GP484760</t>
  </si>
  <si>
    <t>GP484766</t>
  </si>
  <si>
    <t>GP535198</t>
  </si>
  <si>
    <t>GP553632</t>
  </si>
  <si>
    <t>GP566312</t>
  </si>
  <si>
    <t>GP592545</t>
  </si>
  <si>
    <t>P390363</t>
  </si>
  <si>
    <t>P610123</t>
  </si>
  <si>
    <t>B857SVS2</t>
  </si>
  <si>
    <t>SVS2</t>
  </si>
  <si>
    <t>GP001407</t>
  </si>
  <si>
    <t>GP004219</t>
  </si>
  <si>
    <t>WAS ISO7093-1 12 200HV FLZNL NC 1000H</t>
  </si>
  <si>
    <t>GP007674</t>
  </si>
  <si>
    <t>GP007891</t>
  </si>
  <si>
    <t>GP011826</t>
  </si>
  <si>
    <t>GP027711</t>
  </si>
  <si>
    <t>GP056698</t>
  </si>
  <si>
    <t>GP093195</t>
  </si>
  <si>
    <t>GP133457</t>
  </si>
  <si>
    <t>GP188913</t>
  </si>
  <si>
    <t>GP222785</t>
  </si>
  <si>
    <t>GP243455</t>
  </si>
  <si>
    <t>BOR_PHO_IB IL 24 DI 32/HD-PAC_2862835</t>
  </si>
  <si>
    <t>GP249637</t>
  </si>
  <si>
    <t>GP268206</t>
  </si>
  <si>
    <t>GP268238</t>
  </si>
  <si>
    <t>GP268284</t>
  </si>
  <si>
    <t>GP287687</t>
  </si>
  <si>
    <t>GP289799</t>
  </si>
  <si>
    <t>GP309296</t>
  </si>
  <si>
    <t>GP314696</t>
  </si>
  <si>
    <t>GP323497</t>
  </si>
  <si>
    <t>GP325623</t>
  </si>
  <si>
    <t>LOAD CONTROL VALVE 90L/MIN 350BAR</t>
  </si>
  <si>
    <t>GP350329</t>
  </si>
  <si>
    <t>GP363684</t>
  </si>
  <si>
    <t>GP386042</t>
  </si>
  <si>
    <t>PRESSURE SWITCH 50-350BAR NCC/NOC</t>
  </si>
  <si>
    <t>GP387818</t>
  </si>
  <si>
    <t>GP413615</t>
  </si>
  <si>
    <t>GP419420</t>
  </si>
  <si>
    <t>GP430419</t>
  </si>
  <si>
    <t>AIR BREATHER FILTER 3UM 1.5M3/MIN</t>
  </si>
  <si>
    <t>GP435490</t>
  </si>
  <si>
    <t>GP459180</t>
  </si>
  <si>
    <t>GP484756</t>
  </si>
  <si>
    <t>GP484759</t>
  </si>
  <si>
    <t>GP484765</t>
  </si>
  <si>
    <t>GP484770</t>
  </si>
  <si>
    <t>GP484773</t>
  </si>
  <si>
    <t>GP484774</t>
  </si>
  <si>
    <t>GP555480</t>
  </si>
  <si>
    <t>GP592520</t>
  </si>
  <si>
    <t>GP592532</t>
  </si>
  <si>
    <t>GP592539</t>
  </si>
  <si>
    <t>P100035</t>
  </si>
  <si>
    <t>P611356</t>
  </si>
  <si>
    <t>A9B10067944</t>
  </si>
  <si>
    <t>GREASE KLUBERPLEX BEM 41-301 5KG</t>
  </si>
  <si>
    <t>B864SAV1</t>
  </si>
  <si>
    <t>SAV1</t>
  </si>
  <si>
    <t>GP000248</t>
  </si>
  <si>
    <t>SFTY.DOOR SWITCH 1NC-1NA PG13.5</t>
  </si>
  <si>
    <t>GP056553</t>
  </si>
  <si>
    <t>GP069689</t>
  </si>
  <si>
    <t>CABLE TIE 4,8X368MM</t>
  </si>
  <si>
    <t>GP110514</t>
  </si>
  <si>
    <t>GP110562</t>
  </si>
  <si>
    <t>GP193010</t>
  </si>
  <si>
    <t>GP262132</t>
  </si>
  <si>
    <t>GP328005</t>
  </si>
  <si>
    <t>SHIM 0.5MM FOR TORQUE ARM G132 3.3MW</t>
  </si>
  <si>
    <t>GP328006</t>
  </si>
  <si>
    <t>GP328007</t>
  </si>
  <si>
    <t>SHIM 2MM FOR TORQUE ARM G132 3.3MW</t>
  </si>
  <si>
    <t>GP365395</t>
  </si>
  <si>
    <t>GP393135</t>
  </si>
  <si>
    <t>PROPORTIONAL VALVE 262BAR SIZE 10</t>
  </si>
  <si>
    <t>GP408817</t>
  </si>
  <si>
    <t>GP454559</t>
  </si>
  <si>
    <t>GP504766</t>
  </si>
  <si>
    <t>GP613250</t>
  </si>
  <si>
    <t>GP613289</t>
  </si>
  <si>
    <t>SAFETY SWITCH 24VAC/DC AZM 170</t>
  </si>
  <si>
    <t>GP613322</t>
  </si>
  <si>
    <t>GP614946</t>
  </si>
  <si>
    <t>GP616333</t>
  </si>
  <si>
    <t>GP616370</t>
  </si>
  <si>
    <t>B865STS1</t>
  </si>
  <si>
    <t>STS1</t>
  </si>
  <si>
    <t>GP052139</t>
  </si>
  <si>
    <t>JOINT PLATE  FOR ANTIPANIC LOCK DENY</t>
  </si>
  <si>
    <t>GP127833</t>
  </si>
  <si>
    <t>GP253518</t>
  </si>
  <si>
    <t>GP253521</t>
  </si>
  <si>
    <t>GP263480</t>
  </si>
  <si>
    <t>GP270283</t>
  </si>
  <si>
    <t>GP331380</t>
  </si>
  <si>
    <t>GP452405</t>
  </si>
  <si>
    <t>GP579384</t>
  </si>
  <si>
    <t>GP583348</t>
  </si>
  <si>
    <t>GP603722</t>
  </si>
  <si>
    <t>GP613318</t>
  </si>
  <si>
    <t>GP616335</t>
  </si>
  <si>
    <t>GP108091</t>
  </si>
  <si>
    <t>GP440220</t>
  </si>
  <si>
    <t>SEAL KIT FOR PUMP PV4-7-4</t>
  </si>
  <si>
    <t>GP467713</t>
  </si>
  <si>
    <t>B867SVM3</t>
  </si>
  <si>
    <t>SVM3</t>
  </si>
  <si>
    <t>GP018869</t>
  </si>
  <si>
    <t>GP018983</t>
  </si>
  <si>
    <t>GP070100</t>
  </si>
  <si>
    <t>GP110573</t>
  </si>
  <si>
    <t>GP131111</t>
  </si>
  <si>
    <t>GP241262</t>
  </si>
  <si>
    <t>GP293070</t>
  </si>
  <si>
    <t>GP320366</t>
  </si>
  <si>
    <t>GP326751</t>
  </si>
  <si>
    <t>GP330314</t>
  </si>
  <si>
    <t>GP330724</t>
  </si>
  <si>
    <t>GP411897</t>
  </si>
  <si>
    <t>GP412186</t>
  </si>
  <si>
    <t>GP450718</t>
  </si>
  <si>
    <t>GP484757</t>
  </si>
  <si>
    <t>GP484769</t>
  </si>
  <si>
    <t>GP484772</t>
  </si>
  <si>
    <t>A9B10237532</t>
  </si>
  <si>
    <t>B8D1</t>
  </si>
  <si>
    <t>2N03</t>
  </si>
  <si>
    <t>GP034202</t>
  </si>
  <si>
    <t>MCL MOLYKOTE GN PLUS</t>
  </si>
  <si>
    <t>GP034203-001</t>
  </si>
  <si>
    <t>MCL MOLYKOTE G-RAPID PLUS_</t>
  </si>
  <si>
    <t>GP092948</t>
  </si>
  <si>
    <t>SPECIAL NUT M36 10 FLZNL NC 1000H</t>
  </si>
  <si>
    <t>GP095929</t>
  </si>
  <si>
    <t>WAS HARD THICK 30 300HV FLZNL NC 1000H</t>
  </si>
  <si>
    <t>GP095935</t>
  </si>
  <si>
    <t>WAS HARD THICK M52 300HV FLZNL NC 1000H</t>
  </si>
  <si>
    <t>GP235433</t>
  </si>
  <si>
    <t>GP238777</t>
  </si>
  <si>
    <t>BLADE SEALANT G114</t>
  </si>
  <si>
    <t>GP269293</t>
  </si>
  <si>
    <t>GP271466</t>
  </si>
  <si>
    <t>AUX DISTANCE SLEEVE HSS-GG GBOX2.5</t>
  </si>
  <si>
    <t>GP324437</t>
  </si>
  <si>
    <t>STUD M30X635 10.9 FLZNL NC 1000H</t>
  </si>
  <si>
    <t>GP326156</t>
  </si>
  <si>
    <t>GP328002</t>
  </si>
  <si>
    <t>GUIDE PIN FOR TORQUE ARM ELASTOMER 3.3MW</t>
  </si>
  <si>
    <t>GP328003</t>
  </si>
  <si>
    <t>ELASTOMER FOR TORQUE ARM G132 3.3MW</t>
  </si>
  <si>
    <t>GP421155</t>
  </si>
  <si>
    <t>STUD M52X400 10.9 FLZNL NC 1000H</t>
  </si>
  <si>
    <t>GP432947</t>
  </si>
  <si>
    <t>BOLT ISO4014 M42X250 10.9 FLZNL NC 1000H</t>
  </si>
  <si>
    <t>GP445850</t>
  </si>
  <si>
    <t>NECKED-DOWN STUD BOLT M36X690 10.9</t>
  </si>
  <si>
    <t>GP462176</t>
  </si>
  <si>
    <t>GP571539</t>
  </si>
  <si>
    <t>GENERIC BEARING 30238 32238 ALL BO</t>
  </si>
  <si>
    <t>GP613233</t>
  </si>
  <si>
    <t>SAFETY RELAY 24VDC 86022899</t>
  </si>
  <si>
    <t>GP613234</t>
  </si>
  <si>
    <t>PHASE AND NEUTRAL CONTROL RELAY 86023829</t>
  </si>
  <si>
    <t>GP615120</t>
  </si>
  <si>
    <t>SWITCH WITH SPRING STICK 1125839</t>
  </si>
  <si>
    <t>GP660565</t>
  </si>
  <si>
    <t>SUPPORT INSULATOR M12 7.5KV 95+-0.5MM</t>
  </si>
  <si>
    <t>conc</t>
  </si>
  <si>
    <t xml:space="preserve">Quant. PO </t>
  </si>
  <si>
    <t xml:space="preserve">conc </t>
  </si>
  <si>
    <t>ReqC</t>
  </si>
  <si>
    <t>Item</t>
  </si>
  <si>
    <t>Sua ref.</t>
  </si>
  <si>
    <t>Requisitante</t>
  </si>
  <si>
    <t>Criado por</t>
  </si>
  <si>
    <t>Tipo</t>
  </si>
  <si>
    <t>Dt.criação</t>
  </si>
  <si>
    <t>Doc.compra</t>
  </si>
  <si>
    <t>Fornecedor</t>
  </si>
  <si>
    <t>OrgC</t>
  </si>
  <si>
    <t>CFor</t>
  </si>
  <si>
    <t>DepSaí</t>
  </si>
  <si>
    <t>Data mod.</t>
  </si>
  <si>
    <t>E</t>
  </si>
  <si>
    <t>Cen.</t>
  </si>
  <si>
    <t>Dep.</t>
  </si>
  <si>
    <t>TxtBreve</t>
  </si>
  <si>
    <t>Qtd.pedido</t>
  </si>
  <si>
    <t>UMP</t>
  </si>
  <si>
    <t>Preço líq.</t>
  </si>
  <si>
    <t>Moeda</t>
  </si>
  <si>
    <t>CI</t>
  </si>
  <si>
    <t>Tp.aval.</t>
  </si>
  <si>
    <t>CtgAvl</t>
  </si>
  <si>
    <t>Nº acomp.</t>
  </si>
  <si>
    <t>Cód.NCM</t>
  </si>
  <si>
    <t>U</t>
  </si>
  <si>
    <t>O</t>
  </si>
  <si>
    <t>PriorNeces.</t>
  </si>
  <si>
    <t>PlnIt</t>
  </si>
  <si>
    <t>Div.</t>
  </si>
  <si>
    <t>Qtd.confir.</t>
  </si>
  <si>
    <t>Dt.remessa</t>
  </si>
  <si>
    <t>DataConf.</t>
  </si>
  <si>
    <t>Data prep.</t>
  </si>
  <si>
    <t>Dt.carreg.</t>
  </si>
  <si>
    <t>OrgTransp.</t>
  </si>
  <si>
    <t>SaídaMerc</t>
  </si>
  <si>
    <t>Data fim da EM</t>
  </si>
  <si>
    <t>Esq.</t>
  </si>
  <si>
    <t>Perfil</t>
  </si>
  <si>
    <t>C</t>
  </si>
  <si>
    <t>CRC</t>
  </si>
  <si>
    <t>PEP</t>
  </si>
  <si>
    <t>TEM</t>
  </si>
  <si>
    <t>Qtd.saída</t>
  </si>
  <si>
    <t>Fornecimento</t>
  </si>
  <si>
    <t>Qtd.remessa</t>
  </si>
  <si>
    <t>Data prep.material</t>
  </si>
  <si>
    <t>Confirmação picking</t>
  </si>
  <si>
    <t>Sugestão BR1</t>
  </si>
  <si>
    <t>Criado por GEP</t>
  </si>
  <si>
    <t>Header GEP</t>
  </si>
  <si>
    <t/>
  </si>
  <si>
    <t>0</t>
  </si>
  <si>
    <t>Planf. compr</t>
  </si>
  <si>
    <t>DMC_Z004C56J</t>
  </si>
  <si>
    <t>NB</t>
  </si>
  <si>
    <t>10</t>
  </si>
  <si>
    <t>X002178424</t>
  </si>
  <si>
    <t>749A</t>
  </si>
  <si>
    <t>L</t>
  </si>
  <si>
    <t>ZBR</t>
  </si>
  <si>
    <t>TD</t>
  </si>
  <si>
    <t>27101932</t>
  </si>
  <si>
    <t>2</t>
  </si>
  <si>
    <t>1</t>
  </si>
  <si>
    <t>ZR0000</t>
  </si>
  <si>
    <t>R</t>
  </si>
  <si>
    <t>X</t>
  </si>
  <si>
    <t>EOLIVEIRA</t>
  </si>
  <si>
    <t>42489930</t>
  </si>
  <si>
    <t>SPOTPrev</t>
  </si>
  <si>
    <t>4501742979</t>
  </si>
  <si>
    <t>30</t>
  </si>
  <si>
    <t>20</t>
  </si>
  <si>
    <t>42456224</t>
  </si>
  <si>
    <t>4501750844</t>
  </si>
  <si>
    <t>KG</t>
  </si>
  <si>
    <t>DP</t>
  </si>
  <si>
    <t>CONSUM</t>
  </si>
  <si>
    <t>34031900</t>
  </si>
  <si>
    <t>1069141</t>
  </si>
  <si>
    <t>42470255</t>
  </si>
  <si>
    <t>corretiva</t>
  </si>
  <si>
    <t>4501750922</t>
  </si>
  <si>
    <t>GP485052-003</t>
  </si>
  <si>
    <t>SHELL OMALA S3 WIND MINERAL  20L (UMB L)</t>
  </si>
  <si>
    <t>CORRETIVA</t>
  </si>
  <si>
    <t>SPOT</t>
  </si>
  <si>
    <t>42483197</t>
  </si>
  <si>
    <t>4501751037</t>
  </si>
  <si>
    <t>M4</t>
  </si>
  <si>
    <t>42486040</t>
  </si>
  <si>
    <t>4501751067</t>
  </si>
  <si>
    <t>DS</t>
  </si>
  <si>
    <t>42486051</t>
  </si>
  <si>
    <t>4501751068</t>
  </si>
  <si>
    <t>42489911</t>
  </si>
  <si>
    <t>SPOTCor</t>
  </si>
  <si>
    <t>4501751131</t>
  </si>
  <si>
    <t>corretivo e tratativas de ats.</t>
  </si>
  <si>
    <t>5</t>
  </si>
  <si>
    <t>SUPRIR NECESSIDADE DO TELLUS FINE</t>
  </si>
  <si>
    <t>42493509</t>
  </si>
  <si>
    <t>4501751220</t>
  </si>
  <si>
    <t>REC</t>
  </si>
  <si>
    <t>1079449016</t>
  </si>
  <si>
    <t>Z005396H</t>
  </si>
  <si>
    <t>Z0047JVE</t>
  </si>
  <si>
    <t>4501752680</t>
  </si>
  <si>
    <t>TAM</t>
  </si>
  <si>
    <t>Z005AMNR</t>
  </si>
  <si>
    <t>Z00416BT</t>
  </si>
  <si>
    <t>1079768759</t>
  </si>
  <si>
    <t>4501758104</t>
  </si>
  <si>
    <t>Z0047AAZ</t>
  </si>
  <si>
    <t>1080077829</t>
  </si>
  <si>
    <t>4501758114</t>
  </si>
  <si>
    <t>DQ</t>
  </si>
  <si>
    <t>1079768760</t>
  </si>
  <si>
    <t>Z00488YE</t>
  </si>
  <si>
    <t>4501760680</t>
  </si>
  <si>
    <t>1080420691</t>
  </si>
  <si>
    <t>Z00414MR</t>
  </si>
  <si>
    <t>4501761685</t>
  </si>
  <si>
    <t>1079768788</t>
  </si>
  <si>
    <t>Z004M21N</t>
  </si>
  <si>
    <t>4501762617</t>
  </si>
  <si>
    <t>90</t>
  </si>
  <si>
    <t>1080497383</t>
  </si>
  <si>
    <t>Z0055PSX</t>
  </si>
  <si>
    <t>Z0056RTP</t>
  </si>
  <si>
    <t>4501762741</t>
  </si>
  <si>
    <t>50091142</t>
  </si>
  <si>
    <t>BRC9</t>
  </si>
  <si>
    <t>A7B95001359966</t>
  </si>
  <si>
    <t>PAS DE CHOQUE ADULTO OBS 303A CMOS</t>
  </si>
  <si>
    <t>PC</t>
  </si>
  <si>
    <t>C0</t>
  </si>
  <si>
    <t>90189096</t>
  </si>
  <si>
    <t>1080497132</t>
  </si>
  <si>
    <t>4501762743</t>
  </si>
  <si>
    <t>1080497131</t>
  </si>
  <si>
    <t>4501763067</t>
  </si>
  <si>
    <t>1080594830</t>
  </si>
  <si>
    <t>Z004B5DX</t>
  </si>
  <si>
    <t>UB</t>
  </si>
  <si>
    <t>4300012000</t>
  </si>
  <si>
    <t>60</t>
  </si>
  <si>
    <t>7499</t>
  </si>
  <si>
    <t>2N01</t>
  </si>
  <si>
    <t>N_IMP</t>
  </si>
  <si>
    <t>Q</t>
  </si>
  <si>
    <t>PARTPEC</t>
  </si>
  <si>
    <t>84812090</t>
  </si>
  <si>
    <t>ZBRW06_QUA</t>
  </si>
  <si>
    <t>RM2000</t>
  </si>
  <si>
    <t>70</t>
  </si>
  <si>
    <t>50</t>
  </si>
  <si>
    <t>40169300</t>
  </si>
  <si>
    <t>40</t>
  </si>
  <si>
    <t>N_NAC</t>
  </si>
  <si>
    <t>1080594829</t>
  </si>
  <si>
    <t>80</t>
  </si>
  <si>
    <t>4300012001</t>
  </si>
  <si>
    <t>GP468401</t>
  </si>
  <si>
    <t>PISTON GUIDE RING 160/2.5X25 C380</t>
  </si>
  <si>
    <t>39269090</t>
  </si>
  <si>
    <t>1080594715</t>
  </si>
  <si>
    <t>4300012002</t>
  </si>
  <si>
    <t>100</t>
  </si>
  <si>
    <t>85044050</t>
  </si>
  <si>
    <t>GP525860</t>
  </si>
  <si>
    <t>ROD SEAL 2K 105/120.1X6.3 M12T</t>
  </si>
  <si>
    <t>1080587073</t>
  </si>
  <si>
    <t>Z00418VH</t>
  </si>
  <si>
    <t>4300012003</t>
  </si>
  <si>
    <t>VALVULA PROPORCIONAL 170L/MIN 315BAR 4/3</t>
  </si>
  <si>
    <t>1080586343</t>
  </si>
  <si>
    <t>Z00418BM</t>
  </si>
  <si>
    <t>4300012011</t>
  </si>
  <si>
    <t>GP553917</t>
  </si>
  <si>
    <t>SPD_PHO_TTC-6-2-HC-24DC-UT-I_2908438</t>
  </si>
  <si>
    <t>85363090</t>
  </si>
  <si>
    <t>1080621402</t>
  </si>
  <si>
    <t>4300012012</t>
  </si>
  <si>
    <t>218150</t>
  </si>
  <si>
    <t>LUVAS DE LATEX - CAIXA 100 UDS.</t>
  </si>
  <si>
    <t>USOCONSUM</t>
  </si>
  <si>
    <t>40151900</t>
  </si>
  <si>
    <t>1080187716</t>
  </si>
  <si>
    <t>4501763492</t>
  </si>
  <si>
    <t>1080604255</t>
  </si>
  <si>
    <t>Z004YARF</t>
  </si>
  <si>
    <t>4501763579</t>
  </si>
  <si>
    <t>0003</t>
  </si>
  <si>
    <t>A7B95001359702</t>
  </si>
  <si>
    <t>ESTICADOR PET 13/16/19MM / MOSKA</t>
  </si>
  <si>
    <t>84224090</t>
  </si>
  <si>
    <t>1080604248</t>
  </si>
  <si>
    <t>4501763606</t>
  </si>
  <si>
    <t>X002120844</t>
  </si>
  <si>
    <t>A7B95001359703</t>
  </si>
  <si>
    <t>CORTA TUBO PVC 42MM 3559042000 VONDER</t>
  </si>
  <si>
    <t>C7</t>
  </si>
  <si>
    <t>82034000</t>
  </si>
  <si>
    <t>1080604247</t>
  </si>
  <si>
    <t>4501763612</t>
  </si>
  <si>
    <t>1080662830</t>
  </si>
  <si>
    <t>Z004149W</t>
  </si>
  <si>
    <t>4300012037</t>
  </si>
  <si>
    <t>109537</t>
  </si>
  <si>
    <t>SENSOR PRESSÃO 0-250B DANFOSS V47</t>
  </si>
  <si>
    <t>90262090</t>
  </si>
  <si>
    <t>1080662829</t>
  </si>
  <si>
    <t>4300012038</t>
  </si>
  <si>
    <t>1080640509</t>
  </si>
  <si>
    <t>Z004158A</t>
  </si>
  <si>
    <t>4501763954</t>
  </si>
  <si>
    <t>1080682316</t>
  </si>
  <si>
    <t>4300012043</t>
  </si>
  <si>
    <t>50834</t>
  </si>
  <si>
    <t>VALVULA ANTI-RET. RHZ20SRPEFLEX VO604462</t>
  </si>
  <si>
    <t>84813000</t>
  </si>
  <si>
    <t>ZBRW05_SEX</t>
  </si>
  <si>
    <t>1080682365</t>
  </si>
  <si>
    <t>4300012045</t>
  </si>
  <si>
    <t>GP081087</t>
  </si>
  <si>
    <t>HOIST SUPPORT PIN</t>
  </si>
  <si>
    <t>73269090</t>
  </si>
  <si>
    <t>1080662653</t>
  </si>
  <si>
    <t>4300012048</t>
  </si>
  <si>
    <t>85444200</t>
  </si>
  <si>
    <t>85389090</t>
  </si>
  <si>
    <t>90318099</t>
  </si>
  <si>
    <t>1080662652</t>
  </si>
  <si>
    <t>4300012049</t>
  </si>
  <si>
    <t>42294203</t>
  </si>
  <si>
    <t>DMC_Z00540RF</t>
  </si>
  <si>
    <t>4300008405</t>
  </si>
  <si>
    <t>GP583604</t>
  </si>
  <si>
    <t>BUSHING D23 H40</t>
  </si>
  <si>
    <t>42294278</t>
  </si>
  <si>
    <t>4300008407</t>
  </si>
  <si>
    <t>GP104233</t>
  </si>
  <si>
    <t>FLOOR CLIP WIDE WASHER M8</t>
  </si>
  <si>
    <t>73182200</t>
  </si>
  <si>
    <t>SERVICE BULLETIN</t>
  </si>
  <si>
    <t>1057403</t>
  </si>
  <si>
    <t>42294282</t>
  </si>
  <si>
    <t>4300008408</t>
  </si>
  <si>
    <t>GP062392</t>
  </si>
  <si>
    <t>BOLT ISO4014 M16X90 10.9 FLZNL NC 1000H</t>
  </si>
  <si>
    <t>73181500</t>
  </si>
  <si>
    <t>80022998</t>
  </si>
  <si>
    <t>130</t>
  </si>
  <si>
    <t>42294306</t>
  </si>
  <si>
    <t>4300008410</t>
  </si>
  <si>
    <t>73181600</t>
  </si>
  <si>
    <t>GP005204</t>
  </si>
  <si>
    <t>HEXAGON NUT ISO4032 M6 8 FLZNL NC 1000H</t>
  </si>
  <si>
    <t>42294950</t>
  </si>
  <si>
    <t>4300008411</t>
  </si>
  <si>
    <t>GP569984</t>
  </si>
  <si>
    <t>GRATING OVER STATOR CABLES STR 2-A</t>
  </si>
  <si>
    <t>GBELOTI</t>
  </si>
  <si>
    <t>SB - B33152003 - Generator power cables tray modification - M064</t>
  </si>
  <si>
    <t>POWER CABLES PROFILE L535</t>
  </si>
  <si>
    <t>42295065</t>
  </si>
  <si>
    <t>4300008415</t>
  </si>
  <si>
    <t>42295073</t>
  </si>
  <si>
    <t>4300008416</t>
  </si>
  <si>
    <t>GP605790</t>
  </si>
  <si>
    <t>SAFETY-WALK BAND SIDES 740MM X 152MM</t>
  </si>
  <si>
    <t>39199020</t>
  </si>
  <si>
    <t>80021140</t>
  </si>
  <si>
    <t>120</t>
  </si>
  <si>
    <t>GP048518</t>
  </si>
  <si>
    <t>GALVANIZED STEEL STRAP 17X0.8</t>
  </si>
  <si>
    <t>M</t>
  </si>
  <si>
    <t>80021142</t>
  </si>
  <si>
    <t>140</t>
  </si>
  <si>
    <t>160</t>
  </si>
  <si>
    <t>32141010</t>
  </si>
  <si>
    <t>42295717</t>
  </si>
  <si>
    <t>4300008421</t>
  </si>
  <si>
    <t>GP140289</t>
  </si>
  <si>
    <t>FLOOR CLIP WIDE WASHER M8 AISI 316</t>
  </si>
  <si>
    <t>42307213</t>
  </si>
  <si>
    <t>4300008423</t>
  </si>
  <si>
    <t>GP038397</t>
  </si>
  <si>
    <t>NUT ISO4032 M52 10 FLZNL NC 1000H</t>
  </si>
  <si>
    <t>SERVICE-BULLETIN</t>
  </si>
  <si>
    <t>GP135406</t>
  </si>
  <si>
    <t>SPRING COTTER DIN11024 D4.5</t>
  </si>
  <si>
    <t>73182400</t>
  </si>
  <si>
    <t>42308355</t>
  </si>
  <si>
    <t>4300008424</t>
  </si>
  <si>
    <t>150</t>
  </si>
  <si>
    <t>42348778</t>
  </si>
  <si>
    <t>4300008435</t>
  </si>
  <si>
    <t>110</t>
  </si>
  <si>
    <t>42348792</t>
  </si>
  <si>
    <t>4300008436</t>
  </si>
  <si>
    <t>180</t>
  </si>
  <si>
    <t>80021143</t>
  </si>
  <si>
    <t>170</t>
  </si>
  <si>
    <t>42354454</t>
  </si>
  <si>
    <t>4300008442</t>
  </si>
  <si>
    <t>GP467112</t>
  </si>
  <si>
    <t>HELICOIL M20X40 A4</t>
  </si>
  <si>
    <t>230</t>
  </si>
  <si>
    <t>VARNISH GQ-386 RAL7046_</t>
  </si>
  <si>
    <t>32089029</t>
  </si>
  <si>
    <t>42391350</t>
  </si>
  <si>
    <t>4300008460</t>
  </si>
  <si>
    <t>153282</t>
  </si>
  <si>
    <t>ROSCA ISO 4017 M8X35 A4-70</t>
  </si>
  <si>
    <t>GP307736</t>
  </si>
  <si>
    <t>H-1SC-16-TLML9028-TLML28-C3-685</t>
  </si>
  <si>
    <t>40092210</t>
  </si>
  <si>
    <t>FMORALES</t>
  </si>
  <si>
    <t>Corretiva</t>
  </si>
  <si>
    <t>42396365</t>
  </si>
  <si>
    <t>4300008468</t>
  </si>
  <si>
    <t>42400379</t>
  </si>
  <si>
    <t>4300008472</t>
  </si>
  <si>
    <t>LUBRIFICADOR</t>
  </si>
  <si>
    <t>80022893</t>
  </si>
  <si>
    <t>1051411</t>
  </si>
  <si>
    <t>GRANDE CORRETIVA</t>
  </si>
  <si>
    <t>42403728</t>
  </si>
  <si>
    <t>4300008476</t>
  </si>
  <si>
    <t>GGCC</t>
  </si>
  <si>
    <t>42403821</t>
  </si>
  <si>
    <t>4300008477</t>
  </si>
  <si>
    <t>GP015432</t>
  </si>
  <si>
    <t>LE TAPE SEALANT</t>
  </si>
  <si>
    <t>35061090</t>
  </si>
  <si>
    <t>REPARO UPTOWER</t>
  </si>
  <si>
    <t>1051546</t>
  </si>
  <si>
    <t>Reparo UpTower</t>
  </si>
  <si>
    <t>38249941</t>
  </si>
  <si>
    <t>42417896</t>
  </si>
  <si>
    <t>4300008508</t>
  </si>
  <si>
    <t>GP557217</t>
  </si>
  <si>
    <t>WAS DIN7349 M20 HV300 FLZNL NC 1440H</t>
  </si>
  <si>
    <t>39269010</t>
  </si>
  <si>
    <t>80022501</t>
  </si>
  <si>
    <t>42419626</t>
  </si>
  <si>
    <t>4300008511</t>
  </si>
  <si>
    <t>6</t>
  </si>
  <si>
    <t>40093290</t>
  </si>
  <si>
    <t>84145990</t>
  </si>
  <si>
    <t>80023157</t>
  </si>
  <si>
    <t>42422687</t>
  </si>
  <si>
    <t>4300008522</t>
  </si>
  <si>
    <t>SB NOSE CONE UNION REPAIR</t>
  </si>
  <si>
    <t>42422903</t>
  </si>
  <si>
    <t>4300008524</t>
  </si>
  <si>
    <t>SB B33062000</t>
  </si>
  <si>
    <t>42422905</t>
  </si>
  <si>
    <t>4300008525</t>
  </si>
  <si>
    <t>200</t>
  </si>
  <si>
    <t>GP589016</t>
  </si>
  <si>
    <t>BUSHING ED30 ID13 H20 VHC</t>
  </si>
  <si>
    <t>73182900</t>
  </si>
  <si>
    <t>SB B33132102</t>
  </si>
  <si>
    <t>42422911</t>
  </si>
  <si>
    <t>4300008526</t>
  </si>
  <si>
    <t>ARRUELA VEDADA SEG.M8 PARA PORCA HEX.</t>
  </si>
  <si>
    <t>73182100</t>
  </si>
  <si>
    <t>SB B25132104</t>
  </si>
  <si>
    <t>42423562</t>
  </si>
  <si>
    <t>4300008528</t>
  </si>
  <si>
    <t>PINTURA AMARELA FIXIOLID</t>
  </si>
  <si>
    <t>96082000</t>
  </si>
  <si>
    <t>73089090</t>
  </si>
  <si>
    <t>42424488</t>
  </si>
  <si>
    <t>4300008533</t>
  </si>
  <si>
    <t>42424489</t>
  </si>
  <si>
    <t>4300008534</t>
  </si>
  <si>
    <t>SB NOSE CONE</t>
  </si>
  <si>
    <t>42424824</t>
  </si>
  <si>
    <t>4300008535</t>
  </si>
  <si>
    <t>GP473182</t>
  </si>
  <si>
    <t>NUT ISO4032 M12 10 FLZNL NC 1440H</t>
  </si>
  <si>
    <t>GP473204</t>
  </si>
  <si>
    <t>BUSHING ED30 ID13 H30 VHC</t>
  </si>
  <si>
    <t>42425252</t>
  </si>
  <si>
    <t>4300008537</t>
  </si>
  <si>
    <t>42425253</t>
  </si>
  <si>
    <t>4300008538</t>
  </si>
  <si>
    <t>42425366</t>
  </si>
  <si>
    <t>4300008539</t>
  </si>
  <si>
    <t>80023161</t>
  </si>
  <si>
    <t>GP436885</t>
  </si>
  <si>
    <t>DUALSEAL DUMX 217 Z20</t>
  </si>
  <si>
    <t>80023750</t>
  </si>
  <si>
    <t>42428030</t>
  </si>
  <si>
    <t>4300008559</t>
  </si>
  <si>
    <t>84822090</t>
  </si>
  <si>
    <t>42429798</t>
  </si>
  <si>
    <t>4300008569</t>
  </si>
  <si>
    <t>42429817</t>
  </si>
  <si>
    <t>4300008570</t>
  </si>
  <si>
    <t>GP479700</t>
  </si>
  <si>
    <t>TEMPERATURE SENSOR PT100 WY00_6501 R6</t>
  </si>
  <si>
    <t>90251990</t>
  </si>
  <si>
    <t>42429819</t>
  </si>
  <si>
    <t>4300008571</t>
  </si>
  <si>
    <t>42430196</t>
  </si>
  <si>
    <t>4300008572</t>
  </si>
  <si>
    <t>GP525861</t>
  </si>
  <si>
    <t>BACK-UP RING 130.89X140.19X1.52</t>
  </si>
  <si>
    <t>42430200</t>
  </si>
  <si>
    <t>4300008573</t>
  </si>
  <si>
    <t>85016400</t>
  </si>
  <si>
    <t>ZPP2</t>
  </si>
  <si>
    <t>1066595</t>
  </si>
  <si>
    <t>42431502</t>
  </si>
  <si>
    <t>4300008580</t>
  </si>
  <si>
    <t>42431702</t>
  </si>
  <si>
    <t>4300008581</t>
  </si>
  <si>
    <t>FLANGE PARA CABOS 290X4,8MM BLACK</t>
  </si>
  <si>
    <t>80022995</t>
  </si>
  <si>
    <t>SB</t>
  </si>
  <si>
    <t>GP134605</t>
  </si>
  <si>
    <t>RUBBER PROFILE 100X5MM SILICONE VMQ</t>
  </si>
  <si>
    <t>40082900</t>
  </si>
  <si>
    <t>GP555245</t>
  </si>
  <si>
    <t>PLASTIC PLUG DIAM 18MM</t>
  </si>
  <si>
    <t>76161000</t>
  </si>
  <si>
    <t>76169900</t>
  </si>
  <si>
    <t>42431898</t>
  </si>
  <si>
    <t>4300008582</t>
  </si>
  <si>
    <t>SPEC BOLT ISO4014 M52X320 10.9 DAC500B</t>
  </si>
  <si>
    <t>TROCA MAIN SHAFT G132/120/VPBII-03 Vila Paraiba II(Mel I)</t>
  </si>
  <si>
    <t>42432983</t>
  </si>
  <si>
    <t>4300008588</t>
  </si>
  <si>
    <t>90322000</t>
  </si>
  <si>
    <t>84836090</t>
  </si>
  <si>
    <t>MRAMOS</t>
  </si>
  <si>
    <t>42433186</t>
  </si>
  <si>
    <t>4300008591</t>
  </si>
  <si>
    <t>GP396897</t>
  </si>
  <si>
    <t>TORQUE ARM BLOCK 1 MACHINED</t>
  </si>
  <si>
    <t>42433190</t>
  </si>
  <si>
    <t>4300008592</t>
  </si>
  <si>
    <t>BOLT ISO4014 M30X120 12.9 DACROMET</t>
  </si>
  <si>
    <t>Troca Main shaft G132 -  TRS01-17 Terra Santa I</t>
  </si>
  <si>
    <t>290</t>
  </si>
  <si>
    <t>42433256</t>
  </si>
  <si>
    <t>4300008595</t>
  </si>
  <si>
    <t>84219999</t>
  </si>
  <si>
    <t>80021810</t>
  </si>
  <si>
    <t>PREVENTIVA</t>
  </si>
  <si>
    <t>PREVENTIVO</t>
  </si>
  <si>
    <t>42433311</t>
  </si>
  <si>
    <t>4300008596</t>
  </si>
  <si>
    <t>1R4689A9AAC</t>
  </si>
  <si>
    <t>POLYAMIDE CORRUGATED TUBE 6</t>
  </si>
  <si>
    <t>39173100</t>
  </si>
  <si>
    <t>42435953</t>
  </si>
  <si>
    <t>4300008635</t>
  </si>
  <si>
    <t>GP615165</t>
  </si>
  <si>
    <t>CABLE 5X2.5MM2 6078291</t>
  </si>
  <si>
    <t>Corretiva - falha elevador</t>
  </si>
  <si>
    <t>42436076</t>
  </si>
  <si>
    <t>4300008638</t>
  </si>
  <si>
    <t>84213990</t>
  </si>
  <si>
    <t>Preventivo</t>
  </si>
  <si>
    <t>42436096</t>
  </si>
  <si>
    <t>4300008639</t>
  </si>
  <si>
    <t>42436706</t>
  </si>
  <si>
    <t>4300008649</t>
  </si>
  <si>
    <t>GP473176</t>
  </si>
  <si>
    <t>NUT ISO4032 M16 10 FLZNL NC 1440H</t>
  </si>
  <si>
    <t>80022507</t>
  </si>
  <si>
    <t>42437036</t>
  </si>
  <si>
    <t>4300008651</t>
  </si>
  <si>
    <t>85452000</t>
  </si>
  <si>
    <t>42438724</t>
  </si>
  <si>
    <t>4300008665</t>
  </si>
  <si>
    <t>Troca GC - Guerbox G132/120/ VCEII-01 Vila Ceara II (Mel I)</t>
  </si>
  <si>
    <t>GREASE KLUBER KLUBERPLEX BEM 41-141 5KG</t>
  </si>
  <si>
    <t>42444158</t>
  </si>
  <si>
    <t>4300008723</t>
  </si>
  <si>
    <t>MOTOR BMG ECS63G4NIAB2 1380RPM 0.15KW 1.</t>
  </si>
  <si>
    <t>85015110</t>
  </si>
  <si>
    <t>42444165</t>
  </si>
  <si>
    <t>4300008724</t>
  </si>
  <si>
    <t>80021160</t>
  </si>
  <si>
    <t>85389010</t>
  </si>
  <si>
    <t>42445257</t>
  </si>
  <si>
    <t>4300008741</t>
  </si>
  <si>
    <t>80023163</t>
  </si>
  <si>
    <t>GENERICO FILTRO</t>
  </si>
  <si>
    <t>84212990</t>
  </si>
  <si>
    <t>42445260</t>
  </si>
  <si>
    <t>4300008742</t>
  </si>
  <si>
    <t>50973</t>
  </si>
  <si>
    <t>F. ALIMENTAÇÃO QUINT-PS-100-240AC-24DC-1</t>
  </si>
  <si>
    <t>85044090</t>
  </si>
  <si>
    <t>42445274</t>
  </si>
  <si>
    <t>4300008743</t>
  </si>
  <si>
    <t>GP554973</t>
  </si>
  <si>
    <t>INTERCONNECTION MODULE 14VIAS/8CHANNELS</t>
  </si>
  <si>
    <t>85176259</t>
  </si>
  <si>
    <t>42445608</t>
  </si>
  <si>
    <t>4300008745</t>
  </si>
  <si>
    <t>GP642913</t>
  </si>
  <si>
    <t>ROUND SEAL FOR HOSES ENTRY. Ø=120MM</t>
  </si>
  <si>
    <t>CORRETIVO</t>
  </si>
  <si>
    <t>GP398742</t>
  </si>
  <si>
    <t>SQUARE PROFILE SEAL 9.25X1.68X1.68MM</t>
  </si>
  <si>
    <t>80021811</t>
  </si>
  <si>
    <t>42445808</t>
  </si>
  <si>
    <t>4300008748</t>
  </si>
  <si>
    <t>Reparo UpTower OT 405686363 - HSS SAHFT</t>
  </si>
  <si>
    <t>320</t>
  </si>
  <si>
    <t>340</t>
  </si>
  <si>
    <t>410</t>
  </si>
  <si>
    <t>42447393</t>
  </si>
  <si>
    <t>4300008768</t>
  </si>
  <si>
    <t>FAN 355 C5H</t>
  </si>
  <si>
    <t>ELEVADOR/TALHA</t>
  </si>
  <si>
    <t>Preventiva de Talhas</t>
  </si>
  <si>
    <t>42447407</t>
  </si>
  <si>
    <t>4300008771</t>
  </si>
  <si>
    <t>GP632579</t>
  </si>
  <si>
    <t>MOTOR 4P LSES132SM 5.5KW IE3 400/690Y</t>
  </si>
  <si>
    <t>85015210</t>
  </si>
  <si>
    <t>42447422</t>
  </si>
  <si>
    <t>4300008772</t>
  </si>
  <si>
    <t>PERFIL DE PLASTICO 2115-82</t>
  </si>
  <si>
    <t>42447664</t>
  </si>
  <si>
    <t>4300008776</t>
  </si>
  <si>
    <t>CORRETIVA – PLC OBSOLETO</t>
  </si>
  <si>
    <t>80021812</t>
  </si>
  <si>
    <t>42447673</t>
  </si>
  <si>
    <t>4300008779</t>
  </si>
  <si>
    <t>Solicitação de materiais SPOT M056 -&gt; 18/02/2025, 27/02/2025 e</t>
  </si>
  <si>
    <t>42447836</t>
  </si>
  <si>
    <t>4300008781</t>
  </si>
  <si>
    <t>42448108</t>
  </si>
  <si>
    <t>4300008789</t>
  </si>
  <si>
    <t>GARRAA PARA COLETA DE AMOSTRAS DE OLEO</t>
  </si>
  <si>
    <t>42448917</t>
  </si>
  <si>
    <t>4300008800</t>
  </si>
  <si>
    <t>3</t>
  </si>
  <si>
    <t>BOBINA RELE 1 CONTATO COMUTADO</t>
  </si>
  <si>
    <t>85364100</t>
  </si>
  <si>
    <t>42449137</t>
  </si>
  <si>
    <t>4300008804</t>
  </si>
  <si>
    <t>50235</t>
  </si>
  <si>
    <t>ELETROVAL 3-2 FECHAM ESTANQ W1FCA8 24VDC</t>
  </si>
  <si>
    <t>84818092</t>
  </si>
  <si>
    <t>80021518</t>
  </si>
  <si>
    <t>84798999</t>
  </si>
  <si>
    <t>42449140</t>
  </si>
  <si>
    <t>4300008805</t>
  </si>
  <si>
    <t>220</t>
  </si>
  <si>
    <t>42449674</t>
  </si>
  <si>
    <t>4300008809</t>
  </si>
  <si>
    <t>TEXTILE SLING 1TN 1M</t>
  </si>
  <si>
    <t>56075090</t>
  </si>
  <si>
    <t>80022293</t>
  </si>
  <si>
    <t>Manutenção elevadores e polipasto</t>
  </si>
  <si>
    <t>42449767</t>
  </si>
  <si>
    <t>4300008811</t>
  </si>
  <si>
    <t>42449887</t>
  </si>
  <si>
    <t>4300008812</t>
  </si>
  <si>
    <t>GP330271</t>
  </si>
  <si>
    <t>BLANKING PLUG FOR PORTS M20X1.5WITH SEAL</t>
  </si>
  <si>
    <t>73079900</t>
  </si>
  <si>
    <t>42451718</t>
  </si>
  <si>
    <t>4300008839</t>
  </si>
  <si>
    <t>73121090</t>
  </si>
  <si>
    <t>ELEVADOR</t>
  </si>
  <si>
    <t>42451724</t>
  </si>
  <si>
    <t>4300008841</t>
  </si>
  <si>
    <t>SEMIKRON_SKIIP 4+6</t>
  </si>
  <si>
    <t>85044030</t>
  </si>
  <si>
    <t>42451725</t>
  </si>
  <si>
    <t>4300008842</t>
  </si>
  <si>
    <t>42451731</t>
  </si>
  <si>
    <t>4300008845</t>
  </si>
  <si>
    <t>190</t>
  </si>
  <si>
    <t>149191</t>
  </si>
  <si>
    <t>GRAXA KLUBERPLEX BEM 41-132 400GR</t>
  </si>
  <si>
    <t>42451736</t>
  </si>
  <si>
    <t>4300008848</t>
  </si>
  <si>
    <t>80021814</t>
  </si>
  <si>
    <t>80023837</t>
  </si>
  <si>
    <t>42451877</t>
  </si>
  <si>
    <t>4300008852</t>
  </si>
  <si>
    <t>42451917</t>
  </si>
  <si>
    <t>4300008855</t>
  </si>
  <si>
    <t>85371090</t>
  </si>
  <si>
    <t>H-1SC-8-TLML15-TLML9015-NA-NA-C3-2700</t>
  </si>
  <si>
    <t>40092290</t>
  </si>
  <si>
    <t>80023158</t>
  </si>
  <si>
    <t>42451978</t>
  </si>
  <si>
    <t>4300008858</t>
  </si>
  <si>
    <t>34039900</t>
  </si>
  <si>
    <t>42452121</t>
  </si>
  <si>
    <t>4300008865</t>
  </si>
  <si>
    <t>FUSIVEL 690V 125A 80KA FERRAZ C228461A</t>
  </si>
  <si>
    <t>85361000</t>
  </si>
  <si>
    <t>42452122</t>
  </si>
  <si>
    <t>4300008866</t>
  </si>
  <si>
    <t>MODULO AK9762 (IGBT  CARTÃO AK9761)</t>
  </si>
  <si>
    <t>80021511</t>
  </si>
  <si>
    <t>210</t>
  </si>
  <si>
    <t>42453688</t>
  </si>
  <si>
    <t>4300008900</t>
  </si>
  <si>
    <t>85469000</t>
  </si>
  <si>
    <t>74198090</t>
  </si>
  <si>
    <t>42454065</t>
  </si>
  <si>
    <t>4300008914</t>
  </si>
  <si>
    <t>DISJUNTOR 320A 690V 3P 1NA</t>
  </si>
  <si>
    <t>85362000</t>
  </si>
  <si>
    <t>42454404</t>
  </si>
  <si>
    <t>4300008918</t>
  </si>
  <si>
    <t>85369090</t>
  </si>
  <si>
    <t>42454406</t>
  </si>
  <si>
    <t>4300008919</t>
  </si>
  <si>
    <t>85049030</t>
  </si>
  <si>
    <t>42455170</t>
  </si>
  <si>
    <t>4300008927</t>
  </si>
  <si>
    <t>Pedido SPOT</t>
  </si>
  <si>
    <t>42455853</t>
  </si>
  <si>
    <t>4300008932</t>
  </si>
  <si>
    <t>GP270285</t>
  </si>
  <si>
    <t>AMB_EBM_W2E250-HL06-19</t>
  </si>
  <si>
    <t>42456291</t>
  </si>
  <si>
    <t>4300008935</t>
  </si>
  <si>
    <t>1065671</t>
  </si>
  <si>
    <t>Troca VSM1_VCEI-09_Main Bearing</t>
  </si>
  <si>
    <t>149776</t>
  </si>
  <si>
    <t>Preventiva</t>
  </si>
  <si>
    <t>42456709</t>
  </si>
  <si>
    <t>4300008938</t>
  </si>
  <si>
    <t>GP034661</t>
  </si>
  <si>
    <t>LIMIT SWITCH SPRING VICINAY ABK201</t>
  </si>
  <si>
    <t>Certificados de manutenção preventiva</t>
  </si>
  <si>
    <t>42456911</t>
  </si>
  <si>
    <t>4300008941</t>
  </si>
  <si>
    <t>CHAVE PARA CAIXA DE CHAVES TRANSF G8X</t>
  </si>
  <si>
    <t>83017000</t>
  </si>
  <si>
    <t>85444900</t>
  </si>
  <si>
    <t>80023164</t>
  </si>
  <si>
    <t>42457158</t>
  </si>
  <si>
    <t>4300008947</t>
  </si>
  <si>
    <t>42457313</t>
  </si>
  <si>
    <t>4300008949</t>
  </si>
  <si>
    <t>80022667</t>
  </si>
  <si>
    <t>BLIND RIVET DIN 7337-D4.8x10-AL-AL</t>
  </si>
  <si>
    <t>42457470</t>
  </si>
  <si>
    <t>4300008964</t>
  </si>
  <si>
    <t>GC 154943_VGU1-09_VSMIII_Main Bearing</t>
  </si>
  <si>
    <t>85030090</t>
  </si>
  <si>
    <t>42457492</t>
  </si>
  <si>
    <t>4300008966</t>
  </si>
  <si>
    <t>GP349199</t>
  </si>
  <si>
    <t>PTFE THREAD SEAL TAPE 12X0075X12000</t>
  </si>
  <si>
    <t>39191090</t>
  </si>
  <si>
    <t>42457497</t>
  </si>
  <si>
    <t>4300008968</t>
  </si>
  <si>
    <t>80022510</t>
  </si>
  <si>
    <t>42457498</t>
  </si>
  <si>
    <t>4300008969</t>
  </si>
  <si>
    <t>42458040</t>
  </si>
  <si>
    <t>4300008991</t>
  </si>
  <si>
    <t>GP017053</t>
  </si>
  <si>
    <t>GUIDELINE CHAIN CRAIN HOIST ABK201-812U</t>
  </si>
  <si>
    <t>73158200</t>
  </si>
  <si>
    <t>80025091</t>
  </si>
  <si>
    <t>TALHA</t>
  </si>
  <si>
    <t>42458154</t>
  </si>
  <si>
    <t>4300008992</t>
  </si>
  <si>
    <t>Troca VSM2_VMAII-03_Main Bearing</t>
  </si>
  <si>
    <t>240</t>
  </si>
  <si>
    <t>250</t>
  </si>
  <si>
    <t>380</t>
  </si>
  <si>
    <t>SEALING TAPE 16,4M_</t>
  </si>
  <si>
    <t>80022669</t>
  </si>
  <si>
    <t>42458922</t>
  </si>
  <si>
    <t>4300009027</t>
  </si>
  <si>
    <t>85480090</t>
  </si>
  <si>
    <t>80021552</t>
  </si>
  <si>
    <t>42459104</t>
  </si>
  <si>
    <t>4300009028</t>
  </si>
  <si>
    <t>42459105</t>
  </si>
  <si>
    <t>4300009029</t>
  </si>
  <si>
    <t>80023009</t>
  </si>
  <si>
    <t>1053161</t>
  </si>
  <si>
    <t>DESENGRAS ECO 20 DEGREASER</t>
  </si>
  <si>
    <t>34029090</t>
  </si>
  <si>
    <t>42459266</t>
  </si>
  <si>
    <t>4300009037</t>
  </si>
  <si>
    <t>GP000467</t>
  </si>
  <si>
    <t>3x0.34mm2+S</t>
  </si>
  <si>
    <t>80021554</t>
  </si>
  <si>
    <t>42459267</t>
  </si>
  <si>
    <t>42460687</t>
  </si>
  <si>
    <t>4300009075</t>
  </si>
  <si>
    <t>80023008</t>
  </si>
  <si>
    <t>310</t>
  </si>
  <si>
    <t>GP639358</t>
  </si>
  <si>
    <t>WN212 CABLE GEN V2.D-STATOR MOD. L3.2.D</t>
  </si>
  <si>
    <t>300</t>
  </si>
  <si>
    <t>GP639357</t>
  </si>
  <si>
    <t>WN211 CABLE GEN V2.C-STATOR MOD. L3.2.C</t>
  </si>
  <si>
    <t>280</t>
  </si>
  <si>
    <t>260</t>
  </si>
  <si>
    <t>GP639353</t>
  </si>
  <si>
    <t>WN205 CABLE GEN U2.A-STATOR MOD. L2.2.A</t>
  </si>
  <si>
    <t>42460690</t>
  </si>
  <si>
    <t>4300009076</t>
  </si>
  <si>
    <t>80023006</t>
  </si>
  <si>
    <t>42460691</t>
  </si>
  <si>
    <t>4300009077</t>
  </si>
  <si>
    <t>80023007</t>
  </si>
  <si>
    <t>29051220</t>
  </si>
  <si>
    <t>42461756</t>
  </si>
  <si>
    <t>4300009104</t>
  </si>
  <si>
    <t>42462588</t>
  </si>
  <si>
    <t>4300009114</t>
  </si>
  <si>
    <t>430</t>
  </si>
  <si>
    <t>42462683</t>
  </si>
  <si>
    <t>4300009116</t>
  </si>
  <si>
    <t>42463317</t>
  </si>
  <si>
    <t>4300009152</t>
  </si>
  <si>
    <t>42463655</t>
  </si>
  <si>
    <t>4300009168</t>
  </si>
  <si>
    <t>GP339324</t>
  </si>
  <si>
    <t>CONVERT. COOLER G114 2.1 MW 60HZ 400V HI</t>
  </si>
  <si>
    <t>80023165</t>
  </si>
  <si>
    <t>42464211</t>
  </si>
  <si>
    <t>4300009186</t>
  </si>
  <si>
    <t>Preventivo 502684396</t>
  </si>
  <si>
    <t>42464212</t>
  </si>
  <si>
    <t>4300009187</t>
  </si>
  <si>
    <t>42464215</t>
  </si>
  <si>
    <t>4300009188</t>
  </si>
  <si>
    <t>Preventivo 502713770</t>
  </si>
  <si>
    <t>1074116</t>
  </si>
  <si>
    <t>42464729</t>
  </si>
  <si>
    <t>4300009215</t>
  </si>
  <si>
    <t>84818099</t>
  </si>
  <si>
    <t>42465672</t>
  </si>
  <si>
    <t>4300009226</t>
  </si>
  <si>
    <t>PEDIDO PARA ATENDIMENTO A ATIVIDADE DE G132/120/VPBIV-03 Vila ParaibaIV</t>
  </si>
  <si>
    <t>42466569</t>
  </si>
  <si>
    <t>4300009246</t>
  </si>
  <si>
    <t>CONTATOR 690V 260A 220V 3P 1NA+1NC</t>
  </si>
  <si>
    <t>85364900</t>
  </si>
  <si>
    <t>42466572</t>
  </si>
  <si>
    <t>4300009247</t>
  </si>
  <si>
    <t>BASE RELE 1 CONTATO COMUTADO</t>
  </si>
  <si>
    <t>85366990</t>
  </si>
  <si>
    <t>42466586</t>
  </si>
  <si>
    <t>4300009250</t>
  </si>
  <si>
    <t>42466711</t>
  </si>
  <si>
    <t>4300009252</t>
  </si>
  <si>
    <t>GC VSMIII_VGU2-08_Main Bearing</t>
  </si>
  <si>
    <t>390</t>
  </si>
  <si>
    <t>42466754</t>
  </si>
  <si>
    <t>4300009254</t>
  </si>
  <si>
    <t>SPOT Selo mecânico hub-G114</t>
  </si>
  <si>
    <t>42467077</t>
  </si>
  <si>
    <t>4300009261</t>
  </si>
  <si>
    <t>80023703</t>
  </si>
  <si>
    <t>SPOT - Troca de guarda pós-UDV</t>
  </si>
  <si>
    <t>42467169</t>
  </si>
  <si>
    <t>4300009266</t>
  </si>
  <si>
    <t>MMIRANDA01</t>
  </si>
  <si>
    <t>SB-B33132000</t>
  </si>
  <si>
    <t>42467170</t>
  </si>
  <si>
    <t>4300009267</t>
  </si>
  <si>
    <t>42467519</t>
  </si>
  <si>
    <t>4300009274</t>
  </si>
  <si>
    <t>SPOT - Preparação para períodos de alto vento</t>
  </si>
  <si>
    <t>84834010</t>
  </si>
  <si>
    <t>42467563</t>
  </si>
  <si>
    <t>4300009280</t>
  </si>
  <si>
    <t>80023017</t>
  </si>
  <si>
    <t>SERVICE BULLETIN-B33152300</t>
  </si>
  <si>
    <t>42467571</t>
  </si>
  <si>
    <t>4300009284</t>
  </si>
  <si>
    <t>GP639436</t>
  </si>
  <si>
    <t>SB-B33152003</t>
  </si>
  <si>
    <t>42467572</t>
  </si>
  <si>
    <t>4300009285</t>
  </si>
  <si>
    <t>42467573</t>
  </si>
  <si>
    <t>4300009286</t>
  </si>
  <si>
    <t>42467738</t>
  </si>
  <si>
    <t>4300009294</t>
  </si>
  <si>
    <t>42467739</t>
  </si>
  <si>
    <t>4300009295</t>
  </si>
  <si>
    <t>42468316</t>
  </si>
  <si>
    <t>4300009318</t>
  </si>
  <si>
    <t>42469150</t>
  </si>
  <si>
    <t>4300009333</t>
  </si>
  <si>
    <t>42469203</t>
  </si>
  <si>
    <t>4300009348</t>
  </si>
  <si>
    <t>GC Terra Santa_TRS01-08_Main Bearing</t>
  </si>
  <si>
    <t>42469206</t>
  </si>
  <si>
    <t>4300009349</t>
  </si>
  <si>
    <t>GC FILI-07</t>
  </si>
  <si>
    <t>42469698</t>
  </si>
  <si>
    <t>4300009356</t>
  </si>
  <si>
    <t>SILICONE DOW CORNING 7093 BRANCO</t>
  </si>
  <si>
    <t>PERIFÉRICOS VGU3 04</t>
  </si>
  <si>
    <t>42469707</t>
  </si>
  <si>
    <t>4300009357</t>
  </si>
  <si>
    <t>PERIFERICOS VPBII-03</t>
  </si>
  <si>
    <t>42470256</t>
  </si>
  <si>
    <t>GP440909</t>
  </si>
  <si>
    <t>GENERIC OFF-LINE FILTER 50HZ 400V</t>
  </si>
  <si>
    <t>42470257</t>
  </si>
  <si>
    <t>4300009378</t>
  </si>
  <si>
    <t>42472271</t>
  </si>
  <si>
    <t>4300009414</t>
  </si>
  <si>
    <t>42472295</t>
  </si>
  <si>
    <t>4300009419</t>
  </si>
  <si>
    <t>42472298</t>
  </si>
  <si>
    <t>4300009420</t>
  </si>
  <si>
    <t>TRANSFORMER FILTER 3.3 HD</t>
  </si>
  <si>
    <t>42472319</t>
  </si>
  <si>
    <t>4300009422</t>
  </si>
  <si>
    <t>GP593215</t>
  </si>
  <si>
    <t>RIGHT CONNECTION PLATE BB224 HC</t>
  </si>
  <si>
    <t>72071900</t>
  </si>
  <si>
    <t>SB-B33132102</t>
  </si>
  <si>
    <t>42473195</t>
  </si>
  <si>
    <t>4300009442</t>
  </si>
  <si>
    <t>GP003399</t>
  </si>
  <si>
    <t>PREV. TORQUE HEX. NUT ISO 10511-M12-04-D</t>
  </si>
  <si>
    <t>SPOT referente a quebra do pitch ( medidas de contenção)</t>
  </si>
  <si>
    <t>42473198</t>
  </si>
  <si>
    <t>4300009444</t>
  </si>
  <si>
    <t>GP001488</t>
  </si>
  <si>
    <t>SCR ISO4762 M12X30 8.8 FLZNL NC 1000H</t>
  </si>
  <si>
    <t>42473219</t>
  </si>
  <si>
    <t>4300009446</t>
  </si>
  <si>
    <t>GP644406</t>
  </si>
  <si>
    <t>DELL 1.2TB 10K RPM SAS 12GBPS 512N 2.5HD</t>
  </si>
  <si>
    <t>84717010</t>
  </si>
  <si>
    <t>SPOT UPS e sobressalentes-Revisad</t>
  </si>
  <si>
    <t>80025176</t>
  </si>
  <si>
    <t>42473280</t>
  </si>
  <si>
    <t>4300009451</t>
  </si>
  <si>
    <t>42473290</t>
  </si>
  <si>
    <t>4300009456</t>
  </si>
  <si>
    <t>42473293</t>
  </si>
  <si>
    <t>4300009458</t>
  </si>
  <si>
    <t>42474068</t>
  </si>
  <si>
    <t>4300009471</t>
  </si>
  <si>
    <t>42474106</t>
  </si>
  <si>
    <t>4300009482</t>
  </si>
  <si>
    <t>42474312</t>
  </si>
  <si>
    <t>4300009488</t>
  </si>
  <si>
    <t>42474406</t>
  </si>
  <si>
    <t>4300009493</t>
  </si>
  <si>
    <t>80023843</t>
  </si>
  <si>
    <t>42474655</t>
  </si>
  <si>
    <t>4300009498</t>
  </si>
  <si>
    <t>1U5228AF1AB</t>
  </si>
  <si>
    <t>CABLE GLAND PG11 "LOW TEMP"</t>
  </si>
  <si>
    <t>85365090</t>
  </si>
  <si>
    <t>85015290</t>
  </si>
  <si>
    <t>80021853</t>
  </si>
  <si>
    <t>84821010</t>
  </si>
  <si>
    <t>42475280</t>
  </si>
  <si>
    <t>4300009515</t>
  </si>
  <si>
    <t>42475290</t>
  </si>
  <si>
    <t>4300009516</t>
  </si>
  <si>
    <t>96589</t>
  </si>
  <si>
    <t>PINTURA, ALKYD. 0,5L RAL5003</t>
  </si>
  <si>
    <t>32089010</t>
  </si>
  <si>
    <t>42475461</t>
  </si>
  <si>
    <t>4300009517</t>
  </si>
  <si>
    <t>73181900</t>
  </si>
  <si>
    <t>42475891</t>
  </si>
  <si>
    <t>4300009523</t>
  </si>
  <si>
    <t>GP295540</t>
  </si>
  <si>
    <t>H-1SC-8-TLML15-TLML9015-NA-NA-C3-2240</t>
  </si>
  <si>
    <t>CORRETIVA MANGUEIRAS DO GH</t>
  </si>
  <si>
    <t>GP295539</t>
  </si>
  <si>
    <t>H-R12-16-TLMS30-TLMS9030-NA-TC-C3-2220</t>
  </si>
  <si>
    <t>42475893</t>
  </si>
  <si>
    <t>4300009524</t>
  </si>
  <si>
    <t>42476149</t>
  </si>
  <si>
    <t>4300009531</t>
  </si>
  <si>
    <t>GP242942</t>
  </si>
  <si>
    <t>WEAR RING GR6900900-C380 90/2.5X9.7</t>
  </si>
  <si>
    <t>CORRETIVA  Vedação Cilindro</t>
  </si>
  <si>
    <t>WIPER RING WEYE190999-M12T 90/98.8X6</t>
  </si>
  <si>
    <t>42476707</t>
  </si>
  <si>
    <t>4300009554</t>
  </si>
  <si>
    <t>42477139</t>
  </si>
  <si>
    <t>4300009569</t>
  </si>
  <si>
    <t>CABO WA79 G8X DTC</t>
  </si>
  <si>
    <t>42477152</t>
  </si>
  <si>
    <t>4300009574</t>
  </si>
  <si>
    <t>42477618</t>
  </si>
  <si>
    <t>4300009578</t>
  </si>
  <si>
    <t>SPOT CORRETIVA</t>
  </si>
  <si>
    <t>42477619</t>
  </si>
  <si>
    <t>4300009579</t>
  </si>
  <si>
    <t>42477851</t>
  </si>
  <si>
    <t>4300009590</t>
  </si>
  <si>
    <t>GP672890</t>
  </si>
  <si>
    <t>TEFLON™ DISP 30 -1 L BOTTLE WITH APPLIER</t>
  </si>
  <si>
    <t>39046110</t>
  </si>
  <si>
    <t>SB-B33042100</t>
  </si>
  <si>
    <t>42477855</t>
  </si>
  <si>
    <t>4300009591</t>
  </si>
  <si>
    <t>42477857</t>
  </si>
  <si>
    <t>4300009592</t>
  </si>
  <si>
    <t>GP578264</t>
  </si>
  <si>
    <t>STICKER MAXWEIGHT OF 150KG ON GENERATOR</t>
  </si>
  <si>
    <t>80025264</t>
  </si>
  <si>
    <t>42477975</t>
  </si>
  <si>
    <t>4300009602</t>
  </si>
  <si>
    <t>42477982</t>
  </si>
  <si>
    <t>4300009604</t>
  </si>
  <si>
    <t>CORRETIVA mau funcionamento nestes componentes em algumas turbinas do</t>
  </si>
  <si>
    <t>85447010</t>
  </si>
  <si>
    <t>GP269918</t>
  </si>
  <si>
    <t>F.A. RELAY KR330 FINDER TOP_GND</t>
  </si>
  <si>
    <t>42477988</t>
  </si>
  <si>
    <t>4300009605</t>
  </si>
  <si>
    <t>GP457974</t>
  </si>
  <si>
    <t>HINE PITCH CYLINDER 160-105-1175 HC HD</t>
  </si>
  <si>
    <t>84122110</t>
  </si>
  <si>
    <t>42477994</t>
  </si>
  <si>
    <t>4300009607</t>
  </si>
  <si>
    <t>42478051</t>
  </si>
  <si>
    <t>4300009614</t>
  </si>
  <si>
    <t>FAN DIR OF ROT. 1xL 60HZ</t>
  </si>
  <si>
    <t>42478054</t>
  </si>
  <si>
    <t>4300009616</t>
  </si>
  <si>
    <t>G8X CJTO FILTRO OFFLINE MULTI 60HZ</t>
  </si>
  <si>
    <t>42478078</t>
  </si>
  <si>
    <t>4300009623</t>
  </si>
  <si>
    <t>GP634659</t>
  </si>
  <si>
    <t>SEAGATE 300GB 15K RPM SAS 12GBPS 2,5</t>
  </si>
  <si>
    <t>Spot- UPS e sobressalentes</t>
  </si>
  <si>
    <t>42478172</t>
  </si>
  <si>
    <t>4300009624</t>
  </si>
  <si>
    <t>GP353605</t>
  </si>
  <si>
    <t>FA ROTOR COVER-BLADE SEALANT G114</t>
  </si>
  <si>
    <t>80023848</t>
  </si>
  <si>
    <t>42478212</t>
  </si>
  <si>
    <t>4300009625</t>
  </si>
  <si>
    <t>SB-B25132104</t>
  </si>
  <si>
    <t>149301</t>
  </si>
  <si>
    <t>BOCAL GRAXA</t>
  </si>
  <si>
    <t>84879000</t>
  </si>
  <si>
    <t>42478223</t>
  </si>
  <si>
    <t>4300009633</t>
  </si>
  <si>
    <t>42478312</t>
  </si>
  <si>
    <t>4300009649</t>
  </si>
  <si>
    <t>42478315</t>
  </si>
  <si>
    <t>4300009651</t>
  </si>
  <si>
    <t>PREVENTIVA MAIOR - JUN/26</t>
  </si>
  <si>
    <t>181922</t>
  </si>
  <si>
    <t>JUNTA TORICA 171,04 X 3,53</t>
  </si>
  <si>
    <t>42478320</t>
  </si>
  <si>
    <t>4300009655</t>
  </si>
  <si>
    <t>42478422</t>
  </si>
  <si>
    <t>4300009657</t>
  </si>
  <si>
    <t>GP520932</t>
  </si>
  <si>
    <t>SCADA NAS HARD DISK</t>
  </si>
  <si>
    <t>42478867</t>
  </si>
  <si>
    <t>4300009666</t>
  </si>
  <si>
    <t>42478985</t>
  </si>
  <si>
    <t>4300009671</t>
  </si>
  <si>
    <t>80023847</t>
  </si>
  <si>
    <t>42479010</t>
  </si>
  <si>
    <t>4300009677</t>
  </si>
  <si>
    <t>GP484754</t>
  </si>
  <si>
    <t>CABLE WS242A 3.4</t>
  </si>
  <si>
    <t>SPOT MAQUINA PARADA</t>
  </si>
  <si>
    <t>42479015</t>
  </si>
  <si>
    <t>4300009679</t>
  </si>
  <si>
    <t>42479017</t>
  </si>
  <si>
    <t>4300009680</t>
  </si>
  <si>
    <t>42479643</t>
  </si>
  <si>
    <t>4300009689</t>
  </si>
  <si>
    <t>GP589018</t>
  </si>
  <si>
    <t>TRIPOD C-PROFILE SUPPORT VHC</t>
  </si>
  <si>
    <t>80022478</t>
  </si>
  <si>
    <t>42479816</t>
  </si>
  <si>
    <t>4300009693</t>
  </si>
  <si>
    <t>GP531859</t>
  </si>
  <si>
    <t>NOZZLE INOX A2 THREADED M6X8 Ø0.8MM</t>
  </si>
  <si>
    <t>GP003683</t>
  </si>
  <si>
    <t>SCR ISO10642 M8X40 8.8 FLZNL NC 1000H</t>
  </si>
  <si>
    <t>GP041313</t>
  </si>
  <si>
    <t>BOLT ISO4014 M12X120 8.8 FLZNL NC 1000H</t>
  </si>
  <si>
    <t>42479818</t>
  </si>
  <si>
    <t>4300009694</t>
  </si>
  <si>
    <t>42480313</t>
  </si>
  <si>
    <t>4300009715</t>
  </si>
  <si>
    <t>85072090</t>
  </si>
  <si>
    <t>42480367</t>
  </si>
  <si>
    <t>4300009720</t>
  </si>
  <si>
    <t>REL_FIN_830202400000</t>
  </si>
  <si>
    <t>85332900</t>
  </si>
  <si>
    <t>350</t>
  </si>
  <si>
    <t>360</t>
  </si>
  <si>
    <t>460</t>
  </si>
  <si>
    <t>42480559</t>
  </si>
  <si>
    <t>4300009737</t>
  </si>
  <si>
    <t>GP574309</t>
  </si>
  <si>
    <t>INT_ABB_DS201B16A30_2CSR255180R1165</t>
  </si>
  <si>
    <t>80025271</t>
  </si>
  <si>
    <t>GP502897</t>
  </si>
  <si>
    <t>INT_ABB_F202 A-25/0.03_2CSF202101R1250</t>
  </si>
  <si>
    <t>42480560</t>
  </si>
  <si>
    <t>4300009738</t>
  </si>
  <si>
    <t>80025276</t>
  </si>
  <si>
    <t>42480960</t>
  </si>
  <si>
    <t>4300009756</t>
  </si>
  <si>
    <t>80021544</t>
  </si>
  <si>
    <t>PREVENTIVA MAIOR - FEV/2027</t>
  </si>
  <si>
    <t>62101000</t>
  </si>
  <si>
    <t>181921</t>
  </si>
  <si>
    <t>SACO DE LIXO 85X105 (FARDO DE 20 UDS)</t>
  </si>
  <si>
    <t>39232190</t>
  </si>
  <si>
    <t>63109000</t>
  </si>
  <si>
    <t>56031330</t>
  </si>
  <si>
    <t>42481057</t>
  </si>
  <si>
    <t>4300009758</t>
  </si>
  <si>
    <t>42481058</t>
  </si>
  <si>
    <t>4300009759</t>
  </si>
  <si>
    <t>84828000</t>
  </si>
  <si>
    <t>42481357</t>
  </si>
  <si>
    <t>4300009766</t>
  </si>
  <si>
    <t>S1129852</t>
  </si>
  <si>
    <t>Reparo Uptower - Terra Santa M065 - Nível P1-Alto</t>
  </si>
  <si>
    <t>42481532</t>
  </si>
  <si>
    <t>4300009778</t>
  </si>
  <si>
    <t>PREVENTIVO MENOR - MAIO/2026</t>
  </si>
  <si>
    <t>42481619</t>
  </si>
  <si>
    <t>4300009784</t>
  </si>
  <si>
    <t>GP264351</t>
  </si>
  <si>
    <t>O RING 29.82X2.62MM SHORE 90</t>
  </si>
  <si>
    <t>42481727</t>
  </si>
  <si>
    <t>4300009786</t>
  </si>
  <si>
    <t>42481914</t>
  </si>
  <si>
    <t>4300009789</t>
  </si>
  <si>
    <t>42481961</t>
  </si>
  <si>
    <t>4300009792</t>
  </si>
  <si>
    <t>42482021</t>
  </si>
  <si>
    <t>4300009795</t>
  </si>
  <si>
    <t>42482034</t>
  </si>
  <si>
    <t>4300009798</t>
  </si>
  <si>
    <t>42482375</t>
  </si>
  <si>
    <t>4300009806</t>
  </si>
  <si>
    <t>PREVENTIVA MAIOR - OUTUBRO/26</t>
  </si>
  <si>
    <t>38140090</t>
  </si>
  <si>
    <t>42482377</t>
  </si>
  <si>
    <t>4300009807</t>
  </si>
  <si>
    <t>PREVENTIVA MAIOR - DEZEMBRO/26</t>
  </si>
  <si>
    <t>42482378</t>
  </si>
  <si>
    <t>4300009808</t>
  </si>
  <si>
    <t>PREVENTIVA MAIOR - JANEIRO/27</t>
  </si>
  <si>
    <t>42482381</t>
  </si>
  <si>
    <t>4300009810</t>
  </si>
  <si>
    <t>42482385</t>
  </si>
  <si>
    <t>4300009814</t>
  </si>
  <si>
    <t>80025425</t>
  </si>
  <si>
    <t>PREVENTIVA MENOR - OTUBRO/26</t>
  </si>
  <si>
    <t>42482488</t>
  </si>
  <si>
    <t>4300009821</t>
  </si>
  <si>
    <t>42482690</t>
  </si>
  <si>
    <t>4300009827</t>
  </si>
  <si>
    <t>42482692</t>
  </si>
  <si>
    <t>4300009828</t>
  </si>
  <si>
    <t>42482742</t>
  </si>
  <si>
    <t>4300009829</t>
  </si>
  <si>
    <t>80025171</t>
  </si>
  <si>
    <t>80021512</t>
  </si>
  <si>
    <t>42482899</t>
  </si>
  <si>
    <t>4300009836</t>
  </si>
  <si>
    <t>perifericos troca MS VGU3-13</t>
  </si>
  <si>
    <t>42483944</t>
  </si>
  <si>
    <t>4300009868</t>
  </si>
  <si>
    <t>SAIDAS ANALOGICAS</t>
  </si>
  <si>
    <t>42483950</t>
  </si>
  <si>
    <t>4300009870</t>
  </si>
  <si>
    <t>42483951</t>
  </si>
  <si>
    <t>4300009871</t>
  </si>
  <si>
    <t>80022671</t>
  </si>
  <si>
    <t>42484066</t>
  </si>
  <si>
    <t>4300009874</t>
  </si>
  <si>
    <t>BONFIGLIOLI YAW GEARBOX G114 (GJS-400)</t>
  </si>
  <si>
    <t>42485290</t>
  </si>
  <si>
    <t>4300009914</t>
  </si>
  <si>
    <t>42485848</t>
  </si>
  <si>
    <t>4300009925</t>
  </si>
  <si>
    <t>42486734</t>
  </si>
  <si>
    <t>4300009943</t>
  </si>
  <si>
    <t>MANGUEIRA DRIVER-CCU XCB00002 (11,06M)</t>
  </si>
  <si>
    <t>85447090</t>
  </si>
  <si>
    <t>42486748</t>
  </si>
  <si>
    <t>4300009946</t>
  </si>
  <si>
    <t>42487648</t>
  </si>
  <si>
    <t>4300009973</t>
  </si>
  <si>
    <t>42487651</t>
  </si>
  <si>
    <t>4300009974</t>
  </si>
  <si>
    <t>42487658</t>
  </si>
  <si>
    <t>4300009978</t>
  </si>
  <si>
    <t>42487669</t>
  </si>
  <si>
    <t>4300009982</t>
  </si>
  <si>
    <t>38200000</t>
  </si>
  <si>
    <t>42487755</t>
  </si>
  <si>
    <t>4300009990</t>
  </si>
  <si>
    <t>MS13210000</t>
  </si>
  <si>
    <t>MAIN SHAFT 3.X-132 CIIA HC D900 SP</t>
  </si>
  <si>
    <t>GC G132/120/VPBIV-08 Vila ParaibaIV Mel 2</t>
  </si>
  <si>
    <t>42487987</t>
  </si>
  <si>
    <t>4300009995</t>
  </si>
  <si>
    <t>Perifericos G132/120/VPBIV-08 Vila ParaibaIV Mel 2</t>
  </si>
  <si>
    <t>42488201</t>
  </si>
  <si>
    <t>4300010002</t>
  </si>
  <si>
    <t>42488313</t>
  </si>
  <si>
    <t>4300010005</t>
  </si>
  <si>
    <t>PERIFERICOS FILII-02</t>
  </si>
  <si>
    <t>YELLOW PAINT MARKER ZEBRA</t>
  </si>
  <si>
    <t>42488797</t>
  </si>
  <si>
    <t>4300010030</t>
  </si>
  <si>
    <t>FAN DIR OF ROT. 1xR 60HZ</t>
  </si>
  <si>
    <t>42489169</t>
  </si>
  <si>
    <t>4300010037</t>
  </si>
  <si>
    <t>PERIFERICOS FILII-06</t>
  </si>
  <si>
    <t>42489366</t>
  </si>
  <si>
    <t>4300010041</t>
  </si>
  <si>
    <t>85322590</t>
  </si>
  <si>
    <t>42489804</t>
  </si>
  <si>
    <t>4300010051</t>
  </si>
  <si>
    <t>CONJUNTO IGBT + CARTÃO ADAPTADOR</t>
  </si>
  <si>
    <t>42489826</t>
  </si>
  <si>
    <t>4300010063</t>
  </si>
  <si>
    <t>42490318</t>
  </si>
  <si>
    <t>4300010069</t>
  </si>
  <si>
    <t>GP312163</t>
  </si>
  <si>
    <t>BREVINI YAW GEARBOX G114</t>
  </si>
  <si>
    <t>CORRETIVO URS12 e MON11</t>
  </si>
  <si>
    <t>42490462</t>
  </si>
  <si>
    <t>4300010077</t>
  </si>
  <si>
    <t>80021563</t>
  </si>
  <si>
    <t>42490464</t>
  </si>
  <si>
    <t>4300010079</t>
  </si>
  <si>
    <t>80021813</t>
  </si>
  <si>
    <t>42490475</t>
  </si>
  <si>
    <t>4300010086</t>
  </si>
  <si>
    <t>42490519</t>
  </si>
  <si>
    <t>4300010092</t>
  </si>
  <si>
    <t>42490581</t>
  </si>
  <si>
    <t>4300010094</t>
  </si>
  <si>
    <t>Troca G132/120/VPBIV-04 Vila ParaibaIV Mel 2 perifericos</t>
  </si>
  <si>
    <t>42490779</t>
  </si>
  <si>
    <t>4300010103</t>
  </si>
  <si>
    <t>ATUADOR BASE GUIA CORRENTE ABK202</t>
  </si>
  <si>
    <t>80025101</t>
  </si>
  <si>
    <t>Reparo Elevadores</t>
  </si>
  <si>
    <t>42491092</t>
  </si>
  <si>
    <t>4300010109</t>
  </si>
  <si>
    <t>GP118964</t>
  </si>
  <si>
    <t>SIMPLE GREEN ALL-PURPOSE CLEANER</t>
  </si>
  <si>
    <t>34025000</t>
  </si>
  <si>
    <t>42491214</t>
  </si>
  <si>
    <t>4300010110</t>
  </si>
  <si>
    <t>80023747</t>
  </si>
  <si>
    <t>CORRETIVA Tryout Campo dos Ventos RN.</t>
  </si>
  <si>
    <t>42491300</t>
  </si>
  <si>
    <t>4300010116</t>
  </si>
  <si>
    <t>42491988</t>
  </si>
  <si>
    <t>4300010137</t>
  </si>
  <si>
    <t>42492063</t>
  </si>
  <si>
    <t>4300010149</t>
  </si>
  <si>
    <t>90158090</t>
  </si>
  <si>
    <t>lrr</t>
  </si>
  <si>
    <t>42492236</t>
  </si>
  <si>
    <t>4300010163</t>
  </si>
  <si>
    <t>SB - mejoras reemplazo de 42460688</t>
  </si>
  <si>
    <t>GP635645</t>
  </si>
  <si>
    <t>HIGH TEMPERATURE CABLE TIE 390X4.6MM</t>
  </si>
  <si>
    <t>GP389919</t>
  </si>
  <si>
    <t>VAR_PANDUIT_SEPARADOR CABLE__ D-WASP28</t>
  </si>
  <si>
    <t>42492265</t>
  </si>
  <si>
    <t>4300010168</t>
  </si>
  <si>
    <t>SB Mejoras</t>
  </si>
  <si>
    <t>42492491</t>
  </si>
  <si>
    <t>4300010175</t>
  </si>
  <si>
    <t>42492891</t>
  </si>
  <si>
    <t>4300010179</t>
  </si>
  <si>
    <t>MANETE FG002 (ABB 3AFE68324955)</t>
  </si>
  <si>
    <t>84831040</t>
  </si>
  <si>
    <t>42493080</t>
  </si>
  <si>
    <t>4300010193</t>
  </si>
  <si>
    <t>90328990</t>
  </si>
  <si>
    <t>42493311</t>
  </si>
  <si>
    <t>4300010209</t>
  </si>
  <si>
    <t>CORRETIVA para suprir necessidade do parque</t>
  </si>
  <si>
    <t>42493634</t>
  </si>
  <si>
    <t>4300010220</t>
  </si>
  <si>
    <t>80021562</t>
  </si>
  <si>
    <t>PREVENTIVO MAIOR - JULHO/2027</t>
  </si>
  <si>
    <t>42493637</t>
  </si>
  <si>
    <t>4300010222</t>
  </si>
  <si>
    <t>PREVENTIVA MENOR - MAIO/2027</t>
  </si>
  <si>
    <t>42493639</t>
  </si>
  <si>
    <t>4300010223</t>
  </si>
  <si>
    <t>PREVENTIVA MENOR - JULHO/2027</t>
  </si>
  <si>
    <t>42493640</t>
  </si>
  <si>
    <t>4300010224</t>
  </si>
  <si>
    <t>42493644</t>
  </si>
  <si>
    <t>4300010227</t>
  </si>
  <si>
    <t>PREVENTIVA MENOR - JUNHO/2027</t>
  </si>
  <si>
    <t>42493963</t>
  </si>
  <si>
    <t>4300010243</t>
  </si>
  <si>
    <t>GP454018</t>
  </si>
  <si>
    <t>H-1SN-32-S39011/2-S32-C3-6600</t>
  </si>
  <si>
    <t>CORRETIVA para retirada de pendência</t>
  </si>
  <si>
    <t>GP454019</t>
  </si>
  <si>
    <t>H-1SN-32-S39011/2-S32-C3-6850</t>
  </si>
  <si>
    <t>42493964</t>
  </si>
  <si>
    <t>4300010244</t>
  </si>
  <si>
    <t>MÁQUINA PARADA FILII-05 com ticket: TFSLATAM-35264, ID 17000227</t>
  </si>
  <si>
    <t>42493982</t>
  </si>
  <si>
    <t>4300010254</t>
  </si>
  <si>
    <t>42493991</t>
  </si>
  <si>
    <t>4300010257</t>
  </si>
  <si>
    <t>1078922952</t>
  </si>
  <si>
    <t>FIL I-06</t>
  </si>
  <si>
    <t>Z004WH8K</t>
  </si>
  <si>
    <t>4300010268</t>
  </si>
  <si>
    <t>1078907526</t>
  </si>
  <si>
    <t>VPBI-06</t>
  </si>
  <si>
    <t>4300010269</t>
  </si>
  <si>
    <t>80021259</t>
  </si>
  <si>
    <t>LOCTITE 401 ADHESIVE_001</t>
  </si>
  <si>
    <t>1078922883</t>
  </si>
  <si>
    <t>VGU3-14</t>
  </si>
  <si>
    <t>4300010270</t>
  </si>
  <si>
    <t>80020974</t>
  </si>
  <si>
    <t>1078899155</t>
  </si>
  <si>
    <t>Z00415XT</t>
  </si>
  <si>
    <t>4300010271</t>
  </si>
  <si>
    <t>GP275842</t>
  </si>
  <si>
    <t>G114X 2.1 MW 60HZ CR21 6P ASYN. GENERATO</t>
  </si>
  <si>
    <t>80020989</t>
  </si>
  <si>
    <t>VPBIII-07</t>
  </si>
  <si>
    <t>VGU3-11</t>
  </si>
  <si>
    <t>1078939523</t>
  </si>
  <si>
    <t>4300010283</t>
  </si>
  <si>
    <t>80020978</t>
  </si>
  <si>
    <t>1078939750</t>
  </si>
  <si>
    <t>TRS 02-07</t>
  </si>
  <si>
    <t>4300010392</t>
  </si>
  <si>
    <t>80021310</t>
  </si>
  <si>
    <t>1078942354</t>
  </si>
  <si>
    <t>TRS 01-14</t>
  </si>
  <si>
    <t>4300010393</t>
  </si>
  <si>
    <t>80021332</t>
  </si>
  <si>
    <t>1079074555</t>
  </si>
  <si>
    <t>Z0040ZCR</t>
  </si>
  <si>
    <t>4300010399</t>
  </si>
  <si>
    <t>GP568593</t>
  </si>
  <si>
    <t>GENERATOR AIR DUCT ELBOW SQUARE THROAT</t>
  </si>
  <si>
    <t>4300010400</t>
  </si>
  <si>
    <t>90303390</t>
  </si>
  <si>
    <t>85049040</t>
  </si>
  <si>
    <t>42449766</t>
  </si>
  <si>
    <t>4300010449</t>
  </si>
  <si>
    <t>42451728</t>
  </si>
  <si>
    <t>4300010456</t>
  </si>
  <si>
    <t>42455175</t>
  </si>
  <si>
    <t>4300010464</t>
  </si>
  <si>
    <t>GP398592</t>
  </si>
  <si>
    <t>DISC PACKET SPECIAL RADEX-N 220 494942</t>
  </si>
  <si>
    <t>42457326</t>
  </si>
  <si>
    <t>4300010470</t>
  </si>
  <si>
    <t>149391</t>
  </si>
  <si>
    <t>42457360</t>
  </si>
  <si>
    <t>4300010472</t>
  </si>
  <si>
    <t>GRAXA CONDUTORA CONEXÕES ELETRICAS</t>
  </si>
  <si>
    <t>42460673</t>
  </si>
  <si>
    <t>4300010479</t>
  </si>
  <si>
    <t>GP253121</t>
  </si>
  <si>
    <t>CABLE 7X2X0.34MM2+S STD</t>
  </si>
  <si>
    <t>SPOT reposição dos cepilhos das turbinas</t>
  </si>
  <si>
    <t>42464528</t>
  </si>
  <si>
    <t>4300010489</t>
  </si>
  <si>
    <t>GP081478</t>
  </si>
  <si>
    <t>42466921</t>
  </si>
  <si>
    <t>4300010493</t>
  </si>
  <si>
    <t>42467901</t>
  </si>
  <si>
    <t>4300010504</t>
  </si>
  <si>
    <t>GP298388</t>
  </si>
  <si>
    <t>JE SUPPORT PLATE -  BRAKE CALLIPER SUPPO</t>
  </si>
  <si>
    <t>GP585072</t>
  </si>
  <si>
    <t>MOTOR 4P 3PHASE IE3 0.18KW 400V 50HZ</t>
  </si>
  <si>
    <t>42470032</t>
  </si>
  <si>
    <t>4300010513</t>
  </si>
  <si>
    <t>42470251</t>
  </si>
  <si>
    <t>4300010516</t>
  </si>
  <si>
    <t>SPOT Standy-BY parque</t>
  </si>
  <si>
    <t>GP484762</t>
  </si>
  <si>
    <t>42470258</t>
  </si>
  <si>
    <t>4300010517</t>
  </si>
  <si>
    <t>GP339425</t>
  </si>
  <si>
    <t>BLADE BEARING SEAL BLADE SIDE L=7690MM</t>
  </si>
  <si>
    <t>42470261</t>
  </si>
  <si>
    <t>4300010518</t>
  </si>
  <si>
    <t>GP394709</t>
  </si>
  <si>
    <t>LARGE HOIST CHAIN BAG UP TO 152M</t>
  </si>
  <si>
    <t>42022900</t>
  </si>
  <si>
    <t>SPOT retirada de pendência</t>
  </si>
  <si>
    <t>42471709</t>
  </si>
  <si>
    <t>4300010523</t>
  </si>
  <si>
    <t>GP556482</t>
  </si>
  <si>
    <t>GENERIC DEHUMIDIFIER TRANSFORMER VHC</t>
  </si>
  <si>
    <t>42474139</t>
  </si>
  <si>
    <t>4300010530</t>
  </si>
  <si>
    <t>42475061</t>
  </si>
  <si>
    <t>4300010534</t>
  </si>
  <si>
    <t>42475123</t>
  </si>
  <si>
    <t>4300010537</t>
  </si>
  <si>
    <t>GQ-386 RAL 7046</t>
  </si>
  <si>
    <t>42477888</t>
  </si>
  <si>
    <t>4300010548</t>
  </si>
  <si>
    <t>GP427308</t>
  </si>
  <si>
    <t>STUD M30X770 10.9 FLZNL NC 1000H</t>
  </si>
  <si>
    <t>42478224</t>
  </si>
  <si>
    <t>4300010550</t>
  </si>
  <si>
    <t>PREVENTIVA MENOR - MARÇO/26</t>
  </si>
  <si>
    <t>42478290</t>
  </si>
  <si>
    <t>4300010552</t>
  </si>
  <si>
    <t>GP676044</t>
  </si>
  <si>
    <t>BALL BEARING 6206-2Z SKF</t>
  </si>
  <si>
    <t>CORRETIVA - mau funcionamento nestes componentes em algumas turbinas do</t>
  </si>
  <si>
    <t>GP604859</t>
  </si>
  <si>
    <t>PASTA ANTICORROSION  SKF LGAF 3E/0,5</t>
  </si>
  <si>
    <t>42478848</t>
  </si>
  <si>
    <t>4300010554</t>
  </si>
  <si>
    <t>42480037</t>
  </si>
  <si>
    <t>4300010559</t>
  </si>
  <si>
    <t>42487666</t>
  </si>
  <si>
    <t>4300010604</t>
  </si>
  <si>
    <t>42487990</t>
  </si>
  <si>
    <t>4300010607</t>
  </si>
  <si>
    <t>PERIFERICOS G114 / 120 / UEV12-04 Uniao dos Ventos</t>
  </si>
  <si>
    <t>42489812</t>
  </si>
  <si>
    <t>4300010617</t>
  </si>
  <si>
    <t>42489821</t>
  </si>
  <si>
    <t>4300010618</t>
  </si>
  <si>
    <t>42490459</t>
  </si>
  <si>
    <t>4300010620</t>
  </si>
  <si>
    <t>42490473</t>
  </si>
  <si>
    <t>4300010621</t>
  </si>
  <si>
    <t>42490696</t>
  </si>
  <si>
    <t>4300010623</t>
  </si>
  <si>
    <t>GP598441</t>
  </si>
  <si>
    <t>MOTOR 4P 5.5KW 50HZ 400D/690Y IP55 IE2</t>
  </si>
  <si>
    <t>GP519352</t>
  </si>
  <si>
    <t>ENCLOSED FAN AXIAL 230V 50/60HZ 450M3/H</t>
  </si>
  <si>
    <t>F6C004-AMD-16 PC FLASH 4MB AMD C 16 BIT</t>
  </si>
  <si>
    <t>84717090</t>
  </si>
  <si>
    <t>42491123</t>
  </si>
  <si>
    <t>4300010627</t>
  </si>
  <si>
    <t>GP043132</t>
  </si>
  <si>
    <t>CABLE H07V-K 1X1,5MM2 RED</t>
  </si>
  <si>
    <t>CORRETIVA  substituição de PLC 430 para PLCNEXT3 TD017911-ES.</t>
  </si>
  <si>
    <t>42491310</t>
  </si>
  <si>
    <t>4300010632</t>
  </si>
  <si>
    <t>42492016</t>
  </si>
  <si>
    <t>4300010642</t>
  </si>
  <si>
    <t>42492888</t>
  </si>
  <si>
    <t>4300010650</t>
  </si>
  <si>
    <t>GP239268</t>
  </si>
  <si>
    <t>INSIDE COVER 6332</t>
  </si>
  <si>
    <t>MÁQUINA PARADA</t>
  </si>
  <si>
    <t>MÁQUINA PARADA - Material para uso na máquina parada URS07 Gerador</t>
  </si>
  <si>
    <t>42492900</t>
  </si>
  <si>
    <t>4300010652</t>
  </si>
  <si>
    <t>80021802</t>
  </si>
  <si>
    <t>Reparo Uptower</t>
  </si>
  <si>
    <t>149774</t>
  </si>
  <si>
    <t>LOCTITE 243 - 50 ml.</t>
  </si>
  <si>
    <t>42492901</t>
  </si>
  <si>
    <t>4300010653</t>
  </si>
  <si>
    <t>42493089</t>
  </si>
  <si>
    <t>4300010656</t>
  </si>
  <si>
    <t>42493983</t>
  </si>
  <si>
    <t>4300010666</t>
  </si>
  <si>
    <t>1078942355</t>
  </si>
  <si>
    <t>TRS 01-11</t>
  </si>
  <si>
    <t>4300010669</t>
  </si>
  <si>
    <t>80021354</t>
  </si>
  <si>
    <t>1079130637</t>
  </si>
  <si>
    <t>4300010675</t>
  </si>
  <si>
    <t>GP440213</t>
  </si>
  <si>
    <t>TK FA TRN DT 3.3MW G132 (GET-WINERGY)</t>
  </si>
  <si>
    <t>INDUST</t>
  </si>
  <si>
    <t>1079091305</t>
  </si>
  <si>
    <t>4300010676</t>
  </si>
  <si>
    <t>SMP LOW FREQUENCY ACCELEROMETER</t>
  </si>
  <si>
    <t>90292010</t>
  </si>
  <si>
    <t>80021535</t>
  </si>
  <si>
    <t>1079130638</t>
  </si>
  <si>
    <t>4300010677</t>
  </si>
  <si>
    <t>1079091717</t>
  </si>
  <si>
    <t>4300010678</t>
  </si>
  <si>
    <t>1079075230</t>
  </si>
  <si>
    <t>4300010679</t>
  </si>
  <si>
    <t>1079058277</t>
  </si>
  <si>
    <t>4300010682</t>
  </si>
  <si>
    <t>80021390</t>
  </si>
  <si>
    <t>42433319</t>
  </si>
  <si>
    <t>4300010699</t>
  </si>
  <si>
    <t>Troca GC - Main Shaft G114/93/ DIM04 Bloco Norte Sao Dimas</t>
  </si>
  <si>
    <t>42440931</t>
  </si>
  <si>
    <t>4300010702</t>
  </si>
  <si>
    <t>BOLT ISO 4014-M42x370 10.9 DAC500B</t>
  </si>
  <si>
    <t>42451622</t>
  </si>
  <si>
    <t>4300010704</t>
  </si>
  <si>
    <t>Troca main shaft G114</t>
  </si>
  <si>
    <t>42451720</t>
  </si>
  <si>
    <t>4300010705</t>
  </si>
  <si>
    <t>42453895</t>
  </si>
  <si>
    <t>4300010707</t>
  </si>
  <si>
    <t>42453906</t>
  </si>
  <si>
    <t>4300010708</t>
  </si>
  <si>
    <t>42463051</t>
  </si>
  <si>
    <t>4300010715</t>
  </si>
  <si>
    <t>troca da Gearbox VPBI-03_ VSMI</t>
  </si>
  <si>
    <t>42463580</t>
  </si>
  <si>
    <t>4300010718</t>
  </si>
  <si>
    <t>GP415545</t>
  </si>
  <si>
    <t>HSS COUPLING PROTECTION 2 3.3</t>
  </si>
  <si>
    <t>80023845</t>
  </si>
  <si>
    <t>42464217</t>
  </si>
  <si>
    <t>4300010720</t>
  </si>
  <si>
    <t>GP593222</t>
  </si>
  <si>
    <t>FLANGE Z-140.040-070</t>
  </si>
  <si>
    <t>73079100</t>
  </si>
  <si>
    <t>SPOT -Vedações culatra G114-2.6MW</t>
  </si>
  <si>
    <t>42465266</t>
  </si>
  <si>
    <t>4300010722</t>
  </si>
  <si>
    <t>42466953</t>
  </si>
  <si>
    <t>4300010724</t>
  </si>
  <si>
    <t>GP225513</t>
  </si>
  <si>
    <t>DIELECTRIC VARNISH ROYALAC 129</t>
  </si>
  <si>
    <t>42489134</t>
  </si>
  <si>
    <t>4300010754</t>
  </si>
  <si>
    <t>42490342</t>
  </si>
  <si>
    <t>4300010755</t>
  </si>
  <si>
    <t>B_IMP</t>
  </si>
  <si>
    <t>42490343</t>
  </si>
  <si>
    <t>4300010756</t>
  </si>
  <si>
    <t>1079091728</t>
  </si>
  <si>
    <t>4300010781</t>
  </si>
  <si>
    <t>42466592</t>
  </si>
  <si>
    <t>4300010790</t>
  </si>
  <si>
    <t>42493097</t>
  </si>
  <si>
    <t>4300010794</t>
  </si>
  <si>
    <t>ULTRASSONICO ANEMOMETRO 2D MELHORADO</t>
  </si>
  <si>
    <t>1078978452</t>
  </si>
  <si>
    <t>Z00541RY</t>
  </si>
  <si>
    <t>Z00504UP</t>
  </si>
  <si>
    <t>4300010810</t>
  </si>
  <si>
    <t>1079140229</t>
  </si>
  <si>
    <t>4300010811</t>
  </si>
  <si>
    <t>GP024687</t>
  </si>
  <si>
    <t>CABLE FOR BUTTON CON. TWO PUSH-BUTTON TN</t>
  </si>
  <si>
    <t>39174090</t>
  </si>
  <si>
    <t>Z004D83N</t>
  </si>
  <si>
    <t>4300010814</t>
  </si>
  <si>
    <t>42349329</t>
  </si>
  <si>
    <t>4300010816</t>
  </si>
  <si>
    <t>42435226</t>
  </si>
  <si>
    <t>4300010820</t>
  </si>
  <si>
    <t>42451729</t>
  </si>
  <si>
    <t>4300010848</t>
  </si>
  <si>
    <t>42451875</t>
  </si>
  <si>
    <t>4300010850</t>
  </si>
  <si>
    <t>FUSE 22x58 gRC (URD)  80A (690V)</t>
  </si>
  <si>
    <t>42456292</t>
  </si>
  <si>
    <t>4300010867</t>
  </si>
  <si>
    <t>42457688</t>
  </si>
  <si>
    <t>4300010871</t>
  </si>
  <si>
    <t>42461372</t>
  </si>
  <si>
    <t>4300010876</t>
  </si>
  <si>
    <t>PREVENTIVA CERTIFICAÇÕES</t>
  </si>
  <si>
    <t>42461754</t>
  </si>
  <si>
    <t>4300010877</t>
  </si>
  <si>
    <t>GP238523</t>
  </si>
  <si>
    <t>STAINLES S.PIPE D30 RETURN LINE(TS)L2070</t>
  </si>
  <si>
    <t>73044900</t>
  </si>
  <si>
    <t>42463468</t>
  </si>
  <si>
    <t>4300010886</t>
  </si>
  <si>
    <t>GP084260</t>
  </si>
  <si>
    <t>KH7 DEGREASER</t>
  </si>
  <si>
    <t>PREVENTIVO MENOR JUNHO/26</t>
  </si>
  <si>
    <t>42463470</t>
  </si>
  <si>
    <t>4300010887</t>
  </si>
  <si>
    <t>80023754</t>
  </si>
  <si>
    <t>Preventivo MENOR ABR/26</t>
  </si>
  <si>
    <t>42464209</t>
  </si>
  <si>
    <t>4300010893</t>
  </si>
  <si>
    <t>42464221</t>
  </si>
  <si>
    <t>4300010894</t>
  </si>
  <si>
    <t>85044040</t>
  </si>
  <si>
    <t>Corretivo UPS Baterias</t>
  </si>
  <si>
    <t>GP628539</t>
  </si>
  <si>
    <t>UPS EATON ON-LINE 9PX 2U 3000 + ETH.CARD</t>
  </si>
  <si>
    <t>42464323</t>
  </si>
  <si>
    <t>4300010896</t>
  </si>
  <si>
    <t>42470082</t>
  </si>
  <si>
    <t>4300010916</t>
  </si>
  <si>
    <t>GP399872</t>
  </si>
  <si>
    <t>CABLE WS-ACEL1 3.3</t>
  </si>
  <si>
    <t>42470236</t>
  </si>
  <si>
    <t>4300010917</t>
  </si>
  <si>
    <t>GP326350</t>
  </si>
  <si>
    <t>ELASTOMER FOR TORQUE ARM G126</t>
  </si>
  <si>
    <t>SPOT -Campanha- troca de elastômeros-EXP</t>
  </si>
  <si>
    <t>42470254</t>
  </si>
  <si>
    <t>4300010918</t>
  </si>
  <si>
    <t>50785</t>
  </si>
  <si>
    <t>ELETROVALVULA 02-176355</t>
  </si>
  <si>
    <t>80021865</t>
  </si>
  <si>
    <t>42473197</t>
  </si>
  <si>
    <t>4300010930</t>
  </si>
  <si>
    <t>GP321119</t>
  </si>
  <si>
    <t>STAINLESS STEEL PIPE D6 L165</t>
  </si>
  <si>
    <t>42473262</t>
  </si>
  <si>
    <t>4300010931</t>
  </si>
  <si>
    <t>42474071</t>
  </si>
  <si>
    <t>4300010933</t>
  </si>
  <si>
    <t>42474138</t>
  </si>
  <si>
    <t>4300010934</t>
  </si>
  <si>
    <t>42474311</t>
  </si>
  <si>
    <t>4300010935</t>
  </si>
  <si>
    <t>F200007</t>
  </si>
  <si>
    <t>Small brush</t>
  </si>
  <si>
    <t>96034090</t>
  </si>
  <si>
    <t>80022506</t>
  </si>
  <si>
    <t>SB-B33012401</t>
  </si>
  <si>
    <t>GP549302</t>
  </si>
  <si>
    <t>LOCKING NUT M36X4 L45 FLZNL NC 1000H</t>
  </si>
  <si>
    <t>42474313</t>
  </si>
  <si>
    <t>4300010936</t>
  </si>
  <si>
    <t>42475694</t>
  </si>
  <si>
    <t>4300010941</t>
  </si>
  <si>
    <t>GP260708</t>
  </si>
  <si>
    <t>H-R12-12-SAE63/4-SAE63/4-NA-TC-C4-980</t>
  </si>
  <si>
    <t>CORRETIVA mangueira cilindro 18/11/2025</t>
  </si>
  <si>
    <t>42477858</t>
  </si>
  <si>
    <t>4300010960</t>
  </si>
  <si>
    <t>42477990</t>
  </si>
  <si>
    <t>4300010962</t>
  </si>
  <si>
    <t>42478219</t>
  </si>
  <si>
    <t>4300010965</t>
  </si>
  <si>
    <t>PREVENTIVO MENOR - JUNHO/26</t>
  </si>
  <si>
    <t>42478220</t>
  </si>
  <si>
    <t>4300010966</t>
  </si>
  <si>
    <t>PREVENTIVA MENOR - JUNHO/26</t>
  </si>
  <si>
    <t>42478222</t>
  </si>
  <si>
    <t>4300010967</t>
  </si>
  <si>
    <t>42478316</t>
  </si>
  <si>
    <t>4300010971</t>
  </si>
  <si>
    <t>42479863</t>
  </si>
  <si>
    <t>4300010978</t>
  </si>
  <si>
    <t>42480545</t>
  </si>
  <si>
    <t>4300010981</t>
  </si>
  <si>
    <t>42482382</t>
  </si>
  <si>
    <t>4300010993</t>
  </si>
  <si>
    <t>PREVENTIVA MAIOR - NOVEMBRO/26</t>
  </si>
  <si>
    <t>42482383</t>
  </si>
  <si>
    <t>4300010994</t>
  </si>
  <si>
    <t>PREVENTIVA MAIOR - DEZEMRBO/26</t>
  </si>
  <si>
    <t>42482384</t>
  </si>
  <si>
    <t>4300010995</t>
  </si>
  <si>
    <t>42482931</t>
  </si>
  <si>
    <t>4300011002</t>
  </si>
  <si>
    <t>80025513</t>
  </si>
  <si>
    <t>42486937</t>
  </si>
  <si>
    <t>4300011019</t>
  </si>
  <si>
    <t>42487686</t>
  </si>
  <si>
    <t>4300011029</t>
  </si>
  <si>
    <t>PERIFERICOS TROCA G132/120/VMAI-07</t>
  </si>
  <si>
    <t>42488745</t>
  </si>
  <si>
    <t>4300011037</t>
  </si>
  <si>
    <t>85371020</t>
  </si>
  <si>
    <t>42488796</t>
  </si>
  <si>
    <t>4300011040</t>
  </si>
  <si>
    <t>42488804</t>
  </si>
  <si>
    <t>4300011041</t>
  </si>
  <si>
    <t>A9B10400285</t>
  </si>
  <si>
    <t>Telescope rail f. Sliding door, AWS</t>
  </si>
  <si>
    <t>83024200</t>
  </si>
  <si>
    <t>42489815</t>
  </si>
  <si>
    <t>4300011045</t>
  </si>
  <si>
    <t>CABECA PLC</t>
  </si>
  <si>
    <t>42491292</t>
  </si>
  <si>
    <t>4300011054</t>
  </si>
  <si>
    <t>42492861</t>
  </si>
  <si>
    <t>4300011070</t>
  </si>
  <si>
    <t>80023680</t>
  </si>
  <si>
    <t>42493078</t>
  </si>
  <si>
    <t>4300011076</t>
  </si>
  <si>
    <t>PLACA DETECTORA DE FALHA BUS RC</t>
  </si>
  <si>
    <t>42493635</t>
  </si>
  <si>
    <t>4300011081</t>
  </si>
  <si>
    <t>PREVENTIVA MAIOR - ABRIL/2027</t>
  </si>
  <si>
    <t>42493641</t>
  </si>
  <si>
    <t>4300011082</t>
  </si>
  <si>
    <t>42493643</t>
  </si>
  <si>
    <t>4300011084</t>
  </si>
  <si>
    <t>42493646</t>
  </si>
  <si>
    <t>4300011085</t>
  </si>
  <si>
    <t>PREVENTIVA MENOR - ABRIL/2027</t>
  </si>
  <si>
    <t>42493956</t>
  </si>
  <si>
    <t>4300011090</t>
  </si>
  <si>
    <t>NUT DIN 6923 M16 8 YELLOW DICHROMATED</t>
  </si>
  <si>
    <t>42493978</t>
  </si>
  <si>
    <t>4300011091</t>
  </si>
  <si>
    <t>42493993</t>
  </si>
  <si>
    <t>4300011094</t>
  </si>
  <si>
    <t>CORRETIVA  atividades programadas antes dos altos ventos.</t>
  </si>
  <si>
    <t>MOTOR 2P 112M 3.54KW B14 400VY 50/60HZ</t>
  </si>
  <si>
    <t>42493994</t>
  </si>
  <si>
    <t>4300011095</t>
  </si>
  <si>
    <t>CORRETIVA atividades programadas antes dos altos ventos.</t>
  </si>
  <si>
    <t>IB IL 24 D0 32/HDPAC</t>
  </si>
  <si>
    <t>1079129334</t>
  </si>
  <si>
    <t>4300011100</t>
  </si>
  <si>
    <t>80021609</t>
  </si>
  <si>
    <t>132425</t>
  </si>
  <si>
    <t>TAPÃO HIDRAULICO BRONZE 1-4</t>
  </si>
  <si>
    <t>4300011103</t>
  </si>
  <si>
    <t>80025424</t>
  </si>
  <si>
    <t>4300011104</t>
  </si>
  <si>
    <t>4300011122</t>
  </si>
  <si>
    <t>4300011128</t>
  </si>
  <si>
    <t>1079175058</t>
  </si>
  <si>
    <t>4300011130</t>
  </si>
  <si>
    <t>80021696</t>
  </si>
  <si>
    <t>1079222052</t>
  </si>
  <si>
    <t>4300011143</t>
  </si>
  <si>
    <t>14/09/2026</t>
  </si>
  <si>
    <t>1079075279</t>
  </si>
  <si>
    <t>4300011149</t>
  </si>
  <si>
    <t>1079222079</t>
  </si>
  <si>
    <t>4300011163</t>
  </si>
  <si>
    <t>80021891</t>
  </si>
  <si>
    <t>1079174988</t>
  </si>
  <si>
    <t>4300011217</t>
  </si>
  <si>
    <t>1079091727</t>
  </si>
  <si>
    <t>4300011220</t>
  </si>
  <si>
    <t>1079467017</t>
  </si>
  <si>
    <t>4300011271</t>
  </si>
  <si>
    <t>1079441880</t>
  </si>
  <si>
    <t>Z003DJPT</t>
  </si>
  <si>
    <t>Z0058D3K</t>
  </si>
  <si>
    <t>4300011289</t>
  </si>
  <si>
    <t>80022236</t>
  </si>
  <si>
    <t>1079488130</t>
  </si>
  <si>
    <t>730</t>
  </si>
  <si>
    <t>Z004T5DH</t>
  </si>
  <si>
    <t>4300011294</t>
  </si>
  <si>
    <t>GP343051</t>
  </si>
  <si>
    <t>PARAFUSO DE BLOQUEIO</t>
  </si>
  <si>
    <t>40091290</t>
  </si>
  <si>
    <t>960</t>
  </si>
  <si>
    <t>PARAFUSO ISO 4017 M12X45 8.8 FLZNL NC 10</t>
  </si>
  <si>
    <t>1079512494</t>
  </si>
  <si>
    <t>4300011295</t>
  </si>
  <si>
    <t>1079512495</t>
  </si>
  <si>
    <t>4300011296</t>
  </si>
  <si>
    <t>1079512492</t>
  </si>
  <si>
    <t>4300011299</t>
  </si>
  <si>
    <t>GP047103</t>
  </si>
  <si>
    <t>Electric Rotating Joint lubricant ref Z</t>
  </si>
  <si>
    <t>1079488133</t>
  </si>
  <si>
    <t>4300011303</t>
  </si>
  <si>
    <t>1079441878</t>
  </si>
  <si>
    <t>4300011304</t>
  </si>
  <si>
    <t>80022279</t>
  </si>
  <si>
    <t>1079291255</t>
  </si>
  <si>
    <t>4300011316</t>
  </si>
  <si>
    <t>1079291233</t>
  </si>
  <si>
    <t>4300011319</t>
  </si>
  <si>
    <t>1079572423</t>
  </si>
  <si>
    <t>4300011322</t>
  </si>
  <si>
    <t>1079589257</t>
  </si>
  <si>
    <t>4300011330</t>
  </si>
  <si>
    <t>1079589235</t>
  </si>
  <si>
    <t>4300011332</t>
  </si>
  <si>
    <t>GP032227</t>
  </si>
  <si>
    <t>LUVAS DESCARTÁVEIS DE NITRILO TAMANHO 8</t>
  </si>
  <si>
    <t>198001</t>
  </si>
  <si>
    <t>BOBINA CELULOSE MINI TORK PLUS 120 MTS</t>
  </si>
  <si>
    <t>48182000</t>
  </si>
  <si>
    <t>1079589237</t>
  </si>
  <si>
    <t>4300011333</t>
  </si>
  <si>
    <t>1079653184</t>
  </si>
  <si>
    <t>4300011354</t>
  </si>
  <si>
    <t>1079653182</t>
  </si>
  <si>
    <t>4300011355</t>
  </si>
  <si>
    <t>1079589851</t>
  </si>
  <si>
    <t>4300011357</t>
  </si>
  <si>
    <t>80023682</t>
  </si>
  <si>
    <t>GP343260</t>
  </si>
  <si>
    <t>CHAIN D9X53 GRADE80-2LINK SGSG9BR002000</t>
  </si>
  <si>
    <t>73151290</t>
  </si>
  <si>
    <t>1079696768</t>
  </si>
  <si>
    <t>4300011397</t>
  </si>
  <si>
    <t>1079696764</t>
  </si>
  <si>
    <t>4300011398</t>
  </si>
  <si>
    <t>1079696770</t>
  </si>
  <si>
    <t>4300011399</t>
  </si>
  <si>
    <t>1079768011</t>
  </si>
  <si>
    <t>4300011417</t>
  </si>
  <si>
    <t>1079696355</t>
  </si>
  <si>
    <t>4300011419</t>
  </si>
  <si>
    <t>1079746463</t>
  </si>
  <si>
    <t>4300011424</t>
  </si>
  <si>
    <t>1079768753</t>
  </si>
  <si>
    <t>4300011439</t>
  </si>
  <si>
    <t>68053090</t>
  </si>
  <si>
    <t>1079768758</t>
  </si>
  <si>
    <t>4300011440</t>
  </si>
  <si>
    <t>80022879</t>
  </si>
  <si>
    <t>1079768757</t>
  </si>
  <si>
    <t>4300011445</t>
  </si>
  <si>
    <t>80022882</t>
  </si>
  <si>
    <t>1079768756</t>
  </si>
  <si>
    <t>4300011446</t>
  </si>
  <si>
    <t>80022881</t>
  </si>
  <si>
    <t>FLANGE PARA CABOS 160X2,5MM BLACK</t>
  </si>
  <si>
    <t>1079734816</t>
  </si>
  <si>
    <t>4300011453</t>
  </si>
  <si>
    <t>80022939</t>
  </si>
  <si>
    <t>39269069</t>
  </si>
  <si>
    <t>1079488207</t>
  </si>
  <si>
    <t>4300011454</t>
  </si>
  <si>
    <t>80025369</t>
  </si>
  <si>
    <t>1079488206</t>
  </si>
  <si>
    <t>4300011455</t>
  </si>
  <si>
    <t>80022944</t>
  </si>
  <si>
    <t>1079805000</t>
  </si>
  <si>
    <t>4300011459</t>
  </si>
  <si>
    <t>GP683121</t>
  </si>
  <si>
    <t>FREIO CENTRÍFUGO HWS0220541</t>
  </si>
  <si>
    <t>84313900</t>
  </si>
  <si>
    <t>1079804961</t>
  </si>
  <si>
    <t>4300011460</t>
  </si>
  <si>
    <t>1079804960</t>
  </si>
  <si>
    <t>4300011461</t>
  </si>
  <si>
    <t>1079804911</t>
  </si>
  <si>
    <t>4300011462</t>
  </si>
  <si>
    <t>A9BB0095782</t>
  </si>
  <si>
    <t>CENTRIFUGAL BRAKE 25 M/MIN, AVANTI</t>
  </si>
  <si>
    <t>84289090</t>
  </si>
  <si>
    <t>1079768384</t>
  </si>
  <si>
    <t>4300011466</t>
  </si>
  <si>
    <t>1079768010</t>
  </si>
  <si>
    <t>4300011483</t>
  </si>
  <si>
    <t>1079748226</t>
  </si>
  <si>
    <t>4300011488</t>
  </si>
  <si>
    <t>80023031</t>
  </si>
  <si>
    <t>1079748232</t>
  </si>
  <si>
    <t>4300011491</t>
  </si>
  <si>
    <t>80023064</t>
  </si>
  <si>
    <t>80023746</t>
  </si>
  <si>
    <t>1079715433</t>
  </si>
  <si>
    <t>4300011513</t>
  </si>
  <si>
    <t>1079717512</t>
  </si>
  <si>
    <t>4300011517</t>
  </si>
  <si>
    <t>80023763</t>
  </si>
  <si>
    <t>1079883232</t>
  </si>
  <si>
    <t>4300011529</t>
  </si>
  <si>
    <t>EIXO PRINCIPAL</t>
  </si>
  <si>
    <t>1079786242</t>
  </si>
  <si>
    <t>4300011534</t>
  </si>
  <si>
    <t>80023182</t>
  </si>
  <si>
    <t>1079717509</t>
  </si>
  <si>
    <t>4300011535</t>
  </si>
  <si>
    <t>80023813</t>
  </si>
  <si>
    <t>1079831012</t>
  </si>
  <si>
    <t>4300011547</t>
  </si>
  <si>
    <t>GP497169</t>
  </si>
  <si>
    <t>AGUERRI SAFETY LINE SEPARATOR LDV19 GC</t>
  </si>
  <si>
    <t>1079833443</t>
  </si>
  <si>
    <t>4300011548</t>
  </si>
  <si>
    <t>SHACKLE 2Tn, AVANTI ELEVATOR (45512005)</t>
  </si>
  <si>
    <t>1079786243</t>
  </si>
  <si>
    <t>4300011558</t>
  </si>
  <si>
    <t>80023436</t>
  </si>
  <si>
    <t>1079380293</t>
  </si>
  <si>
    <t>9/23/2026</t>
  </si>
  <si>
    <t>4300011572</t>
  </si>
  <si>
    <t>1079696356</t>
  </si>
  <si>
    <t>4300011573</t>
  </si>
  <si>
    <t>1079380301</t>
  </si>
  <si>
    <t>4300011574</t>
  </si>
  <si>
    <t>1080050594</t>
  </si>
  <si>
    <t>4300011587</t>
  </si>
  <si>
    <t>01/11/2026</t>
  </si>
  <si>
    <t>1080014311</t>
  </si>
  <si>
    <t>4300011596</t>
  </si>
  <si>
    <t>80023541</t>
  </si>
  <si>
    <t>1080077776</t>
  </si>
  <si>
    <t>4300011600</t>
  </si>
  <si>
    <t>FITA ANTIDERRAPANTE PR/AM 50X300MM</t>
  </si>
  <si>
    <t>1079952819</t>
  </si>
  <si>
    <t>4300011602</t>
  </si>
  <si>
    <t>1079696389</t>
  </si>
  <si>
    <t>4300011617</t>
  </si>
  <si>
    <t>1080116000</t>
  </si>
  <si>
    <t>4300011621</t>
  </si>
  <si>
    <t>1080115727</t>
  </si>
  <si>
    <t>4300011622</t>
  </si>
  <si>
    <t>1080115975</t>
  </si>
  <si>
    <t>4300011623</t>
  </si>
  <si>
    <t>4300011626</t>
  </si>
  <si>
    <t>1080130139</t>
  </si>
  <si>
    <t>4300011629</t>
  </si>
  <si>
    <t>1080131292</t>
  </si>
  <si>
    <t>4300011644</t>
  </si>
  <si>
    <t>SHELL GADUS S5 T460 15(CARTRIDGE 400GR)</t>
  </si>
  <si>
    <t>1080187610</t>
  </si>
  <si>
    <t>4300011669</t>
  </si>
  <si>
    <t>80023798</t>
  </si>
  <si>
    <t>1080187608</t>
  </si>
  <si>
    <t>4300011670</t>
  </si>
  <si>
    <t>80023799</t>
  </si>
  <si>
    <t>1080187607</t>
  </si>
  <si>
    <t>4300011671</t>
  </si>
  <si>
    <t>80023800</t>
  </si>
  <si>
    <t>1080187595</t>
  </si>
  <si>
    <t>4300011672</t>
  </si>
  <si>
    <t>80023802</t>
  </si>
  <si>
    <t>1080187606</t>
  </si>
  <si>
    <t>4300011673</t>
  </si>
  <si>
    <t>80023803</t>
  </si>
  <si>
    <t>1080192484</t>
  </si>
  <si>
    <t>4300011676</t>
  </si>
  <si>
    <t>80023832</t>
  </si>
  <si>
    <t>1079696354</t>
  </si>
  <si>
    <t>4300011684</t>
  </si>
  <si>
    <t>1080192193</t>
  </si>
  <si>
    <t>4300011688</t>
  </si>
  <si>
    <t>1080191800</t>
  </si>
  <si>
    <t>Z003Y14A</t>
  </si>
  <si>
    <t>4300011697</t>
  </si>
  <si>
    <t>4300011701</t>
  </si>
  <si>
    <t>1080115980</t>
  </si>
  <si>
    <t>4300011702</t>
  </si>
  <si>
    <t>1080258595</t>
  </si>
  <si>
    <t>4300011727</t>
  </si>
  <si>
    <t>ACOPLAMENTO HSS LIMITADOR TORQUE 60HZ</t>
  </si>
  <si>
    <t>1080192412</t>
  </si>
  <si>
    <t>Z004YUFE</t>
  </si>
  <si>
    <t>4300011740</t>
  </si>
  <si>
    <t>GP594605</t>
  </si>
  <si>
    <t>TAPE PUR ANTIEROS 33MX254MM 3M 2.1 W8751</t>
  </si>
  <si>
    <t>80025071</t>
  </si>
  <si>
    <t>REPARO UP TOWER</t>
  </si>
  <si>
    <t>1080258569</t>
  </si>
  <si>
    <t>4300011743</t>
  </si>
  <si>
    <t>80025283</t>
  </si>
  <si>
    <t>1080293927</t>
  </si>
  <si>
    <t>4300011762</t>
  </si>
  <si>
    <t>2R01</t>
  </si>
  <si>
    <t>R_IMP</t>
  </si>
  <si>
    <t>1080192194</t>
  </si>
  <si>
    <t>4300011770</t>
  </si>
  <si>
    <t>1080332086</t>
  </si>
  <si>
    <t>4300011771</t>
  </si>
  <si>
    <t>GP591833</t>
  </si>
  <si>
    <t>GENERIC IGBT COMPLETE KIT V.3.2-V.3.3</t>
  </si>
  <si>
    <t>1080331506</t>
  </si>
  <si>
    <t>4300011775</t>
  </si>
  <si>
    <t>GP042480</t>
  </si>
  <si>
    <t>PARAFUSO SEXTAVADO 10.9 FLZNL NC 1000H</t>
  </si>
  <si>
    <t>1080331507</t>
  </si>
  <si>
    <t>4300011776</t>
  </si>
  <si>
    <t>1080331509</t>
  </si>
  <si>
    <t>4300011777</t>
  </si>
  <si>
    <t>1080331511</t>
  </si>
  <si>
    <t>4300011778</t>
  </si>
  <si>
    <t>1080368715</t>
  </si>
  <si>
    <t>Z00472HY</t>
  </si>
  <si>
    <t>4300011781</t>
  </si>
  <si>
    <t>1080368718</t>
  </si>
  <si>
    <t>4300011782</t>
  </si>
  <si>
    <t>1080371830</t>
  </si>
  <si>
    <t>4300011783</t>
  </si>
  <si>
    <t>1080382675</t>
  </si>
  <si>
    <t>4300011807</t>
  </si>
  <si>
    <t>1080423588</t>
  </si>
  <si>
    <t>4300011825</t>
  </si>
  <si>
    <t>50234</t>
  </si>
  <si>
    <t>3.5l ELM 3,5-250AF 3-4p GAS ACCUMULATOR</t>
  </si>
  <si>
    <t>80025065</t>
  </si>
  <si>
    <t>1079919929</t>
  </si>
  <si>
    <t>4300011833</t>
  </si>
  <si>
    <t>1079919930</t>
  </si>
  <si>
    <t>4300011834</t>
  </si>
  <si>
    <t>1080014437</t>
  </si>
  <si>
    <t>4300011835</t>
  </si>
  <si>
    <t>1080463726</t>
  </si>
  <si>
    <t>4300011843</t>
  </si>
  <si>
    <t>1080478410</t>
  </si>
  <si>
    <t>4300011852</t>
  </si>
  <si>
    <t>1080478745</t>
  </si>
  <si>
    <t>4300011854</t>
  </si>
  <si>
    <t>1080586255</t>
  </si>
  <si>
    <t>4300011876</t>
  </si>
  <si>
    <t>GENERIC HSS GG BEARING GBOX2.5</t>
  </si>
  <si>
    <t>80025063</t>
  </si>
  <si>
    <t>1080478746</t>
  </si>
  <si>
    <t>4300011882</t>
  </si>
  <si>
    <t>1080478747</t>
  </si>
  <si>
    <t>4300011886</t>
  </si>
  <si>
    <t>1080478749</t>
  </si>
  <si>
    <t>4300011888</t>
  </si>
  <si>
    <t>1080535019</t>
  </si>
  <si>
    <t>4300011896</t>
  </si>
  <si>
    <t>1080579105</t>
  </si>
  <si>
    <t>4300011909</t>
  </si>
  <si>
    <t>1080586268</t>
  </si>
  <si>
    <t>4300011916</t>
  </si>
  <si>
    <t>1080516923</t>
  </si>
  <si>
    <t>4300011923</t>
  </si>
  <si>
    <t>1080516900</t>
  </si>
  <si>
    <t>4300011924</t>
  </si>
  <si>
    <t>80025421</t>
  </si>
  <si>
    <t>1080516924</t>
  </si>
  <si>
    <t>4300011925</t>
  </si>
  <si>
    <t>1080516902</t>
  </si>
  <si>
    <t>4300011926</t>
  </si>
  <si>
    <t>1080516910</t>
  </si>
  <si>
    <t>4300011927</t>
  </si>
  <si>
    <t>195051</t>
  </si>
  <si>
    <t>DES. SOBRETENSÃO UC&gt;275VAC IN&gt;20KA. DEHN</t>
  </si>
  <si>
    <t>1080516911</t>
  </si>
  <si>
    <t>4300011928</t>
  </si>
  <si>
    <t>1080517244</t>
  </si>
  <si>
    <t>4300011961</t>
  </si>
  <si>
    <t>CAB. COM CONEX SENS. INDUZ. 2M.ALLEN BRA</t>
  </si>
  <si>
    <t>1080517144</t>
  </si>
  <si>
    <t>4300011962</t>
  </si>
  <si>
    <t>1080517145</t>
  </si>
  <si>
    <t>4300011963</t>
  </si>
  <si>
    <t>1080517246</t>
  </si>
  <si>
    <t>4300011967</t>
  </si>
  <si>
    <t>P670090</t>
  </si>
  <si>
    <t>NUT ISO4032 M16 10 FLZNL NC 1000H</t>
  </si>
  <si>
    <t>1080517082</t>
  </si>
  <si>
    <t>4300011968</t>
  </si>
  <si>
    <t>RESISTÊNCIA DE POTÊNCIA 1KOHM 170W</t>
  </si>
  <si>
    <t>1080517091</t>
  </si>
  <si>
    <t>4300011969</t>
  </si>
  <si>
    <t>80025341</t>
  </si>
  <si>
    <t>1080517053</t>
  </si>
  <si>
    <t>4300011970</t>
  </si>
  <si>
    <t>1080516899</t>
  </si>
  <si>
    <t>4300011971</t>
  </si>
  <si>
    <t>1080517000</t>
  </si>
  <si>
    <t>4300011972</t>
  </si>
  <si>
    <t>SSVG vibration guard KK V466-012</t>
  </si>
  <si>
    <t>1080604273</t>
  </si>
  <si>
    <t>4300011973</t>
  </si>
  <si>
    <t>B_NAC</t>
  </si>
  <si>
    <t>D_IMP</t>
  </si>
  <si>
    <t>D_NAC</t>
  </si>
  <si>
    <t>Centro</t>
  </si>
  <si>
    <t>Nome 1</t>
  </si>
  <si>
    <t>Depósito</t>
  </si>
  <si>
    <t>Descrição do depósito</t>
  </si>
  <si>
    <t>Texto breve material</t>
  </si>
  <si>
    <t>UM básica</t>
  </si>
  <si>
    <t>Lote</t>
  </si>
  <si>
    <t>Utilização livre</t>
  </si>
  <si>
    <t>Estoque em trânsito</t>
  </si>
  <si>
    <t>Em contr.qualidade</t>
  </si>
  <si>
    <t>Bloqueado</t>
  </si>
  <si>
    <t>SGRE Mto Uniao dos Ventos</t>
  </si>
  <si>
    <t>UDVentos WF</t>
  </si>
  <si>
    <t>SGRE Mto Bloco Norte Sul</t>
  </si>
  <si>
    <t>Bloco Norte S WF</t>
  </si>
  <si>
    <t>SGRE Mto Uniao dos Ventos Exp</t>
  </si>
  <si>
    <t>UDVentos Exp WF</t>
  </si>
  <si>
    <t>SGRE Mto Ventos Serra do Mel I</t>
  </si>
  <si>
    <t>VSM I WF</t>
  </si>
  <si>
    <t>VSM II WF</t>
  </si>
  <si>
    <t>SGRE MTO Maral</t>
  </si>
  <si>
    <t>Maral WF</t>
  </si>
  <si>
    <t>VSM III WF</t>
  </si>
  <si>
    <t>SGRE Mto Vila Acre</t>
  </si>
  <si>
    <t>Vila Acre WF</t>
  </si>
  <si>
    <t>SGRE MTO Terra Santa</t>
  </si>
  <si>
    <t>Terra Santa WF</t>
  </si>
  <si>
    <t>Total Criticos</t>
  </si>
  <si>
    <t xml:space="preserve">Criticos por Parque </t>
  </si>
  <si>
    <t xml:space="preserve">Previsão parque </t>
  </si>
  <si>
    <t>Estoque Ok/Nok</t>
  </si>
  <si>
    <t>Quant. Entregue</t>
  </si>
  <si>
    <t xml:space="preserve">Data entrega </t>
  </si>
  <si>
    <t>Estoque Parque</t>
  </si>
  <si>
    <t>MARAL</t>
  </si>
  <si>
    <t>Obs</t>
  </si>
  <si>
    <t>Enviei no roteiro de outubro aos parques 64, 57,38, 56</t>
  </si>
  <si>
    <t xml:space="preserve">Aguardando entrada do material </t>
  </si>
  <si>
    <t>Em rota</t>
  </si>
  <si>
    <t>Alternativo GP589979</t>
  </si>
  <si>
    <t>64 embarca 60 unid</t>
  </si>
  <si>
    <t>Verificando Bloco Norte e Delta 11 unids</t>
  </si>
  <si>
    <t>verificando Bloco Norte</t>
  </si>
  <si>
    <t xml:space="preserve">Chegou no Brasil, Desembaraço </t>
  </si>
  <si>
    <t>DEZ/2026</t>
  </si>
  <si>
    <t>RC apenas para B856</t>
  </si>
  <si>
    <t>Embarcado no roteiro para B864 2 unids</t>
  </si>
  <si>
    <t>Embarcado no roteiro para B857 1 unid</t>
  </si>
  <si>
    <t>Embarcado no roteiro para B867 13 unids</t>
  </si>
  <si>
    <t>Embarcado no roteiro para B865 3 unids</t>
  </si>
  <si>
    <t>Embarcado no roteiro para B867 2 unids</t>
  </si>
  <si>
    <t>Área MRP</t>
  </si>
  <si>
    <t>Área MRP centro</t>
  </si>
  <si>
    <t>Perfil MRP</t>
  </si>
  <si>
    <t>Tipo de MRP</t>
  </si>
  <si>
    <t>Planejador MRP</t>
  </si>
  <si>
    <t>Grupo MRP</t>
  </si>
  <si>
    <t>Ponto reabastec.</t>
  </si>
  <si>
    <t>Ciclo MRP</t>
  </si>
  <si>
    <t>Horizonte plan.fixo</t>
  </si>
  <si>
    <t>Tamanho do lote MRP</t>
  </si>
  <si>
    <t>Perf.arredond.</t>
  </si>
  <si>
    <t>Valor arredondamento</t>
  </si>
  <si>
    <t>Tamanho mínimo lote</t>
  </si>
  <si>
    <t>Tamanho máximo lote</t>
  </si>
  <si>
    <t>Estoque máximo</t>
  </si>
  <si>
    <t>Tmp.ciclo trabalho</t>
  </si>
  <si>
    <t>Refugo conjunto (%)</t>
  </si>
  <si>
    <t>Suprimento especial</t>
  </si>
  <si>
    <t>Depósito de produção</t>
  </si>
  <si>
    <t>Depós.suprimto.ext.</t>
  </si>
  <si>
    <t>Calendário planj.</t>
  </si>
  <si>
    <t>Estoque de segurança</t>
  </si>
  <si>
    <t>Perfil cobertura</t>
  </si>
  <si>
    <t>Tmp.seg.nec./cob.re.</t>
  </si>
  <si>
    <t>Tamanho fixo do lote</t>
  </si>
  <si>
    <t>CstsFixos por pedido</t>
  </si>
  <si>
    <t>CódCustosArmazenagem</t>
  </si>
  <si>
    <t>Grau atend. (%)</t>
  </si>
  <si>
    <t>Perfil previsão</t>
  </si>
  <si>
    <t>Mat.ref. - consumo</t>
  </si>
  <si>
    <t>Cons.área MRP ref.</t>
  </si>
  <si>
    <t>Data até</t>
  </si>
  <si>
    <t>Multiplicador</t>
  </si>
  <si>
    <t>Marc.p/elimin.</t>
  </si>
  <si>
    <t>Perf.per.períod.seg.</t>
  </si>
  <si>
    <t>MRP necs.dependentes</t>
  </si>
  <si>
    <t>Reinicializ.autom.</t>
  </si>
  <si>
    <t>Status atualização</t>
  </si>
  <si>
    <t>Fatores de correção</t>
  </si>
  <si>
    <t>Código margem seg.</t>
  </si>
  <si>
    <t>Relevante para APO</t>
  </si>
  <si>
    <t>PrzEntrPrev.</t>
  </si>
  <si>
    <t>Consid.prazo entrega previsto</t>
  </si>
  <si>
    <t>Modificado por</t>
  </si>
  <si>
    <t>Changed on</t>
  </si>
  <si>
    <t>Hora de modificação</t>
  </si>
  <si>
    <t>50013</t>
  </si>
  <si>
    <t>D</t>
  </si>
  <si>
    <t>50096</t>
  </si>
  <si>
    <t>50116</t>
  </si>
  <si>
    <t>50233</t>
  </si>
  <si>
    <t>50241</t>
  </si>
  <si>
    <t>50244</t>
  </si>
  <si>
    <t>50245</t>
  </si>
  <si>
    <t>50246</t>
  </si>
  <si>
    <t>50554</t>
  </si>
  <si>
    <t>50786</t>
  </si>
  <si>
    <t>50835</t>
  </si>
  <si>
    <t>50836</t>
  </si>
  <si>
    <t>50837</t>
  </si>
  <si>
    <t>50847</t>
  </si>
  <si>
    <t>50850</t>
  </si>
  <si>
    <t>50856</t>
  </si>
  <si>
    <t>50858</t>
  </si>
  <si>
    <t>50859</t>
  </si>
  <si>
    <t>50862</t>
  </si>
  <si>
    <t>50863</t>
  </si>
  <si>
    <t>50907</t>
  </si>
  <si>
    <t>50940</t>
  </si>
  <si>
    <t>50971</t>
  </si>
  <si>
    <t>50972</t>
  </si>
  <si>
    <t>51027</t>
  </si>
  <si>
    <t>51031</t>
  </si>
  <si>
    <t>93312</t>
  </si>
  <si>
    <t>94215</t>
  </si>
  <si>
    <t>108184</t>
  </si>
  <si>
    <t>109109</t>
  </si>
  <si>
    <t>109534</t>
  </si>
  <si>
    <t>114265</t>
  </si>
  <si>
    <t>114279</t>
  </si>
  <si>
    <t>114941</t>
  </si>
  <si>
    <t>115543</t>
  </si>
  <si>
    <t>115606</t>
  </si>
  <si>
    <t>131023</t>
  </si>
  <si>
    <t>131084</t>
  </si>
  <si>
    <t>149751</t>
  </si>
  <si>
    <t>149752</t>
  </si>
  <si>
    <t>155389</t>
  </si>
  <si>
    <t>159663</t>
  </si>
  <si>
    <t>181920</t>
  </si>
  <si>
    <t>193895</t>
  </si>
  <si>
    <t>565590</t>
  </si>
  <si>
    <t>565784</t>
  </si>
  <si>
    <t>8330001915</t>
  </si>
  <si>
    <t xml:space="preserve"> 9 unids enviado para B857, proximo roteiro mais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</si>
</sst>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16]mmmm\-yy;@"/>
    <numFmt numFmtId="165" formatCode="[$-416]mmm\-yy;@"/>
    <numFmt numFmtId="166" formatCode="#,##0.000"/>
    <numFmt numFmtId="167" formatCode="#,##0.0"/>
    <numFmt numFmtId="168" formatCode="[$-F400]h:mm:ss\ AM/PM"/>
  </numFmts>
  <fonts count="9" x14ac:knownFonts="1">
    <font>
      <sz val="11"/>
      <color theme="1"/>
      <name val="Calibri Light"/>
      <family val="2"/>
      <scheme val="minor"/>
    </font>
    <font>
      <sz val="11"/>
      <color rgb="FFFFFFFF"/>
      <name val="Calibri Light"/>
      <family val="2"/>
      <scheme val="minor"/>
    </font>
    <font>
      <b/>
      <sz val="11"/>
      <color rgb="FFFFFFFF"/>
      <name val="Calibri Light"/>
      <family val="2"/>
      <scheme val="minor"/>
    </font>
    <font>
      <sz val="11"/>
      <color rgb="FF000000"/>
      <name val="Calibri Light"/>
      <family val="2"/>
      <scheme val="minor"/>
    </font>
    <font>
      <sz val="11"/>
      <color rgb="FF0D0D0D"/>
      <name val="Calibri Light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9"/>
      <name val="Calibri"/>
      <family val="2"/>
    </font>
    <font>
      <sz val="8"/>
      <name val="Calibri Ligh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165" fontId="2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0" fontId="5" fillId="0" borderId="0" xfId="0" applyFont="1" applyAlignment="1">
      <alignment vertical="top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14" fontId="7" fillId="4" borderId="1" xfId="0" applyNumberFormat="1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/>
    </xf>
    <xf numFmtId="0" fontId="6" fillId="0" borderId="0" xfId="0" applyFont="1" applyAlignment="1">
      <alignment vertical="top"/>
    </xf>
    <xf numFmtId="14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3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4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9" fontId="0" fillId="0" borderId="0" xfId="0" applyNumberFormat="1"/>
    <xf numFmtId="4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applyNumberFormat="1"/>
  </cellXfs>
  <cellStyles count="1">
    <cellStyle name="Normal" xfId="0" builtinId="0"/>
  </cellStyles>
  <dxfs count="19">
    <dxf>
      <numFmt numFmtId="13" formatCode="0%"/>
    </dxf>
    <dxf>
      <numFmt numFmtId="13" formatCode="0%"/>
    </dxf>
    <dxf>
      <numFmt numFmtId="13" formatCode="0%"/>
    </dxf>
    <dxf>
      <numFmt numFmtId="19" formatCode="dd/mm/yyyy"/>
    </dxf>
    <dxf>
      <numFmt numFmtId="0" formatCode="General"/>
      <alignment horizontal="center" textRotation="0" indent="0" justifyLastLine="0" shrinkToFit="0" readingOrder="0"/>
    </dxf>
    <dxf>
      <numFmt numFmtId="164" formatCode="[$-416]mmmm\-yy;@"/>
      <alignment horizontal="left" textRotation="0" indent="0" justifyLastLine="0" shrinkToFit="0" readingOrder="0"/>
    </dxf>
    <dxf>
      <numFmt numFmtId="0" formatCode="General"/>
    </dxf>
    <dxf>
      <numFmt numFmtId="165" formatCode="[$-416]mmm\-yy;@"/>
    </dxf>
    <dxf>
      <numFmt numFmtId="0" formatCode="General"/>
    </dxf>
    <dxf>
      <numFmt numFmtId="165" formatCode="[$-416]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 val="0"/>
      </font>
      <alignment horizontal="left" textRotation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 Light"/>
        <family val="2"/>
        <scheme val="minor"/>
      </font>
      <fill>
        <patternFill patternType="solid">
          <fgColor rgb="FF000000"/>
          <bgColor rgb="FFE8E8E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[Criticos Ap Cluster.xlsx]Din!Tabela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ITENS CRITICOS POR PARQUE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6771358083053875E-2"/>
          <c:y val="0.2413370520909508"/>
          <c:w val="0.85737173331757544"/>
          <c:h val="0.474136494277308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Din!$B$3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Din!$A$4:$A$5</c:f>
              <c:strCache>
                <c:ptCount val="1"/>
                <c:pt idx="0">
                  <c:v>TERRA SANTA</c:v>
                </c:pt>
              </c:strCache>
            </c:strRef>
          </c:cat>
          <c:val>
            <c:numRef>
              <c:f>Din!$B$4:$B$5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3-4A84-AEF1-1EA51566BD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774392144"/>
        <c:axId val="1576294096"/>
        <c:axId val="0"/>
      </c:bar3DChart>
      <c:catAx>
        <c:axId val="177439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6294096"/>
        <c:crosses val="autoZero"/>
        <c:auto val="1"/>
        <c:lblAlgn val="ctr"/>
        <c:lblOffset val="100"/>
        <c:noMultiLvlLbl val="0"/>
      </c:catAx>
      <c:valAx>
        <c:axId val="1576294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7439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[Criticos Ap Cluster.xlsx]Din!Tabela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STATUS ENTREGA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4121976866455596E-3"/>
              <c:y val="-0.138845485223437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4242622308456621E-3"/>
              <c:y val="-0.280946223064832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0490979002730466E-2"/>
              <c:y val="-0.120096696035317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0503162308802279E-2"/>
              <c:y val="-0.234599346851100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3091482649842269E-3"/>
              <c:y val="-0.169407233186760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3878769519013067E-3"/>
              <c:y val="-8.24327852813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727349958057993E-2"/>
              <c:y val="-6.08172239210882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97000"/>
                  <a:satMod val="100000"/>
                  <a:lumMod val="102000"/>
                </a:schemeClr>
              </a:gs>
              <a:gs pos="50000">
                <a:schemeClr val="accent1">
                  <a:shade val="100000"/>
                  <a:satMod val="100000"/>
                  <a:lumMod val="100000"/>
                </a:schemeClr>
              </a:gs>
              <a:gs pos="100000">
                <a:schemeClr val="accent1">
                  <a:shade val="80000"/>
                  <a:satMod val="100000"/>
                  <a:lumMod val="99000"/>
                </a:schemeClr>
              </a:gs>
            </a:gsLst>
            <a:lin ang="27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6.2727562342718042E-3"/>
              <c:y val="-0.31893729309583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Din!$B$16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7000"/>
                    <a:satMod val="100000"/>
                    <a:lumMod val="102000"/>
                  </a:schemeClr>
                </a:gs>
                <a:gs pos="50000">
                  <a:schemeClr val="accent1">
                    <a:shade val="100000"/>
                    <a:satMod val="100000"/>
                    <a:lumMod val="100000"/>
                  </a:schemeClr>
                </a:gs>
                <a:gs pos="100000">
                  <a:schemeClr val="accent1">
                    <a:shade val="80000"/>
                    <a:satMod val="100000"/>
                    <a:lumMod val="99000"/>
                  </a:schemeClr>
                </a:gs>
              </a:gsLst>
              <a:lin ang="27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atMod val="100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80000"/>
                      <a:satMod val="100000"/>
                      <a:lumMod val="99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4E0-4407-8871-5245FF991AD9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atMod val="100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80000"/>
                      <a:satMod val="100000"/>
                      <a:lumMod val="99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4E0-4407-8871-5245FF991AD9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atMod val="100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80000"/>
                      <a:satMod val="100000"/>
                      <a:lumMod val="99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4E0-4407-8871-5245FF991AD9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atMod val="100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80000"/>
                      <a:satMod val="100000"/>
                      <a:lumMod val="99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4E0-4407-8871-5245FF991AD9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atMod val="100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80000"/>
                      <a:satMod val="100000"/>
                      <a:lumMod val="99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4E0-4407-8871-5245FF991AD9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atMod val="100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80000"/>
                      <a:satMod val="100000"/>
                      <a:lumMod val="99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14E0-4407-8871-5245FF991AD9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7000"/>
                      <a:satMod val="100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00000"/>
                      <a:lumMod val="100000"/>
                    </a:schemeClr>
                  </a:gs>
                  <a:gs pos="100000">
                    <a:schemeClr val="accent1">
                      <a:shade val="80000"/>
                      <a:satMod val="100000"/>
                      <a:lumMod val="99000"/>
                    </a:schemeClr>
                  </a:gs>
                </a:gsLst>
                <a:lin ang="27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4E0-4407-8871-5245FF991AD9}"/>
              </c:ext>
            </c:extLst>
          </c:dPt>
          <c:dLbls>
            <c:dLbl>
              <c:idx val="0"/>
              <c:layout>
                <c:manualLayout>
                  <c:x val="6.2727562342718042E-3"/>
                  <c:y val="-0.318937293095838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E0-4407-8871-5245FF991AD9}"/>
                </c:ext>
              </c:extLst>
            </c:dLbl>
            <c:dLbl>
              <c:idx val="1"/>
              <c:layout>
                <c:manualLayout>
                  <c:x val="8.4242622308456621E-3"/>
                  <c:y val="-0.280946223064832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0-4407-8871-5245FF991AD9}"/>
                </c:ext>
              </c:extLst>
            </c:dLbl>
            <c:dLbl>
              <c:idx val="2"/>
              <c:layout>
                <c:manualLayout>
                  <c:x val="1.0503162308802279E-2"/>
                  <c:y val="-0.234599346851100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E0-4407-8871-5245FF991AD9}"/>
                </c:ext>
              </c:extLst>
            </c:dLbl>
            <c:dLbl>
              <c:idx val="3"/>
              <c:layout>
                <c:manualLayout>
                  <c:x val="8.4121976866455596E-3"/>
                  <c:y val="-0.138845485223437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E0-4407-8871-5245FF991AD9}"/>
                </c:ext>
              </c:extLst>
            </c:dLbl>
            <c:dLbl>
              <c:idx val="4"/>
              <c:layout>
                <c:manualLayout>
                  <c:x val="1.0490979002730466E-2"/>
                  <c:y val="-0.120096696035317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E0-4407-8871-5245FF991AD9}"/>
                </c:ext>
              </c:extLst>
            </c:dLbl>
            <c:dLbl>
              <c:idx val="5"/>
              <c:layout>
                <c:manualLayout>
                  <c:x val="8.3878769519013067E-3"/>
                  <c:y val="-8.243278528134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E0-4407-8871-5245FF991AD9}"/>
                </c:ext>
              </c:extLst>
            </c:dLbl>
            <c:dLbl>
              <c:idx val="6"/>
              <c:layout>
                <c:manualLayout>
                  <c:x val="1.6727349958057993E-2"/>
                  <c:y val="-6.08172239210882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E0-4407-8871-5245FF991A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Din!$A$17:$A$24</c:f>
              <c:strCache>
                <c:ptCount val="7"/>
                <c:pt idx="0">
                  <c:v>Em rota</c:v>
                </c:pt>
                <c:pt idx="1">
                  <c:v>Pendente</c:v>
                </c:pt>
                <c:pt idx="2">
                  <c:v>Entregue</c:v>
                </c:pt>
                <c:pt idx="3">
                  <c:v>Entregue parcial</c:v>
                </c:pt>
                <c:pt idx="4">
                  <c:v>Criar RC</c:v>
                </c:pt>
                <c:pt idx="5">
                  <c:v>Sem necessidade parque</c:v>
                </c:pt>
                <c:pt idx="6">
                  <c:v>Obsoleto</c:v>
                </c:pt>
              </c:strCache>
            </c:strRef>
          </c:cat>
          <c:val>
            <c:numRef>
              <c:f>Din!$B$17:$B$24</c:f>
              <c:numCache>
                <c:formatCode>0.00%</c:formatCode>
                <c:ptCount val="7"/>
                <c:pt idx="0">
                  <c:v>0.32291666666666669</c:v>
                </c:pt>
                <c:pt idx="1">
                  <c:v>0.28125</c:v>
                </c:pt>
                <c:pt idx="2">
                  <c:v>0.21875</c:v>
                </c:pt>
                <c:pt idx="3">
                  <c:v>7.2916666666666671E-2</c:v>
                </c:pt>
                <c:pt idx="4">
                  <c:v>6.25E-2</c:v>
                </c:pt>
                <c:pt idx="5">
                  <c:v>3.125E-2</c:v>
                </c:pt>
                <c:pt idx="6">
                  <c:v>1.0416666666666666E-2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0-4407-8871-5245FF991A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13410672"/>
        <c:axId val="1576402576"/>
        <c:axId val="0"/>
      </c:bar3DChart>
      <c:catAx>
        <c:axId val="191341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6402576"/>
        <c:crosses val="autoZero"/>
        <c:auto val="1"/>
        <c:lblAlgn val="ctr"/>
        <c:lblOffset val="100"/>
        <c:noMultiLvlLbl val="0"/>
      </c:catAx>
      <c:valAx>
        <c:axId val="15764025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1341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[Criticos Ap Cluster.xlsx]Din!Tabela dinâmica7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TOTAL CRITICOS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Din!$A$27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Din!$A$28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5-44A5-8698-FD2006374C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74375904"/>
        <c:axId val="792340592"/>
      </c:barChart>
      <c:catAx>
        <c:axId val="1774375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92340592"/>
        <c:crosses val="autoZero"/>
        <c:auto val="1"/>
        <c:lblAlgn val="ctr"/>
        <c:lblOffset val="100"/>
        <c:noMultiLvlLbl val="0"/>
      </c:catAx>
      <c:valAx>
        <c:axId val="792340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7437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[Criticos Ap Cluster.xlsx]Din!Tabela dinâmica5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PREVISÃO NO PARQUE</a:t>
            </a:r>
          </a:p>
        </c:rich>
      </c:tx>
      <c:layout>
        <c:manualLayout>
          <c:xMode val="edge"/>
          <c:yMode val="edge"/>
          <c:x val="0.3061848800691821"/>
          <c:y val="3.8255022043813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8.3106742759827032E-2"/>
              <c:y val="4.3978251888727405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0.12009671484850246"/>
              <c:y val="-4.3978251888727405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D90-4D66-A961-049FAE7C387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E3-4D35-9EAD-13D5EEEA8A35}"/>
              </c:ext>
            </c:extLst>
          </c:dPt>
          <c:dLbls>
            <c:dLbl>
              <c:idx val="3"/>
              <c:layout>
                <c:manualLayout>
                  <c:x val="-8.3106742759827032E-2"/>
                  <c:y val="4.39782518887274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90-4D66-A961-049FAE7C3878}"/>
                </c:ext>
              </c:extLst>
            </c:dLbl>
            <c:dLbl>
              <c:idx val="4"/>
              <c:layout>
                <c:manualLayout>
                  <c:x val="-0.12009671484850246"/>
                  <c:y val="-4.39782518887274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E3-4D35-9EAD-13D5EEEA8A3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Din!$D$4:$D$10</c:f>
              <c:strCache>
                <c:ptCount val="6"/>
                <c:pt idx="0">
                  <c:v>MAR/2027</c:v>
                </c:pt>
                <c:pt idx="1">
                  <c:v>FEV/2027</c:v>
                </c:pt>
                <c:pt idx="2">
                  <c:v>JAN/2027</c:v>
                </c:pt>
                <c:pt idx="3">
                  <c:v>DEZ/2026</c:v>
                </c:pt>
                <c:pt idx="4">
                  <c:v>NOV/2026</c:v>
                </c:pt>
                <c:pt idx="5">
                  <c:v>OUT/2026</c:v>
                </c:pt>
              </c:strCache>
            </c:strRef>
          </c:cat>
          <c:val>
            <c:numRef>
              <c:f>Din!$E$4:$E$10</c:f>
              <c:numCache>
                <c:formatCode>General</c:formatCode>
                <c:ptCount val="6"/>
                <c:pt idx="0">
                  <c:v>3.4482758620689655E-2</c:v>
                </c:pt>
                <c:pt idx="1">
                  <c:v>3.4482758620689655E-2</c:v>
                </c:pt>
                <c:pt idx="2">
                  <c:v>6.8965517241379309E-2</c:v>
                </c:pt>
                <c:pt idx="3">
                  <c:v>8.6206896551724144E-2</c:v>
                </c:pt>
                <c:pt idx="4">
                  <c:v>0.2413793103448276</c:v>
                </c:pt>
                <c:pt idx="5">
                  <c:v>0.53448275862068961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B-43F8-A93B-0BD1CB485F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8621008"/>
        <c:axId val="1217160560"/>
      </c:barChart>
      <c:catAx>
        <c:axId val="211862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7160560"/>
        <c:crosses val="autoZero"/>
        <c:auto val="1"/>
        <c:lblAlgn val="ctr"/>
        <c:lblOffset val="100"/>
        <c:noMultiLvlLbl val="0"/>
      </c:catAx>
      <c:valAx>
        <c:axId val="12171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862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0</xdr:row>
      <xdr:rowOff>44450</xdr:rowOff>
    </xdr:from>
    <xdr:to>
      <xdr:col>18</xdr:col>
      <xdr:colOff>457200</xdr:colOff>
      <xdr:row>13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25D080-4B4E-4B77-BCA8-D6A6DC937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13</xdr:row>
      <xdr:rowOff>95250</xdr:rowOff>
    </xdr:from>
    <xdr:to>
      <xdr:col>13</xdr:col>
      <xdr:colOff>476250</xdr:colOff>
      <xdr:row>29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EDFC2C-01CD-41F0-99C4-7EAA73404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546100</xdr:colOff>
      <xdr:row>0</xdr:row>
      <xdr:rowOff>69850</xdr:rowOff>
    </xdr:from>
    <xdr:to>
      <xdr:col>8</xdr:col>
      <xdr:colOff>266700</xdr:colOff>
      <xdr:row>13</xdr:row>
      <xdr:rowOff>6350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5821C6-AB06-45E8-9B82-67153910F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158750</xdr:colOff>
      <xdr:row>0</xdr:row>
      <xdr:rowOff>38100</xdr:rowOff>
    </xdr:from>
    <xdr:to>
      <xdr:col>3</xdr:col>
      <xdr:colOff>266700</xdr:colOff>
      <xdr:row>13</xdr:row>
      <xdr:rowOff>69850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lanta">
              <a:extLst>
                <a:ext uri="{FF2B5EF4-FFF2-40B4-BE49-F238E27FC236}">
                  <a16:creationId xmlns:a16="http://schemas.microsoft.com/office/drawing/2014/main" id="{8EEDE33B-CA58-4373-BA73-2E470B9931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38100"/>
              <a:ext cx="1936750" cy="2425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165100</xdr:colOff>
      <xdr:row>13</xdr:row>
      <xdr:rowOff>165100</xdr:rowOff>
    </xdr:from>
    <xdr:to>
      <xdr:col>3</xdr:col>
      <xdr:colOff>273050</xdr:colOff>
      <xdr:row>28</xdr:row>
      <xdr:rowOff>99458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us">
              <a:extLst>
                <a:ext uri="{FF2B5EF4-FFF2-40B4-BE49-F238E27FC236}">
                  <a16:creationId xmlns:a16="http://schemas.microsoft.com/office/drawing/2014/main" id="{1C922DB9-0F09-4582-95F9-E0333187C5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00" y="2559050"/>
              <a:ext cx="1936750" cy="244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577850</xdr:colOff>
      <xdr:row>13</xdr:row>
      <xdr:rowOff>107950</xdr:rowOff>
    </xdr:from>
    <xdr:to>
      <xdr:col>22</xdr:col>
      <xdr:colOff>584200</xdr:colOff>
      <xdr:row>29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588AA0A-17C3-4800-A4B4-357B51918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os de Souza, Thays (ext)" refreshedDate="46318.359803703701" createdVersion="8" refreshedVersion="8" minRefreshableVersion="3" recordCount="96" xr:uid="{BC7D3C0C-8629-4EF9-B23C-56A0B7B71114}">
  <cacheSource type="worksheet">
    <worksheetSource name="Tabela1"/>
  </cacheSource>
  <cacheFields count="16">
    <cacheField name="GP" numFmtId="0">
      <sharedItems containsMixedTypes="1" containsNumber="1" containsInteger="1" minValue="109534" maxValue="565784"/>
    </cacheField>
    <cacheField name="Descrição" numFmtId="0">
      <sharedItems/>
    </cacheField>
    <cacheField name="Parque" numFmtId="0">
      <sharedItems/>
    </cacheField>
    <cacheField name="Planta" numFmtId="0">
      <sharedItems containsBlank="1" count="18">
        <s v="VSMIII"/>
        <s v="TERRA SANTA"/>
        <s v="UNIÃO DOS VENTOS (UDV)"/>
        <s v="VSMII"/>
        <s v="VSMI"/>
        <s v="MARAL"/>
        <s v="BLOCO NORTE SUL (BNS)"/>
        <s v="VACI"/>
        <s v="MARRAL" u="1"/>
        <m u="1"/>
        <s v="B865" u="1"/>
        <s v="B864" u="1"/>
        <s v="B825" u="1"/>
        <s v="B832" u="1"/>
        <s v="B856" u="1"/>
        <s v="B857" u="1"/>
        <s v="B867" u="1"/>
        <s v="B838" u="1"/>
      </sharedItems>
    </cacheField>
    <cacheField name="LRR" numFmtId="0">
      <sharedItems containsString="0" containsBlank="1" containsNumber="1" containsInteger="1" minValue="1" maxValue="50"/>
    </cacheField>
    <cacheField name="Estoque Parque" numFmtId="0">
      <sharedItems containsSemiMixedTypes="0" containsString="0" containsNumber="1" containsInteger="1" minValue="0" maxValue="304"/>
    </cacheField>
    <cacheField name="Estoque Ok/Nok" numFmtId="0">
      <sharedItems containsSemiMixedTypes="0" containsString="0" containsNumber="1" containsInteger="1" minValue="-50" maxValue="254"/>
    </cacheField>
    <cacheField name="Quant. PO " numFmtId="0">
      <sharedItems containsSemiMixedTypes="0" containsString="0" containsNumber="1" containsInteger="1" minValue="0" maxValue="750"/>
    </cacheField>
    <cacheField name="Previsão no Parque " numFmtId="165">
      <sharedItems containsDate="1" containsMixedTypes="1" minDate="2026-08-01T00:00:00" maxDate="2027-03-02T00:00:00"/>
    </cacheField>
    <cacheField name="Mes/Ano" numFmtId="0">
      <sharedItems containsDate="1" containsBlank="1" containsMixedTypes="1" minDate="2026-02-01T00:00:00" maxDate="2027-09-02T00:00:00" count="35">
        <s v="NOV/2026"/>
        <s v="OUT/2026"/>
        <s v="JAN/2027"/>
        <s v="DEZ/2026"/>
        <s v="SET/2026"/>
        <s v="FEV/2027"/>
        <s v="AGO/2026"/>
        <s v="MAR/2027"/>
        <s v="*"/>
        <s v="DEZ/2027" u="1"/>
        <s v="FEV/2026" u="1"/>
        <s v="SET/2027" u="1"/>
        <s v="ABR/2027" u="1"/>
        <s v="09/2026" u="1"/>
        <s v="02/2026" u="1"/>
        <s v="10/2026" u="1"/>
        <s v="01/2027" u="1"/>
        <s v="11/2026" u="1"/>
        <s v="09/2027" u="1"/>
        <s v="08/2026" u="1"/>
        <s v="02/2027" u="1"/>
        <s v="04/2027" u="1"/>
        <s v="03/2027" u="1"/>
        <d v="2026-09-01T00:00:00" u="1"/>
        <d v="2026-02-01T00:00:00" u="1"/>
        <d v="2026-10-01T00:00:00" u="1"/>
        <d v="2027-01-01T00:00:00" u="1"/>
        <d v="2026-11-01T00:00:00" u="1"/>
        <d v="2027-09-01T00:00:00" u="1"/>
        <d v="2026-08-01T00:00:00" u="1"/>
        <d v="2027-02-01T00:00:00" u="1"/>
        <d v="2027-04-01T00:00:00" u="1"/>
        <d v="2027-03-01T00:00:00" u="1"/>
        <m u="1"/>
        <s v="JAN/2026" u="1"/>
      </sharedItems>
    </cacheField>
    <cacheField name="Coluna4" numFmtId="165">
      <sharedItems/>
    </cacheField>
    <cacheField name="Coluna3" numFmtId="165">
      <sharedItems/>
    </cacheField>
    <cacheField name="Status" numFmtId="0">
      <sharedItems containsBlank="1" count="9">
        <s v="Pendente"/>
        <s v="Em rota"/>
        <s v="Entregue"/>
        <s v="Sem necessidade parque"/>
        <s v="Entregue parcial"/>
        <s v="Criar RC"/>
        <s v="Obsoleto"/>
        <s v="Roteiro setembro" u="1"/>
        <m u="1"/>
      </sharedItems>
    </cacheField>
    <cacheField name="Quant. Entregue" numFmtId="0">
      <sharedItems containsString="0" containsBlank="1" containsNumber="1" containsInteger="1" minValue="-13" maxValue="350"/>
    </cacheField>
    <cacheField name="Data entrega " numFmtId="14">
      <sharedItems containsNonDate="0" containsDate="1" containsString="0" containsBlank="1" minDate="2026-06-15T00:00:00" maxDate="2026-10-31T00:00:00"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 pivotCacheId="1305302307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GP127960"/>
    <s v="GENERIC G9X ELECTRIC ROTATING JOINT STD"/>
    <s v="B867"/>
    <x v="0"/>
    <n v="2"/>
    <n v="1"/>
    <n v="-1"/>
    <n v="0"/>
    <d v="2026-11-01T00:00:00"/>
    <x v="0"/>
    <s v="novembro"/>
    <s v="2026"/>
    <x v="0"/>
    <n v="-2"/>
    <d v="2026-07-31T00:00:00"/>
    <s v="Verificando Bloco Norte e Delta 11 unids"/>
  </r>
  <r>
    <s v="GP131157"/>
    <s v="COTTON CLOTHS PACKAGE"/>
    <s v="B865"/>
    <x v="1"/>
    <n v="50"/>
    <n v="0"/>
    <n v="-50"/>
    <n v="2"/>
    <d v="2026-10-01T00:00:00"/>
    <x v="1"/>
    <s v="outubro"/>
    <s v="2026"/>
    <x v="1"/>
    <n v="350"/>
    <d v="2026-07-22T00:00:00"/>
    <m/>
  </r>
  <r>
    <s v="GP241858"/>
    <s v="INDUCTIVE SENSOR M18"/>
    <s v="B832"/>
    <x v="2"/>
    <n v="2"/>
    <n v="2"/>
    <n v="0"/>
    <n v="750"/>
    <d v="2027-01-01T00:00:00"/>
    <x v="2"/>
    <s v="janeiro"/>
    <s v="2027"/>
    <x v="0"/>
    <n v="-1"/>
    <d v="2026-06-15T00:00:00"/>
    <s v="verificando Bloco Norte"/>
  </r>
  <r>
    <s v="GP249817"/>
    <s v="FAN_JAS_FJ28082MAB"/>
    <s v="B857"/>
    <x v="3"/>
    <n v="2"/>
    <n v="0"/>
    <n v="-2"/>
    <n v="0"/>
    <d v="2026-10-01T00:00:00"/>
    <x v="1"/>
    <s v="outubro"/>
    <s v="2026"/>
    <x v="1"/>
    <n v="2"/>
    <d v="2026-10-30T00:00:00"/>
    <m/>
  </r>
  <r>
    <s v="GP525859"/>
    <s v="SCRAPER 105/117.2X8.1 M12T"/>
    <s v="B856"/>
    <x v="4"/>
    <n v="4"/>
    <n v="2"/>
    <n v="-2"/>
    <n v="0"/>
    <d v="2026-12-01T00:00:00"/>
    <x v="3"/>
    <s v="dezembro"/>
    <s v="2026"/>
    <x v="0"/>
    <m/>
    <m/>
    <s v="Verificando Maral, 9 unids enviado para B857, proximo roteiro mais 3"/>
  </r>
  <r>
    <s v="GP525859"/>
    <s v="SCRAPER 105/117.2X8.1 M12T"/>
    <s v="B857"/>
    <x v="3"/>
    <n v="8"/>
    <n v="15"/>
    <n v="7"/>
    <n v="60"/>
    <d v="2026-10-01T00:00:00"/>
    <x v="1"/>
    <s v="outubro"/>
    <s v="2026"/>
    <x v="1"/>
    <n v="9"/>
    <d v="2026-10-30T00:00:00"/>
    <m/>
  </r>
  <r>
    <s v="GP525859"/>
    <s v="SCRAPER 105/117.2X8.1 M12T"/>
    <s v="B867"/>
    <x v="0"/>
    <n v="2"/>
    <n v="0"/>
    <n v="-2"/>
    <n v="42"/>
    <d v="2026-12-01T00:00:00"/>
    <x v="3"/>
    <s v="dezembro"/>
    <s v="2026"/>
    <x v="0"/>
    <m/>
    <m/>
    <s v="Verificando Maral"/>
  </r>
  <r>
    <n v="109534"/>
    <s v="VALVULA RV8-10-C-0-50"/>
    <s v="B864"/>
    <x v="5"/>
    <m/>
    <n v="5"/>
    <n v="5"/>
    <n v="350"/>
    <d v="2026-10-01T00:00:00"/>
    <x v="1"/>
    <s v="outubro"/>
    <s v="2026"/>
    <x v="1"/>
    <n v="2"/>
    <d v="2026-10-30T00:00:00"/>
    <m/>
  </r>
  <r>
    <n v="109534"/>
    <s v="VALVULA RV8-10-C-0-50"/>
    <s v="B865"/>
    <x v="1"/>
    <m/>
    <n v="0"/>
    <n v="0"/>
    <n v="0"/>
    <d v="2026-09-01T00:00:00"/>
    <x v="4"/>
    <s v="setembro"/>
    <s v="2026"/>
    <x v="2"/>
    <n v="2"/>
    <m/>
    <m/>
  </r>
  <r>
    <n v="565784"/>
    <s v="REDUTORA PRV1-10-C-0-6"/>
    <s v="B864"/>
    <x v="5"/>
    <m/>
    <n v="0"/>
    <n v="0"/>
    <n v="6"/>
    <d v="2026-10-01T00:00:00"/>
    <x v="1"/>
    <s v="outubro"/>
    <s v="2026"/>
    <x v="1"/>
    <n v="2"/>
    <d v="2026-10-30T00:00:00"/>
    <m/>
  </r>
  <r>
    <n v="565784"/>
    <s v="REDUTORA PRV1-10-C-0-6"/>
    <s v="B865"/>
    <x v="1"/>
    <n v="1"/>
    <n v="0"/>
    <n v="-1"/>
    <n v="0"/>
    <d v="2026-09-01T00:00:00"/>
    <x v="4"/>
    <s v="setembro"/>
    <s v="2026"/>
    <x v="2"/>
    <n v="2"/>
    <m/>
    <m/>
  </r>
  <r>
    <s v="AMB0155"/>
    <s v="VENTILADOR 230V 127W IP44"/>
    <s v="B864"/>
    <x v="5"/>
    <m/>
    <n v="0"/>
    <n v="0"/>
    <n v="30"/>
    <d v="2027-02-01T00:00:00"/>
    <x v="5"/>
    <s v="fevereiro"/>
    <s v="2027"/>
    <x v="0"/>
    <m/>
    <m/>
    <m/>
  </r>
  <r>
    <s v="AMB0155"/>
    <s v="VENTILADOR 230V 127W IP44"/>
    <s v="B865"/>
    <x v="1"/>
    <m/>
    <n v="0"/>
    <n v="0"/>
    <n v="0"/>
    <d v="2027-02-01T00:00:00"/>
    <x v="5"/>
    <s v="fevereiro"/>
    <s v="2027"/>
    <x v="0"/>
    <m/>
    <m/>
    <m/>
  </r>
  <r>
    <s v="GP004263"/>
    <s v="OPTOCOUPLER RELAY OPT-24DC-24DC-2"/>
    <s v="B825"/>
    <x v="6"/>
    <n v="20"/>
    <n v="0"/>
    <n v="-20"/>
    <n v="0"/>
    <d v="2026-10-01T00:00:00"/>
    <x v="1"/>
    <s v="outubro"/>
    <s v="2026"/>
    <x v="1"/>
    <n v="13"/>
    <d v="2026-10-30T00:00:00"/>
    <m/>
  </r>
  <r>
    <s v="GP004263"/>
    <s v="OPTOCOUPLER RELAY OPT-24DC-24DC-2"/>
    <s v="B832"/>
    <x v="2"/>
    <n v="4"/>
    <n v="0"/>
    <n v="-4"/>
    <n v="0"/>
    <d v="2026-11-01T00:00:00"/>
    <x v="0"/>
    <s v="novembro"/>
    <s v="2026"/>
    <x v="0"/>
    <m/>
    <m/>
    <s v="Enviei no roteiro de outubro aos parques 64, 57,38, 56"/>
  </r>
  <r>
    <s v="GP004263"/>
    <s v="OPTOCOUPLER RELAY OPT-24DC-24DC-2"/>
    <s v="B856"/>
    <x v="4"/>
    <n v="2"/>
    <n v="0"/>
    <n v="-2"/>
    <n v="0"/>
    <d v="2026-10-01T00:00:00"/>
    <x v="1"/>
    <s v="outubro"/>
    <s v="2026"/>
    <x v="1"/>
    <n v="2"/>
    <d v="2026-10-30T00:00:00"/>
    <m/>
  </r>
  <r>
    <s v="GP004263"/>
    <s v="OPTOCOUPLER RELAY OPT-24DC-24DC-2"/>
    <s v="B857"/>
    <x v="3"/>
    <n v="2"/>
    <n v="0"/>
    <n v="-2"/>
    <n v="0"/>
    <d v="2026-10-01T00:00:00"/>
    <x v="1"/>
    <s v="outubro"/>
    <s v="2026"/>
    <x v="1"/>
    <n v="5"/>
    <d v="2026-10-30T00:00:00"/>
    <m/>
  </r>
  <r>
    <s v="GP004263"/>
    <s v="OPTOCOUPLER RELAY OPT-24DC-24DC-2"/>
    <s v="B867"/>
    <x v="0"/>
    <n v="2"/>
    <n v="0"/>
    <n v="-2"/>
    <n v="0"/>
    <d v="2026-10-01T00:00:00"/>
    <x v="1"/>
    <s v="outubro"/>
    <s v="2026"/>
    <x v="1"/>
    <n v="18"/>
    <d v="2026-10-30T00:00:00"/>
    <m/>
  </r>
  <r>
    <s v="GP004892"/>
    <s v="ENTRADAS DIGITAIS"/>
    <s v="B825"/>
    <x v="6"/>
    <n v="1"/>
    <n v="0"/>
    <n v="-1"/>
    <n v="0"/>
    <d v="2027-01-01T00:00:00"/>
    <x v="2"/>
    <s v="janeiro"/>
    <s v="2027"/>
    <x v="3"/>
    <m/>
    <m/>
    <m/>
  </r>
  <r>
    <s v="GP004897"/>
    <s v="ENTRADAS ANALOGICAS"/>
    <s v="B865"/>
    <x v="1"/>
    <n v="10"/>
    <n v="0"/>
    <n v="-10"/>
    <n v="0"/>
    <d v="2026-11-01T00:00:00"/>
    <x v="0"/>
    <s v="novembro"/>
    <s v="2026"/>
    <x v="4"/>
    <n v="-2"/>
    <d v="2026-07-18T00:00:00"/>
    <s v="Aguardando entrada do material "/>
  </r>
  <r>
    <s v="GP004897"/>
    <s v="ENTRADAS ANALOGICAS"/>
    <s v="B864"/>
    <x v="5"/>
    <n v="5"/>
    <n v="0"/>
    <n v="-5"/>
    <n v="30"/>
    <d v="2026-11-01T00:00:00"/>
    <x v="0"/>
    <s v="novembro"/>
    <s v="2026"/>
    <x v="0"/>
    <m/>
    <m/>
    <s v="Aguardando entrada do material "/>
  </r>
  <r>
    <s v="GP004975"/>
    <s v="PLC CONTROLADOR DE CAMPO"/>
    <s v="B825"/>
    <x v="6"/>
    <n v="3"/>
    <n v="0"/>
    <n v="-3"/>
    <n v="0"/>
    <d v="2026-09-01T00:00:00"/>
    <x v="4"/>
    <s v="setembro"/>
    <s v="2026"/>
    <x v="2"/>
    <n v="-1"/>
    <d v="2026-08-21T00:00:00"/>
    <m/>
  </r>
  <r>
    <s v="GP008618"/>
    <s v="On delay time RockWell 700-HT3"/>
    <s v="B856"/>
    <x v="4"/>
    <n v="2"/>
    <n v="2"/>
    <n v="0"/>
    <n v="4"/>
    <d v="2026-11-01T00:00:00"/>
    <x v="0"/>
    <s v="novembro"/>
    <s v="2026"/>
    <x v="0"/>
    <m/>
    <m/>
    <s v="Aguardando entrada do material "/>
  </r>
  <r>
    <s v="GP013211"/>
    <s v="GENERICO OLEOS DA UNIDADE HIDRAULICA"/>
    <s v="B832"/>
    <x v="2"/>
    <m/>
    <n v="3"/>
    <n v="3"/>
    <n v="0"/>
    <d v="2026-09-01T00:00:00"/>
    <x v="4"/>
    <s v="setembro"/>
    <s v="2026"/>
    <x v="2"/>
    <m/>
    <m/>
    <m/>
  </r>
  <r>
    <s v="GP019518"/>
    <s v="SWITCH ETHERNET MOXA EDS-308-MM-ST"/>
    <s v="B856"/>
    <x v="4"/>
    <m/>
    <n v="0"/>
    <n v="0"/>
    <n v="0"/>
    <d v="2027-01-01T00:00:00"/>
    <x v="2"/>
    <s v="janeiro"/>
    <s v="2027"/>
    <x v="4"/>
    <n v="-2"/>
    <d v="2026-08-19T00:00:00"/>
    <m/>
  </r>
  <r>
    <s v="GP023882"/>
    <s v="DIODO PADRAO 540A 2700V XX"/>
    <s v="B825"/>
    <x v="6"/>
    <n v="2"/>
    <n v="0"/>
    <n v="-2"/>
    <n v="0"/>
    <d v="2027-02-01T00:00:00"/>
    <x v="5"/>
    <s v="fevereiro"/>
    <s v="2027"/>
    <x v="5"/>
    <m/>
    <m/>
    <m/>
  </r>
  <r>
    <s v="GP069610"/>
    <s v="LEVEL SWITCH HINE LM1FA500NASP  ALARM"/>
    <s v="B864"/>
    <x v="5"/>
    <n v="2"/>
    <n v="2"/>
    <n v="0"/>
    <n v="0"/>
    <d v="2026-10-01T00:00:00"/>
    <x v="1"/>
    <s v="outubro"/>
    <s v="2026"/>
    <x v="1"/>
    <n v="2"/>
    <d v="2026-10-30T00:00:00"/>
    <m/>
  </r>
  <r>
    <s v="GP069610 "/>
    <s v="LEVEL SWITCH HINE LM1FA500NASP  ALARM"/>
    <s v="B865"/>
    <x v="1"/>
    <m/>
    <n v="0"/>
    <n v="0"/>
    <n v="0"/>
    <d v="2026-09-01T00:00:00"/>
    <x v="4"/>
    <s v="setembro"/>
    <s v="2026"/>
    <x v="5"/>
    <m/>
    <m/>
    <s v="Embarcado no roteiro para B864 2 unids"/>
  </r>
  <r>
    <s v="GP078780"/>
    <s v="SMP12C"/>
    <s v="B838"/>
    <x v="7"/>
    <n v="1"/>
    <n v="0"/>
    <n v="-1"/>
    <n v="2"/>
    <d v="2027-01-01T00:00:00"/>
    <x v="2"/>
    <s v="janeiro"/>
    <s v="2027"/>
    <x v="0"/>
    <m/>
    <m/>
    <m/>
  </r>
  <r>
    <s v="GP082783"/>
    <s v="IB IL TEMP 4/8 RTD/EF-PAC"/>
    <s v="B865"/>
    <x v="1"/>
    <n v="10"/>
    <n v="5"/>
    <n v="-5"/>
    <n v="0"/>
    <d v="2026-11-01T00:00:00"/>
    <x v="0"/>
    <s v="novembro"/>
    <s v="2026"/>
    <x v="0"/>
    <m/>
    <m/>
    <s v="Embarcado no roteiro para B857 1 unid"/>
  </r>
  <r>
    <s v="GP082783"/>
    <s v="IB IL TEMP 4/8 RTD/EF-PAC"/>
    <s v="B864"/>
    <x v="5"/>
    <n v="5"/>
    <n v="19"/>
    <n v="14"/>
    <n v="0"/>
    <d v="2026-10-01T00:00:00"/>
    <x v="1"/>
    <s v="outubro"/>
    <s v="2026"/>
    <x v="1"/>
    <n v="2"/>
    <d v="2026-10-30T00:00:00"/>
    <m/>
  </r>
  <r>
    <s v="GP091014"/>
    <s v="RESISTENCIA DE POTENCIA 33R 600W 10%"/>
    <s v="B825"/>
    <x v="6"/>
    <n v="1"/>
    <n v="5"/>
    <n v="4"/>
    <n v="0"/>
    <d v="2026-09-01T00:00:00"/>
    <x v="4"/>
    <s v="setembro"/>
    <s v="2026"/>
    <x v="2"/>
    <n v="-5"/>
    <d v="2026-08-13T00:00:00"/>
    <m/>
  </r>
  <r>
    <s v="GP091145"/>
    <s v="CARTÃO DUPLO DE DRIVERS"/>
    <s v="B832"/>
    <x v="2"/>
    <m/>
    <n v="0"/>
    <n v="0"/>
    <n v="0"/>
    <d v="2026-11-01T00:00:00"/>
    <x v="0"/>
    <s v="novembro"/>
    <s v="2026"/>
    <x v="0"/>
    <m/>
    <m/>
    <m/>
  </r>
  <r>
    <s v="GP124403"/>
    <s v="AMB_EBM_K2E225RA9209"/>
    <s v="B856"/>
    <x v="4"/>
    <n v="2"/>
    <n v="12"/>
    <n v="10"/>
    <n v="0"/>
    <d v="2026-09-01T00:00:00"/>
    <x v="4"/>
    <s v="setembro"/>
    <s v="2026"/>
    <x v="2"/>
    <n v="-10"/>
    <d v="2026-08-19T00:00:00"/>
    <m/>
  </r>
  <r>
    <s v="GP124403"/>
    <s v="CENTRIFUGAL FAN 230V\1260m3\h UL-LOW NOI"/>
    <s v="B857"/>
    <x v="3"/>
    <m/>
    <n v="2"/>
    <n v="2"/>
    <n v="0"/>
    <d v="2026-08-01T00:00:00"/>
    <x v="6"/>
    <s v="agosto"/>
    <s v="2026"/>
    <x v="3"/>
    <m/>
    <m/>
    <m/>
  </r>
  <r>
    <s v="GP124403"/>
    <s v="CENTRIFUGAL FAN 230V\1260m3\h UL-LOW NOI"/>
    <s v="B867"/>
    <x v="0"/>
    <n v="2"/>
    <n v="6"/>
    <n v="4"/>
    <n v="3"/>
    <d v="2026-08-01T00:00:00"/>
    <x v="6"/>
    <s v="agosto"/>
    <s v="2026"/>
    <x v="3"/>
    <n v="-4"/>
    <d v="2026-06-22T00:00:00"/>
    <m/>
  </r>
  <r>
    <s v="GP127960"/>
    <s v="GENERIC G9X ELECTRIC ROTATING JOINT STD"/>
    <s v="B832"/>
    <x v="2"/>
    <n v="4"/>
    <n v="6"/>
    <n v="2"/>
    <n v="0"/>
    <d v="2026-09-01T00:00:00"/>
    <x v="4"/>
    <s v="setembro"/>
    <s v="2026"/>
    <x v="2"/>
    <n v="-2"/>
    <d v="2026-08-14T00:00:00"/>
    <m/>
  </r>
  <r>
    <s v="GP127960"/>
    <s v="GENERIC G9X ELECTRIC ROTATING JOINT STD"/>
    <s v="B838"/>
    <x v="7"/>
    <n v="2"/>
    <n v="1"/>
    <n v="-1"/>
    <n v="5"/>
    <d v="2026-10-01T00:00:00"/>
    <x v="1"/>
    <s v="outubro"/>
    <s v="2026"/>
    <x v="1"/>
    <n v="2"/>
    <d v="2026-10-30T00:00:00"/>
    <m/>
  </r>
  <r>
    <s v="GP127960"/>
    <s v="GENERIC G9X ELECTRIC ROTATING JOINT STD"/>
    <s v="B856"/>
    <x v="4"/>
    <n v="2"/>
    <n v="2"/>
    <n v="0"/>
    <n v="0"/>
    <d v="2027-01-01T00:00:00"/>
    <x v="2"/>
    <s v="janeiro"/>
    <s v="2027"/>
    <x v="5"/>
    <m/>
    <m/>
    <m/>
  </r>
  <r>
    <s v="GP127960"/>
    <s v="GENERIC G9X ELECTRIC ROTATING JOINT STD"/>
    <s v="B857"/>
    <x v="3"/>
    <m/>
    <n v="3"/>
    <n v="3"/>
    <n v="0"/>
    <d v="2027-01-01T00:00:00"/>
    <x v="2"/>
    <s v="janeiro"/>
    <s v="2027"/>
    <x v="5"/>
    <n v="-2"/>
    <d v="2026-07-31T00:00:00"/>
    <m/>
  </r>
  <r>
    <s v="GP127960"/>
    <s v="GENERIC G9X ELECTRIC ROTATING JOINT STD"/>
    <s v="B865"/>
    <x v="1"/>
    <n v="4"/>
    <n v="0"/>
    <n v="-4"/>
    <n v="0"/>
    <d v="2027-01-01T00:00:00"/>
    <x v="2"/>
    <s v="janeiro"/>
    <s v="2027"/>
    <x v="4"/>
    <n v="-1"/>
    <d v="2026-07-22T00:00:00"/>
    <m/>
  </r>
  <r>
    <s v="GP127960"/>
    <s v="GENERIC G9X ELECTRIC ROTATING JOINT STD"/>
    <s v="B864"/>
    <x v="5"/>
    <n v="2"/>
    <n v="0"/>
    <n v="-2"/>
    <n v="0"/>
    <d v="2027-01-01T00:00:00"/>
    <x v="2"/>
    <s v="janeiro"/>
    <s v="2027"/>
    <x v="0"/>
    <m/>
    <m/>
    <m/>
  </r>
  <r>
    <s v="GP131157"/>
    <s v="COTTON CLOTHS PACKAGE"/>
    <s v="B864"/>
    <x v="5"/>
    <n v="50"/>
    <n v="304"/>
    <n v="254"/>
    <n v="0"/>
    <d v="2026-10-01T00:00:00"/>
    <x v="1"/>
    <s v="outubro"/>
    <s v="2026"/>
    <x v="1"/>
    <n v="250"/>
    <d v="2026-10-22T00:00:00"/>
    <m/>
  </r>
  <r>
    <s v="GP135716"/>
    <s v="AXIAL FAN 230V 80W 544CFM JASON"/>
    <s v="B825"/>
    <x v="6"/>
    <n v="2"/>
    <n v="8"/>
    <n v="6"/>
    <n v="0"/>
    <d v="2026-11-01T00:00:00"/>
    <x v="0"/>
    <s v="novembro"/>
    <s v="2026"/>
    <x v="0"/>
    <m/>
    <m/>
    <m/>
  </r>
  <r>
    <s v="GP145852"/>
    <s v="ENCODER HOG 9 DN2048 I WITH CONNECTOR"/>
    <s v="B832"/>
    <x v="2"/>
    <n v="4"/>
    <n v="2"/>
    <n v="-2"/>
    <n v="0"/>
    <d v="2026-08-01T00:00:00"/>
    <x v="6"/>
    <s v="agosto"/>
    <s v="2026"/>
    <x v="2"/>
    <n v="-1"/>
    <d v="2026-08-13T00:00:00"/>
    <m/>
  </r>
  <r>
    <s v="GP224705"/>
    <s v="TER YAW SENSOR M18 Z12"/>
    <s v="B864"/>
    <x v="5"/>
    <m/>
    <n v="0"/>
    <n v="0"/>
    <n v="0"/>
    <d v="2027-03-01T00:00:00"/>
    <x v="7"/>
    <s v="março"/>
    <s v="2027"/>
    <x v="0"/>
    <m/>
    <m/>
    <m/>
  </r>
  <r>
    <s v="GP224705"/>
    <s v="TER YAW SENSOR M18 Z12"/>
    <s v="B865"/>
    <x v="1"/>
    <m/>
    <n v="1"/>
    <n v="1"/>
    <n v="0"/>
    <d v="2027-01-01T00:00:00"/>
    <x v="2"/>
    <s v="janeiro"/>
    <s v="2027"/>
    <x v="0"/>
    <m/>
    <m/>
    <m/>
  </r>
  <r>
    <s v="GP249817"/>
    <s v="FAN_JAS_FJ28082MAB"/>
    <s v="B838"/>
    <x v="7"/>
    <n v="3"/>
    <n v="3"/>
    <n v="0"/>
    <n v="0"/>
    <d v="2026-10-01T00:00:00"/>
    <x v="1"/>
    <s v="outubro"/>
    <s v="2026"/>
    <x v="1"/>
    <n v="-1"/>
    <d v="2026-10-30T00:00:00"/>
    <m/>
  </r>
  <r>
    <s v="GP249817"/>
    <s v="FAN_JAS_FJ28082MAB"/>
    <s v="B856"/>
    <x v="4"/>
    <n v="2"/>
    <n v="12"/>
    <n v="10"/>
    <n v="0"/>
    <d v="2026-08-01T00:00:00"/>
    <x v="6"/>
    <s v="agosto"/>
    <s v="2026"/>
    <x v="2"/>
    <n v="-5"/>
    <d v="2026-07-31T00:00:00"/>
    <m/>
  </r>
  <r>
    <s v="GP249817"/>
    <s v="FAN_JAS_FJ28082MAB"/>
    <s v="B867"/>
    <x v="0"/>
    <n v="2"/>
    <n v="17"/>
    <n v="15"/>
    <n v="0"/>
    <d v="2026-08-01T00:00:00"/>
    <x v="6"/>
    <s v="agosto"/>
    <s v="2026"/>
    <x v="2"/>
    <n v="-4"/>
    <d v="2026-07-31T00:00:00"/>
    <m/>
  </r>
  <r>
    <s v="GP254146"/>
    <s v="RELIEF VALVE RV1-10-C-0-30"/>
    <s v="B864"/>
    <x v="5"/>
    <m/>
    <n v="0"/>
    <n v="0"/>
    <n v="10"/>
    <d v="2026-10-01T00:00:00"/>
    <x v="1"/>
    <s v="outubro"/>
    <s v="2026"/>
    <x v="1"/>
    <n v="2"/>
    <d v="2026-10-30T00:00:00"/>
    <s v="Embarcado no roteiro para B865 3 unids"/>
  </r>
  <r>
    <s v="GP254146"/>
    <s v="RELIEF VALVE RV1-10-C-0-30"/>
    <s v="B865"/>
    <x v="1"/>
    <m/>
    <n v="3"/>
    <n v="3"/>
    <n v="10"/>
    <d v="2026-09-01T00:00:00"/>
    <x v="4"/>
    <s v="setembro"/>
    <s v="2026"/>
    <x v="2"/>
    <n v="3"/>
    <m/>
    <m/>
  </r>
  <r>
    <s v="GP269250"/>
    <s v="DIRECTIONAL VALVE DG4V32AMUH760"/>
    <s v="B864"/>
    <x v="5"/>
    <n v="2"/>
    <n v="3"/>
    <n v="1"/>
    <n v="0"/>
    <d v="2026-10-01T00:00:00"/>
    <x v="1"/>
    <s v="outubro"/>
    <s v="2026"/>
    <x v="1"/>
    <n v="1"/>
    <d v="2026-10-30T00:00:00"/>
    <m/>
  </r>
  <r>
    <s v="GP269250"/>
    <s v="DIRECTIONAL VALVE DG4V32AMUH760"/>
    <s v="B865"/>
    <x v="1"/>
    <n v="3"/>
    <n v="4"/>
    <n v="1"/>
    <n v="13"/>
    <d v="2026-10-01T00:00:00"/>
    <x v="1"/>
    <s v="outubro"/>
    <s v="2026"/>
    <x v="1"/>
    <n v="3"/>
    <d v="2026-10-30T00:00:00"/>
    <m/>
  </r>
  <r>
    <s v="GP294080"/>
    <s v="CCU INGECON WIND G9X 2.5KHZ VECT AS3179"/>
    <s v="B825"/>
    <x v="6"/>
    <n v="3"/>
    <n v="1"/>
    <n v="-2"/>
    <n v="0"/>
    <s v="*"/>
    <x v="8"/>
    <s v="*"/>
    <s v="*"/>
    <x v="6"/>
    <m/>
    <m/>
    <m/>
  </r>
  <r>
    <s v="GP295110"/>
    <s v="H-1SC-20-MFL35-TLML35-NA-NA-C3-3500"/>
    <s v="B825"/>
    <x v="6"/>
    <n v="2"/>
    <n v="2"/>
    <n v="0"/>
    <n v="0"/>
    <d v="2026-08-01T00:00:00"/>
    <x v="6"/>
    <s v="agosto"/>
    <s v="2026"/>
    <x v="2"/>
    <n v="-13"/>
    <d v="2026-08-14T00:00:00"/>
    <m/>
  </r>
  <r>
    <s v="GP296945"/>
    <s v="MOTOR AM 112 B5 M132 S-2_4 5,5kW 400V 50"/>
    <s v="B838"/>
    <x v="3"/>
    <n v="2"/>
    <n v="3"/>
    <n v="1"/>
    <n v="0"/>
    <d v="2026-09-01T00:00:00"/>
    <x v="4"/>
    <s v="setembro"/>
    <s v="2026"/>
    <x v="2"/>
    <n v="3"/>
    <d v="2026-07-29T00:00:00"/>
    <m/>
  </r>
  <r>
    <s v="GP307720"/>
    <s v="GENERIC PITCH CYL 140-90-1056 ALIGN.HYD"/>
    <s v="B825"/>
    <x v="6"/>
    <n v="2"/>
    <n v="1"/>
    <n v="-1"/>
    <n v="3"/>
    <d v="2026-09-01T00:00:00"/>
    <x v="4"/>
    <s v="setembro"/>
    <s v="2026"/>
    <x v="2"/>
    <n v="2"/>
    <m/>
    <m/>
  </r>
  <r>
    <s v="GP335709"/>
    <s v="B/Y ANTISLIP ADHESIVE TAPE 50MM X 300MM"/>
    <s v="B825"/>
    <x v="6"/>
    <n v="2"/>
    <n v="6"/>
    <n v="4"/>
    <n v="0"/>
    <d v="2026-09-01T00:00:00"/>
    <x v="4"/>
    <s v="setembro"/>
    <s v="2026"/>
    <x v="2"/>
    <n v="-4"/>
    <d v="2026-08-13T00:00:00"/>
    <m/>
  </r>
  <r>
    <s v="GP347294"/>
    <s v="CNT_MOX_ADP-SCM-STF-S"/>
    <s v="B856"/>
    <x v="4"/>
    <n v="2"/>
    <n v="0"/>
    <n v="-2"/>
    <n v="0"/>
    <d v="2026-08-01T00:00:00"/>
    <x v="6"/>
    <s v="agosto"/>
    <s v="2026"/>
    <x v="4"/>
    <n v="-2"/>
    <d v="2026-08-19T00:00:00"/>
    <m/>
  </r>
  <r>
    <s v="GP347778"/>
    <s v="LAFERT YAW MOTOR 60HZ 3.6KW"/>
    <s v="B856"/>
    <x v="4"/>
    <n v="2"/>
    <n v="8"/>
    <n v="6"/>
    <n v="0"/>
    <d v="2026-08-01T00:00:00"/>
    <x v="6"/>
    <s v="agosto"/>
    <s v="2026"/>
    <x v="2"/>
    <n v="-10"/>
    <d v="2026-07-31T00:00:00"/>
    <m/>
  </r>
  <r>
    <s v="GP347778"/>
    <s v="LAFERT YAW MOTOR 60HZ 3.6KW"/>
    <s v="B857"/>
    <x v="3"/>
    <n v="2"/>
    <n v="2"/>
    <n v="0"/>
    <n v="30"/>
    <d v="2026-11-01T00:00:00"/>
    <x v="0"/>
    <s v="novembro"/>
    <s v="2026"/>
    <x v="0"/>
    <m/>
    <m/>
    <s v="Embarcado no roteiro para B867 13 unids"/>
  </r>
  <r>
    <s v="GP347778"/>
    <s v="LAFERT YAW MOTOR 60HZ 3.6KW"/>
    <s v="B867"/>
    <x v="0"/>
    <n v="2"/>
    <n v="1"/>
    <n v="-1"/>
    <n v="8"/>
    <d v="2026-10-01T00:00:00"/>
    <x v="1"/>
    <s v="outubro"/>
    <s v="2026"/>
    <x v="1"/>
    <n v="6"/>
    <d v="2026-10-01T00:00:00"/>
    <m/>
  </r>
  <r>
    <s v="GP351497"/>
    <s v="INT_WEI_IE-SW-BL05T-5TX_1240850000"/>
    <s v="B838"/>
    <x v="7"/>
    <m/>
    <n v="0"/>
    <n v="0"/>
    <n v="0"/>
    <d v="2026-12-01T00:00:00"/>
    <x v="3"/>
    <s v="dezembro"/>
    <s v="2026"/>
    <x v="0"/>
    <m/>
    <m/>
    <s v="Embarcado no roteiro para B867 2 unids"/>
  </r>
  <r>
    <s v="GP371842"/>
    <s v="PROPORTIONAL VALVE 50-25L/MIN 10VDC"/>
    <s v="B838"/>
    <x v="7"/>
    <n v="2"/>
    <n v="8"/>
    <n v="6"/>
    <n v="6"/>
    <d v="2026-08-01T00:00:00"/>
    <x v="6"/>
    <s v="agosto"/>
    <s v="2026"/>
    <x v="2"/>
    <n v="-3"/>
    <d v="2026-08-19T00:00:00"/>
    <m/>
  </r>
  <r>
    <s v="GP371842"/>
    <s v="PROPORTIONAL VALVE 50-25L/MIN 10VDC"/>
    <s v="B856"/>
    <x v="4"/>
    <m/>
    <n v="0"/>
    <n v="0"/>
    <n v="0"/>
    <d v="2026-08-01T00:00:00"/>
    <x v="6"/>
    <s v="agosto"/>
    <s v="2026"/>
    <x v="2"/>
    <n v="-4"/>
    <d v="2026-08-19T00:00:00"/>
    <m/>
  </r>
  <r>
    <s v="GP371842"/>
    <s v="PROPORTIONAL VALVE 50-25L/MIN 10VDC"/>
    <s v="B857"/>
    <x v="3"/>
    <m/>
    <n v="1"/>
    <n v="1"/>
    <n v="0"/>
    <d v="2026-09-01T00:00:00"/>
    <x v="4"/>
    <s v="setembro"/>
    <s v="2026"/>
    <x v="2"/>
    <n v="3"/>
    <m/>
    <m/>
  </r>
  <r>
    <s v="GP371842"/>
    <s v="PROPORTIONAL VALVE 50-25L/MIN 10VDC"/>
    <s v="B867"/>
    <x v="0"/>
    <n v="2"/>
    <n v="5"/>
    <n v="3"/>
    <n v="0"/>
    <d v="2026-10-01T00:00:00"/>
    <x v="1"/>
    <s v="outubro"/>
    <s v="2026"/>
    <x v="1"/>
    <n v="3"/>
    <d v="2026-10-30T00:00:00"/>
    <m/>
  </r>
  <r>
    <s v="GP410281"/>
    <s v="ROD SEAL 105/120.1X6.3 M12T"/>
    <s v="B856"/>
    <x v="4"/>
    <m/>
    <n v="0"/>
    <n v="0"/>
    <n v="0"/>
    <d v="2026-08-01T00:00:00"/>
    <x v="6"/>
    <s v="agosto"/>
    <s v="2026"/>
    <x v="2"/>
    <n v="-4"/>
    <d v="2026-08-19T00:00:00"/>
    <m/>
  </r>
  <r>
    <s v="GP410281"/>
    <s v="ROD SEAL 105/120.1X6.3 M12T"/>
    <s v="B857"/>
    <x v="3"/>
    <m/>
    <n v="0"/>
    <n v="0"/>
    <n v="3"/>
    <d v="2026-10-01T00:00:00"/>
    <x v="1"/>
    <s v="outubro"/>
    <s v="2026"/>
    <x v="1"/>
    <n v="10"/>
    <d v="2026-10-30T00:00:00"/>
    <m/>
  </r>
  <r>
    <s v="GP410281"/>
    <s v="ROD SEAL 105/120.1X6.3 M12T"/>
    <s v="B867"/>
    <x v="0"/>
    <m/>
    <n v="0"/>
    <n v="0"/>
    <n v="3"/>
    <d v="2026-10-01T00:00:00"/>
    <x v="1"/>
    <s v="outubro"/>
    <s v="2026"/>
    <x v="1"/>
    <n v="10"/>
    <d v="2026-10-30T00:00:00"/>
    <m/>
  </r>
  <r>
    <s v="GP410281"/>
    <s v="ROD SEAL 105/120.1X6.3 M12T"/>
    <s v="B865"/>
    <x v="1"/>
    <n v="15"/>
    <n v="7"/>
    <n v="-8"/>
    <n v="0"/>
    <d v="2026-10-01T00:00:00"/>
    <x v="1"/>
    <s v="outubro"/>
    <s v="2026"/>
    <x v="1"/>
    <n v="7"/>
    <d v="2026-10-30T00:00:00"/>
    <m/>
  </r>
  <r>
    <s v="GP410281"/>
    <s v="ROD SEAL 105/120.1X6.3 M12T"/>
    <s v="B864"/>
    <x v="5"/>
    <n v="15"/>
    <n v="15"/>
    <n v="0"/>
    <n v="0"/>
    <d v="2026-11-01T00:00:00"/>
    <x v="0"/>
    <s v="novembro"/>
    <s v="2026"/>
    <x v="0"/>
    <m/>
    <m/>
    <m/>
  </r>
  <r>
    <s v="GP410282"/>
    <s v="ROD SEAL 105/120.1X6.3 M12T"/>
    <s v="B856"/>
    <x v="4"/>
    <n v="6"/>
    <n v="2"/>
    <n v="-4"/>
    <n v="0"/>
    <d v="2026-10-01T00:00:00"/>
    <x v="1"/>
    <s v="outubro"/>
    <s v="2026"/>
    <x v="1"/>
    <n v="10"/>
    <d v="2026-10-05T00:00:00"/>
    <m/>
  </r>
  <r>
    <s v="GP410282"/>
    <s v="ROD SEAL 105/120.1X6.3 M12T"/>
    <s v="B857"/>
    <x v="3"/>
    <n v="8"/>
    <n v="31"/>
    <n v="23"/>
    <n v="0"/>
    <d v="2026-10-01T00:00:00"/>
    <x v="1"/>
    <s v="outubro"/>
    <s v="2026"/>
    <x v="1"/>
    <n v="30"/>
    <d v="2026-10-19T00:00:00"/>
    <m/>
  </r>
  <r>
    <s v="GP410282"/>
    <s v="ROD SEAL 105/120.1X6.3 M12T"/>
    <s v="B867"/>
    <x v="0"/>
    <n v="2"/>
    <n v="20"/>
    <n v="18"/>
    <n v="0"/>
    <d v="2026-10-01T00:00:00"/>
    <x v="1"/>
    <s v="outubro"/>
    <s v="2026"/>
    <x v="1"/>
    <n v="30"/>
    <d v="2026-10-19T00:00:00"/>
    <m/>
  </r>
  <r>
    <s v="GP410282"/>
    <s v="ROD SEAL 105/120.1X6.3 M12T"/>
    <s v="B865"/>
    <x v="1"/>
    <n v="15"/>
    <n v="9"/>
    <n v="-6"/>
    <n v="0"/>
    <d v="2026-10-01T00:00:00"/>
    <x v="1"/>
    <s v="outubro"/>
    <s v="2026"/>
    <x v="1"/>
    <n v="6"/>
    <d v="2026-10-30T00:00:00"/>
    <m/>
  </r>
  <r>
    <s v="GP410282"/>
    <s v="ROD SEAL 105/120.1X6.3 M12T"/>
    <s v="B864"/>
    <x v="5"/>
    <n v="15"/>
    <n v="15"/>
    <n v="0"/>
    <n v="0"/>
    <d v="2026-10-01T00:00:00"/>
    <x v="1"/>
    <s v="outubro"/>
    <s v="2026"/>
    <x v="1"/>
    <n v="3"/>
    <d v="2026-10-19T00:00:00"/>
    <m/>
  </r>
  <r>
    <s v="GP411469"/>
    <s v="MOTOR 2P 112M 3.53KW B14 400VD 35HZ"/>
    <s v="B856"/>
    <x v="4"/>
    <n v="2"/>
    <n v="0"/>
    <n v="-2"/>
    <n v="0"/>
    <d v="2026-08-01T00:00:00"/>
    <x v="6"/>
    <s v="agosto"/>
    <s v="2026"/>
    <x v="4"/>
    <n v="-2"/>
    <d v="2026-08-19T00:00:00"/>
    <m/>
  </r>
  <r>
    <s v="GP411469"/>
    <s v="MOTOR 2P 112M 3.53KW B14 400VD 35HZ"/>
    <s v="B857"/>
    <x v="3"/>
    <n v="2"/>
    <n v="7"/>
    <n v="5"/>
    <n v="0"/>
    <d v="2026-08-01T00:00:00"/>
    <x v="6"/>
    <s v="agosto"/>
    <s v="2026"/>
    <x v="2"/>
    <n v="-6"/>
    <d v="2026-07-31T00:00:00"/>
    <m/>
  </r>
  <r>
    <s v="GP411469"/>
    <s v="MOTOR 2P 112M 3.53KW B14 400VD 35HZ"/>
    <s v="B867"/>
    <x v="0"/>
    <n v="2"/>
    <n v="0"/>
    <n v="-2"/>
    <n v="0"/>
    <d v="2027-03-01T00:00:00"/>
    <x v="7"/>
    <s v="março"/>
    <s v="2027"/>
    <x v="0"/>
    <m/>
    <m/>
    <m/>
  </r>
  <r>
    <s v="GP422280"/>
    <s v="FRECUENCY CONVERTER_SCH_ATV320U40N4B"/>
    <s v="B856"/>
    <x v="4"/>
    <n v="2"/>
    <n v="0"/>
    <n v="-2"/>
    <n v="0"/>
    <d v="2026-08-01T00:00:00"/>
    <x v="6"/>
    <s v="agosto"/>
    <s v="2026"/>
    <x v="4"/>
    <n v="-2"/>
    <d v="2026-08-19T00:00:00"/>
    <m/>
  </r>
  <r>
    <s v="GP422280"/>
    <s v="FRECUENCY CONVERTER_SCH_ATV320U40N4B"/>
    <s v="B857"/>
    <x v="3"/>
    <n v="2"/>
    <n v="1"/>
    <n v="-1"/>
    <n v="0"/>
    <d v="2026-08-01T00:00:00"/>
    <x v="6"/>
    <s v="agosto"/>
    <s v="2026"/>
    <x v="4"/>
    <n v="-1"/>
    <d v="2026-08-18T00:00:00"/>
    <m/>
  </r>
  <r>
    <s v="GP422280"/>
    <s v="FRECUENCY CONVERTER_SCH_ATV320U40N4B"/>
    <s v="B867"/>
    <x v="0"/>
    <n v="2"/>
    <n v="0"/>
    <n v="-2"/>
    <n v="2"/>
    <d v="2026-10-01T00:00:00"/>
    <x v="1"/>
    <s v="outubro"/>
    <s v="2026"/>
    <x v="1"/>
    <n v="3"/>
    <d v="2026-10-30T00:00:00"/>
    <m/>
  </r>
  <r>
    <s v="GP422280"/>
    <s v="FRECUENCY CONVERTER_SCH_ATV320U40N4B"/>
    <s v="B865"/>
    <x v="1"/>
    <n v="3"/>
    <n v="0"/>
    <n v="-3"/>
    <n v="2"/>
    <d v="2026-10-01T00:00:00"/>
    <x v="1"/>
    <s v="outubro"/>
    <s v="2026"/>
    <x v="1"/>
    <n v="2"/>
    <d v="2026-10-30T00:00:00"/>
    <m/>
  </r>
  <r>
    <s v="GP422280"/>
    <s v="FRECUENCY CONVERTER_SCH_ATV320U40N4B"/>
    <s v="B864"/>
    <x v="5"/>
    <n v="1"/>
    <n v="1"/>
    <n v="0"/>
    <n v="0"/>
    <d v="2026-11-01T00:00:00"/>
    <x v="0"/>
    <s v="novembro"/>
    <s v="2026"/>
    <x v="0"/>
    <m/>
    <m/>
    <m/>
  </r>
  <r>
    <s v="GP459925"/>
    <s v="GEN PITCH CYLINDER 160-105-1175 HC HD"/>
    <s v="B856"/>
    <x v="4"/>
    <m/>
    <n v="1"/>
    <n v="1"/>
    <n v="0"/>
    <d v="2026-11-01T00:00:00"/>
    <x v="0"/>
    <s v="novembro"/>
    <s v="2026"/>
    <x v="0"/>
    <m/>
    <m/>
    <m/>
  </r>
  <r>
    <s v="GP459925"/>
    <s v="GEN PITCH CYLINDER 160-105-1175 HC HD"/>
    <s v="B857"/>
    <x v="3"/>
    <m/>
    <n v="0"/>
    <n v="0"/>
    <n v="8"/>
    <d v="2027-01-01T00:00:00"/>
    <x v="2"/>
    <s v="janeiro"/>
    <s v="2027"/>
    <x v="5"/>
    <m/>
    <m/>
    <s v="RC apenas para B856"/>
  </r>
  <r>
    <s v="GP459925"/>
    <s v="GEN PITCH CYLINDER 160-105-1175 HC HD"/>
    <s v="B867"/>
    <x v="0"/>
    <m/>
    <n v="0"/>
    <n v="0"/>
    <n v="3"/>
    <d v="2026-12-01T00:00:00"/>
    <x v="3"/>
    <s v="dezembro"/>
    <s v="2026"/>
    <x v="5"/>
    <m/>
    <m/>
    <s v="Chegou no Brasil, Desembaraço "/>
  </r>
  <r>
    <s v="GP467716"/>
    <s v="SPARE KIT IGBT MOD + ADAPT BOARD_ AS3347"/>
    <s v="B838"/>
    <x v="7"/>
    <n v="9"/>
    <n v="0"/>
    <n v="-9"/>
    <n v="2"/>
    <d v="2026-10-01T00:00:00"/>
    <x v="1"/>
    <s v="outubro"/>
    <s v="2026"/>
    <x v="1"/>
    <n v="3"/>
    <d v="2026-10-30T00:00:00"/>
    <s v="Alternativo GP589979"/>
  </r>
  <r>
    <s v="GP486500"/>
    <s v="BAS-PLC-BPT-24DC/21-2900445"/>
    <s v="B832"/>
    <x v="2"/>
    <n v="5"/>
    <n v="6"/>
    <n v="1"/>
    <n v="0"/>
    <d v="2026-11-01T00:00:00"/>
    <x v="0"/>
    <s v="novembro"/>
    <s v="2026"/>
    <x v="0"/>
    <m/>
    <m/>
    <m/>
  </r>
  <r>
    <s v="GP486500"/>
    <s v="BAS-PLC-BPT-24DC/21-2900445"/>
    <s v="B856"/>
    <x v="4"/>
    <n v="5"/>
    <n v="5"/>
    <n v="0"/>
    <n v="0"/>
    <d v="2026-11-01T00:00:00"/>
    <x v="0"/>
    <s v="novembro"/>
    <s v="2026"/>
    <x v="0"/>
    <m/>
    <m/>
    <m/>
  </r>
  <r>
    <s v="GP486500"/>
    <s v="BAS-PLC-BPT-24DC/21-2900445"/>
    <s v="B857"/>
    <x v="3"/>
    <n v="10"/>
    <n v="6"/>
    <n v="-4"/>
    <n v="9"/>
    <d v="2026-11-01T00:00:00"/>
    <x v="0"/>
    <s v="novembro"/>
    <s v="2026"/>
    <x v="0"/>
    <m/>
    <m/>
    <m/>
  </r>
  <r>
    <s v="GP486500"/>
    <s v="BAS-PLC-BPT-24DC/21-2900445"/>
    <s v="B867"/>
    <x v="0"/>
    <n v="9"/>
    <n v="0"/>
    <n v="-9"/>
    <n v="5"/>
    <d v="2026-10-01T00:00:00"/>
    <x v="1"/>
    <s v="outubro"/>
    <s v="2026"/>
    <x v="1"/>
    <n v="10"/>
    <d v="2026-10-30T00:00:00"/>
    <s v="64 embarca 60 unid"/>
  </r>
  <r>
    <s v="GP525859"/>
    <s v="SCRAPER 105/117.2X8.1 M12T"/>
    <s v="B864"/>
    <x v="5"/>
    <n v="15"/>
    <n v="13"/>
    <n v="-2"/>
    <n v="0"/>
    <d v="2026-12-01T00:00:00"/>
    <x v="3"/>
    <s v="dezembro"/>
    <s v="2026"/>
    <x v="0"/>
    <m/>
    <m/>
    <m/>
  </r>
  <r>
    <s v="GP525859"/>
    <s v="SCRAPER 105/117.2X8.1 M12T"/>
    <s v="B865"/>
    <x v="1"/>
    <n v="15"/>
    <n v="6"/>
    <n v="-9"/>
    <n v="0"/>
    <d v="2026-12-01T00:00:00"/>
    <x v="3"/>
    <s v="dezembro"/>
    <s v="2026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BAC14-1160-4937-B17C-312D535727C1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 rowHeaderCaption="Criticos por Parque ">
  <location ref="A3:B5" firstHeaderRow="1" firstDataRow="1" firstDataCol="1"/>
  <pivotFields count="16">
    <pivotField dataField="1" showAll="0"/>
    <pivotField showAll="0"/>
    <pivotField showAll="0"/>
    <pivotField axis="axisRow" showAll="0">
      <items count="19">
        <item h="1" m="1" x="12"/>
        <item h="1" m="1" x="13"/>
        <item h="1" m="1" x="17"/>
        <item h="1" m="1" x="14"/>
        <item h="1" m="1" x="15"/>
        <item h="1" m="1" x="11"/>
        <item h="1" m="1" x="10"/>
        <item h="1" m="1" x="16"/>
        <item h="1" x="6"/>
        <item h="1" x="5"/>
        <item h="1" m="1" x="8"/>
        <item x="1"/>
        <item h="1" x="2"/>
        <item h="1" x="7"/>
        <item h="1" x="4"/>
        <item h="1" x="3"/>
        <item h="1" x="0"/>
        <item h="1"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h="1" x="5"/>
        <item x="1"/>
        <item h="1" x="2"/>
        <item h="1" x="4"/>
        <item h="1" x="6"/>
        <item h="1" x="0"/>
        <item h="1" m="1" x="7"/>
        <item h="1" x="3"/>
        <item h="1" m="1" x="8"/>
        <item t="default"/>
      </items>
    </pivotField>
    <pivotField showAll="0"/>
    <pivotField showAll="0"/>
    <pivotField showAll="0"/>
  </pivotFields>
  <rowFields count="1">
    <field x="3"/>
  </rowFields>
  <rowItems count="2">
    <i>
      <x v="11"/>
    </i>
    <i t="grand">
      <x/>
    </i>
  </rowItems>
  <colItems count="1">
    <i/>
  </colItems>
  <dataFields count="1">
    <dataField name="Contagem de GP" fld="0" subtotal="count" showDataAs="percentOfTotal" baseField="0" baseItem="0" numFmtId="10"/>
  </dataFields>
  <formats count="1">
    <format dxfId="1">
      <pivotArea collapsedLevelsAreSubtotals="1" fieldPosition="0">
        <references count="1">
          <reference field="3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6D86C-D4A2-4EBD-B4B8-F4A68D0574EE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27:A28" firstHeaderRow="1" firstDataRow="1" firstDataCol="0"/>
  <pivotFields count="16">
    <pivotField dataField="1" showAll="0"/>
    <pivotField showAll="0"/>
    <pivotField showAll="0"/>
    <pivotField showAll="0">
      <items count="19">
        <item h="1" m="1" x="12"/>
        <item h="1" m="1" x="13"/>
        <item h="1" m="1" x="17"/>
        <item h="1" m="1" x="14"/>
        <item h="1" m="1" x="15"/>
        <item h="1" m="1" x="11"/>
        <item h="1" m="1" x="10"/>
        <item h="1" m="1" x="16"/>
        <item h="1" x="6"/>
        <item h="1" x="5"/>
        <item h="1" m="1" x="8"/>
        <item x="1"/>
        <item h="1" x="2"/>
        <item h="1" x="7"/>
        <item h="1" x="4"/>
        <item h="1" x="3"/>
        <item h="1" x="0"/>
        <item h="1"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h="1" x="5"/>
        <item x="1"/>
        <item h="1" x="2"/>
        <item h="1" x="4"/>
        <item h="1" x="6"/>
        <item h="1" x="0"/>
        <item h="1" m="1" x="7"/>
        <item h="1" x="3"/>
        <item h="1" m="1" x="8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Total Criticos" fld="0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9EA2A-6C67-4ED0-A9A2-314AD10ABDC7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Status">
  <location ref="A16:B24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5"/>
        <item x="2"/>
        <item x="4"/>
        <item x="6"/>
        <item x="0"/>
        <item m="1" x="7"/>
        <item x="3"/>
        <item m="1"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8">
    <i>
      <x v="8"/>
    </i>
    <i>
      <x v="4"/>
    </i>
    <i>
      <x v="1"/>
    </i>
    <i>
      <x v="2"/>
    </i>
    <i>
      <x/>
    </i>
    <i>
      <x v="6"/>
    </i>
    <i>
      <x v="3"/>
    </i>
    <i t="grand">
      <x/>
    </i>
  </rowItems>
  <colItems count="1">
    <i/>
  </colItems>
  <dataFields count="1">
    <dataField name="Contagem de GP" fld="0" subtotal="count" showDataAs="percentOfTotal" baseField="5" baseItem="0" numFmtId="10"/>
  </dataField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AAF0B-AEAC-48DF-A9A2-8F3C8E4D9A51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Previsão parque ">
  <location ref="D3:E10" firstHeaderRow="1" firstDataRow="1" firstDataCol="1" rowPageCount="1" colPageCount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6">
        <item x="8"/>
        <item m="1" x="16"/>
        <item m="1" x="14"/>
        <item m="1" x="20"/>
        <item m="1" x="22"/>
        <item m="1" x="21"/>
        <item m="1" x="19"/>
        <item m="1" x="13"/>
        <item m="1" x="18"/>
        <item m="1" x="15"/>
        <item m="1" x="17"/>
        <item m="1" x="12"/>
        <item x="6"/>
        <item m="1" x="10"/>
        <item x="5"/>
        <item m="1" x="34"/>
        <item x="2"/>
        <item x="7"/>
        <item x="0"/>
        <item x="1"/>
        <item x="4"/>
        <item m="1" x="11"/>
        <item m="1" x="24"/>
        <item m="1" x="29"/>
        <item m="1" x="23"/>
        <item m="1" x="25"/>
        <item m="1" x="27"/>
        <item m="1" x="26"/>
        <item m="1" x="30"/>
        <item m="1" x="32"/>
        <item m="1" x="31"/>
        <item m="1" x="28"/>
        <item m="1" x="33"/>
        <item m="1"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10">
        <item h="1" x="5"/>
        <item h="1" x="2"/>
        <item h="1" x="4"/>
        <item h="1" x="6"/>
        <item x="0"/>
        <item m="1" x="7"/>
        <item h="1" x="3"/>
        <item h="1" m="1" x="8"/>
        <item x="1"/>
        <item t="default"/>
      </items>
    </pivotField>
    <pivotField showAll="0"/>
    <pivotField showAll="0"/>
    <pivotField showAll="0"/>
  </pivotFields>
  <rowFields count="1">
    <field x="9"/>
  </rowFields>
  <rowItems count="7">
    <i>
      <x v="17"/>
    </i>
    <i>
      <x v="14"/>
    </i>
    <i>
      <x v="16"/>
    </i>
    <i>
      <x v="34"/>
    </i>
    <i>
      <x v="18"/>
    </i>
    <i>
      <x v="19"/>
    </i>
    <i t="grand">
      <x/>
    </i>
  </rowItems>
  <colItems count="1">
    <i/>
  </colItems>
  <pageFields count="1">
    <pageField fld="12" hier="-1"/>
  </pageFields>
  <dataFields count="1">
    <dataField name="Contagem de GP" fld="0" subtotal="count" showDataAs="percentOfTotal" baseField="0" baseItem="0" numFmtId="10"/>
  </dataFields>
  <formats count="1">
    <format dxfId="2">
      <pivotArea collapsedLevelsAreSubtotals="1" fieldPosition="0">
        <references count="1">
          <reference field="9" count="8">
            <x v="0"/>
            <x v="14"/>
            <x v="16"/>
            <x v="17"/>
            <x v="18"/>
            <x v="19"/>
            <x v="20"/>
            <x v="21"/>
          </reference>
        </references>
      </pivotArea>
    </format>
  </format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4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30775-8F36-4AB8-9047-6A2200C16199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D16:E18" firstHeaderRow="1" firstDataRow="1" firstDataCol="1"/>
  <pivotFields count="16">
    <pivotField dataField="1" showAll="0"/>
    <pivotField showAll="0"/>
    <pivotField showAll="0"/>
    <pivotField showAll="0">
      <items count="19">
        <item h="1" m="1" x="12"/>
        <item h="1" m="1" x="13"/>
        <item h="1" m="1" x="17"/>
        <item h="1" m="1" x="14"/>
        <item h="1" m="1" x="15"/>
        <item h="1" m="1" x="11"/>
        <item h="1" m="1" x="10"/>
        <item h="1" m="1" x="16"/>
        <item h="1" x="6"/>
        <item h="1" x="5"/>
        <item h="1" m="1" x="8"/>
        <item x="1"/>
        <item h="1" x="2"/>
        <item h="1" x="7"/>
        <item h="1" x="4"/>
        <item h="1" x="3"/>
        <item h="1" x="0"/>
        <item h="1" m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h="1" x="5"/>
        <item h="1" x="2"/>
        <item h="1" x="4"/>
        <item h="1" x="6"/>
        <item h="1" x="0"/>
        <item h="1" m="1" x="7"/>
        <item h="1" x="3"/>
        <item h="1" m="1" x="8"/>
        <item x="1"/>
        <item t="default"/>
      </items>
    </pivotField>
    <pivotField showAll="0"/>
    <pivotField showAll="0"/>
    <pivotField showAll="0"/>
  </pivotFields>
  <rowFields count="1">
    <field x="12"/>
  </rowFields>
  <rowItems count="2">
    <i>
      <x v="8"/>
    </i>
    <i t="grand">
      <x/>
    </i>
  </rowItems>
  <colItems count="1">
    <i/>
  </colItems>
  <dataFields count="1">
    <dataField name="Contagem de GP" fld="0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ta" xr10:uid="{99A56AFC-4EFF-4E76-B6BA-CAF6BDC359D0}" sourceName="Planta">
  <pivotTables>
    <pivotTable tabId="2" name="Tabela dinâmica4"/>
    <pivotTable tabId="2" name="Tabela dinâmica7"/>
    <pivotTable tabId="2" name="Tabela dinâmica8"/>
  </pivotTables>
  <data>
    <tabular pivotCacheId="1305302307">
      <items count="18">
        <i x="6"/>
        <i x="5"/>
        <i x="1" s="1"/>
        <i x="7"/>
        <i x="4"/>
        <i x="3"/>
        <i x="0"/>
        <i x="12" nd="1"/>
        <i x="13" nd="1"/>
        <i x="17" nd="1"/>
        <i x="14" nd="1"/>
        <i x="15" nd="1"/>
        <i x="11" nd="1"/>
        <i x="10" nd="1"/>
        <i x="16" nd="1"/>
        <i x="8" nd="1"/>
        <i x="2" nd="1"/>
        <i x="9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CC3A3D34-DB8D-4CB8-A9A1-39D2279D24BF}" sourceName="Status">
  <pivotTables>
    <pivotTable tabId="2" name="Tabela dinâmica4"/>
    <pivotTable tabId="2" name="Tabela dinâmica7"/>
    <pivotTable tabId="2" name="Tabela dinâmica8"/>
  </pivotTables>
  <data>
    <tabular pivotCacheId="1305302307">
      <items count="9">
        <i x="5"/>
        <i x="1" s="1"/>
        <i x="2"/>
        <i x="4"/>
        <i x="0"/>
        <i x="6" nd="1"/>
        <i x="7" nd="1"/>
        <i x="3" nd="1"/>
        <i x="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ta" xr10:uid="{B5B81E5E-7472-4C6E-9928-5CE46BBBB5A1}" cache="SegmentaçãodeDados_Planta" caption="Planta" rowHeight="251883"/>
  <slicer name="Status" xr10:uid="{44DFEA1D-4FDE-4C7C-8FB5-6EFC3E07F156}" cache="SegmentaçãodeDados_Status" caption="Status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8B3BA-37CD-43C0-9B81-816DBED35C62}" name="Tabela1" displayName="Tabela1" ref="B1:Q97" totalsRowShown="0" headerRowDxfId="18" tableBorderDxfId="17">
  <autoFilter ref="B1:Q97" xr:uid="{8578B3BA-37CD-43C0-9B81-816DBED35C62}">
    <filterColumn colId="2">
      <filters>
        <filter val="B825"/>
      </filters>
    </filterColumn>
  </autoFilter>
  <tableColumns count="16">
    <tableColumn id="1" xr3:uid="{9964D17C-DC6F-4297-A60A-5B348E349409}" name="GP" dataDxfId="16"/>
    <tableColumn id="2" xr3:uid="{AEDB6D31-8874-4BCF-8F55-A94A72E8C7D7}" name="Descrição"/>
    <tableColumn id="5" xr3:uid="{2730BE31-3EEA-4B99-9A6A-2485B2B67A42}" name="Parque" dataDxfId="15"/>
    <tableColumn id="6" xr3:uid="{DF064AC1-5D4D-4BFB-A5DA-29671382A875}" name="Planta" dataDxfId="14"/>
    <tableColumn id="4" xr3:uid="{7257A29D-7894-447A-8036-D3D81A050DD8}" name="LRR" dataDxfId="13"/>
    <tableColumn id="9" xr3:uid="{69CAB6F4-F715-4697-AAE4-3BB9B3C427B5}" name="Estoque Parque" dataDxfId="12">
      <calculatedColumnFormula>IFERROR(VLOOKUP(A2,'Est. Parq.'!A:J,10,0),0)</calculatedColumnFormula>
    </tableColumn>
    <tableColumn id="15" xr3:uid="{BC786195-7451-4A9E-B394-4B13B74165EF}" name="Estoque Ok/Nok" dataDxfId="11">
      <calculatedColumnFormula>Tabela1[[#This Row],[Estoque Parque]]-Tabela1[[#This Row],[LRR]]</calculatedColumnFormula>
    </tableColumn>
    <tableColumn id="8" xr3:uid="{B58300AC-7ADE-420F-B5E0-5ADB753D1BFE}" name="Quant. PO " dataDxfId="10">
      <calculatedColumnFormula>SUMIF(SQVI!B:B,Base!A2,SQVI!V:V)</calculatedColumnFormula>
    </tableColumn>
    <tableColumn id="12" xr3:uid="{1FDE78FC-C4E1-42EF-AB0C-B985C25E9F9E}" name="Previsão no Parque " dataDxfId="9"/>
    <tableColumn id="7" xr3:uid="{658496DF-0A91-4CAB-AE47-F899405FDB88}" name="Mes/Ano" dataDxfId="8">
      <calculatedColumnFormula>UPPER(TEXT(Tabela1[[#This Row],[Previsão no Parque ]],"mmm/aaaa"))</calculatedColumnFormula>
    </tableColumn>
    <tableColumn id="11" xr3:uid="{C16DCB5A-8B10-4F64-BC9D-6525EB07D700}" name="Coluna4" dataDxfId="7">
      <calculatedColumnFormula>TEXT(Tabela1[[#This Row],[Previsão no Parque ]],"MMMM")</calculatedColumnFormula>
    </tableColumn>
    <tableColumn id="10" xr3:uid="{A5606D20-6FD7-415E-8016-5F6D4D513B9A}" name="Coluna3" dataDxfId="6">
      <calculatedColumnFormula>TEXT(Tabela1[[#This Row],[Previsão no Parque ]],"AAAA")</calculatedColumnFormula>
    </tableColumn>
    <tableColumn id="3" xr3:uid="{06F18C0E-BE8E-4AF0-97C5-0C46ACE07CA3}" name="Status" dataDxfId="5"/>
    <tableColumn id="16" xr3:uid="{62498DF0-5772-4D26-BDE8-651EF908B5FB}" name="Quant. Entregue" dataDxfId="4"/>
    <tableColumn id="17" xr3:uid="{C9ACE2F4-20E2-4096-BE5A-C907157CC604}" name="Data entrega " dataDxfId="3"/>
    <tableColumn id="13" xr3:uid="{F4E7745D-91A9-4665-B886-9DDC74C0D112}" name="Ob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etropolitano">
  <a:themeElements>
    <a:clrScheme name="Metropolitano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o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2672-C82F-4E3E-9AAB-26947CD66A8F}">
  <dimension ref="A1:Q97"/>
  <sheetViews>
    <sheetView workbookViewId="0">
      <pane xSplit="5" topLeftCell="F1" activePane="topRight" state="frozen"/>
      <selection pane="topRight" activeCell="E1" sqref="E1:E97"/>
    </sheetView>
  </sheetViews>
  <sheetFormatPr defaultRowHeight="14.5" x14ac:dyDescent="0.35"/>
  <cols>
    <col min="1" max="1" width="13.7265625" hidden="1" customWidth="1"/>
    <col min="2" max="2" width="9.54296875" bestFit="1" customWidth="1"/>
    <col min="3" max="3" width="35.90625" customWidth="1"/>
    <col min="4" max="4" width="11.54296875" style="4" bestFit="1" customWidth="1"/>
    <col min="5" max="5" width="22.54296875" bestFit="1" customWidth="1"/>
    <col min="6" max="6" width="10.36328125" bestFit="1" customWidth="1"/>
    <col min="7" max="7" width="12" customWidth="1"/>
    <col min="8" max="8" width="12.453125" hidden="1" customWidth="1"/>
    <col min="9" max="9" width="14.26953125" hidden="1" customWidth="1"/>
    <col min="10" max="10" width="12.7265625" style="13" customWidth="1"/>
    <col min="11" max="11" width="13.36328125" style="13" hidden="1" customWidth="1"/>
    <col min="12" max="12" width="19.26953125" style="13" hidden="1" customWidth="1"/>
    <col min="13" max="13" width="12.453125" style="13" hidden="1" customWidth="1"/>
    <col min="14" max="14" width="10.7265625" style="5" customWidth="1"/>
    <col min="15" max="15" width="13.36328125" style="4" bestFit="1" customWidth="1"/>
    <col min="16" max="16" width="15" style="31" customWidth="1"/>
    <col min="17" max="17" width="57.08984375" bestFit="1" customWidth="1"/>
  </cols>
  <sheetData>
    <row r="1" spans="1:17" s="4" customFormat="1" ht="29" x14ac:dyDescent="0.35">
      <c r="A1" s="4" t="s">
        <v>125</v>
      </c>
      <c r="B1" s="9" t="s">
        <v>0</v>
      </c>
      <c r="C1" s="1" t="s">
        <v>1</v>
      </c>
      <c r="D1" s="2" t="s">
        <v>3</v>
      </c>
      <c r="E1" s="2" t="s">
        <v>2</v>
      </c>
      <c r="F1" s="2" t="s">
        <v>126</v>
      </c>
      <c r="G1" s="2" t="s">
        <v>3147</v>
      </c>
      <c r="H1" s="2" t="s">
        <v>3144</v>
      </c>
      <c r="I1" s="2" t="s">
        <v>1122</v>
      </c>
      <c r="J1" s="12" t="s">
        <v>4</v>
      </c>
      <c r="K1" s="12" t="s">
        <v>116</v>
      </c>
      <c r="L1" s="12" t="s">
        <v>123</v>
      </c>
      <c r="M1" s="12" t="s">
        <v>122</v>
      </c>
      <c r="N1" s="33" t="s">
        <v>5</v>
      </c>
      <c r="O1" s="2" t="s">
        <v>3145</v>
      </c>
      <c r="P1" s="32" t="s">
        <v>3146</v>
      </c>
      <c r="Q1" s="32" t="s">
        <v>3149</v>
      </c>
    </row>
    <row r="2" spans="1:17" hidden="1" x14ac:dyDescent="0.35">
      <c r="A2" t="str">
        <f t="shared" ref="A2:A33" si="0">_xlfn.CONCAT(B2,D2)</f>
        <v>GP127960B867</v>
      </c>
      <c r="B2" t="s">
        <v>60</v>
      </c>
      <c r="C2" t="s">
        <v>61</v>
      </c>
      <c r="D2" s="4" t="s">
        <v>25</v>
      </c>
      <c r="E2" s="3" t="s">
        <v>26</v>
      </c>
      <c r="F2" s="3">
        <v>2</v>
      </c>
      <c r="G2" s="3">
        <f>IFERROR(VLOOKUP(A2,'Est. Parq.'!A:J,10,0),0)</f>
        <v>1</v>
      </c>
      <c r="H2" s="3">
        <f>Tabela1[[#This Row],[Estoque Parque]]-Tabela1[[#This Row],[LRR]]</f>
        <v>-1</v>
      </c>
      <c r="I2" s="3">
        <f>SUMIF(SQVI!B:B,Base!A35,SQVI!V:V)</f>
        <v>0</v>
      </c>
      <c r="J2" s="13">
        <v>46327</v>
      </c>
      <c r="K2" s="13" t="str">
        <f>UPPER(TEXT(Tabela1[[#This Row],[Previsão no Parque ]],"mmm/aaaa"))</f>
        <v>NOV/2026</v>
      </c>
      <c r="L2" s="13" t="str">
        <f>TEXT(Tabela1[[#This Row],[Previsão no Parque ]],"MMMM")</f>
        <v>novembro</v>
      </c>
      <c r="M2" s="13" t="str">
        <f>TEXT(Tabela1[[#This Row],[Previsão no Parque ]],"AAAA")</f>
        <v>2026</v>
      </c>
      <c r="N2" s="34" t="s">
        <v>18</v>
      </c>
      <c r="O2" s="4">
        <v>-2</v>
      </c>
      <c r="P2" s="31">
        <v>46234</v>
      </c>
      <c r="Q2" t="s">
        <v>3155</v>
      </c>
    </row>
    <row r="3" spans="1:17" hidden="1" x14ac:dyDescent="0.35">
      <c r="A3" t="str">
        <f t="shared" si="0"/>
        <v>GP131157B865</v>
      </c>
      <c r="B3" t="s">
        <v>62</v>
      </c>
      <c r="C3" t="s">
        <v>63</v>
      </c>
      <c r="D3" s="4" t="s">
        <v>7</v>
      </c>
      <c r="E3" s="3" t="s">
        <v>8</v>
      </c>
      <c r="F3" s="3">
        <v>50</v>
      </c>
      <c r="G3" s="3">
        <f>IFERROR(VLOOKUP(A3,'Est. Parq.'!A:J,10,0),0)</f>
        <v>0</v>
      </c>
      <c r="H3" s="3">
        <f>Tabela1[[#This Row],[Estoque Parque]]-Tabela1[[#This Row],[LRR]]</f>
        <v>-50</v>
      </c>
      <c r="I3" s="3">
        <f>SUMIF(SQVI!B:B,Base!A38,SQVI!V:V)</f>
        <v>2</v>
      </c>
      <c r="J3" s="13">
        <v>46296</v>
      </c>
      <c r="K3" s="13" t="str">
        <f>UPPER(TEXT(Tabela1[[#This Row],[Previsão no Parque ]],"mmm/aaaa"))</f>
        <v>OUT/2026</v>
      </c>
      <c r="L3" s="13" t="str">
        <f>TEXT(Tabela1[[#This Row],[Previsão no Parque ]],"MMMM")</f>
        <v>outubro</v>
      </c>
      <c r="M3" s="13" t="str">
        <f>TEXT(Tabela1[[#This Row],[Previsão no Parque ]],"AAAA")</f>
        <v>2026</v>
      </c>
      <c r="N3" s="34" t="s">
        <v>3152</v>
      </c>
      <c r="O3" s="4">
        <v>350</v>
      </c>
      <c r="P3" s="31">
        <v>46225</v>
      </c>
    </row>
    <row r="4" spans="1:17" hidden="1" x14ac:dyDescent="0.35">
      <c r="A4" t="str">
        <f t="shared" si="0"/>
        <v>GP241858B832</v>
      </c>
      <c r="B4" t="s">
        <v>70</v>
      </c>
      <c r="C4" s="6" t="s">
        <v>71</v>
      </c>
      <c r="D4" s="4" t="s">
        <v>19</v>
      </c>
      <c r="E4" s="3" t="s">
        <v>20</v>
      </c>
      <c r="F4" s="3">
        <v>2</v>
      </c>
      <c r="G4" s="3">
        <f>IFERROR(VLOOKUP(A4,'Est. Parq.'!A:J,10,0),0)</f>
        <v>2</v>
      </c>
      <c r="H4" s="3">
        <f>Tabela1[[#This Row],[Estoque Parque]]-Tabela1[[#This Row],[LRR]]</f>
        <v>0</v>
      </c>
      <c r="I4" s="3">
        <f>SUMIF(SQVI!B:B,Base!A44,SQVI!V:V)</f>
        <v>750</v>
      </c>
      <c r="J4" s="13">
        <v>46388</v>
      </c>
      <c r="K4" s="13" t="str">
        <f>UPPER(TEXT(Tabela1[[#This Row],[Previsão no Parque ]],"mmm/aaaa"))</f>
        <v>JAN/2027</v>
      </c>
      <c r="L4" s="13" t="str">
        <f>TEXT(Tabela1[[#This Row],[Previsão no Parque ]],"MMMM")</f>
        <v>janeiro</v>
      </c>
      <c r="M4" s="13" t="str">
        <f>TEXT(Tabela1[[#This Row],[Previsão no Parque ]],"AAAA")</f>
        <v>2027</v>
      </c>
      <c r="N4" s="34" t="s">
        <v>18</v>
      </c>
      <c r="O4" s="4">
        <v>-1</v>
      </c>
      <c r="P4" s="31">
        <v>46188</v>
      </c>
      <c r="Q4" t="s">
        <v>3156</v>
      </c>
    </row>
    <row r="5" spans="1:17" hidden="1" x14ac:dyDescent="0.35">
      <c r="A5" t="str">
        <f t="shared" si="0"/>
        <v>GP249817B857</v>
      </c>
      <c r="B5" t="s">
        <v>72</v>
      </c>
      <c r="C5" t="s">
        <v>73</v>
      </c>
      <c r="D5" s="4" t="s">
        <v>23</v>
      </c>
      <c r="E5" s="3" t="s">
        <v>24</v>
      </c>
      <c r="F5" s="3">
        <v>2</v>
      </c>
      <c r="G5" s="3">
        <f>IFERROR(VLOOKUP(A5,'Est. Parq.'!A:J,10,0),0)</f>
        <v>0</v>
      </c>
      <c r="H5" s="3">
        <f>Tabela1[[#This Row],[Estoque Parque]]-Tabela1[[#This Row],[LRR]]</f>
        <v>-2</v>
      </c>
      <c r="I5" s="3">
        <f>SUMIF(SQVI!B:B,Base!A47,SQVI!V:V)</f>
        <v>0</v>
      </c>
      <c r="J5" s="13">
        <v>46296</v>
      </c>
      <c r="K5" s="13" t="str">
        <f>UPPER(TEXT(Tabela1[[#This Row],[Previsão no Parque ]],"mmm/aaaa"))</f>
        <v>OUT/2026</v>
      </c>
      <c r="L5" s="13" t="str">
        <f>TEXT(Tabela1[[#This Row],[Previsão no Parque ]],"MMMM")</f>
        <v>outubro</v>
      </c>
      <c r="M5" s="13" t="str">
        <f>TEXT(Tabela1[[#This Row],[Previsão no Parque ]],"AAAA")</f>
        <v>2026</v>
      </c>
      <c r="N5" s="34" t="s">
        <v>3152</v>
      </c>
      <c r="O5" s="4">
        <v>2</v>
      </c>
      <c r="P5" s="31">
        <v>46325</v>
      </c>
    </row>
    <row r="6" spans="1:17" hidden="1" x14ac:dyDescent="0.35">
      <c r="A6" t="str">
        <f t="shared" si="0"/>
        <v>GP525859B856</v>
      </c>
      <c r="B6" t="s">
        <v>110</v>
      </c>
      <c r="C6" t="s">
        <v>111</v>
      </c>
      <c r="D6" s="4" t="s">
        <v>21</v>
      </c>
      <c r="E6" s="3" t="s">
        <v>22</v>
      </c>
      <c r="F6" s="3">
        <v>4</v>
      </c>
      <c r="G6" s="3">
        <f>IFERROR(VLOOKUP(A6,'Est. Parq.'!A:J,10,0),0)</f>
        <v>2</v>
      </c>
      <c r="H6" s="3">
        <f>Tabela1[[#This Row],[Estoque Parque]]-Tabela1[[#This Row],[LRR]]</f>
        <v>-2</v>
      </c>
      <c r="I6" s="3">
        <f>SUMIF(SQVI!B:B,Base!A93,SQVI!V:V)</f>
        <v>0</v>
      </c>
      <c r="J6" s="13">
        <v>46357</v>
      </c>
      <c r="K6" s="13" t="str">
        <f>UPPER(TEXT(Tabela1[[#This Row],[Previsão no Parque ]],"mmm/aaaa"))</f>
        <v>DEZ/2026</v>
      </c>
      <c r="L6" s="13" t="str">
        <f>TEXT(Tabela1[[#This Row],[Previsão no Parque ]],"MMMM")</f>
        <v>dezembro</v>
      </c>
      <c r="M6" s="13" t="str">
        <f>TEXT(Tabela1[[#This Row],[Previsão no Parque ]],"AAAA")</f>
        <v>2026</v>
      </c>
      <c r="N6" s="34" t="s">
        <v>18</v>
      </c>
      <c r="Q6" t="s">
        <v>3259</v>
      </c>
    </row>
    <row r="7" spans="1:17" hidden="1" x14ac:dyDescent="0.35">
      <c r="A7" t="str">
        <f t="shared" si="0"/>
        <v>GP525859B857</v>
      </c>
      <c r="B7" t="s">
        <v>110</v>
      </c>
      <c r="C7" t="s">
        <v>111</v>
      </c>
      <c r="D7" s="4" t="s">
        <v>23</v>
      </c>
      <c r="E7" s="3" t="s">
        <v>24</v>
      </c>
      <c r="F7" s="3">
        <v>8</v>
      </c>
      <c r="G7" s="3">
        <f>IFERROR(VLOOKUP(A7,'Est. Parq.'!A:J,10,0),0)</f>
        <v>15</v>
      </c>
      <c r="H7" s="3">
        <f>Tabela1[[#This Row],[Estoque Parque]]-Tabela1[[#This Row],[LRR]]</f>
        <v>7</v>
      </c>
      <c r="I7" s="3">
        <f>SUMIF(SQVI!B:B,Base!A94,SQVI!V:V)</f>
        <v>60</v>
      </c>
      <c r="J7" s="13">
        <v>46296</v>
      </c>
      <c r="K7" s="13" t="str">
        <f>UPPER(TEXT(Tabela1[[#This Row],[Previsão no Parque ]],"mmm/aaaa"))</f>
        <v>OUT/2026</v>
      </c>
      <c r="L7" s="13" t="str">
        <f>TEXT(Tabela1[[#This Row],[Previsão no Parque ]],"MMMM")</f>
        <v>outubro</v>
      </c>
      <c r="M7" s="13" t="str">
        <f>TEXT(Tabela1[[#This Row],[Previsão no Parque ]],"AAAA")</f>
        <v>2026</v>
      </c>
      <c r="N7" s="34" t="s">
        <v>3152</v>
      </c>
      <c r="O7" s="4">
        <v>9</v>
      </c>
      <c r="P7" s="31">
        <v>46325</v>
      </c>
    </row>
    <row r="8" spans="1:17" hidden="1" x14ac:dyDescent="0.35">
      <c r="A8" t="str">
        <f t="shared" si="0"/>
        <v>GP525859B867</v>
      </c>
      <c r="B8" t="s">
        <v>110</v>
      </c>
      <c r="C8" t="s">
        <v>111</v>
      </c>
      <c r="D8" s="4" t="s">
        <v>25</v>
      </c>
      <c r="E8" s="3" t="s">
        <v>26</v>
      </c>
      <c r="F8" s="3">
        <v>2</v>
      </c>
      <c r="G8" s="3">
        <f>IFERROR(VLOOKUP(A8,'Est. Parq.'!A:J,10,0),0)</f>
        <v>0</v>
      </c>
      <c r="H8" s="3">
        <f>Tabela1[[#This Row],[Estoque Parque]]-Tabela1[[#This Row],[LRR]]</f>
        <v>-2</v>
      </c>
      <c r="I8" s="3">
        <f>SUMIF(SQVI!B:B,Base!A95,SQVI!V:V)</f>
        <v>42</v>
      </c>
      <c r="J8" s="13">
        <v>46357</v>
      </c>
      <c r="K8" s="13" t="str">
        <f>UPPER(TEXT(Tabela1[[#This Row],[Previsão no Parque ]],"mmm/aaaa"))</f>
        <v>DEZ/2026</v>
      </c>
      <c r="L8" s="13" t="str">
        <f>TEXT(Tabela1[[#This Row],[Previsão no Parque ]],"MMMM")</f>
        <v>dezembro</v>
      </c>
      <c r="M8" s="13" t="str">
        <f>TEXT(Tabela1[[#This Row],[Previsão no Parque ]],"AAAA")</f>
        <v>2026</v>
      </c>
      <c r="N8" s="34" t="s">
        <v>18</v>
      </c>
    </row>
    <row r="9" spans="1:17" hidden="1" x14ac:dyDescent="0.35">
      <c r="A9" t="str">
        <f t="shared" si="0"/>
        <v>109534B864</v>
      </c>
      <c r="B9">
        <v>109534</v>
      </c>
      <c r="C9" t="s">
        <v>6</v>
      </c>
      <c r="D9" s="4" t="s">
        <v>10</v>
      </c>
      <c r="E9" s="3" t="s">
        <v>3148</v>
      </c>
      <c r="F9" s="3"/>
      <c r="G9" s="3">
        <f>IFERROR(VLOOKUP(A9,'Est. Parq.'!A:J,10,0),0)</f>
        <v>5</v>
      </c>
      <c r="H9" s="3">
        <f>Tabela1[[#This Row],[Estoque Parque]]-Tabela1[[#This Row],[LRR]]</f>
        <v>5</v>
      </c>
      <c r="I9" s="3">
        <f>SUMIF(SQVI!B:B,Base!A3,SQVI!V:V)</f>
        <v>350</v>
      </c>
      <c r="J9" s="13">
        <v>46296</v>
      </c>
      <c r="K9" s="13" t="str">
        <f>UPPER(TEXT(Tabela1[[#This Row],[Previsão no Parque ]],"mmm/aaaa"))</f>
        <v>OUT/2026</v>
      </c>
      <c r="L9" s="13" t="str">
        <f>TEXT(Tabela1[[#This Row],[Previsão no Parque ]],"MMMM")</f>
        <v>outubro</v>
      </c>
      <c r="M9" s="13" t="str">
        <f>TEXT(Tabela1[[#This Row],[Previsão no Parque ]],"AAAA")</f>
        <v>2026</v>
      </c>
      <c r="N9" s="34" t="s">
        <v>3152</v>
      </c>
      <c r="O9" s="4">
        <v>2</v>
      </c>
      <c r="P9" s="31">
        <v>46325</v>
      </c>
    </row>
    <row r="10" spans="1:17" hidden="1" x14ac:dyDescent="0.35">
      <c r="A10" t="str">
        <f t="shared" si="0"/>
        <v>109534B865</v>
      </c>
      <c r="B10">
        <v>109534</v>
      </c>
      <c r="C10" t="s">
        <v>6</v>
      </c>
      <c r="D10" s="4" t="s">
        <v>7</v>
      </c>
      <c r="E10" s="3" t="s">
        <v>8</v>
      </c>
      <c r="F10" s="3"/>
      <c r="G10" s="3">
        <f>IFERROR(VLOOKUP(A10,'Est. Parq.'!A:J,10,0),0)</f>
        <v>0</v>
      </c>
      <c r="H10" s="3">
        <f>Tabela1[[#This Row],[Estoque Parque]]-Tabela1[[#This Row],[LRR]]</f>
        <v>0</v>
      </c>
      <c r="I10" s="3">
        <f>SUMIF(SQVI!B:B,Base!A2,SQVI!V:V)</f>
        <v>0</v>
      </c>
      <c r="J10" s="13">
        <v>46266</v>
      </c>
      <c r="K10" s="13" t="str">
        <f>UPPER(TEXT(Tabela1[[#This Row],[Previsão no Parque ]],"mmm/aaaa"))</f>
        <v>SET/2026</v>
      </c>
      <c r="L10" s="13" t="str">
        <f>TEXT(Tabela1[[#This Row],[Previsão no Parque ]],"MMMM")</f>
        <v>setembro</v>
      </c>
      <c r="M10" s="13" t="str">
        <f>TEXT(Tabela1[[#This Row],[Previsão no Parque ]],"AAAA")</f>
        <v>2026</v>
      </c>
      <c r="N10" s="34" t="s">
        <v>34</v>
      </c>
      <c r="O10" s="4">
        <v>2</v>
      </c>
    </row>
    <row r="11" spans="1:17" hidden="1" x14ac:dyDescent="0.35">
      <c r="A11" t="str">
        <f t="shared" si="0"/>
        <v>565784B864</v>
      </c>
      <c r="B11">
        <v>565784</v>
      </c>
      <c r="C11" t="s">
        <v>11</v>
      </c>
      <c r="D11" s="4" t="s">
        <v>10</v>
      </c>
      <c r="E11" s="3" t="s">
        <v>3148</v>
      </c>
      <c r="F11" s="3"/>
      <c r="G11" s="3">
        <f>IFERROR(VLOOKUP(A11,'Est. Parq.'!A:J,10,0),0)</f>
        <v>0</v>
      </c>
      <c r="H11" s="3">
        <f>Tabela1[[#This Row],[Estoque Parque]]-Tabela1[[#This Row],[LRR]]</f>
        <v>0</v>
      </c>
      <c r="I11" s="3">
        <f>SUMIF(SQVI!B:B,Base!A5,SQVI!V:V)</f>
        <v>6</v>
      </c>
      <c r="J11" s="13">
        <v>46296</v>
      </c>
      <c r="K11" s="13" t="str">
        <f>UPPER(TEXT(Tabela1[[#This Row],[Previsão no Parque ]],"mmm/aaaa"))</f>
        <v>OUT/2026</v>
      </c>
      <c r="L11" s="13" t="str">
        <f>TEXT(Tabela1[[#This Row],[Previsão no Parque ]],"MMMM")</f>
        <v>outubro</v>
      </c>
      <c r="M11" s="13" t="str">
        <f>TEXT(Tabela1[[#This Row],[Previsão no Parque ]],"AAAA")</f>
        <v>2026</v>
      </c>
      <c r="N11" s="34" t="s">
        <v>3152</v>
      </c>
      <c r="O11" s="4">
        <v>2</v>
      </c>
      <c r="P11" s="31">
        <v>46325</v>
      </c>
    </row>
    <row r="12" spans="1:17" hidden="1" x14ac:dyDescent="0.35">
      <c r="A12" t="str">
        <f t="shared" si="0"/>
        <v>565784B865</v>
      </c>
      <c r="B12">
        <v>565784</v>
      </c>
      <c r="C12" t="s">
        <v>11</v>
      </c>
      <c r="D12" s="4" t="s">
        <v>7</v>
      </c>
      <c r="E12" s="3" t="s">
        <v>8</v>
      </c>
      <c r="F12" s="3">
        <v>1</v>
      </c>
      <c r="G12" s="3">
        <f>IFERROR(VLOOKUP(A12,'Est. Parq.'!A:J,10,0),0)</f>
        <v>0</v>
      </c>
      <c r="H12" s="3">
        <f>Tabela1[[#This Row],[Estoque Parque]]-Tabela1[[#This Row],[LRR]]</f>
        <v>-1</v>
      </c>
      <c r="I12" s="3">
        <f>SUMIF(SQVI!B:B,Base!A4,SQVI!V:V)</f>
        <v>0</v>
      </c>
      <c r="J12" s="13">
        <v>46266</v>
      </c>
      <c r="K12" s="13" t="str">
        <f>UPPER(TEXT(Tabela1[[#This Row],[Previsão no Parque ]],"mmm/aaaa"))</f>
        <v>SET/2026</v>
      </c>
      <c r="L12" s="13" t="str">
        <f>TEXT(Tabela1[[#This Row],[Previsão no Parque ]],"MMMM")</f>
        <v>setembro</v>
      </c>
      <c r="M12" s="13" t="str">
        <f>TEXT(Tabela1[[#This Row],[Previsão no Parque ]],"AAAA")</f>
        <v>2026</v>
      </c>
      <c r="N12" s="34" t="s">
        <v>34</v>
      </c>
      <c r="O12" s="4">
        <v>2</v>
      </c>
    </row>
    <row r="13" spans="1:17" hidden="1" x14ac:dyDescent="0.35">
      <c r="A13" t="str">
        <f t="shared" si="0"/>
        <v>AMB0155B864</v>
      </c>
      <c r="B13" t="s">
        <v>12</v>
      </c>
      <c r="C13" t="s">
        <v>13</v>
      </c>
      <c r="D13" s="4" t="s">
        <v>10</v>
      </c>
      <c r="E13" s="3" t="s">
        <v>3148</v>
      </c>
      <c r="F13" s="3"/>
      <c r="G13" s="3">
        <f>IFERROR(VLOOKUP(A13,'Est. Parq.'!A:J,10,0),0)</f>
        <v>0</v>
      </c>
      <c r="H13" s="3">
        <f>Tabela1[[#This Row],[Estoque Parque]]-Tabela1[[#This Row],[LRR]]</f>
        <v>0</v>
      </c>
      <c r="I13" s="3">
        <f>SUMIF(SQVI!B:B,Base!A7,SQVI!V:V)</f>
        <v>30</v>
      </c>
      <c r="J13" s="13">
        <v>46419</v>
      </c>
      <c r="K13" s="13" t="str">
        <f>UPPER(TEXT(Tabela1[[#This Row],[Previsão no Parque ]],"mmm/aaaa"))</f>
        <v>FEV/2027</v>
      </c>
      <c r="L13" s="13" t="str">
        <f>TEXT(Tabela1[[#This Row],[Previsão no Parque ]],"MMMM")</f>
        <v>fevereiro</v>
      </c>
      <c r="M13" s="13" t="str">
        <f>TEXT(Tabela1[[#This Row],[Previsão no Parque ]],"AAAA")</f>
        <v>2027</v>
      </c>
      <c r="N13" s="5" t="s">
        <v>18</v>
      </c>
    </row>
    <row r="14" spans="1:17" hidden="1" x14ac:dyDescent="0.35">
      <c r="A14" t="str">
        <f t="shared" si="0"/>
        <v>AMB0155B865</v>
      </c>
      <c r="B14" t="s">
        <v>12</v>
      </c>
      <c r="C14" t="s">
        <v>13</v>
      </c>
      <c r="D14" s="4" t="s">
        <v>7</v>
      </c>
      <c r="E14" s="3" t="s">
        <v>8</v>
      </c>
      <c r="F14" s="3"/>
      <c r="G14" s="3">
        <f>IFERROR(VLOOKUP(A14,'Est. Parq.'!A:J,10,0),0)</f>
        <v>0</v>
      </c>
      <c r="H14" s="3">
        <f>Tabela1[[#This Row],[Estoque Parque]]-Tabela1[[#This Row],[LRR]]</f>
        <v>0</v>
      </c>
      <c r="I14" s="3">
        <f>SUMIF(SQVI!B:B,Base!A6,SQVI!V:V)</f>
        <v>0</v>
      </c>
      <c r="J14" s="13">
        <v>46419</v>
      </c>
      <c r="K14" s="13" t="str">
        <f>UPPER(TEXT(Tabela1[[#This Row],[Previsão no Parque ]],"mmm/aaaa"))</f>
        <v>FEV/2027</v>
      </c>
      <c r="L14" s="13" t="str">
        <f>TEXT(Tabela1[[#This Row],[Previsão no Parque ]],"MMMM")</f>
        <v>fevereiro</v>
      </c>
      <c r="M14" s="13" t="str">
        <f>TEXT(Tabela1[[#This Row],[Previsão no Parque ]],"AAAA")</f>
        <v>2027</v>
      </c>
      <c r="N14" s="5" t="s">
        <v>18</v>
      </c>
    </row>
    <row r="15" spans="1:17" x14ac:dyDescent="0.35">
      <c r="A15" t="str">
        <f t="shared" si="0"/>
        <v>GP004263B825</v>
      </c>
      <c r="B15" t="s">
        <v>14</v>
      </c>
      <c r="C15" t="s">
        <v>15</v>
      </c>
      <c r="D15" s="4" t="s">
        <v>16</v>
      </c>
      <c r="E15" s="3" t="s">
        <v>17</v>
      </c>
      <c r="F15" s="3">
        <v>20</v>
      </c>
      <c r="G15" s="3">
        <f>IFERROR(VLOOKUP(A15,'Est. Parq.'!A:J,10,0),0)</f>
        <v>0</v>
      </c>
      <c r="H15" s="3">
        <f>Tabela1[[#This Row],[Estoque Parque]]-Tabela1[[#This Row],[LRR]]</f>
        <v>-20</v>
      </c>
      <c r="I15" s="3">
        <f>SUMIF(SQVI!B:B,Base!A8,SQVI!V:V)</f>
        <v>0</v>
      </c>
      <c r="J15" s="13">
        <v>46296</v>
      </c>
      <c r="K15" s="13" t="str">
        <f>UPPER(TEXT(Tabela1[[#This Row],[Previsão no Parque ]],"mmm/aaaa"))</f>
        <v>OUT/2026</v>
      </c>
      <c r="L15" s="13" t="str">
        <f>TEXT(Tabela1[[#This Row],[Previsão no Parque ]],"MMMM")</f>
        <v>outubro</v>
      </c>
      <c r="M15" s="13" t="str">
        <f>TEXT(Tabela1[[#This Row],[Previsão no Parque ]],"AAAA")</f>
        <v>2026</v>
      </c>
      <c r="N15" s="34" t="s">
        <v>3152</v>
      </c>
      <c r="O15" s="4">
        <v>13</v>
      </c>
      <c r="P15" s="31">
        <v>46325</v>
      </c>
    </row>
    <row r="16" spans="1:17" hidden="1" x14ac:dyDescent="0.35">
      <c r="A16" t="str">
        <f t="shared" si="0"/>
        <v>GP004263B832</v>
      </c>
      <c r="B16" t="s">
        <v>14</v>
      </c>
      <c r="C16" s="6" t="s">
        <v>15</v>
      </c>
      <c r="D16" s="4" t="s">
        <v>19</v>
      </c>
      <c r="E16" s="3" t="s">
        <v>20</v>
      </c>
      <c r="F16" s="3">
        <v>4</v>
      </c>
      <c r="G16" s="3">
        <f>IFERROR(VLOOKUP(A16,'Est. Parq.'!A:J,10,0),0)</f>
        <v>0</v>
      </c>
      <c r="H16" s="3">
        <f>Tabela1[[#This Row],[Estoque Parque]]-Tabela1[[#This Row],[LRR]]</f>
        <v>-4</v>
      </c>
      <c r="I16" s="3">
        <f>SUMIF(SQVI!B:B,Base!A9,SQVI!V:V)</f>
        <v>0</v>
      </c>
      <c r="J16" s="13">
        <v>46327</v>
      </c>
      <c r="K16" s="13" t="str">
        <f>UPPER(TEXT(Tabela1[[#This Row],[Previsão no Parque ]],"mmm/aaaa"))</f>
        <v>NOV/2026</v>
      </c>
      <c r="L16" s="13" t="str">
        <f>TEXT(Tabela1[[#This Row],[Previsão no Parque ]],"MMMM")</f>
        <v>novembro</v>
      </c>
      <c r="M16" s="13" t="str">
        <f>TEXT(Tabela1[[#This Row],[Previsão no Parque ]],"AAAA")</f>
        <v>2026</v>
      </c>
      <c r="N16" s="34" t="s">
        <v>18</v>
      </c>
      <c r="Q16" t="s">
        <v>3150</v>
      </c>
    </row>
    <row r="17" spans="1:17" hidden="1" x14ac:dyDescent="0.35">
      <c r="A17" t="str">
        <f t="shared" si="0"/>
        <v>GP004263B856</v>
      </c>
      <c r="B17" t="s">
        <v>14</v>
      </c>
      <c r="C17" t="s">
        <v>15</v>
      </c>
      <c r="D17" s="4" t="s">
        <v>21</v>
      </c>
      <c r="E17" s="3" t="s">
        <v>22</v>
      </c>
      <c r="F17" s="3">
        <v>2</v>
      </c>
      <c r="G17" s="3">
        <f>IFERROR(VLOOKUP(A17,'Est. Parq.'!A:J,10,0),0)</f>
        <v>0</v>
      </c>
      <c r="H17" s="3">
        <f>Tabela1[[#This Row],[Estoque Parque]]-Tabela1[[#This Row],[LRR]]</f>
        <v>-2</v>
      </c>
      <c r="I17" s="3">
        <f>SUMIF(SQVI!B:B,Base!A10,SQVI!V:V)</f>
        <v>0</v>
      </c>
      <c r="J17" s="13">
        <v>46296</v>
      </c>
      <c r="K17" s="13" t="str">
        <f>UPPER(TEXT(Tabela1[[#This Row],[Previsão no Parque ]],"mmm/aaaa"))</f>
        <v>OUT/2026</v>
      </c>
      <c r="L17" s="13" t="str">
        <f>TEXT(Tabela1[[#This Row],[Previsão no Parque ]],"MMMM")</f>
        <v>outubro</v>
      </c>
      <c r="M17" s="13" t="str">
        <f>TEXT(Tabela1[[#This Row],[Previsão no Parque ]],"AAAA")</f>
        <v>2026</v>
      </c>
      <c r="N17" s="34" t="s">
        <v>3152</v>
      </c>
      <c r="O17" s="4">
        <v>2</v>
      </c>
      <c r="P17" s="31">
        <v>46325</v>
      </c>
    </row>
    <row r="18" spans="1:17" hidden="1" x14ac:dyDescent="0.35">
      <c r="A18" t="str">
        <f t="shared" si="0"/>
        <v>GP004263B857</v>
      </c>
      <c r="B18" t="s">
        <v>14</v>
      </c>
      <c r="C18" t="s">
        <v>15</v>
      </c>
      <c r="D18" s="4" t="s">
        <v>23</v>
      </c>
      <c r="E18" s="3" t="s">
        <v>24</v>
      </c>
      <c r="F18" s="3">
        <v>2</v>
      </c>
      <c r="G18" s="3">
        <f>IFERROR(VLOOKUP(A18,'Est. Parq.'!A:J,10,0),0)</f>
        <v>0</v>
      </c>
      <c r="H18" s="3">
        <f>Tabela1[[#This Row],[Estoque Parque]]-Tabela1[[#This Row],[LRR]]</f>
        <v>-2</v>
      </c>
      <c r="I18" s="3">
        <f>SUMIF(SQVI!B:B,Base!A11,SQVI!V:V)</f>
        <v>0</v>
      </c>
      <c r="J18" s="13">
        <v>46296</v>
      </c>
      <c r="K18" s="13" t="str">
        <f>UPPER(TEXT(Tabela1[[#This Row],[Previsão no Parque ]],"mmm/aaaa"))</f>
        <v>OUT/2026</v>
      </c>
      <c r="L18" s="13" t="str">
        <f>TEXT(Tabela1[[#This Row],[Previsão no Parque ]],"MMMM")</f>
        <v>outubro</v>
      </c>
      <c r="M18" s="13" t="str">
        <f>TEXT(Tabela1[[#This Row],[Previsão no Parque ]],"AAAA")</f>
        <v>2026</v>
      </c>
      <c r="N18" s="34" t="s">
        <v>3152</v>
      </c>
      <c r="O18" s="4">
        <v>5</v>
      </c>
      <c r="P18" s="31">
        <v>46325</v>
      </c>
    </row>
    <row r="19" spans="1:17" hidden="1" x14ac:dyDescent="0.35">
      <c r="A19" t="str">
        <f t="shared" si="0"/>
        <v>GP004263B867</v>
      </c>
      <c r="B19" t="s">
        <v>14</v>
      </c>
      <c r="C19" t="s">
        <v>15</v>
      </c>
      <c r="D19" s="4" t="s">
        <v>25</v>
      </c>
      <c r="E19" s="3" t="s">
        <v>26</v>
      </c>
      <c r="F19" s="3">
        <v>2</v>
      </c>
      <c r="G19" s="3">
        <f>IFERROR(VLOOKUP(A19,'Est. Parq.'!A:J,10,0),0)</f>
        <v>0</v>
      </c>
      <c r="H19" s="3">
        <f>Tabela1[[#This Row],[Estoque Parque]]-Tabela1[[#This Row],[LRR]]</f>
        <v>-2</v>
      </c>
      <c r="I19" s="3">
        <f>SUMIF(SQVI!B:B,Base!A12,SQVI!V:V)</f>
        <v>0</v>
      </c>
      <c r="J19" s="13">
        <v>46296</v>
      </c>
      <c r="K19" s="13" t="str">
        <f>UPPER(TEXT(Tabela1[[#This Row],[Previsão no Parque ]],"mmm/aaaa"))</f>
        <v>OUT/2026</v>
      </c>
      <c r="L19" s="13" t="str">
        <f>TEXT(Tabela1[[#This Row],[Previsão no Parque ]],"MMMM")</f>
        <v>outubro</v>
      </c>
      <c r="M19" s="13" t="str">
        <f>TEXT(Tabela1[[#This Row],[Previsão no Parque ]],"AAAA")</f>
        <v>2026</v>
      </c>
      <c r="N19" s="34" t="s">
        <v>3152</v>
      </c>
      <c r="O19" s="4">
        <v>18</v>
      </c>
      <c r="P19" s="31">
        <v>46325</v>
      </c>
    </row>
    <row r="20" spans="1:17" x14ac:dyDescent="0.35">
      <c r="A20" t="str">
        <f t="shared" si="0"/>
        <v>GP004892B825</v>
      </c>
      <c r="B20" t="s">
        <v>27</v>
      </c>
      <c r="C20" t="s">
        <v>28</v>
      </c>
      <c r="D20" s="4" t="s">
        <v>16</v>
      </c>
      <c r="E20" s="3" t="s">
        <v>17</v>
      </c>
      <c r="F20" s="3">
        <v>1</v>
      </c>
      <c r="G20" s="3">
        <f>IFERROR(VLOOKUP(A20,'Est. Parq.'!A:J,10,0),0)</f>
        <v>0</v>
      </c>
      <c r="H20" s="3">
        <f>Tabela1[[#This Row],[Estoque Parque]]-Tabela1[[#This Row],[LRR]]</f>
        <v>-1</v>
      </c>
      <c r="I20" s="3">
        <f>SUMIF(SQVI!B:B,Base!A13,SQVI!V:V)</f>
        <v>0</v>
      </c>
      <c r="J20" s="13">
        <v>46388</v>
      </c>
      <c r="K20" s="13" t="str">
        <f>UPPER(TEXT(Tabela1[[#This Row],[Previsão no Parque ]],"mmm/aaaa"))</f>
        <v>JAN/2027</v>
      </c>
      <c r="L20" s="13" t="str">
        <f>TEXT(Tabela1[[#This Row],[Previsão no Parque ]],"MMMM")</f>
        <v>janeiro</v>
      </c>
      <c r="M20" s="13" t="str">
        <f>TEXT(Tabela1[[#This Row],[Previsão no Parque ]],"AAAA")</f>
        <v>2027</v>
      </c>
      <c r="N20" s="34" t="s">
        <v>59</v>
      </c>
    </row>
    <row r="21" spans="1:17" hidden="1" x14ac:dyDescent="0.35">
      <c r="A21" t="str">
        <f t="shared" si="0"/>
        <v>GP004897B865</v>
      </c>
      <c r="B21" t="s">
        <v>29</v>
      </c>
      <c r="C21" t="s">
        <v>30</v>
      </c>
      <c r="D21" s="4" t="s">
        <v>7</v>
      </c>
      <c r="E21" s="3" t="s">
        <v>8</v>
      </c>
      <c r="F21" s="3">
        <v>10</v>
      </c>
      <c r="G21" s="3">
        <f>IFERROR(VLOOKUP(A21,'Est. Parq.'!A:J,10,0),0)</f>
        <v>0</v>
      </c>
      <c r="H21" s="3">
        <f>Tabela1[[#This Row],[Estoque Parque]]-Tabela1[[#This Row],[LRR]]</f>
        <v>-10</v>
      </c>
      <c r="I21" s="3">
        <f>SUMIF(SQVI!B:B,Base!A14,SQVI!V:V)</f>
        <v>0</v>
      </c>
      <c r="J21" s="13">
        <v>46327</v>
      </c>
      <c r="K21" s="13" t="str">
        <f>UPPER(TEXT(Tabela1[[#This Row],[Previsão no Parque ]],"mmm/aaaa"))</f>
        <v>NOV/2026</v>
      </c>
      <c r="L21" s="13" t="str">
        <f>TEXT(Tabela1[[#This Row],[Previsão no Parque ]],"MMMM")</f>
        <v>novembro</v>
      </c>
      <c r="M21" s="13" t="str">
        <f>TEXT(Tabela1[[#This Row],[Previsão no Parque ]],"AAAA")</f>
        <v>2026</v>
      </c>
      <c r="N21" s="34" t="s">
        <v>31</v>
      </c>
      <c r="O21" s="4">
        <v>-2</v>
      </c>
      <c r="P21" s="31">
        <v>46221</v>
      </c>
      <c r="Q21" t="s">
        <v>3151</v>
      </c>
    </row>
    <row r="22" spans="1:17" hidden="1" x14ac:dyDescent="0.35">
      <c r="A22" t="str">
        <f t="shared" si="0"/>
        <v>GP004897B864</v>
      </c>
      <c r="B22" t="s">
        <v>29</v>
      </c>
      <c r="C22" t="s">
        <v>30</v>
      </c>
      <c r="D22" s="4" t="s">
        <v>10</v>
      </c>
      <c r="E22" s="3" t="s">
        <v>3148</v>
      </c>
      <c r="F22" s="3">
        <v>5</v>
      </c>
      <c r="G22" s="3">
        <f>IFERROR(VLOOKUP(A22,'Est. Parq.'!A:J,10,0),0)</f>
        <v>0</v>
      </c>
      <c r="H22" s="3">
        <f>Tabela1[[#This Row],[Estoque Parque]]-Tabela1[[#This Row],[LRR]]</f>
        <v>-5</v>
      </c>
      <c r="I22" s="3">
        <f>SUMIF(SQVI!B:B,Base!A15,SQVI!V:V)</f>
        <v>30</v>
      </c>
      <c r="J22" s="13">
        <v>46327</v>
      </c>
      <c r="K22" s="13" t="str">
        <f>UPPER(TEXT(Tabela1[[#This Row],[Previsão no Parque ]],"mmm/aaaa"))</f>
        <v>NOV/2026</v>
      </c>
      <c r="L22" s="13" t="str">
        <f>TEXT(Tabela1[[#This Row],[Previsão no Parque ]],"MMMM")</f>
        <v>novembro</v>
      </c>
      <c r="M22" s="13" t="str">
        <f>TEXT(Tabela1[[#This Row],[Previsão no Parque ]],"AAAA")</f>
        <v>2026</v>
      </c>
      <c r="N22" s="5" t="s">
        <v>18</v>
      </c>
      <c r="Q22" t="s">
        <v>3151</v>
      </c>
    </row>
    <row r="23" spans="1:17" x14ac:dyDescent="0.35">
      <c r="A23" t="str">
        <f t="shared" si="0"/>
        <v>GP004975B825</v>
      </c>
      <c r="B23" t="s">
        <v>32</v>
      </c>
      <c r="C23" t="s">
        <v>33</v>
      </c>
      <c r="D23" s="4" t="s">
        <v>16</v>
      </c>
      <c r="E23" s="3" t="s">
        <v>17</v>
      </c>
      <c r="F23" s="3">
        <v>3</v>
      </c>
      <c r="G23" s="3">
        <f>IFERROR(VLOOKUP(A23,'Est. Parq.'!A:J,10,0),0)</f>
        <v>0</v>
      </c>
      <c r="H23" s="3">
        <f>Tabela1[[#This Row],[Estoque Parque]]-Tabela1[[#This Row],[LRR]]</f>
        <v>-3</v>
      </c>
      <c r="I23" s="3">
        <f>SUMIF(SQVI!B:B,Base!A16,SQVI!V:V)</f>
        <v>0</v>
      </c>
      <c r="J23" s="13">
        <v>46266</v>
      </c>
      <c r="K23" s="13" t="str">
        <f>UPPER(TEXT(Tabela1[[#This Row],[Previsão no Parque ]],"mmm/aaaa"))</f>
        <v>SET/2026</v>
      </c>
      <c r="L23" s="13" t="str">
        <f>TEXT(Tabela1[[#This Row],[Previsão no Parque ]],"MMMM")</f>
        <v>setembro</v>
      </c>
      <c r="M23" s="13" t="str">
        <f>TEXT(Tabela1[[#This Row],[Previsão no Parque ]],"AAAA")</f>
        <v>2026</v>
      </c>
      <c r="N23" s="34" t="s">
        <v>34</v>
      </c>
      <c r="O23" s="4">
        <v>-1</v>
      </c>
      <c r="P23" s="31">
        <v>46255</v>
      </c>
    </row>
    <row r="24" spans="1:17" hidden="1" x14ac:dyDescent="0.35">
      <c r="A24" t="str">
        <f t="shared" si="0"/>
        <v>GP008618B856</v>
      </c>
      <c r="B24" t="s">
        <v>35</v>
      </c>
      <c r="C24" t="s">
        <v>36</v>
      </c>
      <c r="D24" s="4" t="s">
        <v>21</v>
      </c>
      <c r="E24" s="3" t="s">
        <v>22</v>
      </c>
      <c r="F24" s="3">
        <v>2</v>
      </c>
      <c r="G24" s="3">
        <f>IFERROR(VLOOKUP(A24,'Est. Parq.'!A:J,10,0),0)</f>
        <v>2</v>
      </c>
      <c r="H24" s="3">
        <f>Tabela1[[#This Row],[Estoque Parque]]-Tabela1[[#This Row],[LRR]]</f>
        <v>0</v>
      </c>
      <c r="I24" s="3">
        <f>SUMIF(SQVI!B:B,Base!A17,SQVI!V:V)</f>
        <v>4</v>
      </c>
      <c r="J24" s="13">
        <v>46327</v>
      </c>
      <c r="K24" s="13" t="str">
        <f>UPPER(TEXT(Tabela1[[#This Row],[Previsão no Parque ]],"mmm/aaaa"))</f>
        <v>NOV/2026</v>
      </c>
      <c r="L24" s="13" t="str">
        <f>TEXT(Tabela1[[#This Row],[Previsão no Parque ]],"MMMM")</f>
        <v>novembro</v>
      </c>
      <c r="M24" s="13" t="str">
        <f>TEXT(Tabela1[[#This Row],[Previsão no Parque ]],"AAAA")</f>
        <v>2026</v>
      </c>
      <c r="N24" s="34" t="s">
        <v>18</v>
      </c>
      <c r="Q24" t="s">
        <v>3151</v>
      </c>
    </row>
    <row r="25" spans="1:17" hidden="1" x14ac:dyDescent="0.35">
      <c r="A25" t="str">
        <f t="shared" si="0"/>
        <v>GP013211B832</v>
      </c>
      <c r="B25" t="s">
        <v>37</v>
      </c>
      <c r="C25" s="7" t="s">
        <v>38</v>
      </c>
      <c r="D25" s="4" t="s">
        <v>19</v>
      </c>
      <c r="E25" s="3" t="s">
        <v>20</v>
      </c>
      <c r="F25" s="3"/>
      <c r="G25" s="3">
        <f>IFERROR(VLOOKUP(A25,'Est. Parq.'!A:J,10,0),0)</f>
        <v>3</v>
      </c>
      <c r="H25" s="3">
        <f>Tabela1[[#This Row],[Estoque Parque]]-Tabela1[[#This Row],[LRR]]</f>
        <v>3</v>
      </c>
      <c r="I25" s="3">
        <f>SUMIF(SQVI!B:B,Base!A18,SQVI!V:V)</f>
        <v>0</v>
      </c>
      <c r="J25" s="13">
        <v>46266</v>
      </c>
      <c r="K25" s="13" t="str">
        <f>UPPER(TEXT(Tabela1[[#This Row],[Previsão no Parque ]],"mmm/aaaa"))</f>
        <v>SET/2026</v>
      </c>
      <c r="L25" s="13" t="str">
        <f>TEXT(Tabela1[[#This Row],[Previsão no Parque ]],"MMMM")</f>
        <v>setembro</v>
      </c>
      <c r="M25" s="13" t="str">
        <f>TEXT(Tabela1[[#This Row],[Previsão no Parque ]],"AAAA")</f>
        <v>2026</v>
      </c>
      <c r="N25" s="34" t="s">
        <v>34</v>
      </c>
    </row>
    <row r="26" spans="1:17" hidden="1" x14ac:dyDescent="0.35">
      <c r="A26" t="str">
        <f t="shared" si="0"/>
        <v>GP019518B856</v>
      </c>
      <c r="B26" t="s">
        <v>39</v>
      </c>
      <c r="C26" t="s">
        <v>40</v>
      </c>
      <c r="D26" s="4" t="s">
        <v>21</v>
      </c>
      <c r="E26" s="3" t="s">
        <v>22</v>
      </c>
      <c r="F26" s="3"/>
      <c r="G26" s="3">
        <f>IFERROR(VLOOKUP(A26,'Est. Parq.'!A:J,10,0),0)</f>
        <v>0</v>
      </c>
      <c r="H26" s="3">
        <f>Tabela1[[#This Row],[Estoque Parque]]-Tabela1[[#This Row],[LRR]]</f>
        <v>0</v>
      </c>
      <c r="I26" s="3">
        <f>SUMIF(SQVI!B:B,Base!A19,SQVI!V:V)</f>
        <v>0</v>
      </c>
      <c r="J26" s="13">
        <v>46388</v>
      </c>
      <c r="K26" s="13" t="str">
        <f>UPPER(TEXT(Tabela1[[#This Row],[Previsão no Parque ]],"mmm/aaaa"))</f>
        <v>JAN/2027</v>
      </c>
      <c r="L26" s="13" t="str">
        <f>TEXT(Tabela1[[#This Row],[Previsão no Parque ]],"MMMM")</f>
        <v>janeiro</v>
      </c>
      <c r="M26" s="13" t="str">
        <f>TEXT(Tabela1[[#This Row],[Previsão no Parque ]],"AAAA")</f>
        <v>2027</v>
      </c>
      <c r="N26" s="34" t="s">
        <v>31</v>
      </c>
      <c r="O26" s="4">
        <v>-2</v>
      </c>
      <c r="P26" s="31">
        <v>46253</v>
      </c>
    </row>
    <row r="27" spans="1:17" x14ac:dyDescent="0.35">
      <c r="A27" t="str">
        <f t="shared" si="0"/>
        <v>GP023882B825</v>
      </c>
      <c r="B27" t="s">
        <v>41</v>
      </c>
      <c r="C27" t="s">
        <v>42</v>
      </c>
      <c r="D27" s="4" t="s">
        <v>16</v>
      </c>
      <c r="E27" s="3" t="s">
        <v>17</v>
      </c>
      <c r="F27" s="3">
        <v>2</v>
      </c>
      <c r="G27" s="3">
        <f>IFERROR(VLOOKUP(A27,'Est. Parq.'!A:J,10,0),0)</f>
        <v>0</v>
      </c>
      <c r="H27" s="3">
        <f>Tabela1[[#This Row],[Estoque Parque]]-Tabela1[[#This Row],[LRR]]</f>
        <v>-2</v>
      </c>
      <c r="I27" s="3">
        <f>SUMIF(SQVI!B:B,Base!A20,SQVI!V:V)</f>
        <v>0</v>
      </c>
      <c r="J27" s="13">
        <v>46419</v>
      </c>
      <c r="K27" s="13" t="str">
        <f>UPPER(TEXT(Tabela1[[#This Row],[Previsão no Parque ]],"mmm/aaaa"))</f>
        <v>FEV/2027</v>
      </c>
      <c r="L27" s="13" t="str">
        <f>TEXT(Tabela1[[#This Row],[Previsão no Parque ]],"MMMM")</f>
        <v>fevereiro</v>
      </c>
      <c r="M27" s="13" t="str">
        <f>TEXT(Tabela1[[#This Row],[Previsão no Parque ]],"AAAA")</f>
        <v>2027</v>
      </c>
      <c r="N27" s="34" t="s">
        <v>9</v>
      </c>
    </row>
    <row r="28" spans="1:17" hidden="1" x14ac:dyDescent="0.35">
      <c r="A28" t="str">
        <f t="shared" si="0"/>
        <v>GP069610B864</v>
      </c>
      <c r="B28" t="s">
        <v>43</v>
      </c>
      <c r="C28" t="s">
        <v>44</v>
      </c>
      <c r="D28" s="4" t="s">
        <v>10</v>
      </c>
      <c r="E28" s="3" t="s">
        <v>3148</v>
      </c>
      <c r="F28" s="3">
        <v>2</v>
      </c>
      <c r="G28" s="3">
        <f>IFERROR(VLOOKUP(A28,'Est. Parq.'!A:J,10,0),0)</f>
        <v>2</v>
      </c>
      <c r="H28" s="3">
        <f>Tabela1[[#This Row],[Estoque Parque]]-Tabela1[[#This Row],[LRR]]</f>
        <v>0</v>
      </c>
      <c r="I28" s="3">
        <f>SUMIF(SQVI!B:B,Base!A21,SQVI!V:V)</f>
        <v>0</v>
      </c>
      <c r="J28" s="13">
        <v>46296</v>
      </c>
      <c r="K28" s="13" t="str">
        <f>UPPER(TEXT(Tabela1[[#This Row],[Previsão no Parque ]],"mmm/aaaa"))</f>
        <v>OUT/2026</v>
      </c>
      <c r="L28" s="13" t="str">
        <f>TEXT(Tabela1[[#This Row],[Previsão no Parque ]],"MMMM")</f>
        <v>outubro</v>
      </c>
      <c r="M28" s="13" t="str">
        <f>TEXT(Tabela1[[#This Row],[Previsão no Parque ]],"AAAA")</f>
        <v>2026</v>
      </c>
      <c r="N28" s="34" t="s">
        <v>3152</v>
      </c>
      <c r="O28" s="4">
        <v>2</v>
      </c>
      <c r="P28" s="31">
        <v>46325</v>
      </c>
    </row>
    <row r="29" spans="1:17" hidden="1" x14ac:dyDescent="0.35">
      <c r="A29" t="str">
        <f t="shared" si="0"/>
        <v>GP069610 B865</v>
      </c>
      <c r="B29" t="s">
        <v>45</v>
      </c>
      <c r="C29" t="s">
        <v>44</v>
      </c>
      <c r="D29" s="4" t="s">
        <v>7</v>
      </c>
      <c r="E29" s="3" t="s">
        <v>8</v>
      </c>
      <c r="F29" s="3"/>
      <c r="G29" s="3">
        <f>IFERROR(VLOOKUP(A29,'Est. Parq.'!A:J,10,0),0)</f>
        <v>0</v>
      </c>
      <c r="H29" s="3">
        <f>Tabela1[[#This Row],[Estoque Parque]]-Tabela1[[#This Row],[LRR]]</f>
        <v>0</v>
      </c>
      <c r="I29" s="3">
        <f>SUMIF(SQVI!B:B,Base!A22,SQVI!V:V)</f>
        <v>0</v>
      </c>
      <c r="J29" s="13">
        <v>46266</v>
      </c>
      <c r="K29" s="13" t="str">
        <f>UPPER(TEXT(Tabela1[[#This Row],[Previsão no Parque ]],"mmm/aaaa"))</f>
        <v>SET/2026</v>
      </c>
      <c r="L29" s="13" t="str">
        <f>TEXT(Tabela1[[#This Row],[Previsão no Parque ]],"MMMM")</f>
        <v>setembro</v>
      </c>
      <c r="M29" s="13" t="str">
        <f>TEXT(Tabela1[[#This Row],[Previsão no Parque ]],"AAAA")</f>
        <v>2026</v>
      </c>
      <c r="N29" s="5" t="s">
        <v>9</v>
      </c>
      <c r="Q29" t="s">
        <v>3160</v>
      </c>
    </row>
    <row r="30" spans="1:17" hidden="1" x14ac:dyDescent="0.35">
      <c r="A30" t="str">
        <f t="shared" si="0"/>
        <v>GP078780B838</v>
      </c>
      <c r="B30" t="s">
        <v>46</v>
      </c>
      <c r="C30" s="8" t="s">
        <v>47</v>
      </c>
      <c r="D30" s="4" t="s">
        <v>48</v>
      </c>
      <c r="E30" s="3" t="s">
        <v>49</v>
      </c>
      <c r="F30" s="3">
        <v>1</v>
      </c>
      <c r="G30" s="3">
        <f>IFERROR(VLOOKUP(A30,'Est. Parq.'!A:J,10,0),0)</f>
        <v>0</v>
      </c>
      <c r="H30" s="3">
        <f>Tabela1[[#This Row],[Estoque Parque]]-Tabela1[[#This Row],[LRR]]</f>
        <v>-1</v>
      </c>
      <c r="I30" s="3">
        <f>SUMIF(SQVI!B:B,Base!A23,SQVI!V:V)</f>
        <v>2</v>
      </c>
      <c r="J30" s="13">
        <v>46388</v>
      </c>
      <c r="K30" s="13" t="str">
        <f>UPPER(TEXT(Tabela1[[#This Row],[Previsão no Parque ]],"mmm/aaaa"))</f>
        <v>JAN/2027</v>
      </c>
      <c r="L30" s="13" t="str">
        <f>TEXT(Tabela1[[#This Row],[Previsão no Parque ]],"MMMM")</f>
        <v>janeiro</v>
      </c>
      <c r="M30" s="13" t="str">
        <f>TEXT(Tabela1[[#This Row],[Previsão no Parque ]],"AAAA")</f>
        <v>2027</v>
      </c>
      <c r="N30" s="34" t="s">
        <v>18</v>
      </c>
    </row>
    <row r="31" spans="1:17" hidden="1" x14ac:dyDescent="0.35">
      <c r="A31" t="str">
        <f t="shared" si="0"/>
        <v>GP082783B865</v>
      </c>
      <c r="B31" t="s">
        <v>50</v>
      </c>
      <c r="C31" t="s">
        <v>51</v>
      </c>
      <c r="D31" s="4" t="s">
        <v>7</v>
      </c>
      <c r="E31" s="3" t="s">
        <v>8</v>
      </c>
      <c r="F31" s="3">
        <v>10</v>
      </c>
      <c r="G31" s="3">
        <f>IFERROR(VLOOKUP(A31,'Est. Parq.'!A:J,10,0),0)</f>
        <v>5</v>
      </c>
      <c r="H31" s="3">
        <f>Tabela1[[#This Row],[Estoque Parque]]-Tabela1[[#This Row],[LRR]]</f>
        <v>-5</v>
      </c>
      <c r="I31" s="3">
        <f>SUMIF(SQVI!B:B,Base!A24,SQVI!V:V)</f>
        <v>0</v>
      </c>
      <c r="J31" s="13">
        <v>46327</v>
      </c>
      <c r="K31" s="13" t="str">
        <f>UPPER(TEXT(Tabela1[[#This Row],[Previsão no Parque ]],"mmm/aaaa"))</f>
        <v>NOV/2026</v>
      </c>
      <c r="L31" s="13" t="str">
        <f>TEXT(Tabela1[[#This Row],[Previsão no Parque ]],"MMMM")</f>
        <v>novembro</v>
      </c>
      <c r="M31" s="13" t="str">
        <f>TEXT(Tabela1[[#This Row],[Previsão no Parque ]],"AAAA")</f>
        <v>2026</v>
      </c>
      <c r="N31" s="34" t="s">
        <v>18</v>
      </c>
      <c r="Q31" t="s">
        <v>3161</v>
      </c>
    </row>
    <row r="32" spans="1:17" hidden="1" x14ac:dyDescent="0.35">
      <c r="A32" t="str">
        <f t="shared" si="0"/>
        <v>GP082783B864</v>
      </c>
      <c r="B32" t="s">
        <v>50</v>
      </c>
      <c r="C32" t="s">
        <v>51</v>
      </c>
      <c r="D32" s="4" t="s">
        <v>10</v>
      </c>
      <c r="E32" s="3" t="s">
        <v>3148</v>
      </c>
      <c r="F32" s="3">
        <v>5</v>
      </c>
      <c r="G32" s="3">
        <f>IFERROR(VLOOKUP(A32,'Est. Parq.'!A:J,10,0),0)</f>
        <v>19</v>
      </c>
      <c r="H32" s="3">
        <f>Tabela1[[#This Row],[Estoque Parque]]-Tabela1[[#This Row],[LRR]]</f>
        <v>14</v>
      </c>
      <c r="I32" s="3">
        <f>SUMIF(SQVI!B:B,Base!A25,SQVI!V:V)</f>
        <v>0</v>
      </c>
      <c r="J32" s="13">
        <v>46296</v>
      </c>
      <c r="K32" s="13" t="str">
        <f>UPPER(TEXT(Tabela1[[#This Row],[Previsão no Parque ]],"mmm/aaaa"))</f>
        <v>OUT/2026</v>
      </c>
      <c r="L32" s="13" t="str">
        <f>TEXT(Tabela1[[#This Row],[Previsão no Parque ]],"MMMM")</f>
        <v>outubro</v>
      </c>
      <c r="M32" s="13" t="str">
        <f>TEXT(Tabela1[[#This Row],[Previsão no Parque ]],"AAAA")</f>
        <v>2026</v>
      </c>
      <c r="N32" s="34" t="s">
        <v>3152</v>
      </c>
      <c r="O32" s="4">
        <v>2</v>
      </c>
      <c r="P32" s="31">
        <v>46325</v>
      </c>
    </row>
    <row r="33" spans="1:16" x14ac:dyDescent="0.35">
      <c r="A33" t="str">
        <f t="shared" si="0"/>
        <v>GP091014B825</v>
      </c>
      <c r="B33" t="s">
        <v>52</v>
      </c>
      <c r="C33" t="s">
        <v>53</v>
      </c>
      <c r="D33" s="4" t="s">
        <v>16</v>
      </c>
      <c r="E33" s="3" t="s">
        <v>17</v>
      </c>
      <c r="F33" s="3">
        <v>1</v>
      </c>
      <c r="G33" s="3">
        <f>IFERROR(VLOOKUP(A33,'Est. Parq.'!A:J,10,0),0)</f>
        <v>5</v>
      </c>
      <c r="H33" s="3">
        <f>Tabela1[[#This Row],[Estoque Parque]]-Tabela1[[#This Row],[LRR]]</f>
        <v>4</v>
      </c>
      <c r="I33" s="3">
        <f>SUMIF(SQVI!B:B,Base!A26,SQVI!V:V)</f>
        <v>0</v>
      </c>
      <c r="J33" s="13">
        <v>46266</v>
      </c>
      <c r="K33" s="13" t="str">
        <f>UPPER(TEXT(Tabela1[[#This Row],[Previsão no Parque ]],"mmm/aaaa"))</f>
        <v>SET/2026</v>
      </c>
      <c r="L33" s="13" t="str">
        <f>TEXT(Tabela1[[#This Row],[Previsão no Parque ]],"MMMM")</f>
        <v>setembro</v>
      </c>
      <c r="M33" s="13" t="str">
        <f>TEXT(Tabela1[[#This Row],[Previsão no Parque ]],"AAAA")</f>
        <v>2026</v>
      </c>
      <c r="N33" s="34" t="s">
        <v>34</v>
      </c>
      <c r="O33" s="4">
        <v>-5</v>
      </c>
      <c r="P33" s="31">
        <v>46247</v>
      </c>
    </row>
    <row r="34" spans="1:16" hidden="1" x14ac:dyDescent="0.35">
      <c r="A34" t="str">
        <f t="shared" ref="A34:A65" si="1">_xlfn.CONCAT(B34,D34)</f>
        <v>GP091145B832</v>
      </c>
      <c r="B34" t="s">
        <v>54</v>
      </c>
      <c r="C34" s="6" t="s">
        <v>55</v>
      </c>
      <c r="D34" s="4" t="s">
        <v>19</v>
      </c>
      <c r="E34" s="3" t="s">
        <v>20</v>
      </c>
      <c r="F34" s="3"/>
      <c r="G34" s="3">
        <f>IFERROR(VLOOKUP(A34,'Est. Parq.'!A:J,10,0),0)</f>
        <v>0</v>
      </c>
      <c r="H34" s="3">
        <f>Tabela1[[#This Row],[Estoque Parque]]-Tabela1[[#This Row],[LRR]]</f>
        <v>0</v>
      </c>
      <c r="I34" s="3">
        <f>SUMIF(SQVI!B:B,Base!A27,SQVI!V:V)</f>
        <v>0</v>
      </c>
      <c r="J34" s="13">
        <v>46327</v>
      </c>
      <c r="K34" s="13" t="str">
        <f>UPPER(TEXT(Tabela1[[#This Row],[Previsão no Parque ]],"mmm/aaaa"))</f>
        <v>NOV/2026</v>
      </c>
      <c r="L34" s="13" t="str">
        <f>TEXT(Tabela1[[#This Row],[Previsão no Parque ]],"MMMM")</f>
        <v>novembro</v>
      </c>
      <c r="M34" s="13" t="str">
        <f>TEXT(Tabela1[[#This Row],[Previsão no Parque ]],"AAAA")</f>
        <v>2026</v>
      </c>
      <c r="N34" s="34" t="s">
        <v>18</v>
      </c>
    </row>
    <row r="35" spans="1:16" hidden="1" x14ac:dyDescent="0.35">
      <c r="A35" t="str">
        <f t="shared" si="1"/>
        <v>GP124403B856</v>
      </c>
      <c r="B35" t="s">
        <v>56</v>
      </c>
      <c r="C35" t="s">
        <v>57</v>
      </c>
      <c r="D35" s="4" t="s">
        <v>21</v>
      </c>
      <c r="E35" s="3" t="s">
        <v>22</v>
      </c>
      <c r="F35" s="3">
        <v>2</v>
      </c>
      <c r="G35" s="3">
        <f>IFERROR(VLOOKUP(A35,'Est. Parq.'!A:J,10,0),0)</f>
        <v>12</v>
      </c>
      <c r="H35" s="3">
        <f>Tabela1[[#This Row],[Estoque Parque]]-Tabela1[[#This Row],[LRR]]</f>
        <v>10</v>
      </c>
      <c r="I35" s="3">
        <f>SUMIF(SQVI!B:B,Base!A28,SQVI!V:V)</f>
        <v>0</v>
      </c>
      <c r="J35" s="13">
        <v>46266</v>
      </c>
      <c r="K35" s="13" t="str">
        <f>UPPER(TEXT(Tabela1[[#This Row],[Previsão no Parque ]],"mmm/aaaa"))</f>
        <v>SET/2026</v>
      </c>
      <c r="L35" s="13" t="str">
        <f>TEXT(Tabela1[[#This Row],[Previsão no Parque ]],"MMMM")</f>
        <v>setembro</v>
      </c>
      <c r="M35" s="13" t="str">
        <f>TEXT(Tabela1[[#This Row],[Previsão no Parque ]],"AAAA")</f>
        <v>2026</v>
      </c>
      <c r="N35" s="34" t="s">
        <v>34</v>
      </c>
      <c r="O35" s="4">
        <v>-10</v>
      </c>
      <c r="P35" s="31">
        <v>46253</v>
      </c>
    </row>
    <row r="36" spans="1:16" hidden="1" x14ac:dyDescent="0.35">
      <c r="A36" t="str">
        <f t="shared" si="1"/>
        <v>GP124403B857</v>
      </c>
      <c r="B36" t="s">
        <v>56</v>
      </c>
      <c r="C36" t="s">
        <v>58</v>
      </c>
      <c r="D36" s="4" t="s">
        <v>23</v>
      </c>
      <c r="E36" s="3" t="s">
        <v>24</v>
      </c>
      <c r="F36" s="3"/>
      <c r="G36" s="3">
        <f>IFERROR(VLOOKUP(A36,'Est. Parq.'!A:J,10,0),0)</f>
        <v>2</v>
      </c>
      <c r="H36" s="3">
        <f>Tabela1[[#This Row],[Estoque Parque]]-Tabela1[[#This Row],[LRR]]</f>
        <v>2</v>
      </c>
      <c r="I36" s="3">
        <f>SUMIF(SQVI!B:B,Base!A29,SQVI!V:V)</f>
        <v>0</v>
      </c>
      <c r="J36" s="13">
        <v>46235</v>
      </c>
      <c r="K36" s="13" t="str">
        <f>UPPER(TEXT(Tabela1[[#This Row],[Previsão no Parque ]],"mmm/aaaa"))</f>
        <v>AGO/2026</v>
      </c>
      <c r="L36" s="13" t="str">
        <f>TEXT(Tabela1[[#This Row],[Previsão no Parque ]],"MMMM")</f>
        <v>agosto</v>
      </c>
      <c r="M36" s="13" t="str">
        <f>TEXT(Tabela1[[#This Row],[Previsão no Parque ]],"AAAA")</f>
        <v>2026</v>
      </c>
      <c r="N36" s="34" t="s">
        <v>59</v>
      </c>
    </row>
    <row r="37" spans="1:16" hidden="1" x14ac:dyDescent="0.35">
      <c r="A37" t="str">
        <f t="shared" si="1"/>
        <v>GP124403B867</v>
      </c>
      <c r="B37" t="s">
        <v>56</v>
      </c>
      <c r="C37" t="s">
        <v>58</v>
      </c>
      <c r="D37" s="4" t="s">
        <v>25</v>
      </c>
      <c r="E37" s="3" t="s">
        <v>26</v>
      </c>
      <c r="F37" s="3">
        <v>2</v>
      </c>
      <c r="G37" s="3">
        <f>IFERROR(VLOOKUP(A37,'Est. Parq.'!A:J,10,0),0)</f>
        <v>6</v>
      </c>
      <c r="H37" s="3">
        <f>Tabela1[[#This Row],[Estoque Parque]]-Tabela1[[#This Row],[LRR]]</f>
        <v>4</v>
      </c>
      <c r="I37" s="3">
        <f>SUMIF(SQVI!B:B,Base!A30,SQVI!V:V)</f>
        <v>3</v>
      </c>
      <c r="J37" s="13">
        <v>46235</v>
      </c>
      <c r="K37" s="13" t="str">
        <f>UPPER(TEXT(Tabela1[[#This Row],[Previsão no Parque ]],"mmm/aaaa"))</f>
        <v>AGO/2026</v>
      </c>
      <c r="L37" s="13" t="str">
        <f>TEXT(Tabela1[[#This Row],[Previsão no Parque ]],"MMMM")</f>
        <v>agosto</v>
      </c>
      <c r="M37" s="13" t="str">
        <f>TEXT(Tabela1[[#This Row],[Previsão no Parque ]],"AAAA")</f>
        <v>2026</v>
      </c>
      <c r="N37" s="34" t="s">
        <v>59</v>
      </c>
      <c r="O37" s="4">
        <v>-4</v>
      </c>
      <c r="P37" s="31">
        <v>46195</v>
      </c>
    </row>
    <row r="38" spans="1:16" hidden="1" x14ac:dyDescent="0.35">
      <c r="A38" t="str">
        <f t="shared" si="1"/>
        <v>GP127960B832</v>
      </c>
      <c r="B38" t="s">
        <v>60</v>
      </c>
      <c r="C38" s="6" t="s">
        <v>61</v>
      </c>
      <c r="D38" s="4" t="s">
        <v>19</v>
      </c>
      <c r="E38" s="3" t="s">
        <v>20</v>
      </c>
      <c r="F38" s="3">
        <v>4</v>
      </c>
      <c r="G38" s="3">
        <f>IFERROR(VLOOKUP(A38,'Est. Parq.'!A:J,10,0),0)</f>
        <v>6</v>
      </c>
      <c r="H38" s="3">
        <f>Tabela1[[#This Row],[Estoque Parque]]-Tabela1[[#This Row],[LRR]]</f>
        <v>2</v>
      </c>
      <c r="I38" s="3">
        <f>SUMIF(SQVI!B:B,Base!A31,SQVI!V:V)</f>
        <v>0</v>
      </c>
      <c r="J38" s="13">
        <v>46266</v>
      </c>
      <c r="K38" s="13" t="str">
        <f>UPPER(TEXT(Tabela1[[#This Row],[Previsão no Parque ]],"mmm/aaaa"))</f>
        <v>SET/2026</v>
      </c>
      <c r="L38" s="13" t="str">
        <f>TEXT(Tabela1[[#This Row],[Previsão no Parque ]],"MMMM")</f>
        <v>setembro</v>
      </c>
      <c r="M38" s="13" t="str">
        <f>TEXT(Tabela1[[#This Row],[Previsão no Parque ]],"AAAA")</f>
        <v>2026</v>
      </c>
      <c r="N38" s="34" t="s">
        <v>34</v>
      </c>
      <c r="O38" s="4">
        <v>-2</v>
      </c>
      <c r="P38" s="31">
        <v>46248</v>
      </c>
    </row>
    <row r="39" spans="1:16" ht="29" hidden="1" x14ac:dyDescent="0.35">
      <c r="A39" t="str">
        <f t="shared" si="1"/>
        <v>GP127960B838</v>
      </c>
      <c r="B39" t="s">
        <v>60</v>
      </c>
      <c r="C39" s="8" t="s">
        <v>61</v>
      </c>
      <c r="D39" s="4" t="s">
        <v>48</v>
      </c>
      <c r="E39" s="3" t="s">
        <v>49</v>
      </c>
      <c r="F39" s="3">
        <v>2</v>
      </c>
      <c r="G39" s="3">
        <f>IFERROR(VLOOKUP(A39,'Est. Parq.'!A:J,10,0),0)</f>
        <v>1</v>
      </c>
      <c r="H39" s="3">
        <f>Tabela1[[#This Row],[Estoque Parque]]-Tabela1[[#This Row],[LRR]]</f>
        <v>-1</v>
      </c>
      <c r="I39" s="3">
        <f>SUMIF(SQVI!B:B,Base!A32,SQVI!V:V)</f>
        <v>5</v>
      </c>
      <c r="J39" s="13">
        <v>46296</v>
      </c>
      <c r="K39" s="13" t="str">
        <f>UPPER(TEXT(Tabela1[[#This Row],[Previsão no Parque ]],"mmm/aaaa"))</f>
        <v>OUT/2026</v>
      </c>
      <c r="L39" s="13" t="str">
        <f>TEXT(Tabela1[[#This Row],[Previsão no Parque ]],"MMMM")</f>
        <v>outubro</v>
      </c>
      <c r="M39" s="13" t="str">
        <f>TEXT(Tabela1[[#This Row],[Previsão no Parque ]],"AAAA")</f>
        <v>2026</v>
      </c>
      <c r="N39" s="34" t="s">
        <v>3152</v>
      </c>
      <c r="O39" s="4">
        <v>2</v>
      </c>
      <c r="P39" s="31">
        <v>46325</v>
      </c>
    </row>
    <row r="40" spans="1:16" hidden="1" x14ac:dyDescent="0.35">
      <c r="A40" t="str">
        <f t="shared" si="1"/>
        <v>GP127960B856</v>
      </c>
      <c r="B40" t="s">
        <v>60</v>
      </c>
      <c r="C40" t="s">
        <v>61</v>
      </c>
      <c r="D40" s="4" t="s">
        <v>21</v>
      </c>
      <c r="E40" s="3" t="s">
        <v>22</v>
      </c>
      <c r="F40" s="3">
        <v>2</v>
      </c>
      <c r="G40" s="3">
        <f>IFERROR(VLOOKUP(A40,'Est. Parq.'!A:J,10,0),0)</f>
        <v>2</v>
      </c>
      <c r="H40" s="3">
        <f>Tabela1[[#This Row],[Estoque Parque]]-Tabela1[[#This Row],[LRR]]</f>
        <v>0</v>
      </c>
      <c r="I40" s="3">
        <f>SUMIF(SQVI!B:B,Base!A33,SQVI!V:V)</f>
        <v>0</v>
      </c>
      <c r="J40" s="13">
        <v>46388</v>
      </c>
      <c r="K40" s="13" t="str">
        <f>UPPER(TEXT(Tabela1[[#This Row],[Previsão no Parque ]],"mmm/aaaa"))</f>
        <v>JAN/2027</v>
      </c>
      <c r="L40" s="13" t="str">
        <f>TEXT(Tabela1[[#This Row],[Previsão no Parque ]],"MMMM")</f>
        <v>janeiro</v>
      </c>
      <c r="M40" s="13" t="str">
        <f>TEXT(Tabela1[[#This Row],[Previsão no Parque ]],"AAAA")</f>
        <v>2027</v>
      </c>
      <c r="N40" s="5" t="s">
        <v>9</v>
      </c>
    </row>
    <row r="41" spans="1:16" hidden="1" x14ac:dyDescent="0.35">
      <c r="A41" t="str">
        <f t="shared" si="1"/>
        <v>GP127960B857</v>
      </c>
      <c r="B41" t="s">
        <v>60</v>
      </c>
      <c r="C41" t="s">
        <v>61</v>
      </c>
      <c r="D41" s="4" t="s">
        <v>23</v>
      </c>
      <c r="E41" s="3" t="s">
        <v>24</v>
      </c>
      <c r="F41" s="3"/>
      <c r="G41" s="3">
        <f>IFERROR(VLOOKUP(A41,'Est. Parq.'!A:J,10,0),0)</f>
        <v>3</v>
      </c>
      <c r="H41" s="3">
        <f>Tabela1[[#This Row],[Estoque Parque]]-Tabela1[[#This Row],[LRR]]</f>
        <v>3</v>
      </c>
      <c r="I41" s="3">
        <f>SUMIF(SQVI!B:B,Base!A34,SQVI!V:V)</f>
        <v>0</v>
      </c>
      <c r="J41" s="13">
        <v>46388</v>
      </c>
      <c r="K41" s="13" t="str">
        <f>UPPER(TEXT(Tabela1[[#This Row],[Previsão no Parque ]],"mmm/aaaa"))</f>
        <v>JAN/2027</v>
      </c>
      <c r="L41" s="13" t="str">
        <f>TEXT(Tabela1[[#This Row],[Previsão no Parque ]],"MMMM")</f>
        <v>janeiro</v>
      </c>
      <c r="M41" s="13" t="str">
        <f>TEXT(Tabela1[[#This Row],[Previsão no Parque ]],"AAAA")</f>
        <v>2027</v>
      </c>
      <c r="N41" s="34" t="s">
        <v>9</v>
      </c>
      <c r="O41" s="4">
        <v>-2</v>
      </c>
      <c r="P41" s="31">
        <v>46234</v>
      </c>
    </row>
    <row r="42" spans="1:16" hidden="1" x14ac:dyDescent="0.35">
      <c r="A42" t="str">
        <f t="shared" si="1"/>
        <v>GP127960B865</v>
      </c>
      <c r="B42" t="s">
        <v>60</v>
      </c>
      <c r="C42" t="s">
        <v>61</v>
      </c>
      <c r="D42" s="4" t="s">
        <v>7</v>
      </c>
      <c r="E42" s="3" t="s">
        <v>8</v>
      </c>
      <c r="F42" s="3">
        <v>4</v>
      </c>
      <c r="G42" s="3">
        <f>IFERROR(VLOOKUP(A42,'Est. Parq.'!A:J,10,0),0)</f>
        <v>0</v>
      </c>
      <c r="H42" s="3">
        <f>Tabela1[[#This Row],[Estoque Parque]]-Tabela1[[#This Row],[LRR]]</f>
        <v>-4</v>
      </c>
      <c r="I42" s="3">
        <f>SUMIF(SQVI!B:B,Base!A36,SQVI!V:V)</f>
        <v>0</v>
      </c>
      <c r="J42" s="13">
        <v>46388</v>
      </c>
      <c r="K42" s="13" t="str">
        <f>UPPER(TEXT(Tabela1[[#This Row],[Previsão no Parque ]],"mmm/aaaa"))</f>
        <v>JAN/2027</v>
      </c>
      <c r="L42" s="13" t="str">
        <f>TEXT(Tabela1[[#This Row],[Previsão no Parque ]],"MMMM")</f>
        <v>janeiro</v>
      </c>
      <c r="M42" s="13" t="str">
        <f>TEXT(Tabela1[[#This Row],[Previsão no Parque ]],"AAAA")</f>
        <v>2027</v>
      </c>
      <c r="N42" s="5" t="s">
        <v>31</v>
      </c>
      <c r="O42" s="4">
        <v>-1</v>
      </c>
      <c r="P42" s="31">
        <v>46225</v>
      </c>
    </row>
    <row r="43" spans="1:16" hidden="1" x14ac:dyDescent="0.35">
      <c r="A43" t="str">
        <f t="shared" si="1"/>
        <v>GP127960B864</v>
      </c>
      <c r="B43" t="s">
        <v>60</v>
      </c>
      <c r="C43" t="s">
        <v>61</v>
      </c>
      <c r="D43" s="4" t="s">
        <v>10</v>
      </c>
      <c r="E43" s="3" t="s">
        <v>3148</v>
      </c>
      <c r="F43" s="3">
        <v>2</v>
      </c>
      <c r="G43" s="3">
        <f>IFERROR(VLOOKUP(A43,'Est. Parq.'!A:J,10,0),0)</f>
        <v>0</v>
      </c>
      <c r="H43" s="3">
        <f>Tabela1[[#This Row],[Estoque Parque]]-Tabela1[[#This Row],[LRR]]</f>
        <v>-2</v>
      </c>
      <c r="I43" s="3">
        <f>SUMIF(SQVI!B:B,Base!A37,SQVI!V:V)</f>
        <v>0</v>
      </c>
      <c r="J43" s="13">
        <v>46388</v>
      </c>
      <c r="K43" s="13" t="str">
        <f>UPPER(TEXT(Tabela1[[#This Row],[Previsão no Parque ]],"mmm/aaaa"))</f>
        <v>JAN/2027</v>
      </c>
      <c r="L43" s="13" t="str">
        <f>TEXT(Tabela1[[#This Row],[Previsão no Parque ]],"MMMM")</f>
        <v>janeiro</v>
      </c>
      <c r="M43" s="13" t="str">
        <f>TEXT(Tabela1[[#This Row],[Previsão no Parque ]],"AAAA")</f>
        <v>2027</v>
      </c>
      <c r="N43" s="5" t="s">
        <v>18</v>
      </c>
    </row>
    <row r="44" spans="1:16" hidden="1" x14ac:dyDescent="0.35">
      <c r="A44" t="str">
        <f t="shared" si="1"/>
        <v>GP131157B864</v>
      </c>
      <c r="B44" t="s">
        <v>62</v>
      </c>
      <c r="C44" t="s">
        <v>63</v>
      </c>
      <c r="D44" s="4" t="s">
        <v>10</v>
      </c>
      <c r="E44" s="3" t="s">
        <v>3148</v>
      </c>
      <c r="F44" s="3">
        <v>50</v>
      </c>
      <c r="G44" s="3">
        <f>IFERROR(VLOOKUP(A44,'Est. Parq.'!A:J,10,0),0)</f>
        <v>304</v>
      </c>
      <c r="H44" s="3">
        <f>Tabela1[[#This Row],[Estoque Parque]]-Tabela1[[#This Row],[LRR]]</f>
        <v>254</v>
      </c>
      <c r="I44" s="3">
        <f>SUMIF(SQVI!B:B,Base!A39,SQVI!V:V)</f>
        <v>0</v>
      </c>
      <c r="J44" s="13">
        <v>46296</v>
      </c>
      <c r="K44" s="13" t="str">
        <f>UPPER(TEXT(Tabela1[[#This Row],[Previsão no Parque ]],"mmm/aaaa"))</f>
        <v>OUT/2026</v>
      </c>
      <c r="L44" s="13" t="str">
        <f>TEXT(Tabela1[[#This Row],[Previsão no Parque ]],"MMMM")</f>
        <v>outubro</v>
      </c>
      <c r="M44" s="13" t="str">
        <f>TEXT(Tabela1[[#This Row],[Previsão no Parque ]],"AAAA")</f>
        <v>2026</v>
      </c>
      <c r="N44" s="34" t="s">
        <v>3152</v>
      </c>
      <c r="O44" s="4">
        <v>250</v>
      </c>
      <c r="P44" s="31">
        <v>46317</v>
      </c>
    </row>
    <row r="45" spans="1:16" x14ac:dyDescent="0.35">
      <c r="A45" t="str">
        <f t="shared" si="1"/>
        <v>GP135716B825</v>
      </c>
      <c r="B45" t="s">
        <v>64</v>
      </c>
      <c r="C45" t="s">
        <v>65</v>
      </c>
      <c r="D45" s="4" t="s">
        <v>16</v>
      </c>
      <c r="E45" s="3" t="s">
        <v>17</v>
      </c>
      <c r="F45" s="3">
        <v>2</v>
      </c>
      <c r="G45" s="3">
        <f>IFERROR(VLOOKUP(A45,'Est. Parq.'!A:J,10,0),0)</f>
        <v>8</v>
      </c>
      <c r="H45" s="3">
        <f>Tabela1[[#This Row],[Estoque Parque]]-Tabela1[[#This Row],[LRR]]</f>
        <v>6</v>
      </c>
      <c r="I45" s="3">
        <f>SUMIF(SQVI!B:B,Base!A40,SQVI!V:V)</f>
        <v>0</v>
      </c>
      <c r="J45" s="13">
        <v>46327</v>
      </c>
      <c r="K45" s="13" t="str">
        <f>UPPER(TEXT(Tabela1[[#This Row],[Previsão no Parque ]],"mmm/aaaa"))</f>
        <v>NOV/2026</v>
      </c>
      <c r="L45" s="13" t="str">
        <f>TEXT(Tabela1[[#This Row],[Previsão no Parque ]],"MMMM")</f>
        <v>novembro</v>
      </c>
      <c r="M45" s="13" t="str">
        <f>TEXT(Tabela1[[#This Row],[Previsão no Parque ]],"AAAA")</f>
        <v>2026</v>
      </c>
      <c r="N45" s="34" t="s">
        <v>18</v>
      </c>
    </row>
    <row r="46" spans="1:16" hidden="1" x14ac:dyDescent="0.35">
      <c r="A46" t="str">
        <f t="shared" si="1"/>
        <v>GP145852B832</v>
      </c>
      <c r="B46" t="s">
        <v>66</v>
      </c>
      <c r="C46" s="6" t="s">
        <v>67</v>
      </c>
      <c r="D46" s="4" t="s">
        <v>19</v>
      </c>
      <c r="E46" s="3" t="s">
        <v>20</v>
      </c>
      <c r="F46" s="3">
        <v>4</v>
      </c>
      <c r="G46" s="3">
        <f>IFERROR(VLOOKUP(A46,'Est. Parq.'!A:J,10,0),0)</f>
        <v>2</v>
      </c>
      <c r="H46" s="3">
        <f>Tabela1[[#This Row],[Estoque Parque]]-Tabela1[[#This Row],[LRR]]</f>
        <v>-2</v>
      </c>
      <c r="I46" s="3">
        <f>SUMIF(SQVI!B:B,Base!A41,SQVI!V:V)</f>
        <v>0</v>
      </c>
      <c r="J46" s="13">
        <v>46235</v>
      </c>
      <c r="K46" s="13" t="str">
        <f>UPPER(TEXT(Tabela1[[#This Row],[Previsão no Parque ]],"mmm/aaaa"))</f>
        <v>AGO/2026</v>
      </c>
      <c r="L46" s="13" t="str">
        <f>TEXT(Tabela1[[#This Row],[Previsão no Parque ]],"MMMM")</f>
        <v>agosto</v>
      </c>
      <c r="M46" s="13" t="str">
        <f>TEXT(Tabela1[[#This Row],[Previsão no Parque ]],"AAAA")</f>
        <v>2026</v>
      </c>
      <c r="N46" s="34" t="s">
        <v>34</v>
      </c>
      <c r="O46" s="4">
        <v>-1</v>
      </c>
      <c r="P46" s="31">
        <v>46247</v>
      </c>
    </row>
    <row r="47" spans="1:16" hidden="1" x14ac:dyDescent="0.35">
      <c r="A47" t="str">
        <f t="shared" si="1"/>
        <v>GP224705B864</v>
      </c>
      <c r="B47" t="s">
        <v>68</v>
      </c>
      <c r="C47" t="s">
        <v>69</v>
      </c>
      <c r="D47" s="4" t="s">
        <v>10</v>
      </c>
      <c r="E47" s="3" t="s">
        <v>3148</v>
      </c>
      <c r="F47" s="3"/>
      <c r="G47" s="3">
        <f>IFERROR(VLOOKUP(A47,'Est. Parq.'!A:J,10,0),0)</f>
        <v>0</v>
      </c>
      <c r="H47" s="3">
        <f>Tabela1[[#This Row],[Estoque Parque]]-Tabela1[[#This Row],[LRR]]</f>
        <v>0</v>
      </c>
      <c r="I47" s="3">
        <f>SUMIF(SQVI!B:B,Base!A43,SQVI!V:V)</f>
        <v>0</v>
      </c>
      <c r="J47" s="13">
        <v>46447</v>
      </c>
      <c r="K47" s="13" t="str">
        <f>UPPER(TEXT(Tabela1[[#This Row],[Previsão no Parque ]],"mmm/aaaa"))</f>
        <v>MAR/2027</v>
      </c>
      <c r="L47" s="13" t="str">
        <f>TEXT(Tabela1[[#This Row],[Previsão no Parque ]],"MMMM")</f>
        <v>março</v>
      </c>
      <c r="M47" s="13" t="str">
        <f>TEXT(Tabela1[[#This Row],[Previsão no Parque ]],"AAAA")</f>
        <v>2027</v>
      </c>
      <c r="N47" s="5" t="s">
        <v>18</v>
      </c>
    </row>
    <row r="48" spans="1:16" hidden="1" x14ac:dyDescent="0.35">
      <c r="A48" t="str">
        <f t="shared" si="1"/>
        <v>GP224705B865</v>
      </c>
      <c r="B48" t="s">
        <v>68</v>
      </c>
      <c r="C48" t="s">
        <v>69</v>
      </c>
      <c r="D48" s="4" t="s">
        <v>7</v>
      </c>
      <c r="E48" s="3" t="s">
        <v>8</v>
      </c>
      <c r="F48" s="3"/>
      <c r="G48" s="3">
        <f>IFERROR(VLOOKUP(A48,'Est. Parq.'!A:J,10,0),0)</f>
        <v>1</v>
      </c>
      <c r="H48" s="3">
        <f>Tabela1[[#This Row],[Estoque Parque]]-Tabela1[[#This Row],[LRR]]</f>
        <v>1</v>
      </c>
      <c r="I48" s="3">
        <f>SUMIF(SQVI!B:B,Base!A42,SQVI!V:V)</f>
        <v>0</v>
      </c>
      <c r="J48" s="13">
        <v>46388</v>
      </c>
      <c r="K48" s="13" t="str">
        <f>UPPER(TEXT(Tabela1[[#This Row],[Previsão no Parque ]],"mmm/aaaa"))</f>
        <v>JAN/2027</v>
      </c>
      <c r="L48" s="13" t="str">
        <f>TEXT(Tabela1[[#This Row],[Previsão no Parque ]],"MMMM")</f>
        <v>janeiro</v>
      </c>
      <c r="M48" s="13" t="str">
        <f>TEXT(Tabela1[[#This Row],[Previsão no Parque ]],"AAAA")</f>
        <v>2027</v>
      </c>
      <c r="N48" s="5" t="s">
        <v>18</v>
      </c>
    </row>
    <row r="49" spans="1:17" hidden="1" x14ac:dyDescent="0.35">
      <c r="A49" t="str">
        <f t="shared" si="1"/>
        <v>GP249817B838</v>
      </c>
      <c r="B49" t="s">
        <v>72</v>
      </c>
      <c r="C49" s="8" t="s">
        <v>73</v>
      </c>
      <c r="D49" s="4" t="s">
        <v>48</v>
      </c>
      <c r="E49" s="3" t="s">
        <v>49</v>
      </c>
      <c r="F49" s="3">
        <v>3</v>
      </c>
      <c r="G49" s="3">
        <f>IFERROR(VLOOKUP(A49,'Est. Parq.'!A:J,10,0),0)</f>
        <v>3</v>
      </c>
      <c r="H49" s="3">
        <f>Tabela1[[#This Row],[Estoque Parque]]-Tabela1[[#This Row],[LRR]]</f>
        <v>0</v>
      </c>
      <c r="I49" s="3">
        <f>SUMIF(SQVI!B:B,Base!A45,SQVI!V:V)</f>
        <v>0</v>
      </c>
      <c r="J49" s="13">
        <v>46296</v>
      </c>
      <c r="K49" s="13" t="str">
        <f>UPPER(TEXT(Tabela1[[#This Row],[Previsão no Parque ]],"mmm/aaaa"))</f>
        <v>OUT/2026</v>
      </c>
      <c r="L49" s="13" t="str">
        <f>TEXT(Tabela1[[#This Row],[Previsão no Parque ]],"MMMM")</f>
        <v>outubro</v>
      </c>
      <c r="M49" s="13" t="str">
        <f>TEXT(Tabela1[[#This Row],[Previsão no Parque ]],"AAAA")</f>
        <v>2026</v>
      </c>
      <c r="N49" s="34" t="s">
        <v>3152</v>
      </c>
      <c r="O49" s="4">
        <v>-1</v>
      </c>
      <c r="P49" s="31">
        <v>46325</v>
      </c>
    </row>
    <row r="50" spans="1:17" hidden="1" x14ac:dyDescent="0.35">
      <c r="A50" t="str">
        <f t="shared" si="1"/>
        <v>GP249817B856</v>
      </c>
      <c r="B50" t="s">
        <v>72</v>
      </c>
      <c r="C50" t="s">
        <v>73</v>
      </c>
      <c r="D50" s="4" t="s">
        <v>21</v>
      </c>
      <c r="E50" s="3" t="s">
        <v>22</v>
      </c>
      <c r="F50" s="3">
        <v>2</v>
      </c>
      <c r="G50" s="3">
        <f>IFERROR(VLOOKUP(A50,'Est. Parq.'!A:J,10,0),0)</f>
        <v>12</v>
      </c>
      <c r="H50" s="3">
        <f>Tabela1[[#This Row],[Estoque Parque]]-Tabela1[[#This Row],[LRR]]</f>
        <v>10</v>
      </c>
      <c r="I50" s="3">
        <f>SUMIF(SQVI!B:B,Base!A46,SQVI!V:V)</f>
        <v>0</v>
      </c>
      <c r="J50" s="13">
        <v>46235</v>
      </c>
      <c r="K50" s="13" t="str">
        <f>UPPER(TEXT(Tabela1[[#This Row],[Previsão no Parque ]],"mmm/aaaa"))</f>
        <v>AGO/2026</v>
      </c>
      <c r="L50" s="13" t="str">
        <f>TEXT(Tabela1[[#This Row],[Previsão no Parque ]],"MMMM")</f>
        <v>agosto</v>
      </c>
      <c r="M50" s="13" t="str">
        <f>TEXT(Tabela1[[#This Row],[Previsão no Parque ]],"AAAA")</f>
        <v>2026</v>
      </c>
      <c r="N50" s="34" t="s">
        <v>34</v>
      </c>
      <c r="O50" s="4">
        <v>-5</v>
      </c>
      <c r="P50" s="31">
        <v>46234</v>
      </c>
    </row>
    <row r="51" spans="1:17" hidden="1" x14ac:dyDescent="0.35">
      <c r="A51" t="str">
        <f t="shared" si="1"/>
        <v>GP249817B867</v>
      </c>
      <c r="B51" t="s">
        <v>72</v>
      </c>
      <c r="C51" t="s">
        <v>73</v>
      </c>
      <c r="D51" s="4" t="s">
        <v>25</v>
      </c>
      <c r="E51" s="3" t="s">
        <v>26</v>
      </c>
      <c r="F51" s="3">
        <v>2</v>
      </c>
      <c r="G51" s="3">
        <f>IFERROR(VLOOKUP(A51,'Est. Parq.'!A:J,10,0),0)</f>
        <v>17</v>
      </c>
      <c r="H51" s="3">
        <f>Tabela1[[#This Row],[Estoque Parque]]-Tabela1[[#This Row],[LRR]]</f>
        <v>15</v>
      </c>
      <c r="I51" s="3">
        <f>SUMIF(SQVI!B:B,Base!A48,SQVI!V:V)</f>
        <v>0</v>
      </c>
      <c r="J51" s="13">
        <v>46235</v>
      </c>
      <c r="K51" s="13" t="str">
        <f>UPPER(TEXT(Tabela1[[#This Row],[Previsão no Parque ]],"mmm/aaaa"))</f>
        <v>AGO/2026</v>
      </c>
      <c r="L51" s="13" t="str">
        <f>TEXT(Tabela1[[#This Row],[Previsão no Parque ]],"MMMM")</f>
        <v>agosto</v>
      </c>
      <c r="M51" s="13" t="str">
        <f>TEXT(Tabela1[[#This Row],[Previsão no Parque ]],"AAAA")</f>
        <v>2026</v>
      </c>
      <c r="N51" s="34" t="s">
        <v>34</v>
      </c>
      <c r="O51" s="4">
        <v>-4</v>
      </c>
      <c r="P51" s="31">
        <v>46234</v>
      </c>
    </row>
    <row r="52" spans="1:17" hidden="1" x14ac:dyDescent="0.35">
      <c r="A52" t="str">
        <f t="shared" si="1"/>
        <v>GP254146B864</v>
      </c>
      <c r="B52" t="s">
        <v>74</v>
      </c>
      <c r="C52" t="s">
        <v>75</v>
      </c>
      <c r="D52" s="4" t="s">
        <v>10</v>
      </c>
      <c r="E52" s="3" t="s">
        <v>3148</v>
      </c>
      <c r="F52" s="3"/>
      <c r="G52" s="3">
        <f>IFERROR(VLOOKUP(A52,'Est. Parq.'!A:J,10,0),0)</f>
        <v>0</v>
      </c>
      <c r="H52" s="3">
        <f>Tabela1[[#This Row],[Estoque Parque]]-Tabela1[[#This Row],[LRR]]</f>
        <v>0</v>
      </c>
      <c r="I52" s="3">
        <f>SUMIF(SQVI!B:B,Base!A50,SQVI!V:V)</f>
        <v>10</v>
      </c>
      <c r="J52" s="13">
        <v>46296</v>
      </c>
      <c r="K52" s="13" t="str">
        <f>UPPER(TEXT(Tabela1[[#This Row],[Previsão no Parque ]],"mmm/aaaa"))</f>
        <v>OUT/2026</v>
      </c>
      <c r="L52" s="13" t="str">
        <f>TEXT(Tabela1[[#This Row],[Previsão no Parque ]],"MMMM")</f>
        <v>outubro</v>
      </c>
      <c r="M52" s="13" t="str">
        <f>TEXT(Tabela1[[#This Row],[Previsão no Parque ]],"AAAA")</f>
        <v>2026</v>
      </c>
      <c r="N52" s="34" t="s">
        <v>3152</v>
      </c>
      <c r="O52" s="4">
        <v>2</v>
      </c>
      <c r="P52" s="31">
        <v>46325</v>
      </c>
      <c r="Q52" t="s">
        <v>3163</v>
      </c>
    </row>
    <row r="53" spans="1:17" hidden="1" x14ac:dyDescent="0.35">
      <c r="A53" t="str">
        <f t="shared" si="1"/>
        <v>GP254146B865</v>
      </c>
      <c r="B53" t="s">
        <v>74</v>
      </c>
      <c r="C53" t="s">
        <v>75</v>
      </c>
      <c r="D53" s="4" t="s">
        <v>7</v>
      </c>
      <c r="E53" s="3" t="s">
        <v>8</v>
      </c>
      <c r="F53" s="3"/>
      <c r="G53" s="3">
        <f>IFERROR(VLOOKUP(A53,'Est. Parq.'!A:J,10,0),0)</f>
        <v>3</v>
      </c>
      <c r="H53" s="3">
        <f>Tabela1[[#This Row],[Estoque Parque]]-Tabela1[[#This Row],[LRR]]</f>
        <v>3</v>
      </c>
      <c r="I53" s="3">
        <f>SUMIF(SQVI!B:B,Base!A49,SQVI!V:V)</f>
        <v>10</v>
      </c>
      <c r="J53" s="13">
        <v>46266</v>
      </c>
      <c r="K53" s="13" t="str">
        <f>UPPER(TEXT(Tabela1[[#This Row],[Previsão no Parque ]],"mmm/aaaa"))</f>
        <v>SET/2026</v>
      </c>
      <c r="L53" s="13" t="str">
        <f>TEXT(Tabela1[[#This Row],[Previsão no Parque ]],"MMMM")</f>
        <v>setembro</v>
      </c>
      <c r="M53" s="13" t="str">
        <f>TEXT(Tabela1[[#This Row],[Previsão no Parque ]],"AAAA")</f>
        <v>2026</v>
      </c>
      <c r="N53" s="34" t="s">
        <v>34</v>
      </c>
      <c r="O53" s="4">
        <v>3</v>
      </c>
    </row>
    <row r="54" spans="1:17" hidden="1" x14ac:dyDescent="0.35">
      <c r="A54" t="str">
        <f t="shared" si="1"/>
        <v>GP269250B864</v>
      </c>
      <c r="B54" t="s">
        <v>76</v>
      </c>
      <c r="C54" t="s">
        <v>77</v>
      </c>
      <c r="D54" s="4" t="s">
        <v>10</v>
      </c>
      <c r="E54" s="3" t="s">
        <v>3148</v>
      </c>
      <c r="F54" s="3">
        <v>2</v>
      </c>
      <c r="G54" s="3">
        <f>IFERROR(VLOOKUP(A54,'Est. Parq.'!A:J,10,0),0)</f>
        <v>3</v>
      </c>
      <c r="H54" s="3">
        <f>Tabela1[[#This Row],[Estoque Parque]]-Tabela1[[#This Row],[LRR]]</f>
        <v>1</v>
      </c>
      <c r="I54" s="3">
        <f>SUMIF(SQVI!B:B,Base!A52,SQVI!V:V)</f>
        <v>0</v>
      </c>
      <c r="J54" s="13">
        <v>46296</v>
      </c>
      <c r="K54" s="13" t="str">
        <f>UPPER(TEXT(Tabela1[[#This Row],[Previsão no Parque ]],"mmm/aaaa"))</f>
        <v>OUT/2026</v>
      </c>
      <c r="L54" s="13" t="str">
        <f>TEXT(Tabela1[[#This Row],[Previsão no Parque ]],"MMMM")</f>
        <v>outubro</v>
      </c>
      <c r="M54" s="13" t="str">
        <f>TEXT(Tabela1[[#This Row],[Previsão no Parque ]],"AAAA")</f>
        <v>2026</v>
      </c>
      <c r="N54" s="34" t="s">
        <v>3152</v>
      </c>
      <c r="O54" s="4">
        <v>1</v>
      </c>
      <c r="P54" s="31">
        <v>46325</v>
      </c>
    </row>
    <row r="55" spans="1:17" hidden="1" x14ac:dyDescent="0.35">
      <c r="A55" t="str">
        <f t="shared" si="1"/>
        <v>GP269250B865</v>
      </c>
      <c r="B55" t="s">
        <v>76</v>
      </c>
      <c r="C55" t="s">
        <v>77</v>
      </c>
      <c r="D55" s="4" t="s">
        <v>7</v>
      </c>
      <c r="E55" s="3" t="s">
        <v>8</v>
      </c>
      <c r="F55" s="3">
        <v>3</v>
      </c>
      <c r="G55" s="3">
        <f>IFERROR(VLOOKUP(A55,'Est. Parq.'!A:J,10,0),0)</f>
        <v>4</v>
      </c>
      <c r="H55" s="3">
        <f>Tabela1[[#This Row],[Estoque Parque]]-Tabela1[[#This Row],[LRR]]</f>
        <v>1</v>
      </c>
      <c r="I55" s="3">
        <f>SUMIF(SQVI!B:B,Base!A51,SQVI!V:V)</f>
        <v>13</v>
      </c>
      <c r="J55" s="13">
        <v>46296</v>
      </c>
      <c r="K55" s="13" t="str">
        <f>UPPER(TEXT(Tabela1[[#This Row],[Previsão no Parque ]],"mmm/aaaa"))</f>
        <v>OUT/2026</v>
      </c>
      <c r="L55" s="13" t="str">
        <f>TEXT(Tabela1[[#This Row],[Previsão no Parque ]],"MMMM")</f>
        <v>outubro</v>
      </c>
      <c r="M55" s="13" t="str">
        <f>TEXT(Tabela1[[#This Row],[Previsão no Parque ]],"AAAA")</f>
        <v>2026</v>
      </c>
      <c r="N55" s="34" t="s">
        <v>3152</v>
      </c>
      <c r="O55" s="4">
        <v>3</v>
      </c>
      <c r="P55" s="31">
        <v>46325</v>
      </c>
    </row>
    <row r="56" spans="1:17" x14ac:dyDescent="0.35">
      <c r="A56" t="str">
        <f t="shared" si="1"/>
        <v>GP294080B825</v>
      </c>
      <c r="B56" t="s">
        <v>78</v>
      </c>
      <c r="C56" t="s">
        <v>79</v>
      </c>
      <c r="D56" s="4" t="s">
        <v>16</v>
      </c>
      <c r="E56" s="3" t="s">
        <v>17</v>
      </c>
      <c r="F56" s="3">
        <v>3</v>
      </c>
      <c r="G56" s="3">
        <f>IFERROR(VLOOKUP(A56,'Est. Parq.'!A:J,10,0),0)</f>
        <v>1</v>
      </c>
      <c r="H56" s="3">
        <f>Tabela1[[#This Row],[Estoque Parque]]-Tabela1[[#This Row],[LRR]]</f>
        <v>-2</v>
      </c>
      <c r="I56" s="3">
        <f>SUMIF(SQVI!B:B,Base!A53,SQVI!V:V)</f>
        <v>0</v>
      </c>
      <c r="J56" s="13" t="s">
        <v>115</v>
      </c>
      <c r="K56" s="13" t="str">
        <f>UPPER(TEXT(Tabela1[[#This Row],[Previsão no Parque ]],"mmm/aaaa"))</f>
        <v>*</v>
      </c>
      <c r="L56" s="13" t="str">
        <f>TEXT(Tabela1[[#This Row],[Previsão no Parque ]],"MMMM")</f>
        <v>*</v>
      </c>
      <c r="M56" s="13" t="str">
        <f>TEXT(Tabela1[[#This Row],[Previsão no Parque ]],"AAAA")</f>
        <v>*</v>
      </c>
      <c r="N56" s="34" t="s">
        <v>80</v>
      </c>
    </row>
    <row r="57" spans="1:17" x14ac:dyDescent="0.35">
      <c r="A57" t="str">
        <f t="shared" si="1"/>
        <v>GP295110B825</v>
      </c>
      <c r="B57" t="s">
        <v>81</v>
      </c>
      <c r="C57" t="s">
        <v>82</v>
      </c>
      <c r="D57" s="4" t="s">
        <v>16</v>
      </c>
      <c r="E57" s="3" t="s">
        <v>17</v>
      </c>
      <c r="F57" s="3">
        <v>2</v>
      </c>
      <c r="G57" s="3">
        <f>IFERROR(VLOOKUP(A57,'Est. Parq.'!A:J,10,0),0)</f>
        <v>2</v>
      </c>
      <c r="H57" s="3">
        <f>Tabela1[[#This Row],[Estoque Parque]]-Tabela1[[#This Row],[LRR]]</f>
        <v>0</v>
      </c>
      <c r="I57" s="3">
        <f>SUMIF(SQVI!B:B,Base!A54,SQVI!V:V)</f>
        <v>0</v>
      </c>
      <c r="J57" s="13">
        <v>46235</v>
      </c>
      <c r="K57" s="13" t="str">
        <f>UPPER(TEXT(Tabela1[[#This Row],[Previsão no Parque ]],"mmm/aaaa"))</f>
        <v>AGO/2026</v>
      </c>
      <c r="L57" s="13" t="str">
        <f>TEXT(Tabela1[[#This Row],[Previsão no Parque ]],"MMMM")</f>
        <v>agosto</v>
      </c>
      <c r="M57" s="13" t="str">
        <f>TEXT(Tabela1[[#This Row],[Previsão no Parque ]],"AAAA")</f>
        <v>2026</v>
      </c>
      <c r="N57" s="34" t="s">
        <v>34</v>
      </c>
      <c r="O57" s="4">
        <v>-13</v>
      </c>
      <c r="P57" s="31">
        <v>46248</v>
      </c>
    </row>
    <row r="58" spans="1:17" hidden="1" x14ac:dyDescent="0.35">
      <c r="A58" t="str">
        <f t="shared" si="1"/>
        <v>GP296945B838</v>
      </c>
      <c r="B58" t="s">
        <v>83</v>
      </c>
      <c r="C58" t="s">
        <v>84</v>
      </c>
      <c r="D58" s="4" t="s">
        <v>48</v>
      </c>
      <c r="E58" s="3" t="s">
        <v>24</v>
      </c>
      <c r="F58" s="3">
        <v>2</v>
      </c>
      <c r="G58" s="3">
        <f>IFERROR(VLOOKUP(A58,'Est. Parq.'!A:J,10,0),0)</f>
        <v>3</v>
      </c>
      <c r="H58" s="3">
        <f>Tabela1[[#This Row],[Estoque Parque]]-Tabela1[[#This Row],[LRR]]</f>
        <v>1</v>
      </c>
      <c r="I58" s="3">
        <f>SUMIF(SQVI!B:B,Base!A55,SQVI!V:V)</f>
        <v>0</v>
      </c>
      <c r="J58" s="13">
        <v>46266</v>
      </c>
      <c r="K58" s="13" t="str">
        <f>UPPER(TEXT(Tabela1[[#This Row],[Previsão no Parque ]],"mmm/aaaa"))</f>
        <v>SET/2026</v>
      </c>
      <c r="L58" s="13" t="str">
        <f>TEXT(Tabela1[[#This Row],[Previsão no Parque ]],"MMMM")</f>
        <v>setembro</v>
      </c>
      <c r="M58" s="13" t="str">
        <f>TEXT(Tabela1[[#This Row],[Previsão no Parque ]],"AAAA")</f>
        <v>2026</v>
      </c>
      <c r="N58" s="34" t="s">
        <v>34</v>
      </c>
      <c r="O58" s="4">
        <v>3</v>
      </c>
      <c r="P58" s="31">
        <v>46232</v>
      </c>
    </row>
    <row r="59" spans="1:17" x14ac:dyDescent="0.35">
      <c r="A59" t="str">
        <f t="shared" si="1"/>
        <v>GP307720B825</v>
      </c>
      <c r="B59" t="s">
        <v>85</v>
      </c>
      <c r="C59" t="s">
        <v>86</v>
      </c>
      <c r="D59" s="4" t="s">
        <v>16</v>
      </c>
      <c r="E59" s="3" t="s">
        <v>17</v>
      </c>
      <c r="F59" s="3">
        <v>2</v>
      </c>
      <c r="G59" s="3">
        <f>IFERROR(VLOOKUP(A59,'Est. Parq.'!A:J,10,0),0)</f>
        <v>1</v>
      </c>
      <c r="H59" s="3">
        <f>Tabela1[[#This Row],[Estoque Parque]]-Tabela1[[#This Row],[LRR]]</f>
        <v>-1</v>
      </c>
      <c r="I59" s="3">
        <f>SUMIF(SQVI!B:B,Base!A56,SQVI!V:V)</f>
        <v>3</v>
      </c>
      <c r="J59" s="13">
        <v>46266</v>
      </c>
      <c r="K59" s="13" t="str">
        <f>UPPER(TEXT(Tabela1[[#This Row],[Previsão no Parque ]],"mmm/aaaa"))</f>
        <v>SET/2026</v>
      </c>
      <c r="L59" s="13" t="str">
        <f>TEXT(Tabela1[[#This Row],[Previsão no Parque ]],"MMMM")</f>
        <v>setembro</v>
      </c>
      <c r="M59" s="13" t="str">
        <f>TEXT(Tabela1[[#This Row],[Previsão no Parque ]],"AAAA")</f>
        <v>2026</v>
      </c>
      <c r="N59" s="34" t="s">
        <v>34</v>
      </c>
      <c r="O59" s="4">
        <v>2</v>
      </c>
    </row>
    <row r="60" spans="1:17" x14ac:dyDescent="0.35">
      <c r="A60" t="str">
        <f t="shared" si="1"/>
        <v>GP335709B825</v>
      </c>
      <c r="B60" t="s">
        <v>87</v>
      </c>
      <c r="C60" t="s">
        <v>88</v>
      </c>
      <c r="D60" s="4" t="s">
        <v>16</v>
      </c>
      <c r="E60" s="3" t="s">
        <v>17</v>
      </c>
      <c r="F60" s="3">
        <v>2</v>
      </c>
      <c r="G60" s="3">
        <f>IFERROR(VLOOKUP(A60,'Est. Parq.'!A:J,10,0),0)</f>
        <v>6</v>
      </c>
      <c r="H60" s="3">
        <f>Tabela1[[#This Row],[Estoque Parque]]-Tabela1[[#This Row],[LRR]]</f>
        <v>4</v>
      </c>
      <c r="I60" s="3">
        <f>SUMIF(SQVI!B:B,Base!A57,SQVI!V:V)</f>
        <v>0</v>
      </c>
      <c r="J60" s="13">
        <v>46266</v>
      </c>
      <c r="K60" s="13" t="str">
        <f>UPPER(TEXT(Tabela1[[#This Row],[Previsão no Parque ]],"mmm/aaaa"))</f>
        <v>SET/2026</v>
      </c>
      <c r="L60" s="13" t="str">
        <f>TEXT(Tabela1[[#This Row],[Previsão no Parque ]],"MMMM")</f>
        <v>setembro</v>
      </c>
      <c r="M60" s="13" t="str">
        <f>TEXT(Tabela1[[#This Row],[Previsão no Parque ]],"AAAA")</f>
        <v>2026</v>
      </c>
      <c r="N60" s="34" t="s">
        <v>34</v>
      </c>
      <c r="O60" s="4">
        <v>-4</v>
      </c>
      <c r="P60" s="31">
        <v>46247</v>
      </c>
    </row>
    <row r="61" spans="1:17" hidden="1" x14ac:dyDescent="0.35">
      <c r="A61" t="str">
        <f t="shared" si="1"/>
        <v>GP347294B856</v>
      </c>
      <c r="B61" t="s">
        <v>89</v>
      </c>
      <c r="C61" t="s">
        <v>90</v>
      </c>
      <c r="D61" s="4" t="s">
        <v>21</v>
      </c>
      <c r="E61" s="3" t="s">
        <v>22</v>
      </c>
      <c r="F61" s="3">
        <v>2</v>
      </c>
      <c r="G61" s="3">
        <f>IFERROR(VLOOKUP(A61,'Est. Parq.'!A:J,10,0),0)</f>
        <v>0</v>
      </c>
      <c r="H61" s="3">
        <f>Tabela1[[#This Row],[Estoque Parque]]-Tabela1[[#This Row],[LRR]]</f>
        <v>-2</v>
      </c>
      <c r="I61" s="3">
        <f>SUMIF(SQVI!B:B,Base!A58,SQVI!V:V)</f>
        <v>0</v>
      </c>
      <c r="J61" s="13">
        <v>46235</v>
      </c>
      <c r="K61" s="13" t="str">
        <f>UPPER(TEXT(Tabela1[[#This Row],[Previsão no Parque ]],"mmm/aaaa"))</f>
        <v>AGO/2026</v>
      </c>
      <c r="L61" s="13" t="str">
        <f>TEXT(Tabela1[[#This Row],[Previsão no Parque ]],"MMMM")</f>
        <v>agosto</v>
      </c>
      <c r="M61" s="13" t="str">
        <f>TEXT(Tabela1[[#This Row],[Previsão no Parque ]],"AAAA")</f>
        <v>2026</v>
      </c>
      <c r="N61" s="34" t="s">
        <v>31</v>
      </c>
      <c r="O61" s="4">
        <v>-2</v>
      </c>
      <c r="P61" s="31">
        <v>46253</v>
      </c>
    </row>
    <row r="62" spans="1:17" hidden="1" x14ac:dyDescent="0.35">
      <c r="A62" t="str">
        <f t="shared" si="1"/>
        <v>GP347778B856</v>
      </c>
      <c r="B62" t="s">
        <v>91</v>
      </c>
      <c r="C62" t="s">
        <v>92</v>
      </c>
      <c r="D62" s="4" t="s">
        <v>21</v>
      </c>
      <c r="E62" s="3" t="s">
        <v>22</v>
      </c>
      <c r="F62" s="3">
        <v>2</v>
      </c>
      <c r="G62" s="3">
        <f>IFERROR(VLOOKUP(A62,'Est. Parq.'!A:J,10,0),0)</f>
        <v>8</v>
      </c>
      <c r="H62" s="3">
        <f>Tabela1[[#This Row],[Estoque Parque]]-Tabela1[[#This Row],[LRR]]</f>
        <v>6</v>
      </c>
      <c r="I62" s="3">
        <f>SUMIF(SQVI!B:B,Base!A59,SQVI!V:V)</f>
        <v>0</v>
      </c>
      <c r="J62" s="13">
        <v>46235</v>
      </c>
      <c r="K62" s="13" t="str">
        <f>UPPER(TEXT(Tabela1[[#This Row],[Previsão no Parque ]],"mmm/aaaa"))</f>
        <v>AGO/2026</v>
      </c>
      <c r="L62" s="13" t="str">
        <f>TEXT(Tabela1[[#This Row],[Previsão no Parque ]],"MMMM")</f>
        <v>agosto</v>
      </c>
      <c r="M62" s="13" t="str">
        <f>TEXT(Tabela1[[#This Row],[Previsão no Parque ]],"AAAA")</f>
        <v>2026</v>
      </c>
      <c r="N62" s="34" t="s">
        <v>34</v>
      </c>
      <c r="O62" s="4">
        <v>-10</v>
      </c>
      <c r="P62" s="31">
        <v>46234</v>
      </c>
    </row>
    <row r="63" spans="1:17" hidden="1" x14ac:dyDescent="0.35">
      <c r="A63" t="str">
        <f t="shared" si="1"/>
        <v>GP347778B857</v>
      </c>
      <c r="B63" t="s">
        <v>91</v>
      </c>
      <c r="C63" t="s">
        <v>92</v>
      </c>
      <c r="D63" s="4" t="s">
        <v>23</v>
      </c>
      <c r="E63" s="3" t="s">
        <v>24</v>
      </c>
      <c r="F63" s="3">
        <v>2</v>
      </c>
      <c r="G63" s="3">
        <f>IFERROR(VLOOKUP(A63,'Est. Parq.'!A:J,10,0),0)</f>
        <v>2</v>
      </c>
      <c r="H63" s="3">
        <f>Tabela1[[#This Row],[Estoque Parque]]-Tabela1[[#This Row],[LRR]]</f>
        <v>0</v>
      </c>
      <c r="I63" s="3">
        <f>SUMIF(SQVI!B:B,Base!A60,SQVI!V:V)</f>
        <v>30</v>
      </c>
      <c r="J63" s="13">
        <v>46327</v>
      </c>
      <c r="K63" s="13" t="str">
        <f>UPPER(TEXT(Tabela1[[#This Row],[Previsão no Parque ]],"mmm/aaaa"))</f>
        <v>NOV/2026</v>
      </c>
      <c r="L63" s="13" t="str">
        <f>TEXT(Tabela1[[#This Row],[Previsão no Parque ]],"MMMM")</f>
        <v>novembro</v>
      </c>
      <c r="M63" s="13" t="str">
        <f>TEXT(Tabela1[[#This Row],[Previsão no Parque ]],"AAAA")</f>
        <v>2026</v>
      </c>
      <c r="N63" s="34" t="s">
        <v>18</v>
      </c>
      <c r="Q63" t="s">
        <v>3162</v>
      </c>
    </row>
    <row r="64" spans="1:17" hidden="1" x14ac:dyDescent="0.35">
      <c r="A64" t="str">
        <f t="shared" si="1"/>
        <v>GP347778B867</v>
      </c>
      <c r="B64" t="s">
        <v>91</v>
      </c>
      <c r="C64" t="s">
        <v>92</v>
      </c>
      <c r="D64" s="4" t="s">
        <v>25</v>
      </c>
      <c r="E64" s="3" t="s">
        <v>26</v>
      </c>
      <c r="F64" s="3">
        <v>2</v>
      </c>
      <c r="G64" s="3">
        <f>IFERROR(VLOOKUP(A64,'Est. Parq.'!A:J,10,0),0)</f>
        <v>1</v>
      </c>
      <c r="H64" s="3">
        <f>Tabela1[[#This Row],[Estoque Parque]]-Tabela1[[#This Row],[LRR]]</f>
        <v>-1</v>
      </c>
      <c r="I64" s="3">
        <f>SUMIF(SQVI!B:B,Base!A61,SQVI!V:V)</f>
        <v>8</v>
      </c>
      <c r="J64" s="13">
        <v>46296</v>
      </c>
      <c r="K64" s="13" t="str">
        <f>UPPER(TEXT(Tabela1[[#This Row],[Previsão no Parque ]],"mmm/aaaa"))</f>
        <v>OUT/2026</v>
      </c>
      <c r="L64" s="13" t="str">
        <f>TEXT(Tabela1[[#This Row],[Previsão no Parque ]],"MMMM")</f>
        <v>outubro</v>
      </c>
      <c r="M64" s="13" t="str">
        <f>TEXT(Tabela1[[#This Row],[Previsão no Parque ]],"AAAA")</f>
        <v>2026</v>
      </c>
      <c r="N64" s="34" t="s">
        <v>3152</v>
      </c>
      <c r="O64" s="4">
        <v>6</v>
      </c>
      <c r="P64" s="31">
        <v>46296</v>
      </c>
    </row>
    <row r="65" spans="1:17" hidden="1" x14ac:dyDescent="0.35">
      <c r="A65" t="str">
        <f t="shared" si="1"/>
        <v>GP351497B838</v>
      </c>
      <c r="B65" t="s">
        <v>93</v>
      </c>
      <c r="C65" s="8" t="s">
        <v>94</v>
      </c>
      <c r="D65" s="4" t="s">
        <v>48</v>
      </c>
      <c r="E65" s="3" t="s">
        <v>49</v>
      </c>
      <c r="F65" s="3"/>
      <c r="G65" s="3">
        <f>IFERROR(VLOOKUP(A65,'Est. Parq.'!A:J,10,0),0)</f>
        <v>0</v>
      </c>
      <c r="H65" s="3">
        <f>Tabela1[[#This Row],[Estoque Parque]]-Tabela1[[#This Row],[LRR]]</f>
        <v>0</v>
      </c>
      <c r="I65" s="3">
        <f>SUMIF(SQVI!B:B,Base!A62,SQVI!V:V)</f>
        <v>0</v>
      </c>
      <c r="J65" s="13">
        <v>46357</v>
      </c>
      <c r="K65" s="13" t="str">
        <f>UPPER(TEXT(Tabela1[[#This Row],[Previsão no Parque ]],"mmm/aaaa"))</f>
        <v>DEZ/2026</v>
      </c>
      <c r="L65" s="13" t="str">
        <f>TEXT(Tabela1[[#This Row],[Previsão no Parque ]],"MMMM")</f>
        <v>dezembro</v>
      </c>
      <c r="M65" s="13" t="str">
        <f>TEXT(Tabela1[[#This Row],[Previsão no Parque ]],"AAAA")</f>
        <v>2026</v>
      </c>
      <c r="N65" s="34" t="s">
        <v>18</v>
      </c>
      <c r="Q65" t="s">
        <v>3164</v>
      </c>
    </row>
    <row r="66" spans="1:17" hidden="1" x14ac:dyDescent="0.35">
      <c r="A66" t="str">
        <f t="shared" ref="A66:A97" si="2">_xlfn.CONCAT(B66,D66)</f>
        <v>GP371842B838</v>
      </c>
      <c r="B66" t="s">
        <v>95</v>
      </c>
      <c r="C66" s="8" t="s">
        <v>96</v>
      </c>
      <c r="D66" s="4" t="s">
        <v>48</v>
      </c>
      <c r="E66" s="3" t="s">
        <v>49</v>
      </c>
      <c r="F66" s="3">
        <v>2</v>
      </c>
      <c r="G66" s="3">
        <f>IFERROR(VLOOKUP(A66,'Est. Parq.'!A:J,10,0),0)</f>
        <v>8</v>
      </c>
      <c r="H66" s="3">
        <f>Tabela1[[#This Row],[Estoque Parque]]-Tabela1[[#This Row],[LRR]]</f>
        <v>6</v>
      </c>
      <c r="I66" s="3">
        <f>SUMIF(SQVI!B:B,Base!A63,SQVI!V:V)</f>
        <v>6</v>
      </c>
      <c r="J66" s="13">
        <v>46235</v>
      </c>
      <c r="K66" s="13" t="str">
        <f>UPPER(TEXT(Tabela1[[#This Row],[Previsão no Parque ]],"mmm/aaaa"))</f>
        <v>AGO/2026</v>
      </c>
      <c r="L66" s="13" t="str">
        <f>TEXT(Tabela1[[#This Row],[Previsão no Parque ]],"MMMM")</f>
        <v>agosto</v>
      </c>
      <c r="M66" s="13" t="str">
        <f>TEXT(Tabela1[[#This Row],[Previsão no Parque ]],"AAAA")</f>
        <v>2026</v>
      </c>
      <c r="N66" s="34" t="s">
        <v>34</v>
      </c>
      <c r="O66" s="4">
        <v>-3</v>
      </c>
      <c r="P66" s="31">
        <v>46253</v>
      </c>
    </row>
    <row r="67" spans="1:17" hidden="1" x14ac:dyDescent="0.35">
      <c r="A67" t="str">
        <f t="shared" si="2"/>
        <v>GP371842B856</v>
      </c>
      <c r="B67" t="s">
        <v>95</v>
      </c>
      <c r="C67" t="s">
        <v>96</v>
      </c>
      <c r="D67" s="4" t="s">
        <v>21</v>
      </c>
      <c r="E67" s="3" t="s">
        <v>22</v>
      </c>
      <c r="F67" s="3"/>
      <c r="G67" s="3">
        <f>IFERROR(VLOOKUP(A67,'Est. Parq.'!A:J,10,0),0)</f>
        <v>0</v>
      </c>
      <c r="H67" s="3">
        <f>Tabela1[[#This Row],[Estoque Parque]]-Tabela1[[#This Row],[LRR]]</f>
        <v>0</v>
      </c>
      <c r="I67" s="3">
        <f>SUMIF(SQVI!B:B,Base!A64,SQVI!V:V)</f>
        <v>0</v>
      </c>
      <c r="J67" s="13">
        <v>46235</v>
      </c>
      <c r="K67" s="13" t="str">
        <f>UPPER(TEXT(Tabela1[[#This Row],[Previsão no Parque ]],"mmm/aaaa"))</f>
        <v>AGO/2026</v>
      </c>
      <c r="L67" s="13" t="str">
        <f>TEXT(Tabela1[[#This Row],[Previsão no Parque ]],"MMMM")</f>
        <v>agosto</v>
      </c>
      <c r="M67" s="13" t="str">
        <f>TEXT(Tabela1[[#This Row],[Previsão no Parque ]],"AAAA")</f>
        <v>2026</v>
      </c>
      <c r="N67" s="34" t="s">
        <v>34</v>
      </c>
      <c r="O67" s="4">
        <v>-4</v>
      </c>
      <c r="P67" s="31">
        <v>46253</v>
      </c>
    </row>
    <row r="68" spans="1:17" hidden="1" x14ac:dyDescent="0.35">
      <c r="A68" t="str">
        <f t="shared" si="2"/>
        <v>GP371842B857</v>
      </c>
      <c r="B68" t="s">
        <v>95</v>
      </c>
      <c r="C68" t="s">
        <v>96</v>
      </c>
      <c r="D68" s="4" t="s">
        <v>23</v>
      </c>
      <c r="E68" s="3" t="s">
        <v>24</v>
      </c>
      <c r="F68" s="3"/>
      <c r="G68" s="3">
        <f>IFERROR(VLOOKUP(A68,'Est. Parq.'!A:J,10,0),0)</f>
        <v>1</v>
      </c>
      <c r="H68" s="3">
        <f>Tabela1[[#This Row],[Estoque Parque]]-Tabela1[[#This Row],[LRR]]</f>
        <v>1</v>
      </c>
      <c r="I68" s="3">
        <f>SUMIF(SQVI!B:B,Base!A65,SQVI!V:V)</f>
        <v>0</v>
      </c>
      <c r="J68" s="13">
        <v>46266</v>
      </c>
      <c r="K68" s="13" t="str">
        <f>UPPER(TEXT(Tabela1[[#This Row],[Previsão no Parque ]],"mmm/aaaa"))</f>
        <v>SET/2026</v>
      </c>
      <c r="L68" s="13" t="str">
        <f>TEXT(Tabela1[[#This Row],[Previsão no Parque ]],"MMMM")</f>
        <v>setembro</v>
      </c>
      <c r="M68" s="13" t="str">
        <f>TEXT(Tabela1[[#This Row],[Previsão no Parque ]],"AAAA")</f>
        <v>2026</v>
      </c>
      <c r="N68" s="34" t="s">
        <v>34</v>
      </c>
      <c r="O68" s="4">
        <v>3</v>
      </c>
    </row>
    <row r="69" spans="1:17" hidden="1" x14ac:dyDescent="0.35">
      <c r="A69" t="str">
        <f t="shared" si="2"/>
        <v>GP371842B867</v>
      </c>
      <c r="B69" t="s">
        <v>95</v>
      </c>
      <c r="C69" t="s">
        <v>96</v>
      </c>
      <c r="D69" s="4" t="s">
        <v>25</v>
      </c>
      <c r="E69" s="3" t="s">
        <v>26</v>
      </c>
      <c r="F69" s="3">
        <v>2</v>
      </c>
      <c r="G69" s="3">
        <f>IFERROR(VLOOKUP(A69,'Est. Parq.'!A:J,10,0),0)</f>
        <v>5</v>
      </c>
      <c r="H69" s="3">
        <f>Tabela1[[#This Row],[Estoque Parque]]-Tabela1[[#This Row],[LRR]]</f>
        <v>3</v>
      </c>
      <c r="I69" s="3">
        <f>SUMIF(SQVI!B:B,Base!A66,SQVI!V:V)</f>
        <v>0</v>
      </c>
      <c r="J69" s="13">
        <v>46296</v>
      </c>
      <c r="K69" s="13" t="str">
        <f>UPPER(TEXT(Tabela1[[#This Row],[Previsão no Parque ]],"mmm/aaaa"))</f>
        <v>OUT/2026</v>
      </c>
      <c r="L69" s="13" t="str">
        <f>TEXT(Tabela1[[#This Row],[Previsão no Parque ]],"MMMM")</f>
        <v>outubro</v>
      </c>
      <c r="M69" s="13" t="str">
        <f>TEXT(Tabela1[[#This Row],[Previsão no Parque ]],"AAAA")</f>
        <v>2026</v>
      </c>
      <c r="N69" s="34" t="s">
        <v>3152</v>
      </c>
      <c r="O69" s="4">
        <v>3</v>
      </c>
      <c r="P69" s="31">
        <v>46325</v>
      </c>
    </row>
    <row r="70" spans="1:17" hidden="1" x14ac:dyDescent="0.35">
      <c r="A70" t="str">
        <f t="shared" si="2"/>
        <v>GP410281B856</v>
      </c>
      <c r="B70" t="s">
        <v>97</v>
      </c>
      <c r="C70" t="s">
        <v>98</v>
      </c>
      <c r="D70" s="4" t="s">
        <v>21</v>
      </c>
      <c r="E70" s="3" t="s">
        <v>22</v>
      </c>
      <c r="F70" s="3"/>
      <c r="G70" s="3">
        <f>IFERROR(VLOOKUP(A70,'Est. Parq.'!A:J,10,0),0)</f>
        <v>0</v>
      </c>
      <c r="H70" s="3">
        <f>Tabela1[[#This Row],[Estoque Parque]]-Tabela1[[#This Row],[LRR]]</f>
        <v>0</v>
      </c>
      <c r="I70" s="3">
        <f>SUMIF(SQVI!B:B,Base!A67,SQVI!V:V)</f>
        <v>0</v>
      </c>
      <c r="J70" s="13">
        <v>46235</v>
      </c>
      <c r="K70" s="13" t="str">
        <f>UPPER(TEXT(Tabela1[[#This Row],[Previsão no Parque ]],"mmm/aaaa"))</f>
        <v>AGO/2026</v>
      </c>
      <c r="L70" s="13" t="str">
        <f>TEXT(Tabela1[[#This Row],[Previsão no Parque ]],"MMMM")</f>
        <v>agosto</v>
      </c>
      <c r="M70" s="13" t="str">
        <f>TEXT(Tabela1[[#This Row],[Previsão no Parque ]],"AAAA")</f>
        <v>2026</v>
      </c>
      <c r="N70" s="34" t="s">
        <v>34</v>
      </c>
      <c r="O70" s="4">
        <v>-4</v>
      </c>
      <c r="P70" s="31">
        <v>46253</v>
      </c>
    </row>
    <row r="71" spans="1:17" hidden="1" x14ac:dyDescent="0.35">
      <c r="A71" t="str">
        <f t="shared" si="2"/>
        <v>GP410281B857</v>
      </c>
      <c r="B71" t="s">
        <v>97</v>
      </c>
      <c r="C71" t="s">
        <v>98</v>
      </c>
      <c r="D71" s="4" t="s">
        <v>23</v>
      </c>
      <c r="E71" s="3" t="s">
        <v>24</v>
      </c>
      <c r="F71" s="3"/>
      <c r="G71" s="3">
        <f>IFERROR(VLOOKUP(A71,'Est. Parq.'!A:J,10,0),0)</f>
        <v>0</v>
      </c>
      <c r="H71" s="3">
        <f>Tabela1[[#This Row],[Estoque Parque]]-Tabela1[[#This Row],[LRR]]</f>
        <v>0</v>
      </c>
      <c r="I71" s="3">
        <f>SUMIF(SQVI!B:B,Base!A68,SQVI!V:V)</f>
        <v>3</v>
      </c>
      <c r="J71" s="13">
        <v>46296</v>
      </c>
      <c r="K71" s="13" t="str">
        <f>UPPER(TEXT(Tabela1[[#This Row],[Previsão no Parque ]],"mmm/aaaa"))</f>
        <v>OUT/2026</v>
      </c>
      <c r="L71" s="13" t="str">
        <f>TEXT(Tabela1[[#This Row],[Previsão no Parque ]],"MMMM")</f>
        <v>outubro</v>
      </c>
      <c r="M71" s="13" t="str">
        <f>TEXT(Tabela1[[#This Row],[Previsão no Parque ]],"AAAA")</f>
        <v>2026</v>
      </c>
      <c r="N71" s="34" t="s">
        <v>3152</v>
      </c>
      <c r="O71" s="4">
        <v>10</v>
      </c>
      <c r="P71" s="31">
        <v>46325</v>
      </c>
    </row>
    <row r="72" spans="1:17" hidden="1" x14ac:dyDescent="0.35">
      <c r="A72" t="str">
        <f t="shared" si="2"/>
        <v>GP410281B867</v>
      </c>
      <c r="B72" t="s">
        <v>97</v>
      </c>
      <c r="C72" t="s">
        <v>98</v>
      </c>
      <c r="D72" s="4" t="s">
        <v>25</v>
      </c>
      <c r="E72" s="3" t="s">
        <v>26</v>
      </c>
      <c r="F72" s="3"/>
      <c r="G72" s="3">
        <f>IFERROR(VLOOKUP(A72,'Est. Parq.'!A:J,10,0),0)</f>
        <v>0</v>
      </c>
      <c r="H72" s="3">
        <f>Tabela1[[#This Row],[Estoque Parque]]-Tabela1[[#This Row],[LRR]]</f>
        <v>0</v>
      </c>
      <c r="I72" s="3">
        <f>SUMIF(SQVI!B:B,Base!A69,SQVI!V:V)</f>
        <v>3</v>
      </c>
      <c r="J72" s="13">
        <v>46296</v>
      </c>
      <c r="K72" s="13" t="str">
        <f>UPPER(TEXT(Tabela1[[#This Row],[Previsão no Parque ]],"mmm/aaaa"))</f>
        <v>OUT/2026</v>
      </c>
      <c r="L72" s="13" t="str">
        <f>TEXT(Tabela1[[#This Row],[Previsão no Parque ]],"MMMM")</f>
        <v>outubro</v>
      </c>
      <c r="M72" s="13" t="str">
        <f>TEXT(Tabela1[[#This Row],[Previsão no Parque ]],"AAAA")</f>
        <v>2026</v>
      </c>
      <c r="N72" s="34" t="s">
        <v>3152</v>
      </c>
      <c r="O72" s="4">
        <v>10</v>
      </c>
      <c r="P72" s="31">
        <v>46325</v>
      </c>
    </row>
    <row r="73" spans="1:17" hidden="1" x14ac:dyDescent="0.35">
      <c r="A73" t="str">
        <f t="shared" si="2"/>
        <v>GP410281B865</v>
      </c>
      <c r="B73" t="s">
        <v>97</v>
      </c>
      <c r="C73" t="s">
        <v>98</v>
      </c>
      <c r="D73" s="4" t="s">
        <v>7</v>
      </c>
      <c r="E73" s="3" t="s">
        <v>8</v>
      </c>
      <c r="F73" s="3">
        <v>15</v>
      </c>
      <c r="G73" s="3">
        <f>IFERROR(VLOOKUP(A73,'Est. Parq.'!A:J,10,0),0)</f>
        <v>7</v>
      </c>
      <c r="H73" s="3">
        <f>Tabela1[[#This Row],[Estoque Parque]]-Tabela1[[#This Row],[LRR]]</f>
        <v>-8</v>
      </c>
      <c r="I73" s="3">
        <f>SUMIF(SQVI!B:B,Base!A70,SQVI!V:V)</f>
        <v>0</v>
      </c>
      <c r="J73" s="13">
        <v>46296</v>
      </c>
      <c r="K73" s="13" t="str">
        <f>UPPER(TEXT(Tabela1[[#This Row],[Previsão no Parque ]],"mmm/aaaa"))</f>
        <v>OUT/2026</v>
      </c>
      <c r="L73" s="13" t="str">
        <f>TEXT(Tabela1[[#This Row],[Previsão no Parque ]],"MMMM")</f>
        <v>outubro</v>
      </c>
      <c r="M73" s="13" t="str">
        <f>TEXT(Tabela1[[#This Row],[Previsão no Parque ]],"AAAA")</f>
        <v>2026</v>
      </c>
      <c r="N73" s="34" t="s">
        <v>3152</v>
      </c>
      <c r="O73" s="4">
        <v>7</v>
      </c>
      <c r="P73" s="31">
        <v>46325</v>
      </c>
    </row>
    <row r="74" spans="1:17" hidden="1" x14ac:dyDescent="0.35">
      <c r="A74" t="str">
        <f t="shared" si="2"/>
        <v>GP410281B864</v>
      </c>
      <c r="B74" t="s">
        <v>97</v>
      </c>
      <c r="C74" t="s">
        <v>98</v>
      </c>
      <c r="D74" s="4" t="s">
        <v>10</v>
      </c>
      <c r="E74" s="3" t="s">
        <v>3148</v>
      </c>
      <c r="F74" s="3">
        <v>15</v>
      </c>
      <c r="G74" s="3">
        <f>IFERROR(VLOOKUP(A74,'Est. Parq.'!A:J,10,0),0)</f>
        <v>15</v>
      </c>
      <c r="H74" s="3">
        <f>Tabela1[[#This Row],[Estoque Parque]]-Tabela1[[#This Row],[LRR]]</f>
        <v>0</v>
      </c>
      <c r="I74" s="3">
        <f>SUMIF(SQVI!B:B,Base!A71,SQVI!V:V)</f>
        <v>0</v>
      </c>
      <c r="J74" s="13">
        <v>46327</v>
      </c>
      <c r="K74" s="13" t="str">
        <f>UPPER(TEXT(Tabela1[[#This Row],[Previsão no Parque ]],"mmm/aaaa"))</f>
        <v>NOV/2026</v>
      </c>
      <c r="L74" s="13" t="str">
        <f>TEXT(Tabela1[[#This Row],[Previsão no Parque ]],"MMMM")</f>
        <v>novembro</v>
      </c>
      <c r="M74" s="13" t="str">
        <f>TEXT(Tabela1[[#This Row],[Previsão no Parque ]],"AAAA")</f>
        <v>2026</v>
      </c>
      <c r="N74" s="5" t="s">
        <v>18</v>
      </c>
    </row>
    <row r="75" spans="1:17" hidden="1" x14ac:dyDescent="0.35">
      <c r="A75" t="str">
        <f t="shared" si="2"/>
        <v>GP410282B856</v>
      </c>
      <c r="B75" t="s">
        <v>99</v>
      </c>
      <c r="C75" t="s">
        <v>98</v>
      </c>
      <c r="D75" s="4" t="s">
        <v>21</v>
      </c>
      <c r="E75" s="3" t="s">
        <v>22</v>
      </c>
      <c r="F75" s="3">
        <v>6</v>
      </c>
      <c r="G75" s="3">
        <f>IFERROR(VLOOKUP(A75,'Est. Parq.'!A:J,10,0),0)</f>
        <v>2</v>
      </c>
      <c r="H75" s="3">
        <f>Tabela1[[#This Row],[Estoque Parque]]-Tabela1[[#This Row],[LRR]]</f>
        <v>-4</v>
      </c>
      <c r="I75" s="3">
        <f>SUMIF(SQVI!B:B,Base!A72,SQVI!V:V)</f>
        <v>0</v>
      </c>
      <c r="J75" s="13">
        <v>46296</v>
      </c>
      <c r="K75" s="13" t="str">
        <f>UPPER(TEXT(Tabela1[[#This Row],[Previsão no Parque ]],"mmm/aaaa"))</f>
        <v>OUT/2026</v>
      </c>
      <c r="L75" s="13" t="str">
        <f>TEXT(Tabela1[[#This Row],[Previsão no Parque ]],"MMMM")</f>
        <v>outubro</v>
      </c>
      <c r="M75" s="13" t="str">
        <f>TEXT(Tabela1[[#This Row],[Previsão no Parque ]],"AAAA")</f>
        <v>2026</v>
      </c>
      <c r="N75" s="34" t="s">
        <v>3152</v>
      </c>
      <c r="O75" s="4">
        <v>10</v>
      </c>
      <c r="P75" s="31">
        <v>46300</v>
      </c>
    </row>
    <row r="76" spans="1:17" hidden="1" x14ac:dyDescent="0.35">
      <c r="A76" t="str">
        <f t="shared" si="2"/>
        <v>GP410282B857</v>
      </c>
      <c r="B76" t="s">
        <v>99</v>
      </c>
      <c r="C76" t="s">
        <v>98</v>
      </c>
      <c r="D76" s="4" t="s">
        <v>23</v>
      </c>
      <c r="E76" s="3" t="s">
        <v>24</v>
      </c>
      <c r="F76" s="3">
        <v>8</v>
      </c>
      <c r="G76" s="3">
        <f>IFERROR(VLOOKUP(A76,'Est. Parq.'!A:J,10,0),0)</f>
        <v>31</v>
      </c>
      <c r="H76" s="3">
        <f>Tabela1[[#This Row],[Estoque Parque]]-Tabela1[[#This Row],[LRR]]</f>
        <v>23</v>
      </c>
      <c r="I76" s="3">
        <f>SUMIF(SQVI!B:B,Base!A73,SQVI!V:V)</f>
        <v>0</v>
      </c>
      <c r="J76" s="13">
        <v>46296</v>
      </c>
      <c r="K76" s="13" t="str">
        <f>UPPER(TEXT(Tabela1[[#This Row],[Previsão no Parque ]],"mmm/aaaa"))</f>
        <v>OUT/2026</v>
      </c>
      <c r="L76" s="13" t="str">
        <f>TEXT(Tabela1[[#This Row],[Previsão no Parque ]],"MMMM")</f>
        <v>outubro</v>
      </c>
      <c r="M76" s="13" t="str">
        <f>TEXT(Tabela1[[#This Row],[Previsão no Parque ]],"AAAA")</f>
        <v>2026</v>
      </c>
      <c r="N76" s="34" t="s">
        <v>3152</v>
      </c>
      <c r="O76" s="4">
        <v>30</v>
      </c>
      <c r="P76" s="31">
        <v>46314</v>
      </c>
    </row>
    <row r="77" spans="1:17" hidden="1" x14ac:dyDescent="0.35">
      <c r="A77" t="str">
        <f t="shared" si="2"/>
        <v>GP410282B867</v>
      </c>
      <c r="B77" t="s">
        <v>99</v>
      </c>
      <c r="C77" t="s">
        <v>98</v>
      </c>
      <c r="D77" s="4" t="s">
        <v>25</v>
      </c>
      <c r="E77" s="3" t="s">
        <v>26</v>
      </c>
      <c r="F77" s="3">
        <v>2</v>
      </c>
      <c r="G77" s="3">
        <f>IFERROR(VLOOKUP(A77,'Est. Parq.'!A:J,10,0),0)</f>
        <v>20</v>
      </c>
      <c r="H77" s="3">
        <f>Tabela1[[#This Row],[Estoque Parque]]-Tabela1[[#This Row],[LRR]]</f>
        <v>18</v>
      </c>
      <c r="I77" s="3">
        <f>SUMIF(SQVI!B:B,Base!A74,SQVI!V:V)</f>
        <v>0</v>
      </c>
      <c r="J77" s="13">
        <v>46296</v>
      </c>
      <c r="K77" s="13" t="str">
        <f>UPPER(TEXT(Tabela1[[#This Row],[Previsão no Parque ]],"mmm/aaaa"))</f>
        <v>OUT/2026</v>
      </c>
      <c r="L77" s="13" t="str">
        <f>TEXT(Tabela1[[#This Row],[Previsão no Parque ]],"MMMM")</f>
        <v>outubro</v>
      </c>
      <c r="M77" s="13" t="str">
        <f>TEXT(Tabela1[[#This Row],[Previsão no Parque ]],"AAAA")</f>
        <v>2026</v>
      </c>
      <c r="N77" s="34" t="s">
        <v>3152</v>
      </c>
      <c r="O77" s="4">
        <v>30</v>
      </c>
      <c r="P77" s="31">
        <v>46314</v>
      </c>
    </row>
    <row r="78" spans="1:17" hidden="1" x14ac:dyDescent="0.35">
      <c r="A78" t="str">
        <f t="shared" si="2"/>
        <v>GP410282B865</v>
      </c>
      <c r="B78" t="s">
        <v>99</v>
      </c>
      <c r="C78" t="s">
        <v>98</v>
      </c>
      <c r="D78" s="4" t="s">
        <v>7</v>
      </c>
      <c r="E78" s="3" t="s">
        <v>8</v>
      </c>
      <c r="F78" s="3">
        <v>15</v>
      </c>
      <c r="G78" s="3">
        <f>IFERROR(VLOOKUP(A78,'Est. Parq.'!A:J,10,0),0)</f>
        <v>9</v>
      </c>
      <c r="H78" s="3">
        <f>Tabela1[[#This Row],[Estoque Parque]]-Tabela1[[#This Row],[LRR]]</f>
        <v>-6</v>
      </c>
      <c r="I78" s="3">
        <f>SUMIF(SQVI!B:B,Base!A75,SQVI!V:V)</f>
        <v>0</v>
      </c>
      <c r="J78" s="13">
        <v>46296</v>
      </c>
      <c r="K78" s="13" t="str">
        <f>UPPER(TEXT(Tabela1[[#This Row],[Previsão no Parque ]],"mmm/aaaa"))</f>
        <v>OUT/2026</v>
      </c>
      <c r="L78" s="13" t="str">
        <f>TEXT(Tabela1[[#This Row],[Previsão no Parque ]],"MMMM")</f>
        <v>outubro</v>
      </c>
      <c r="M78" s="13" t="str">
        <f>TEXT(Tabela1[[#This Row],[Previsão no Parque ]],"AAAA")</f>
        <v>2026</v>
      </c>
      <c r="N78" s="34" t="s">
        <v>3152</v>
      </c>
      <c r="O78" s="4">
        <v>6</v>
      </c>
      <c r="P78" s="31">
        <v>46325</v>
      </c>
    </row>
    <row r="79" spans="1:17" hidden="1" x14ac:dyDescent="0.35">
      <c r="A79" t="str">
        <f t="shared" si="2"/>
        <v>GP410282B864</v>
      </c>
      <c r="B79" t="s">
        <v>99</v>
      </c>
      <c r="C79" t="s">
        <v>98</v>
      </c>
      <c r="D79" s="4" t="s">
        <v>10</v>
      </c>
      <c r="E79" s="3" t="s">
        <v>3148</v>
      </c>
      <c r="F79" s="3">
        <v>15</v>
      </c>
      <c r="G79" s="3">
        <f>IFERROR(VLOOKUP(A79,'Est. Parq.'!A:J,10,0),0)</f>
        <v>15</v>
      </c>
      <c r="H79" s="3">
        <f>Tabela1[[#This Row],[Estoque Parque]]-Tabela1[[#This Row],[LRR]]</f>
        <v>0</v>
      </c>
      <c r="I79" s="3">
        <f>SUMIF(SQVI!B:B,Base!A76,SQVI!V:V)</f>
        <v>0</v>
      </c>
      <c r="J79" s="13">
        <v>46296</v>
      </c>
      <c r="K79" s="13" t="str">
        <f>UPPER(TEXT(Tabela1[[#This Row],[Previsão no Parque ]],"mmm/aaaa"))</f>
        <v>OUT/2026</v>
      </c>
      <c r="L79" s="13" t="str">
        <f>TEXT(Tabela1[[#This Row],[Previsão no Parque ]],"MMMM")</f>
        <v>outubro</v>
      </c>
      <c r="M79" s="13" t="str">
        <f>TEXT(Tabela1[[#This Row],[Previsão no Parque ]],"AAAA")</f>
        <v>2026</v>
      </c>
      <c r="N79" s="34" t="s">
        <v>3152</v>
      </c>
      <c r="O79" s="4">
        <v>3</v>
      </c>
      <c r="P79" s="31">
        <v>46314</v>
      </c>
    </row>
    <row r="80" spans="1:17" hidden="1" x14ac:dyDescent="0.35">
      <c r="A80" t="str">
        <f t="shared" si="2"/>
        <v>GP411469B856</v>
      </c>
      <c r="B80" t="s">
        <v>100</v>
      </c>
      <c r="C80" t="s">
        <v>101</v>
      </c>
      <c r="D80" s="4" t="s">
        <v>21</v>
      </c>
      <c r="E80" s="3" t="s">
        <v>22</v>
      </c>
      <c r="F80" s="3">
        <v>2</v>
      </c>
      <c r="G80" s="3">
        <f>IFERROR(VLOOKUP(A80,'Est. Parq.'!A:J,10,0),0)</f>
        <v>0</v>
      </c>
      <c r="H80" s="3">
        <f>Tabela1[[#This Row],[Estoque Parque]]-Tabela1[[#This Row],[LRR]]</f>
        <v>-2</v>
      </c>
      <c r="I80" s="3">
        <f>SUMIF(SQVI!B:B,Base!A77,SQVI!V:V)</f>
        <v>0</v>
      </c>
      <c r="J80" s="14">
        <v>46235</v>
      </c>
      <c r="K80" s="13" t="str">
        <f>UPPER(TEXT(Tabela1[[#This Row],[Previsão no Parque ]],"mmm/aaaa"))</f>
        <v>AGO/2026</v>
      </c>
      <c r="L80" s="14" t="str">
        <f>TEXT(Tabela1[[#This Row],[Previsão no Parque ]],"MMMM")</f>
        <v>agosto</v>
      </c>
      <c r="M80" s="14" t="str">
        <f>TEXT(Tabela1[[#This Row],[Previsão no Parque ]],"AAAA")</f>
        <v>2026</v>
      </c>
      <c r="N80" s="34" t="s">
        <v>31</v>
      </c>
      <c r="O80" s="4">
        <v>-2</v>
      </c>
      <c r="P80" s="31">
        <v>46253</v>
      </c>
    </row>
    <row r="81" spans="1:17" hidden="1" x14ac:dyDescent="0.35">
      <c r="A81" t="str">
        <f t="shared" si="2"/>
        <v>GP411469B857</v>
      </c>
      <c r="B81" t="s">
        <v>100</v>
      </c>
      <c r="C81" t="s">
        <v>101</v>
      </c>
      <c r="D81" s="4" t="s">
        <v>23</v>
      </c>
      <c r="E81" s="3" t="s">
        <v>24</v>
      </c>
      <c r="F81" s="3">
        <v>2</v>
      </c>
      <c r="G81" s="3">
        <f>IFERROR(VLOOKUP(A81,'Est. Parq.'!A:J,10,0),0)</f>
        <v>7</v>
      </c>
      <c r="H81" s="3">
        <f>Tabela1[[#This Row],[Estoque Parque]]-Tabela1[[#This Row],[LRR]]</f>
        <v>5</v>
      </c>
      <c r="I81" s="3">
        <f>SUMIF(SQVI!B:B,Base!A78,SQVI!V:V)</f>
        <v>0</v>
      </c>
      <c r="J81" s="13">
        <v>46235</v>
      </c>
      <c r="K81" s="13" t="str">
        <f>UPPER(TEXT(Tabela1[[#This Row],[Previsão no Parque ]],"mmm/aaaa"))</f>
        <v>AGO/2026</v>
      </c>
      <c r="L81" s="13" t="str">
        <f>TEXT(Tabela1[[#This Row],[Previsão no Parque ]],"MMMM")</f>
        <v>agosto</v>
      </c>
      <c r="M81" s="13" t="str">
        <f>TEXT(Tabela1[[#This Row],[Previsão no Parque ]],"AAAA")</f>
        <v>2026</v>
      </c>
      <c r="N81" s="34" t="s">
        <v>34</v>
      </c>
      <c r="O81" s="4">
        <v>-6</v>
      </c>
      <c r="P81" s="31">
        <v>46234</v>
      </c>
    </row>
    <row r="82" spans="1:17" hidden="1" x14ac:dyDescent="0.35">
      <c r="A82" t="str">
        <f t="shared" si="2"/>
        <v>GP411469B867</v>
      </c>
      <c r="B82" t="s">
        <v>100</v>
      </c>
      <c r="C82" t="s">
        <v>101</v>
      </c>
      <c r="D82" s="4" t="s">
        <v>25</v>
      </c>
      <c r="E82" s="3" t="s">
        <v>26</v>
      </c>
      <c r="F82" s="3">
        <v>2</v>
      </c>
      <c r="G82" s="3">
        <f>IFERROR(VLOOKUP(A82,'Est. Parq.'!A:J,10,0),0)</f>
        <v>0</v>
      </c>
      <c r="H82" s="3">
        <f>Tabela1[[#This Row],[Estoque Parque]]-Tabela1[[#This Row],[LRR]]</f>
        <v>-2</v>
      </c>
      <c r="I82" s="3">
        <f>SUMIF(SQVI!B:B,Base!A79,SQVI!V:V)</f>
        <v>0</v>
      </c>
      <c r="J82" s="13">
        <v>46447</v>
      </c>
      <c r="K82" s="13" t="str">
        <f>UPPER(TEXT(Tabela1[[#This Row],[Previsão no Parque ]],"mmm/aaaa"))</f>
        <v>MAR/2027</v>
      </c>
      <c r="L82" s="13" t="str">
        <f>TEXT(Tabela1[[#This Row],[Previsão no Parque ]],"MMMM")</f>
        <v>março</v>
      </c>
      <c r="M82" s="13" t="str">
        <f>TEXT(Tabela1[[#This Row],[Previsão no Parque ]],"AAAA")</f>
        <v>2027</v>
      </c>
      <c r="N82" s="34" t="s">
        <v>18</v>
      </c>
    </row>
    <row r="83" spans="1:17" hidden="1" x14ac:dyDescent="0.35">
      <c r="A83" t="str">
        <f t="shared" si="2"/>
        <v>GP422280B856</v>
      </c>
      <c r="B83" t="s">
        <v>102</v>
      </c>
      <c r="C83" t="s">
        <v>103</v>
      </c>
      <c r="D83" s="4" t="s">
        <v>21</v>
      </c>
      <c r="E83" s="3" t="s">
        <v>22</v>
      </c>
      <c r="F83" s="3">
        <v>2</v>
      </c>
      <c r="G83" s="3">
        <f>IFERROR(VLOOKUP(A83,'Est. Parq.'!A:J,10,0),0)</f>
        <v>0</v>
      </c>
      <c r="H83" s="3">
        <f>Tabela1[[#This Row],[Estoque Parque]]-Tabela1[[#This Row],[LRR]]</f>
        <v>-2</v>
      </c>
      <c r="I83" s="3">
        <f>SUMIF(SQVI!B:B,Base!A80,SQVI!V:V)</f>
        <v>0</v>
      </c>
      <c r="J83" s="13">
        <v>46235</v>
      </c>
      <c r="K83" s="13" t="str">
        <f>UPPER(TEXT(Tabela1[[#This Row],[Previsão no Parque ]],"mmm/aaaa"))</f>
        <v>AGO/2026</v>
      </c>
      <c r="L83" s="13" t="str">
        <f>TEXT(Tabela1[[#This Row],[Previsão no Parque ]],"MMMM")</f>
        <v>agosto</v>
      </c>
      <c r="M83" s="13" t="str">
        <f>TEXT(Tabela1[[#This Row],[Previsão no Parque ]],"AAAA")</f>
        <v>2026</v>
      </c>
      <c r="N83" s="34" t="s">
        <v>31</v>
      </c>
      <c r="O83" s="4">
        <v>-2</v>
      </c>
      <c r="P83" s="31">
        <v>46253</v>
      </c>
    </row>
    <row r="84" spans="1:17" hidden="1" x14ac:dyDescent="0.35">
      <c r="A84" t="str">
        <f t="shared" si="2"/>
        <v>GP422280B857</v>
      </c>
      <c r="B84" t="s">
        <v>102</v>
      </c>
      <c r="C84" t="s">
        <v>103</v>
      </c>
      <c r="D84" s="4" t="s">
        <v>23</v>
      </c>
      <c r="E84" s="3" t="s">
        <v>24</v>
      </c>
      <c r="F84" s="3">
        <v>2</v>
      </c>
      <c r="G84" s="3">
        <f>IFERROR(VLOOKUP(A84,'Est. Parq.'!A:J,10,0),0)</f>
        <v>1</v>
      </c>
      <c r="H84" s="3">
        <f>Tabela1[[#This Row],[Estoque Parque]]-Tabela1[[#This Row],[LRR]]</f>
        <v>-1</v>
      </c>
      <c r="I84" s="3">
        <f>SUMIF(SQVI!B:B,Base!A81,SQVI!V:V)</f>
        <v>0</v>
      </c>
      <c r="J84" s="13">
        <v>46235</v>
      </c>
      <c r="K84" s="13" t="str">
        <f>UPPER(TEXT(Tabela1[[#This Row],[Previsão no Parque ]],"mmm/aaaa"))</f>
        <v>AGO/2026</v>
      </c>
      <c r="L84" s="13" t="str">
        <f>TEXT(Tabela1[[#This Row],[Previsão no Parque ]],"MMMM")</f>
        <v>agosto</v>
      </c>
      <c r="M84" s="13" t="str">
        <f>TEXT(Tabela1[[#This Row],[Previsão no Parque ]],"AAAA")</f>
        <v>2026</v>
      </c>
      <c r="N84" s="34" t="s">
        <v>31</v>
      </c>
      <c r="O84" s="4">
        <v>-1</v>
      </c>
      <c r="P84" s="31">
        <v>46252</v>
      </c>
    </row>
    <row r="85" spans="1:17" hidden="1" x14ac:dyDescent="0.35">
      <c r="A85" t="str">
        <f t="shared" si="2"/>
        <v>GP422280B867</v>
      </c>
      <c r="B85" t="s">
        <v>102</v>
      </c>
      <c r="C85" t="s">
        <v>103</v>
      </c>
      <c r="D85" s="4" t="s">
        <v>25</v>
      </c>
      <c r="E85" s="3" t="s">
        <v>26</v>
      </c>
      <c r="F85" s="3">
        <v>2</v>
      </c>
      <c r="G85" s="3">
        <f>IFERROR(VLOOKUP(A85,'Est. Parq.'!A:J,10,0),0)</f>
        <v>0</v>
      </c>
      <c r="H85" s="3">
        <f>Tabela1[[#This Row],[Estoque Parque]]-Tabela1[[#This Row],[LRR]]</f>
        <v>-2</v>
      </c>
      <c r="I85" s="3">
        <f>SUMIF(SQVI!B:B,Base!A82,SQVI!V:V)</f>
        <v>2</v>
      </c>
      <c r="J85" s="13">
        <v>46296</v>
      </c>
      <c r="K85" s="13" t="str">
        <f>UPPER(TEXT(Tabela1[[#This Row],[Previsão no Parque ]],"mmm/aaaa"))</f>
        <v>OUT/2026</v>
      </c>
      <c r="L85" s="13" t="str">
        <f>TEXT(Tabela1[[#This Row],[Previsão no Parque ]],"MMMM")</f>
        <v>outubro</v>
      </c>
      <c r="M85" s="13" t="str">
        <f>TEXT(Tabela1[[#This Row],[Previsão no Parque ]],"AAAA")</f>
        <v>2026</v>
      </c>
      <c r="N85" s="34" t="s">
        <v>3152</v>
      </c>
      <c r="O85" s="4">
        <v>3</v>
      </c>
      <c r="P85" s="31">
        <v>46325</v>
      </c>
    </row>
    <row r="86" spans="1:17" hidden="1" x14ac:dyDescent="0.35">
      <c r="A86" t="str">
        <f t="shared" si="2"/>
        <v>GP422280B865</v>
      </c>
      <c r="B86" t="s">
        <v>102</v>
      </c>
      <c r="C86" t="s">
        <v>103</v>
      </c>
      <c r="D86" s="4" t="s">
        <v>7</v>
      </c>
      <c r="E86" s="3" t="s">
        <v>8</v>
      </c>
      <c r="F86" s="3">
        <v>3</v>
      </c>
      <c r="G86" s="3">
        <f>IFERROR(VLOOKUP(A86,'Est. Parq.'!A:J,10,0),0)</f>
        <v>0</v>
      </c>
      <c r="H86" s="3">
        <f>Tabela1[[#This Row],[Estoque Parque]]-Tabela1[[#This Row],[LRR]]</f>
        <v>-3</v>
      </c>
      <c r="I86" s="3">
        <f>SUMIF(SQVI!B:B,Base!A83,SQVI!V:V)</f>
        <v>2</v>
      </c>
      <c r="J86" s="13">
        <v>46296</v>
      </c>
      <c r="K86" s="13" t="str">
        <f>UPPER(TEXT(Tabela1[[#This Row],[Previsão no Parque ]],"mmm/aaaa"))</f>
        <v>OUT/2026</v>
      </c>
      <c r="L86" s="13" t="str">
        <f>TEXT(Tabela1[[#This Row],[Previsão no Parque ]],"MMMM")</f>
        <v>outubro</v>
      </c>
      <c r="M86" s="13" t="str">
        <f>TEXT(Tabela1[[#This Row],[Previsão no Parque ]],"AAAA")</f>
        <v>2026</v>
      </c>
      <c r="N86" s="34" t="s">
        <v>3152</v>
      </c>
      <c r="O86" s="4">
        <v>2</v>
      </c>
      <c r="P86" s="31">
        <v>46325</v>
      </c>
    </row>
    <row r="87" spans="1:17" hidden="1" x14ac:dyDescent="0.35">
      <c r="A87" t="str">
        <f t="shared" si="2"/>
        <v>GP422280B864</v>
      </c>
      <c r="B87" t="s">
        <v>102</v>
      </c>
      <c r="C87" t="s">
        <v>103</v>
      </c>
      <c r="D87" s="4" t="s">
        <v>10</v>
      </c>
      <c r="E87" s="3" t="s">
        <v>3148</v>
      </c>
      <c r="F87" s="3">
        <v>1</v>
      </c>
      <c r="G87" s="3">
        <f>IFERROR(VLOOKUP(A87,'Est. Parq.'!A:J,10,0),0)</f>
        <v>1</v>
      </c>
      <c r="H87" s="3">
        <f>Tabela1[[#This Row],[Estoque Parque]]-Tabela1[[#This Row],[LRR]]</f>
        <v>0</v>
      </c>
      <c r="I87" s="3">
        <f>SUMIF(SQVI!B:B,Base!A84,SQVI!V:V)</f>
        <v>0</v>
      </c>
      <c r="J87" s="13">
        <v>46327</v>
      </c>
      <c r="K87" s="13" t="str">
        <f>UPPER(TEXT(Tabela1[[#This Row],[Previsão no Parque ]],"mmm/aaaa"))</f>
        <v>NOV/2026</v>
      </c>
      <c r="L87" s="13" t="str">
        <f>TEXT(Tabela1[[#This Row],[Previsão no Parque ]],"MMMM")</f>
        <v>novembro</v>
      </c>
      <c r="M87" s="13" t="str">
        <f>TEXT(Tabela1[[#This Row],[Previsão no Parque ]],"AAAA")</f>
        <v>2026</v>
      </c>
      <c r="N87" s="34" t="s">
        <v>18</v>
      </c>
    </row>
    <row r="88" spans="1:17" hidden="1" x14ac:dyDescent="0.35">
      <c r="A88" t="str">
        <f t="shared" si="2"/>
        <v>GP459925B856</v>
      </c>
      <c r="B88" t="s">
        <v>104</v>
      </c>
      <c r="C88" t="s">
        <v>105</v>
      </c>
      <c r="D88" s="4" t="s">
        <v>21</v>
      </c>
      <c r="E88" s="3" t="s">
        <v>22</v>
      </c>
      <c r="F88" s="3"/>
      <c r="G88" s="3">
        <f>IFERROR(VLOOKUP(A88,'Est. Parq.'!A:J,10,0),0)</f>
        <v>1</v>
      </c>
      <c r="H88" s="3">
        <f>Tabela1[[#This Row],[Estoque Parque]]-Tabela1[[#This Row],[LRR]]</f>
        <v>1</v>
      </c>
      <c r="I88" s="3">
        <f>SUMIF(SQVI!B:B,Base!A85,SQVI!V:V)</f>
        <v>0</v>
      </c>
      <c r="J88" s="13">
        <v>46327</v>
      </c>
      <c r="K88" s="13" t="str">
        <f>UPPER(TEXT(Tabela1[[#This Row],[Previsão no Parque ]],"mmm/aaaa"))</f>
        <v>NOV/2026</v>
      </c>
      <c r="L88" s="13" t="str">
        <f>TEXT(Tabela1[[#This Row],[Previsão no Parque ]],"MMMM")</f>
        <v>novembro</v>
      </c>
      <c r="M88" s="13" t="str">
        <f>TEXT(Tabela1[[#This Row],[Previsão no Parque ]],"AAAA")</f>
        <v>2026</v>
      </c>
      <c r="N88" s="34" t="s">
        <v>18</v>
      </c>
    </row>
    <row r="89" spans="1:17" hidden="1" x14ac:dyDescent="0.35">
      <c r="A89" t="str">
        <f t="shared" si="2"/>
        <v>GP459925B857</v>
      </c>
      <c r="B89" t="s">
        <v>104</v>
      </c>
      <c r="C89" t="s">
        <v>105</v>
      </c>
      <c r="D89" s="4" t="s">
        <v>23</v>
      </c>
      <c r="E89" s="3" t="s">
        <v>24</v>
      </c>
      <c r="F89" s="3"/>
      <c r="G89" s="3">
        <f>IFERROR(VLOOKUP(A89,'Est. Parq.'!A:J,10,0),0)</f>
        <v>0</v>
      </c>
      <c r="H89" s="3">
        <f>Tabela1[[#This Row],[Estoque Parque]]-Tabela1[[#This Row],[LRR]]</f>
        <v>0</v>
      </c>
      <c r="I89" s="3">
        <f>SUMIF(SQVI!B:B,Base!A86,SQVI!V:V)</f>
        <v>8</v>
      </c>
      <c r="J89" s="13">
        <v>46388</v>
      </c>
      <c r="K89" s="13" t="str">
        <f>UPPER(TEXT(Tabela1[[#This Row],[Previsão no Parque ]],"mmm/aaaa"))</f>
        <v>JAN/2027</v>
      </c>
      <c r="L89" s="13" t="str">
        <f>TEXT(Tabela1[[#This Row],[Previsão no Parque ]],"MMMM")</f>
        <v>janeiro</v>
      </c>
      <c r="M89" s="13" t="str">
        <f>TEXT(Tabela1[[#This Row],[Previsão no Parque ]],"AAAA")</f>
        <v>2027</v>
      </c>
      <c r="N89" s="34" t="s">
        <v>9</v>
      </c>
      <c r="Q89" t="s">
        <v>3159</v>
      </c>
    </row>
    <row r="90" spans="1:17" hidden="1" x14ac:dyDescent="0.35">
      <c r="A90" t="str">
        <f t="shared" si="2"/>
        <v>GP459925B867</v>
      </c>
      <c r="B90" t="s">
        <v>104</v>
      </c>
      <c r="C90" t="s">
        <v>105</v>
      </c>
      <c r="D90" s="4" t="s">
        <v>25</v>
      </c>
      <c r="E90" s="3" t="s">
        <v>26</v>
      </c>
      <c r="F90" s="3"/>
      <c r="G90" s="3">
        <f>IFERROR(VLOOKUP(A90,'Est. Parq.'!A:J,10,0),0)</f>
        <v>0</v>
      </c>
      <c r="H90" s="3">
        <f>Tabela1[[#This Row],[Estoque Parque]]-Tabela1[[#This Row],[LRR]]</f>
        <v>0</v>
      </c>
      <c r="I90" s="3">
        <f>SUMIF(SQVI!B:B,Base!A87,SQVI!V:V)</f>
        <v>3</v>
      </c>
      <c r="J90" s="13">
        <v>46357</v>
      </c>
      <c r="K90" s="13" t="str">
        <f>UPPER(TEXT(Tabela1[[#This Row],[Previsão no Parque ]],"mmm/aaaa"))</f>
        <v>DEZ/2026</v>
      </c>
      <c r="L90" s="13" t="str">
        <f>TEXT(Tabela1[[#This Row],[Previsão no Parque ]],"MMMM")</f>
        <v>dezembro</v>
      </c>
      <c r="M90" s="13" t="str">
        <f>TEXT(Tabela1[[#This Row],[Previsão no Parque ]],"AAAA")</f>
        <v>2026</v>
      </c>
      <c r="N90" s="34" t="s">
        <v>9</v>
      </c>
      <c r="Q90" t="s">
        <v>3157</v>
      </c>
    </row>
    <row r="91" spans="1:17" hidden="1" x14ac:dyDescent="0.35">
      <c r="A91" t="str">
        <f t="shared" si="2"/>
        <v>GP467716B838</v>
      </c>
      <c r="B91" t="s">
        <v>106</v>
      </c>
      <c r="C91" t="s">
        <v>107</v>
      </c>
      <c r="D91" s="4" t="s">
        <v>48</v>
      </c>
      <c r="E91" s="3" t="s">
        <v>49</v>
      </c>
      <c r="F91" s="3">
        <v>9</v>
      </c>
      <c r="G91" s="3">
        <f>IFERROR(VLOOKUP(A91,'Est. Parq.'!A:J,10,0),0)</f>
        <v>0</v>
      </c>
      <c r="H91" s="3">
        <f>Tabela1[[#This Row],[Estoque Parque]]-Tabela1[[#This Row],[LRR]]</f>
        <v>-9</v>
      </c>
      <c r="I91" s="3">
        <f>SUMIF(SQVI!B:B,Base!A88,SQVI!V:V)</f>
        <v>2</v>
      </c>
      <c r="J91" s="13">
        <v>46296</v>
      </c>
      <c r="K91" s="13" t="str">
        <f>UPPER(TEXT(Tabela1[[#This Row],[Previsão no Parque ]],"mmm/aaaa"))</f>
        <v>OUT/2026</v>
      </c>
      <c r="L91" s="13" t="str">
        <f>TEXT(Tabela1[[#This Row],[Previsão no Parque ]],"MMMM")</f>
        <v>outubro</v>
      </c>
      <c r="M91" s="13" t="str">
        <f>TEXT(Tabela1[[#This Row],[Previsão no Parque ]],"AAAA")</f>
        <v>2026</v>
      </c>
      <c r="N91" s="34" t="s">
        <v>3152</v>
      </c>
      <c r="O91" s="4">
        <v>3</v>
      </c>
      <c r="P91" s="31">
        <v>46325</v>
      </c>
      <c r="Q91" t="s">
        <v>3153</v>
      </c>
    </row>
    <row r="92" spans="1:17" hidden="1" x14ac:dyDescent="0.35">
      <c r="A92" t="str">
        <f t="shared" si="2"/>
        <v>GP486500B832</v>
      </c>
      <c r="B92" t="s">
        <v>108</v>
      </c>
      <c r="C92" t="s">
        <v>109</v>
      </c>
      <c r="D92" s="4" t="s">
        <v>19</v>
      </c>
      <c r="E92" s="3" t="s">
        <v>20</v>
      </c>
      <c r="F92" s="3">
        <v>5</v>
      </c>
      <c r="G92" s="3">
        <f>IFERROR(VLOOKUP(A92,'Est. Parq.'!A:J,10,0),0)</f>
        <v>6</v>
      </c>
      <c r="H92" s="3">
        <f>Tabela1[[#This Row],[Estoque Parque]]-Tabela1[[#This Row],[LRR]]</f>
        <v>1</v>
      </c>
      <c r="I92" s="3">
        <f>SUMIF(SQVI!B:B,Base!A89,SQVI!V:V)</f>
        <v>0</v>
      </c>
      <c r="J92" s="13">
        <v>46327</v>
      </c>
      <c r="K92" s="13" t="str">
        <f>UPPER(TEXT(Tabela1[[#This Row],[Previsão no Parque ]],"mmm/aaaa"))</f>
        <v>NOV/2026</v>
      </c>
      <c r="L92" s="13" t="str">
        <f>TEXT(Tabela1[[#This Row],[Previsão no Parque ]],"MMMM")</f>
        <v>novembro</v>
      </c>
      <c r="M92" s="13" t="str">
        <f>TEXT(Tabela1[[#This Row],[Previsão no Parque ]],"AAAA")</f>
        <v>2026</v>
      </c>
      <c r="N92" s="34" t="s">
        <v>18</v>
      </c>
    </row>
    <row r="93" spans="1:17" hidden="1" x14ac:dyDescent="0.35">
      <c r="A93" t="str">
        <f t="shared" si="2"/>
        <v>GP486500B856</v>
      </c>
      <c r="B93" t="s">
        <v>108</v>
      </c>
      <c r="C93" t="s">
        <v>109</v>
      </c>
      <c r="D93" s="4" t="s">
        <v>21</v>
      </c>
      <c r="E93" s="3" t="s">
        <v>22</v>
      </c>
      <c r="F93" s="3">
        <v>5</v>
      </c>
      <c r="G93" s="3">
        <f>IFERROR(VLOOKUP(A93,'Est. Parq.'!A:J,10,0),0)</f>
        <v>5</v>
      </c>
      <c r="H93" s="3">
        <f>Tabela1[[#This Row],[Estoque Parque]]-Tabela1[[#This Row],[LRR]]</f>
        <v>0</v>
      </c>
      <c r="I93" s="3">
        <f>SUMIF(SQVI!B:B,Base!A90,SQVI!V:V)</f>
        <v>0</v>
      </c>
      <c r="J93" s="13">
        <v>46327</v>
      </c>
      <c r="K93" s="13" t="str">
        <f>UPPER(TEXT(Tabela1[[#This Row],[Previsão no Parque ]],"mmm/aaaa"))</f>
        <v>NOV/2026</v>
      </c>
      <c r="L93" s="13" t="str">
        <f>TEXT(Tabela1[[#This Row],[Previsão no Parque ]],"MMMM")</f>
        <v>novembro</v>
      </c>
      <c r="M93" s="13" t="str">
        <f>TEXT(Tabela1[[#This Row],[Previsão no Parque ]],"AAAA")</f>
        <v>2026</v>
      </c>
      <c r="N93" s="34" t="s">
        <v>18</v>
      </c>
    </row>
    <row r="94" spans="1:17" hidden="1" x14ac:dyDescent="0.35">
      <c r="A94" t="str">
        <f t="shared" si="2"/>
        <v>GP486500B857</v>
      </c>
      <c r="B94" t="s">
        <v>108</v>
      </c>
      <c r="C94" t="s">
        <v>109</v>
      </c>
      <c r="D94" s="4" t="s">
        <v>23</v>
      </c>
      <c r="E94" s="3" t="s">
        <v>24</v>
      </c>
      <c r="F94" s="3">
        <v>10</v>
      </c>
      <c r="G94" s="3">
        <f>IFERROR(VLOOKUP(A94,'Est. Parq.'!A:J,10,0),0)</f>
        <v>6</v>
      </c>
      <c r="H94" s="3">
        <f>Tabela1[[#This Row],[Estoque Parque]]-Tabela1[[#This Row],[LRR]]</f>
        <v>-4</v>
      </c>
      <c r="I94" s="3">
        <f>SUMIF(SQVI!B:B,Base!A91,SQVI!V:V)</f>
        <v>9</v>
      </c>
      <c r="J94" s="13">
        <v>46327</v>
      </c>
      <c r="K94" s="13" t="str">
        <f>UPPER(TEXT(Tabela1[[#This Row],[Previsão no Parque ]],"mmm/aaaa"))</f>
        <v>NOV/2026</v>
      </c>
      <c r="L94" s="13" t="str">
        <f>TEXT(Tabela1[[#This Row],[Previsão no Parque ]],"MMMM")</f>
        <v>novembro</v>
      </c>
      <c r="M94" s="13" t="str">
        <f>TEXT(Tabela1[[#This Row],[Previsão no Parque ]],"AAAA")</f>
        <v>2026</v>
      </c>
      <c r="N94" s="34" t="s">
        <v>18</v>
      </c>
    </row>
    <row r="95" spans="1:17" hidden="1" x14ac:dyDescent="0.35">
      <c r="A95" t="str">
        <f t="shared" si="2"/>
        <v>GP486500B867</v>
      </c>
      <c r="B95" t="s">
        <v>108</v>
      </c>
      <c r="C95" t="s">
        <v>109</v>
      </c>
      <c r="D95" s="4" t="s">
        <v>25</v>
      </c>
      <c r="E95" s="3" t="s">
        <v>26</v>
      </c>
      <c r="F95" s="3">
        <v>9</v>
      </c>
      <c r="G95" s="3">
        <f>IFERROR(VLOOKUP(A95,'Est. Parq.'!A:J,10,0),0)</f>
        <v>0</v>
      </c>
      <c r="H95" s="3">
        <f>Tabela1[[#This Row],[Estoque Parque]]-Tabela1[[#This Row],[LRR]]</f>
        <v>-9</v>
      </c>
      <c r="I95" s="3">
        <f>SUMIF(SQVI!B:B,Base!A92,SQVI!V:V)</f>
        <v>5</v>
      </c>
      <c r="J95" s="13">
        <v>46296</v>
      </c>
      <c r="K95" s="13" t="str">
        <f>UPPER(TEXT(Tabela1[[#This Row],[Previsão no Parque ]],"mmm/aaaa"))</f>
        <v>OUT/2026</v>
      </c>
      <c r="L95" s="13" t="str">
        <f>TEXT(Tabela1[[#This Row],[Previsão no Parque ]],"MMMM")</f>
        <v>outubro</v>
      </c>
      <c r="M95" s="13" t="str">
        <f>TEXT(Tabela1[[#This Row],[Previsão no Parque ]],"AAAA")</f>
        <v>2026</v>
      </c>
      <c r="N95" s="34" t="s">
        <v>3152</v>
      </c>
      <c r="O95" s="4">
        <v>10</v>
      </c>
      <c r="P95" s="31">
        <v>46325</v>
      </c>
      <c r="Q95" t="s">
        <v>3154</v>
      </c>
    </row>
    <row r="96" spans="1:17" hidden="1" x14ac:dyDescent="0.35">
      <c r="A96" t="str">
        <f t="shared" si="2"/>
        <v>GP525859B864</v>
      </c>
      <c r="B96" t="s">
        <v>110</v>
      </c>
      <c r="C96" t="s">
        <v>111</v>
      </c>
      <c r="D96" s="4" t="s">
        <v>10</v>
      </c>
      <c r="E96" s="3" t="s">
        <v>3148</v>
      </c>
      <c r="F96" s="3">
        <v>15</v>
      </c>
      <c r="G96" s="3">
        <f>IFERROR(VLOOKUP(A96,'Est. Parq.'!A:J,10,0),0)</f>
        <v>13</v>
      </c>
      <c r="H96" s="3">
        <f>Tabela1[[#This Row],[Estoque Parque]]-Tabela1[[#This Row],[LRR]]</f>
        <v>-2</v>
      </c>
      <c r="I96" s="3">
        <f>SUMIF(SQVI!B:B,Base!A97,SQVI!V:V)</f>
        <v>0</v>
      </c>
      <c r="J96" s="13">
        <v>46357</v>
      </c>
      <c r="K96" s="13" t="str">
        <f>UPPER(TEXT(Tabela1[[#This Row],[Previsão no Parque ]],"mmm/aaaa"))</f>
        <v>DEZ/2026</v>
      </c>
      <c r="L96" s="13" t="str">
        <f>TEXT(Tabela1[[#This Row],[Previsão no Parque ]],"MMMM")</f>
        <v>dezembro</v>
      </c>
      <c r="M96" s="13" t="str">
        <f>TEXT(Tabela1[[#This Row],[Previsão no Parque ]],"AAAA")</f>
        <v>2026</v>
      </c>
      <c r="N96" s="5" t="s">
        <v>18</v>
      </c>
    </row>
    <row r="97" spans="1:14" hidden="1" x14ac:dyDescent="0.35">
      <c r="A97" t="str">
        <f t="shared" si="2"/>
        <v>GP525859B865</v>
      </c>
      <c r="B97" t="s">
        <v>110</v>
      </c>
      <c r="C97" t="s">
        <v>111</v>
      </c>
      <c r="D97" s="4" t="s">
        <v>7</v>
      </c>
      <c r="E97" s="3" t="s">
        <v>8</v>
      </c>
      <c r="F97" s="3">
        <v>15</v>
      </c>
      <c r="G97" s="3">
        <f>IFERROR(VLOOKUP(A97,'Est. Parq.'!A:J,10,0),0)</f>
        <v>6</v>
      </c>
      <c r="H97" s="3">
        <f>Tabela1[[#This Row],[Estoque Parque]]-Tabela1[[#This Row],[LRR]]</f>
        <v>-9</v>
      </c>
      <c r="I97" s="3">
        <f>SUMIF(SQVI!B:B,Base!A96,SQVI!V:V)</f>
        <v>0</v>
      </c>
      <c r="J97" s="13">
        <v>46357</v>
      </c>
      <c r="K97" s="13" t="str">
        <f>UPPER(TEXT(Tabela1[[#This Row],[Previsão no Parque ]],"mmm/aaaa"))</f>
        <v>DEZ/2026</v>
      </c>
      <c r="L97" s="13" t="str">
        <f>TEXT(Tabela1[[#This Row],[Previsão no Parque ]],"MMMM")</f>
        <v>dezembro</v>
      </c>
      <c r="M97" s="13" t="str">
        <f>TEXT(Tabela1[[#This Row],[Previsão no Parque ]],"AAAA")</f>
        <v>2026</v>
      </c>
      <c r="N97" s="5" t="s">
        <v>18</v>
      </c>
    </row>
  </sheetData>
  <phoneticPr fontId="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D873-A633-4BFC-897E-215A6003DEE1}">
  <dimension ref="A1"/>
  <sheetViews>
    <sheetView showGridLines="0" showRowColHeaders="0" tabSelected="1" topLeftCell="A10" zoomScale="87" zoomScaleNormal="87" workbookViewId="0">
      <selection activeCell="N32" sqref="N32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197F-0224-42B4-96FB-ECF9C478379A}">
  <dimension ref="A1:BI547"/>
  <sheetViews>
    <sheetView topLeftCell="G1" workbookViewId="0">
      <selection activeCell="J4" sqref="J4"/>
    </sheetView>
  </sheetViews>
  <sheetFormatPr defaultColWidth="9" defaultRowHeight="14.5" x14ac:dyDescent="0.35"/>
  <cols>
    <col min="1" max="1" width="15.90625" bestFit="1" customWidth="1"/>
    <col min="2" max="2" width="19.26953125" bestFit="1" customWidth="1"/>
    <col min="61" max="61" width="66.6328125" bestFit="1" customWidth="1"/>
  </cols>
  <sheetData>
    <row r="1" spans="1:61" ht="24" x14ac:dyDescent="0.35">
      <c r="A1" s="15" t="s">
        <v>1121</v>
      </c>
      <c r="B1" s="15" t="s">
        <v>1123</v>
      </c>
      <c r="C1" s="16" t="s">
        <v>1124</v>
      </c>
      <c r="D1" s="16" t="s">
        <v>1125</v>
      </c>
      <c r="E1" s="16" t="s">
        <v>1126</v>
      </c>
      <c r="F1" s="16" t="s">
        <v>1127</v>
      </c>
      <c r="G1" s="16" t="s">
        <v>1128</v>
      </c>
      <c r="H1" s="16" t="s">
        <v>1129</v>
      </c>
      <c r="I1" s="16" t="s">
        <v>1130</v>
      </c>
      <c r="J1" s="16" t="s">
        <v>1131</v>
      </c>
      <c r="K1" s="16" t="s">
        <v>1125</v>
      </c>
      <c r="L1" s="16" t="s">
        <v>1132</v>
      </c>
      <c r="M1" s="16" t="s">
        <v>1133</v>
      </c>
      <c r="N1" s="16" t="s">
        <v>1134</v>
      </c>
      <c r="O1" s="16" t="s">
        <v>1135</v>
      </c>
      <c r="P1" s="16" t="s">
        <v>1136</v>
      </c>
      <c r="Q1" s="16" t="s">
        <v>1137</v>
      </c>
      <c r="R1" s="16" t="s">
        <v>1138</v>
      </c>
      <c r="S1" s="16" t="s">
        <v>1139</v>
      </c>
      <c r="T1" s="16" t="s">
        <v>127</v>
      </c>
      <c r="U1" s="16" t="s">
        <v>1140</v>
      </c>
      <c r="V1" s="16" t="s">
        <v>1141</v>
      </c>
      <c r="W1" s="16" t="s">
        <v>1142</v>
      </c>
      <c r="X1" s="16" t="s">
        <v>1142</v>
      </c>
      <c r="Y1" s="16" t="s">
        <v>1143</v>
      </c>
      <c r="Z1" s="16" t="s">
        <v>1144</v>
      </c>
      <c r="AA1" s="16" t="s">
        <v>1145</v>
      </c>
      <c r="AB1" s="16" t="s">
        <v>1146</v>
      </c>
      <c r="AC1" s="16" t="s">
        <v>1147</v>
      </c>
      <c r="AD1" s="16" t="s">
        <v>1148</v>
      </c>
      <c r="AE1" s="16" t="s">
        <v>1149</v>
      </c>
      <c r="AF1" s="16" t="s">
        <v>1150</v>
      </c>
      <c r="AG1" s="16" t="s">
        <v>1151</v>
      </c>
      <c r="AH1" s="17" t="s">
        <v>1152</v>
      </c>
      <c r="AI1" s="16" t="s">
        <v>1153</v>
      </c>
      <c r="AJ1" s="16" t="s">
        <v>1154</v>
      </c>
      <c r="AK1" s="16" t="s">
        <v>1155</v>
      </c>
      <c r="AL1" s="16" t="s">
        <v>1142</v>
      </c>
      <c r="AM1" s="16" t="s">
        <v>1156</v>
      </c>
      <c r="AN1" s="16" t="s">
        <v>1157</v>
      </c>
      <c r="AO1" s="16" t="s">
        <v>1158</v>
      </c>
      <c r="AP1" s="16" t="s">
        <v>1159</v>
      </c>
      <c r="AQ1" s="16" t="s">
        <v>1160</v>
      </c>
      <c r="AR1" s="16" t="s">
        <v>1161</v>
      </c>
      <c r="AS1" s="16" t="s">
        <v>1162</v>
      </c>
      <c r="AT1" s="16" t="s">
        <v>1163</v>
      </c>
      <c r="AU1" s="16" t="s">
        <v>1164</v>
      </c>
      <c r="AV1" s="16" t="s">
        <v>1165</v>
      </c>
      <c r="AW1" s="16" t="s">
        <v>1166</v>
      </c>
      <c r="AX1" s="16" t="s">
        <v>1167</v>
      </c>
      <c r="AY1" s="16" t="s">
        <v>1168</v>
      </c>
      <c r="AZ1" s="16" t="s">
        <v>1137</v>
      </c>
      <c r="BA1" s="16" t="s">
        <v>1169</v>
      </c>
      <c r="BB1" s="16" t="s">
        <v>1142</v>
      </c>
      <c r="BC1" s="18" t="s">
        <v>1170</v>
      </c>
      <c r="BD1" s="18" t="s">
        <v>1171</v>
      </c>
      <c r="BE1" s="19" t="s">
        <v>1172</v>
      </c>
      <c r="BF1" s="20" t="s">
        <v>1173</v>
      </c>
      <c r="BG1" s="21" t="s">
        <v>1174</v>
      </c>
      <c r="BH1" s="18" t="s">
        <v>1175</v>
      </c>
      <c r="BI1" s="18" t="s">
        <v>1176</v>
      </c>
    </row>
    <row r="2" spans="1:61" x14ac:dyDescent="0.35">
      <c r="A2" s="7" t="str">
        <f t="shared" ref="A2:A65" si="0">I2&amp;J2</f>
        <v>461664501742979</v>
      </c>
      <c r="B2" s="7" t="str">
        <f t="shared" ref="B2:B65" si="1">_xlfn.CONCAT(T2,R2)</f>
        <v>GP486978-004B832</v>
      </c>
      <c r="C2" s="22" t="s">
        <v>1177</v>
      </c>
      <c r="D2" s="22" t="s">
        <v>1178</v>
      </c>
      <c r="E2" s="22" t="s">
        <v>1195</v>
      </c>
      <c r="F2" s="22" t="s">
        <v>1196</v>
      </c>
      <c r="G2" s="22" t="s">
        <v>1180</v>
      </c>
      <c r="H2" s="22" t="s">
        <v>1181</v>
      </c>
      <c r="I2" s="23">
        <v>46166</v>
      </c>
      <c r="J2" s="22" t="s">
        <v>1197</v>
      </c>
      <c r="K2" s="22" t="s">
        <v>1198</v>
      </c>
      <c r="L2" s="22" t="s">
        <v>1183</v>
      </c>
      <c r="M2" s="22" t="s">
        <v>1184</v>
      </c>
      <c r="N2" s="22" t="s">
        <v>1177</v>
      </c>
      <c r="O2" s="22" t="s">
        <v>1177</v>
      </c>
      <c r="P2" s="23">
        <v>46267</v>
      </c>
      <c r="Q2" s="22" t="s">
        <v>1177</v>
      </c>
      <c r="R2" s="22" t="s">
        <v>19</v>
      </c>
      <c r="S2" s="22" t="s">
        <v>654</v>
      </c>
      <c r="T2" s="22" t="s">
        <v>193</v>
      </c>
      <c r="U2" s="22" t="s">
        <v>194</v>
      </c>
      <c r="V2" s="26">
        <v>416.4</v>
      </c>
      <c r="W2" s="22" t="s">
        <v>1185</v>
      </c>
      <c r="X2" s="22" t="s">
        <v>1185</v>
      </c>
      <c r="Y2" s="25">
        <v>3700.28</v>
      </c>
      <c r="Z2" s="22" t="s">
        <v>1186</v>
      </c>
      <c r="AA2" s="22" t="s">
        <v>1187</v>
      </c>
      <c r="AB2" s="22" t="s">
        <v>1177</v>
      </c>
      <c r="AC2" s="22" t="s">
        <v>1177</v>
      </c>
      <c r="AD2" s="22" t="s">
        <v>1177</v>
      </c>
      <c r="AE2" s="22" t="s">
        <v>1188</v>
      </c>
      <c r="AF2" s="22" t="s">
        <v>1189</v>
      </c>
      <c r="AG2" s="22" t="s">
        <v>1189</v>
      </c>
      <c r="AH2" s="22" t="s">
        <v>1178</v>
      </c>
      <c r="AI2" s="22" t="s">
        <v>1177</v>
      </c>
      <c r="AJ2" s="22" t="s">
        <v>1190</v>
      </c>
      <c r="AK2" s="26">
        <v>0</v>
      </c>
      <c r="AL2" s="22" t="s">
        <v>1185</v>
      </c>
      <c r="AM2" s="23">
        <v>46199</v>
      </c>
      <c r="AN2" s="23"/>
      <c r="AO2" s="23"/>
      <c r="AP2" s="23"/>
      <c r="AQ2" s="23"/>
      <c r="AR2" s="23"/>
      <c r="AS2" s="23"/>
      <c r="AT2" s="22" t="s">
        <v>1191</v>
      </c>
      <c r="AU2" s="22" t="s">
        <v>1177</v>
      </c>
      <c r="AV2" s="22" t="s">
        <v>1192</v>
      </c>
      <c r="AW2" s="22" t="s">
        <v>1177</v>
      </c>
      <c r="AX2" s="26">
        <v>33</v>
      </c>
      <c r="AY2" s="26">
        <v>2</v>
      </c>
      <c r="AZ2" s="22" t="s">
        <v>1177</v>
      </c>
      <c r="BA2" s="26">
        <v>0</v>
      </c>
      <c r="BB2" s="22" t="s">
        <v>1185</v>
      </c>
      <c r="BC2" s="7" t="e">
        <v>#N/A</v>
      </c>
      <c r="BD2" s="7" t="e">
        <v>#N/A</v>
      </c>
      <c r="BE2" s="7" t="e">
        <v>#N/A</v>
      </c>
      <c r="BF2" s="7" t="e">
        <v>#N/A</v>
      </c>
      <c r="BG2" s="7" t="s">
        <v>126</v>
      </c>
      <c r="BH2" s="7" t="s">
        <v>1194</v>
      </c>
      <c r="BI2" s="7" t="s">
        <v>126</v>
      </c>
    </row>
    <row r="3" spans="1:61" x14ac:dyDescent="0.35">
      <c r="A3" s="7" t="str">
        <f t="shared" si="0"/>
        <v>461914501750844</v>
      </c>
      <c r="B3" s="7" t="str">
        <f t="shared" si="1"/>
        <v>A9B00019165B832</v>
      </c>
      <c r="C3" s="22" t="s">
        <v>1177</v>
      </c>
      <c r="D3" s="22" t="s">
        <v>1178</v>
      </c>
      <c r="E3" s="22" t="s">
        <v>1200</v>
      </c>
      <c r="F3" s="22" t="s">
        <v>1179</v>
      </c>
      <c r="G3" s="22" t="s">
        <v>1180</v>
      </c>
      <c r="H3" s="22" t="s">
        <v>1181</v>
      </c>
      <c r="I3" s="23">
        <v>46191</v>
      </c>
      <c r="J3" s="22" t="s">
        <v>1201</v>
      </c>
      <c r="K3" s="22" t="s">
        <v>1182</v>
      </c>
      <c r="L3" s="22" t="s">
        <v>1183</v>
      </c>
      <c r="M3" s="22" t="s">
        <v>1184</v>
      </c>
      <c r="N3" s="22" t="s">
        <v>1177</v>
      </c>
      <c r="O3" s="22" t="s">
        <v>1177</v>
      </c>
      <c r="P3" s="23">
        <v>46191</v>
      </c>
      <c r="Q3" s="22" t="s">
        <v>1177</v>
      </c>
      <c r="R3" s="22" t="s">
        <v>19</v>
      </c>
      <c r="S3" s="22" t="s">
        <v>654</v>
      </c>
      <c r="T3" s="22" t="s">
        <v>204</v>
      </c>
      <c r="U3" s="22" t="s">
        <v>205</v>
      </c>
      <c r="V3" s="26">
        <v>10</v>
      </c>
      <c r="W3" s="22" t="s">
        <v>1202</v>
      </c>
      <c r="X3" s="22" t="s">
        <v>1202</v>
      </c>
      <c r="Y3" s="25">
        <v>6806.75</v>
      </c>
      <c r="Z3" s="22" t="s">
        <v>1186</v>
      </c>
      <c r="AA3" s="22" t="s">
        <v>1203</v>
      </c>
      <c r="AB3" s="22" t="s">
        <v>1177</v>
      </c>
      <c r="AC3" s="22" t="s">
        <v>1177</v>
      </c>
      <c r="AD3" s="22" t="s">
        <v>1204</v>
      </c>
      <c r="AE3" s="22" t="s">
        <v>1205</v>
      </c>
      <c r="AF3" s="22" t="s">
        <v>1189</v>
      </c>
      <c r="AG3" s="22" t="s">
        <v>1189</v>
      </c>
      <c r="AH3" s="22" t="s">
        <v>1178</v>
      </c>
      <c r="AI3" s="22" t="s">
        <v>1177</v>
      </c>
      <c r="AJ3" s="22" t="s">
        <v>1190</v>
      </c>
      <c r="AK3" s="26">
        <v>0</v>
      </c>
      <c r="AL3" s="22" t="s">
        <v>1202</v>
      </c>
      <c r="AM3" s="23">
        <v>46245</v>
      </c>
      <c r="AN3" s="23"/>
      <c r="AO3" s="23"/>
      <c r="AP3" s="23"/>
      <c r="AQ3" s="23"/>
      <c r="AR3" s="23"/>
      <c r="AS3" s="23"/>
      <c r="AT3" s="22" t="s">
        <v>1191</v>
      </c>
      <c r="AU3" s="22" t="s">
        <v>1177</v>
      </c>
      <c r="AV3" s="22" t="s">
        <v>1192</v>
      </c>
      <c r="AW3" s="22" t="s">
        <v>1177</v>
      </c>
      <c r="AX3" s="26">
        <v>54</v>
      </c>
      <c r="AY3" s="26">
        <v>2</v>
      </c>
      <c r="AZ3" s="22" t="s">
        <v>1177</v>
      </c>
      <c r="BA3" s="26">
        <v>0</v>
      </c>
      <c r="BB3" s="22" t="s">
        <v>1202</v>
      </c>
      <c r="BC3" s="7" t="e">
        <v>#N/A</v>
      </c>
      <c r="BD3" s="7" t="e">
        <v>#N/A</v>
      </c>
      <c r="BE3" s="7" t="e">
        <v>#N/A</v>
      </c>
      <c r="BF3" s="7" t="e">
        <v>#N/A</v>
      </c>
      <c r="BG3" s="7" t="s">
        <v>126</v>
      </c>
      <c r="BH3" s="7" t="s">
        <v>1206</v>
      </c>
      <c r="BI3" s="7" t="s">
        <v>126</v>
      </c>
    </row>
    <row r="4" spans="1:61" x14ac:dyDescent="0.35">
      <c r="A4" s="7" t="str">
        <f t="shared" si="0"/>
        <v>461914501750922</v>
      </c>
      <c r="B4" s="7" t="str">
        <f t="shared" si="1"/>
        <v>GP485052-003B825</v>
      </c>
      <c r="C4" s="22" t="s">
        <v>1177</v>
      </c>
      <c r="D4" s="22" t="s">
        <v>1178</v>
      </c>
      <c r="E4" s="22" t="s">
        <v>1207</v>
      </c>
      <c r="F4" s="22" t="s">
        <v>1208</v>
      </c>
      <c r="G4" s="22" t="s">
        <v>1180</v>
      </c>
      <c r="H4" s="22" t="s">
        <v>1181</v>
      </c>
      <c r="I4" s="23">
        <v>46191</v>
      </c>
      <c r="J4" s="22" t="s">
        <v>1209</v>
      </c>
      <c r="K4" s="22" t="s">
        <v>1182</v>
      </c>
      <c r="L4" s="22" t="s">
        <v>1183</v>
      </c>
      <c r="M4" s="22" t="s">
        <v>1184</v>
      </c>
      <c r="N4" s="22" t="s">
        <v>1177</v>
      </c>
      <c r="O4" s="22" t="s">
        <v>1177</v>
      </c>
      <c r="P4" s="23">
        <v>46267</v>
      </c>
      <c r="Q4" s="22" t="s">
        <v>1177</v>
      </c>
      <c r="R4" s="22" t="s">
        <v>16</v>
      </c>
      <c r="S4" s="22" t="s">
        <v>512</v>
      </c>
      <c r="T4" s="22" t="s">
        <v>1210</v>
      </c>
      <c r="U4" s="22" t="s">
        <v>1211</v>
      </c>
      <c r="V4" s="26">
        <v>300</v>
      </c>
      <c r="W4" s="22" t="s">
        <v>1185</v>
      </c>
      <c r="X4" s="22" t="s">
        <v>1185</v>
      </c>
      <c r="Y4" s="25">
        <v>38860.97</v>
      </c>
      <c r="Z4" s="22" t="s">
        <v>1186</v>
      </c>
      <c r="AA4" s="22" t="s">
        <v>1187</v>
      </c>
      <c r="AB4" s="22" t="s">
        <v>1177</v>
      </c>
      <c r="AC4" s="22" t="s">
        <v>1177</v>
      </c>
      <c r="AD4" s="22" t="s">
        <v>1177</v>
      </c>
      <c r="AE4" s="22" t="s">
        <v>1188</v>
      </c>
      <c r="AF4" s="22" t="s">
        <v>1189</v>
      </c>
      <c r="AG4" s="22" t="s">
        <v>1189</v>
      </c>
      <c r="AH4" s="22" t="s">
        <v>1178</v>
      </c>
      <c r="AI4" s="22" t="s">
        <v>1177</v>
      </c>
      <c r="AJ4" s="22" t="s">
        <v>1190</v>
      </c>
      <c r="AK4" s="26">
        <v>0</v>
      </c>
      <c r="AL4" s="22" t="s">
        <v>1185</v>
      </c>
      <c r="AM4" s="23">
        <v>46224</v>
      </c>
      <c r="AN4" s="23"/>
      <c r="AO4" s="23"/>
      <c r="AP4" s="23"/>
      <c r="AQ4" s="23"/>
      <c r="AR4" s="23"/>
      <c r="AS4" s="23"/>
      <c r="AT4" s="22" t="s">
        <v>1191</v>
      </c>
      <c r="AU4" s="22" t="s">
        <v>1177</v>
      </c>
      <c r="AV4" s="22" t="s">
        <v>1192</v>
      </c>
      <c r="AW4" s="22" t="s">
        <v>1177</v>
      </c>
      <c r="AX4" s="26">
        <v>33</v>
      </c>
      <c r="AY4" s="26">
        <v>2</v>
      </c>
      <c r="AZ4" s="22" t="s">
        <v>1177</v>
      </c>
      <c r="BA4" s="26">
        <v>0</v>
      </c>
      <c r="BB4" s="22" t="s">
        <v>1185</v>
      </c>
      <c r="BC4" s="7" t="e">
        <v>#N/A</v>
      </c>
      <c r="BD4" s="7" t="e">
        <v>#N/A</v>
      </c>
      <c r="BE4" s="7" t="e">
        <v>#N/A</v>
      </c>
      <c r="BF4" s="7" t="e">
        <v>#N/A</v>
      </c>
      <c r="BG4" s="7" t="s">
        <v>1212</v>
      </c>
      <c r="BH4" s="7" t="s">
        <v>1194</v>
      </c>
      <c r="BI4" s="7" t="s">
        <v>1213</v>
      </c>
    </row>
    <row r="5" spans="1:61" x14ac:dyDescent="0.35">
      <c r="A5" s="7" t="str">
        <f t="shared" si="0"/>
        <v>461914501751037</v>
      </c>
      <c r="B5" s="7" t="str">
        <f t="shared" si="1"/>
        <v>GP485052-003B825</v>
      </c>
      <c r="C5" s="22" t="s">
        <v>1177</v>
      </c>
      <c r="D5" s="22" t="s">
        <v>1178</v>
      </c>
      <c r="E5" s="22" t="s">
        <v>1214</v>
      </c>
      <c r="F5" s="22" t="s">
        <v>1179</v>
      </c>
      <c r="G5" s="22" t="s">
        <v>1180</v>
      </c>
      <c r="H5" s="22" t="s">
        <v>1181</v>
      </c>
      <c r="I5" s="23">
        <v>46191</v>
      </c>
      <c r="J5" s="22" t="s">
        <v>1215</v>
      </c>
      <c r="K5" s="22" t="s">
        <v>1199</v>
      </c>
      <c r="L5" s="22" t="s">
        <v>1183</v>
      </c>
      <c r="M5" s="22" t="s">
        <v>1184</v>
      </c>
      <c r="N5" s="22" t="s">
        <v>1177</v>
      </c>
      <c r="O5" s="22" t="s">
        <v>1177</v>
      </c>
      <c r="P5" s="23">
        <v>46267</v>
      </c>
      <c r="Q5" s="22" t="s">
        <v>1177</v>
      </c>
      <c r="R5" s="22" t="s">
        <v>16</v>
      </c>
      <c r="S5" s="22" t="s">
        <v>512</v>
      </c>
      <c r="T5" s="22" t="s">
        <v>1210</v>
      </c>
      <c r="U5" s="22" t="s">
        <v>1211</v>
      </c>
      <c r="V5" s="26">
        <v>100</v>
      </c>
      <c r="W5" s="22" t="s">
        <v>1185</v>
      </c>
      <c r="X5" s="22" t="s">
        <v>1185</v>
      </c>
      <c r="Y5" s="25">
        <v>70196.97</v>
      </c>
      <c r="Z5" s="22" t="s">
        <v>1186</v>
      </c>
      <c r="AA5" s="22" t="s">
        <v>1216</v>
      </c>
      <c r="AB5" s="22" t="s">
        <v>1177</v>
      </c>
      <c r="AC5" s="22" t="s">
        <v>1177</v>
      </c>
      <c r="AD5" s="22" t="s">
        <v>1177</v>
      </c>
      <c r="AE5" s="22" t="s">
        <v>1188</v>
      </c>
      <c r="AF5" s="22" t="s">
        <v>1189</v>
      </c>
      <c r="AG5" s="22" t="s">
        <v>1189</v>
      </c>
      <c r="AH5" s="22" t="s">
        <v>1178</v>
      </c>
      <c r="AI5" s="22" t="s">
        <v>1177</v>
      </c>
      <c r="AJ5" s="22" t="s">
        <v>1190</v>
      </c>
      <c r="AK5" s="26">
        <v>0</v>
      </c>
      <c r="AL5" s="22" t="s">
        <v>1185</v>
      </c>
      <c r="AM5" s="23">
        <v>46224</v>
      </c>
      <c r="AN5" s="23"/>
      <c r="AO5" s="23"/>
      <c r="AP5" s="23"/>
      <c r="AQ5" s="23"/>
      <c r="AR5" s="23"/>
      <c r="AS5" s="23"/>
      <c r="AT5" s="22" t="s">
        <v>1191</v>
      </c>
      <c r="AU5" s="22" t="s">
        <v>1177</v>
      </c>
      <c r="AV5" s="22" t="s">
        <v>1192</v>
      </c>
      <c r="AW5" s="22" t="s">
        <v>1177</v>
      </c>
      <c r="AX5" s="26">
        <v>33</v>
      </c>
      <c r="AY5" s="26">
        <v>2</v>
      </c>
      <c r="AZ5" s="22" t="s">
        <v>1177</v>
      </c>
      <c r="BA5" s="26">
        <v>0</v>
      </c>
      <c r="BB5" s="22" t="s">
        <v>1185</v>
      </c>
      <c r="BC5" s="7" t="e">
        <v>#N/A</v>
      </c>
      <c r="BD5" s="7" t="e">
        <v>#N/A</v>
      </c>
      <c r="BE5" s="7" t="e">
        <v>#N/A</v>
      </c>
      <c r="BF5" s="7" t="e">
        <v>#N/A</v>
      </c>
      <c r="BG5" s="7" t="s">
        <v>126</v>
      </c>
      <c r="BH5" s="7" t="s">
        <v>1194</v>
      </c>
      <c r="BI5" s="7" t="s">
        <v>126</v>
      </c>
    </row>
    <row r="6" spans="1:61" x14ac:dyDescent="0.35">
      <c r="A6" s="7" t="str">
        <f t="shared" si="0"/>
        <v>461914501751067</v>
      </c>
      <c r="B6" s="7" t="str">
        <f t="shared" si="1"/>
        <v>GP485052-003B825</v>
      </c>
      <c r="C6" s="22" t="s">
        <v>1177</v>
      </c>
      <c r="D6" s="22" t="s">
        <v>1178</v>
      </c>
      <c r="E6" s="22" t="s">
        <v>1217</v>
      </c>
      <c r="F6" s="22" t="s">
        <v>1179</v>
      </c>
      <c r="G6" s="22" t="s">
        <v>1180</v>
      </c>
      <c r="H6" s="22" t="s">
        <v>1181</v>
      </c>
      <c r="I6" s="23">
        <v>46191</v>
      </c>
      <c r="J6" s="22" t="s">
        <v>1218</v>
      </c>
      <c r="K6" s="22" t="s">
        <v>1182</v>
      </c>
      <c r="L6" s="22" t="s">
        <v>1183</v>
      </c>
      <c r="M6" s="22" t="s">
        <v>1184</v>
      </c>
      <c r="N6" s="22" t="s">
        <v>1177</v>
      </c>
      <c r="O6" s="22" t="s">
        <v>1177</v>
      </c>
      <c r="P6" s="23">
        <v>46191</v>
      </c>
      <c r="Q6" s="22" t="s">
        <v>1177</v>
      </c>
      <c r="R6" s="22" t="s">
        <v>16</v>
      </c>
      <c r="S6" s="22" t="s">
        <v>512</v>
      </c>
      <c r="T6" s="22" t="s">
        <v>1210</v>
      </c>
      <c r="U6" s="22" t="s">
        <v>1211</v>
      </c>
      <c r="V6" s="26">
        <v>200</v>
      </c>
      <c r="W6" s="22" t="s">
        <v>1185</v>
      </c>
      <c r="X6" s="22" t="s">
        <v>1185</v>
      </c>
      <c r="Y6" s="25">
        <v>31413.38</v>
      </c>
      <c r="Z6" s="22" t="s">
        <v>1186</v>
      </c>
      <c r="AA6" s="22" t="s">
        <v>1219</v>
      </c>
      <c r="AB6" s="22" t="s">
        <v>1177</v>
      </c>
      <c r="AC6" s="22" t="s">
        <v>1177</v>
      </c>
      <c r="AD6" s="22" t="s">
        <v>1177</v>
      </c>
      <c r="AE6" s="22" t="s">
        <v>1188</v>
      </c>
      <c r="AF6" s="22" t="s">
        <v>1189</v>
      </c>
      <c r="AG6" s="22" t="s">
        <v>1189</v>
      </c>
      <c r="AH6" s="22" t="s">
        <v>1178</v>
      </c>
      <c r="AI6" s="22" t="s">
        <v>1177</v>
      </c>
      <c r="AJ6" s="22" t="s">
        <v>1190</v>
      </c>
      <c r="AK6" s="26">
        <v>0</v>
      </c>
      <c r="AL6" s="22" t="s">
        <v>1185</v>
      </c>
      <c r="AM6" s="23">
        <v>46224</v>
      </c>
      <c r="AN6" s="23"/>
      <c r="AO6" s="23"/>
      <c r="AP6" s="23"/>
      <c r="AQ6" s="23"/>
      <c r="AR6" s="23"/>
      <c r="AS6" s="23"/>
      <c r="AT6" s="22" t="s">
        <v>1191</v>
      </c>
      <c r="AU6" s="22" t="s">
        <v>1177</v>
      </c>
      <c r="AV6" s="22" t="s">
        <v>1192</v>
      </c>
      <c r="AW6" s="22" t="s">
        <v>1177</v>
      </c>
      <c r="AX6" s="26">
        <v>33</v>
      </c>
      <c r="AY6" s="26">
        <v>2</v>
      </c>
      <c r="AZ6" s="22" t="s">
        <v>1177</v>
      </c>
      <c r="BA6" s="26">
        <v>0</v>
      </c>
      <c r="BB6" s="22" t="s">
        <v>1185</v>
      </c>
      <c r="BC6" s="7" t="e">
        <v>#N/A</v>
      </c>
      <c r="BD6" s="7" t="e">
        <v>#N/A</v>
      </c>
      <c r="BE6" s="7" t="e">
        <v>#N/A</v>
      </c>
      <c r="BF6" s="7" t="e">
        <v>#N/A</v>
      </c>
      <c r="BG6" s="7" t="s">
        <v>126</v>
      </c>
      <c r="BH6" s="7" t="s">
        <v>1194</v>
      </c>
      <c r="BI6" s="7" t="s">
        <v>126</v>
      </c>
    </row>
    <row r="7" spans="1:61" x14ac:dyDescent="0.35">
      <c r="A7" s="7" t="str">
        <f t="shared" si="0"/>
        <v>461914501751068</v>
      </c>
      <c r="B7" s="7" t="str">
        <f t="shared" si="1"/>
        <v>GP485051-001B857</v>
      </c>
      <c r="C7" s="22" t="s">
        <v>1177</v>
      </c>
      <c r="D7" s="22" t="s">
        <v>1178</v>
      </c>
      <c r="E7" s="22" t="s">
        <v>1220</v>
      </c>
      <c r="F7" s="22" t="s">
        <v>1179</v>
      </c>
      <c r="G7" s="22" t="s">
        <v>1180</v>
      </c>
      <c r="H7" s="22" t="s">
        <v>1181</v>
      </c>
      <c r="I7" s="23">
        <v>46191</v>
      </c>
      <c r="J7" s="22" t="s">
        <v>1221</v>
      </c>
      <c r="K7" s="22" t="s">
        <v>1182</v>
      </c>
      <c r="L7" s="22" t="s">
        <v>1183</v>
      </c>
      <c r="M7" s="22" t="s">
        <v>1184</v>
      </c>
      <c r="N7" s="22" t="s">
        <v>1177</v>
      </c>
      <c r="O7" s="22" t="s">
        <v>1177</v>
      </c>
      <c r="P7" s="23">
        <v>46267</v>
      </c>
      <c r="Q7" s="22" t="s">
        <v>1177</v>
      </c>
      <c r="R7" s="22" t="s">
        <v>23</v>
      </c>
      <c r="S7" s="22" t="s">
        <v>959</v>
      </c>
      <c r="T7" s="22" t="s">
        <v>296</v>
      </c>
      <c r="U7" s="22" t="s">
        <v>297</v>
      </c>
      <c r="V7" s="26">
        <v>80</v>
      </c>
      <c r="W7" s="22" t="s">
        <v>1185</v>
      </c>
      <c r="X7" s="22" t="s">
        <v>1185</v>
      </c>
      <c r="Y7" s="25">
        <v>888.87</v>
      </c>
      <c r="Z7" s="22" t="s">
        <v>1186</v>
      </c>
      <c r="AA7" s="22" t="s">
        <v>1216</v>
      </c>
      <c r="AB7" s="22" t="s">
        <v>1177</v>
      </c>
      <c r="AC7" s="22" t="s">
        <v>1177</v>
      </c>
      <c r="AD7" s="22" t="s">
        <v>1177</v>
      </c>
      <c r="AE7" s="22" t="s">
        <v>1205</v>
      </c>
      <c r="AF7" s="22" t="s">
        <v>1189</v>
      </c>
      <c r="AG7" s="22" t="s">
        <v>1189</v>
      </c>
      <c r="AH7" s="22" t="s">
        <v>1178</v>
      </c>
      <c r="AI7" s="22" t="s">
        <v>1177</v>
      </c>
      <c r="AJ7" s="22" t="s">
        <v>1190</v>
      </c>
      <c r="AK7" s="26">
        <v>0</v>
      </c>
      <c r="AL7" s="22" t="s">
        <v>1185</v>
      </c>
      <c r="AM7" s="23">
        <v>46251</v>
      </c>
      <c r="AN7" s="23"/>
      <c r="AO7" s="23"/>
      <c r="AP7" s="23"/>
      <c r="AQ7" s="23"/>
      <c r="AR7" s="23"/>
      <c r="AS7" s="23"/>
      <c r="AT7" s="22" t="s">
        <v>1191</v>
      </c>
      <c r="AU7" s="22" t="s">
        <v>1177</v>
      </c>
      <c r="AV7" s="22" t="s">
        <v>1192</v>
      </c>
      <c r="AW7" s="22" t="s">
        <v>1177</v>
      </c>
      <c r="AX7" s="26">
        <v>60</v>
      </c>
      <c r="AY7" s="26">
        <v>2</v>
      </c>
      <c r="AZ7" s="22" t="s">
        <v>1177</v>
      </c>
      <c r="BA7" s="26">
        <v>0</v>
      </c>
      <c r="BB7" s="22" t="s">
        <v>1185</v>
      </c>
      <c r="BC7" s="7" t="e">
        <v>#N/A</v>
      </c>
      <c r="BD7" s="7" t="e">
        <v>#N/A</v>
      </c>
      <c r="BE7" s="7" t="e">
        <v>#N/A</v>
      </c>
      <c r="BF7" s="7" t="e">
        <v>#N/A</v>
      </c>
      <c r="BG7" s="7" t="s">
        <v>126</v>
      </c>
      <c r="BH7" s="7" t="s">
        <v>1194</v>
      </c>
      <c r="BI7" s="7" t="s">
        <v>126</v>
      </c>
    </row>
    <row r="8" spans="1:61" x14ac:dyDescent="0.35">
      <c r="A8" s="7" t="str">
        <f t="shared" si="0"/>
        <v>461914501751131</v>
      </c>
      <c r="B8" s="7" t="str">
        <f t="shared" si="1"/>
        <v>GP486978-004B825</v>
      </c>
      <c r="C8" s="22" t="s">
        <v>1177</v>
      </c>
      <c r="D8" s="22" t="s">
        <v>1178</v>
      </c>
      <c r="E8" s="22" t="s">
        <v>1222</v>
      </c>
      <c r="F8" s="22" t="s">
        <v>1223</v>
      </c>
      <c r="G8" s="22" t="s">
        <v>1180</v>
      </c>
      <c r="H8" s="22" t="s">
        <v>1181</v>
      </c>
      <c r="I8" s="23">
        <v>46191</v>
      </c>
      <c r="J8" s="22" t="s">
        <v>1224</v>
      </c>
      <c r="K8" s="22" t="s">
        <v>1182</v>
      </c>
      <c r="L8" s="22" t="s">
        <v>1183</v>
      </c>
      <c r="M8" s="22" t="s">
        <v>1184</v>
      </c>
      <c r="N8" s="22" t="s">
        <v>1177</v>
      </c>
      <c r="O8" s="22" t="s">
        <v>1177</v>
      </c>
      <c r="P8" s="23">
        <v>46204</v>
      </c>
      <c r="Q8" s="22" t="s">
        <v>1177</v>
      </c>
      <c r="R8" s="22" t="s">
        <v>16</v>
      </c>
      <c r="S8" s="22" t="s">
        <v>512</v>
      </c>
      <c r="T8" s="22" t="s">
        <v>193</v>
      </c>
      <c r="U8" s="22" t="s">
        <v>194</v>
      </c>
      <c r="V8" s="26">
        <v>1041</v>
      </c>
      <c r="W8" s="22" t="s">
        <v>1185</v>
      </c>
      <c r="X8" s="22" t="s">
        <v>1185</v>
      </c>
      <c r="Y8" s="25">
        <v>3696.72</v>
      </c>
      <c r="Z8" s="22" t="s">
        <v>1186</v>
      </c>
      <c r="AA8" s="22" t="s">
        <v>1187</v>
      </c>
      <c r="AB8" s="22" t="s">
        <v>1177</v>
      </c>
      <c r="AC8" s="22" t="s">
        <v>1177</v>
      </c>
      <c r="AD8" s="22" t="s">
        <v>1177</v>
      </c>
      <c r="AE8" s="22" t="s">
        <v>1188</v>
      </c>
      <c r="AF8" s="22" t="s">
        <v>1189</v>
      </c>
      <c r="AG8" s="22" t="s">
        <v>1178</v>
      </c>
      <c r="AH8" s="22" t="s">
        <v>1178</v>
      </c>
      <c r="AI8" s="22" t="s">
        <v>1177</v>
      </c>
      <c r="AJ8" s="22" t="s">
        <v>1190</v>
      </c>
      <c r="AK8" s="26">
        <v>0</v>
      </c>
      <c r="AL8" s="22" t="s">
        <v>1185</v>
      </c>
      <c r="AM8" s="23">
        <v>46224</v>
      </c>
      <c r="AN8" s="23"/>
      <c r="AO8" s="23"/>
      <c r="AP8" s="23"/>
      <c r="AQ8" s="23"/>
      <c r="AR8" s="23"/>
      <c r="AS8" s="23"/>
      <c r="AT8" s="22" t="s">
        <v>1191</v>
      </c>
      <c r="AU8" s="22" t="s">
        <v>1177</v>
      </c>
      <c r="AV8" s="22" t="s">
        <v>1192</v>
      </c>
      <c r="AW8" s="22" t="s">
        <v>1177</v>
      </c>
      <c r="AX8" s="26">
        <v>33</v>
      </c>
      <c r="AY8" s="26">
        <v>2</v>
      </c>
      <c r="AZ8" s="22" t="s">
        <v>1177</v>
      </c>
      <c r="BA8" s="26">
        <v>0</v>
      </c>
      <c r="BB8" s="22" t="s">
        <v>1185</v>
      </c>
      <c r="BC8" s="7" t="e">
        <v>#N/A</v>
      </c>
      <c r="BD8" s="7" t="e">
        <v>#N/A</v>
      </c>
      <c r="BE8" s="7" t="e">
        <v>#N/A</v>
      </c>
      <c r="BF8" s="7" t="e">
        <v>#N/A</v>
      </c>
      <c r="BG8" s="7" t="s">
        <v>1212</v>
      </c>
      <c r="BH8" s="7" t="s">
        <v>1194</v>
      </c>
      <c r="BI8" s="7" t="s">
        <v>1225</v>
      </c>
    </row>
    <row r="9" spans="1:61" x14ac:dyDescent="0.35">
      <c r="A9" s="7" t="str">
        <f t="shared" si="0"/>
        <v>461914501751220</v>
      </c>
      <c r="B9" s="7" t="str">
        <f t="shared" si="1"/>
        <v>GP013211B857</v>
      </c>
      <c r="C9" s="22" t="s">
        <v>1177</v>
      </c>
      <c r="D9" s="22" t="s">
        <v>1178</v>
      </c>
      <c r="E9" s="22" t="s">
        <v>1228</v>
      </c>
      <c r="F9" s="22" t="s">
        <v>1223</v>
      </c>
      <c r="G9" s="22" t="s">
        <v>1180</v>
      </c>
      <c r="H9" s="22" t="s">
        <v>1181</v>
      </c>
      <c r="I9" s="23">
        <v>46191</v>
      </c>
      <c r="J9" s="22" t="s">
        <v>1229</v>
      </c>
      <c r="K9" s="22" t="s">
        <v>1182</v>
      </c>
      <c r="L9" s="22" t="s">
        <v>1183</v>
      </c>
      <c r="M9" s="22" t="s">
        <v>1184</v>
      </c>
      <c r="N9" s="22" t="s">
        <v>1177</v>
      </c>
      <c r="O9" s="22" t="s">
        <v>1177</v>
      </c>
      <c r="P9" s="23">
        <v>46267</v>
      </c>
      <c r="Q9" s="22" t="s">
        <v>1177</v>
      </c>
      <c r="R9" s="22" t="s">
        <v>23</v>
      </c>
      <c r="S9" s="22" t="s">
        <v>959</v>
      </c>
      <c r="T9" s="22" t="s">
        <v>37</v>
      </c>
      <c r="U9" s="22" t="s">
        <v>38</v>
      </c>
      <c r="V9" s="26">
        <v>3</v>
      </c>
      <c r="W9" s="22" t="s">
        <v>1230</v>
      </c>
      <c r="X9" s="22" t="s">
        <v>1230</v>
      </c>
      <c r="Y9" s="25">
        <v>3564.66</v>
      </c>
      <c r="Z9" s="22" t="s">
        <v>1186</v>
      </c>
      <c r="AA9" s="22" t="s">
        <v>1203</v>
      </c>
      <c r="AB9" s="22" t="s">
        <v>1177</v>
      </c>
      <c r="AC9" s="22" t="s">
        <v>1177</v>
      </c>
      <c r="AD9" s="22" t="s">
        <v>1177</v>
      </c>
      <c r="AE9" s="22" t="s">
        <v>1188</v>
      </c>
      <c r="AF9" s="22" t="s">
        <v>1189</v>
      </c>
      <c r="AG9" s="22" t="s">
        <v>1226</v>
      </c>
      <c r="AH9" s="22" t="s">
        <v>1178</v>
      </c>
      <c r="AI9" s="22" t="s">
        <v>1177</v>
      </c>
      <c r="AJ9" s="22" t="s">
        <v>1190</v>
      </c>
      <c r="AK9" s="26">
        <v>0</v>
      </c>
      <c r="AL9" s="22" t="s">
        <v>1230</v>
      </c>
      <c r="AM9" s="23">
        <v>46286</v>
      </c>
      <c r="AN9" s="23"/>
      <c r="AO9" s="23"/>
      <c r="AP9" s="23"/>
      <c r="AQ9" s="23"/>
      <c r="AR9" s="23"/>
      <c r="AS9" s="23"/>
      <c r="AT9" s="22" t="s">
        <v>1191</v>
      </c>
      <c r="AU9" s="22" t="s">
        <v>1177</v>
      </c>
      <c r="AV9" s="22" t="s">
        <v>1192</v>
      </c>
      <c r="AW9" s="22" t="s">
        <v>1177</v>
      </c>
      <c r="AX9" s="26">
        <v>21</v>
      </c>
      <c r="AY9" s="26">
        <v>2</v>
      </c>
      <c r="AZ9" s="22" t="s">
        <v>1177</v>
      </c>
      <c r="BA9" s="26">
        <v>0</v>
      </c>
      <c r="BB9" s="22" t="s">
        <v>1230</v>
      </c>
      <c r="BC9" s="7" t="e">
        <v>#N/A</v>
      </c>
      <c r="BD9" s="7" t="e">
        <v>#N/A</v>
      </c>
      <c r="BE9" s="7" t="e">
        <v>#N/A</v>
      </c>
      <c r="BF9" s="7" t="e">
        <v>#N/A</v>
      </c>
      <c r="BG9" s="7" t="s">
        <v>1212</v>
      </c>
      <c r="BH9" s="7" t="s">
        <v>1194</v>
      </c>
      <c r="BI9" s="7" t="s">
        <v>1227</v>
      </c>
    </row>
    <row r="10" spans="1:61" x14ac:dyDescent="0.35">
      <c r="A10" s="7" t="str">
        <f t="shared" si="0"/>
        <v>462034501752680</v>
      </c>
      <c r="B10" s="7" t="str">
        <f t="shared" si="1"/>
        <v>GP486978-004B825</v>
      </c>
      <c r="C10" s="22" t="s">
        <v>1231</v>
      </c>
      <c r="D10" s="22" t="s">
        <v>1182</v>
      </c>
      <c r="E10" s="22" t="s">
        <v>1177</v>
      </c>
      <c r="F10" s="22" t="s">
        <v>1232</v>
      </c>
      <c r="G10" s="22" t="s">
        <v>1233</v>
      </c>
      <c r="H10" s="22" t="s">
        <v>1181</v>
      </c>
      <c r="I10" s="23">
        <v>46203</v>
      </c>
      <c r="J10" s="22" t="s">
        <v>1234</v>
      </c>
      <c r="K10" s="22" t="s">
        <v>1199</v>
      </c>
      <c r="L10" s="22" t="s">
        <v>1183</v>
      </c>
      <c r="M10" s="22" t="s">
        <v>1184</v>
      </c>
      <c r="N10" s="22" t="s">
        <v>1177</v>
      </c>
      <c r="O10" s="22" t="s">
        <v>1177</v>
      </c>
      <c r="P10" s="23">
        <v>46205</v>
      </c>
      <c r="Q10" s="22" t="s">
        <v>1185</v>
      </c>
      <c r="R10" s="22" t="s">
        <v>16</v>
      </c>
      <c r="S10" s="22" t="s">
        <v>512</v>
      </c>
      <c r="T10" s="22" t="s">
        <v>193</v>
      </c>
      <c r="U10" s="22" t="s">
        <v>194</v>
      </c>
      <c r="V10" s="26">
        <v>10</v>
      </c>
      <c r="W10" s="22" t="s">
        <v>1235</v>
      </c>
      <c r="X10" s="22" t="s">
        <v>1235</v>
      </c>
      <c r="Y10" s="25">
        <v>3551.02</v>
      </c>
      <c r="Z10" s="22" t="s">
        <v>1186</v>
      </c>
      <c r="AA10" s="22" t="s">
        <v>1187</v>
      </c>
      <c r="AB10" s="22" t="s">
        <v>1177</v>
      </c>
      <c r="AC10" s="22" t="s">
        <v>1177</v>
      </c>
      <c r="AD10" s="22" t="s">
        <v>1177</v>
      </c>
      <c r="AE10" s="22" t="s">
        <v>1188</v>
      </c>
      <c r="AF10" s="22" t="s">
        <v>1189</v>
      </c>
      <c r="AG10" s="22" t="s">
        <v>1189</v>
      </c>
      <c r="AH10" s="22" t="s">
        <v>1178</v>
      </c>
      <c r="AI10" s="22" t="s">
        <v>1177</v>
      </c>
      <c r="AJ10" s="22" t="s">
        <v>1190</v>
      </c>
      <c r="AK10" s="26">
        <v>0</v>
      </c>
      <c r="AL10" s="22" t="s">
        <v>1235</v>
      </c>
      <c r="AM10" s="23">
        <v>46237</v>
      </c>
      <c r="AN10" s="23"/>
      <c r="AO10" s="23"/>
      <c r="AP10" s="23"/>
      <c r="AQ10" s="23"/>
      <c r="AR10" s="23"/>
      <c r="AS10" s="23"/>
      <c r="AT10" s="22" t="s">
        <v>1191</v>
      </c>
      <c r="AU10" s="22" t="s">
        <v>1177</v>
      </c>
      <c r="AV10" s="22" t="s">
        <v>1192</v>
      </c>
      <c r="AW10" s="22" t="s">
        <v>1177</v>
      </c>
      <c r="AX10" s="26">
        <v>60</v>
      </c>
      <c r="AY10" s="26">
        <v>2</v>
      </c>
      <c r="AZ10" s="22" t="s">
        <v>1177</v>
      </c>
      <c r="BA10" s="26">
        <v>0</v>
      </c>
      <c r="BB10" s="22" t="s">
        <v>1235</v>
      </c>
      <c r="BC10" s="7" t="e">
        <v>#N/A</v>
      </c>
      <c r="BD10" s="7" t="e">
        <v>#N/A</v>
      </c>
      <c r="BE10" s="7" t="e">
        <v>#N/A</v>
      </c>
      <c r="BF10" s="7" t="e">
        <v>#N/A</v>
      </c>
      <c r="BG10" s="7" t="s">
        <v>1212</v>
      </c>
      <c r="BH10" s="7" t="e">
        <v>#N/A</v>
      </c>
      <c r="BI10" s="7" t="e">
        <v>#N/A</v>
      </c>
    </row>
    <row r="11" spans="1:61" x14ac:dyDescent="0.35">
      <c r="A11" s="7" t="str">
        <f t="shared" si="0"/>
        <v>462384501758104</v>
      </c>
      <c r="B11" s="7" t="str">
        <f t="shared" si="1"/>
        <v>GP486978-004B833</v>
      </c>
      <c r="C11" s="22" t="s">
        <v>1238</v>
      </c>
      <c r="D11" s="22" t="s">
        <v>1182</v>
      </c>
      <c r="E11" s="22" t="s">
        <v>1177</v>
      </c>
      <c r="F11" s="22" t="s">
        <v>1232</v>
      </c>
      <c r="G11" s="22" t="s">
        <v>1236</v>
      </c>
      <c r="H11" s="22" t="s">
        <v>1181</v>
      </c>
      <c r="I11" s="23">
        <v>46238</v>
      </c>
      <c r="J11" s="22" t="s">
        <v>1239</v>
      </c>
      <c r="K11" s="22" t="s">
        <v>1182</v>
      </c>
      <c r="L11" s="22" t="s">
        <v>1183</v>
      </c>
      <c r="M11" s="22" t="s">
        <v>1184</v>
      </c>
      <c r="N11" s="22" t="s">
        <v>1177</v>
      </c>
      <c r="O11" s="22" t="s">
        <v>1177</v>
      </c>
      <c r="P11" s="23">
        <v>46238</v>
      </c>
      <c r="Q11" s="22" t="s">
        <v>1177</v>
      </c>
      <c r="R11" s="22" t="s">
        <v>697</v>
      </c>
      <c r="S11" s="22" t="s">
        <v>699</v>
      </c>
      <c r="T11" s="22" t="s">
        <v>193</v>
      </c>
      <c r="U11" s="22" t="s">
        <v>194</v>
      </c>
      <c r="V11" s="26">
        <v>388.2</v>
      </c>
      <c r="W11" s="22" t="s">
        <v>1185</v>
      </c>
      <c r="X11" s="22" t="s">
        <v>1185</v>
      </c>
      <c r="Y11" s="25">
        <v>3551.02</v>
      </c>
      <c r="Z11" s="22" t="s">
        <v>1186</v>
      </c>
      <c r="AA11" s="22" t="s">
        <v>1187</v>
      </c>
      <c r="AB11" s="22" t="s">
        <v>1177</v>
      </c>
      <c r="AC11" s="22" t="s">
        <v>1177</v>
      </c>
      <c r="AD11" s="22" t="s">
        <v>1177</v>
      </c>
      <c r="AE11" s="22" t="s">
        <v>1188</v>
      </c>
      <c r="AF11" s="22" t="s">
        <v>1189</v>
      </c>
      <c r="AG11" s="22" t="s">
        <v>1189</v>
      </c>
      <c r="AH11" s="22" t="s">
        <v>1178</v>
      </c>
      <c r="AI11" s="22" t="s">
        <v>1177</v>
      </c>
      <c r="AJ11" s="22" t="s">
        <v>1190</v>
      </c>
      <c r="AK11" s="26">
        <v>0</v>
      </c>
      <c r="AL11" s="22" t="s">
        <v>1185</v>
      </c>
      <c r="AM11" s="23">
        <v>46314</v>
      </c>
      <c r="AN11" s="23"/>
      <c r="AO11" s="23"/>
      <c r="AP11" s="23"/>
      <c r="AQ11" s="23"/>
      <c r="AR11" s="23"/>
      <c r="AS11" s="23"/>
      <c r="AT11" s="22" t="s">
        <v>1191</v>
      </c>
      <c r="AU11" s="22" t="s">
        <v>1177</v>
      </c>
      <c r="AV11" s="22" t="s">
        <v>1192</v>
      </c>
      <c r="AW11" s="22" t="s">
        <v>1177</v>
      </c>
      <c r="AX11" s="26">
        <v>60</v>
      </c>
      <c r="AY11" s="26">
        <v>2</v>
      </c>
      <c r="AZ11" s="22" t="s">
        <v>1177</v>
      </c>
      <c r="BA11" s="26">
        <v>0</v>
      </c>
      <c r="BB11" s="22" t="s">
        <v>1185</v>
      </c>
      <c r="BC11" s="7" t="e">
        <v>#N/A</v>
      </c>
      <c r="BD11" s="7" t="e">
        <v>#N/A</v>
      </c>
      <c r="BE11" s="7" t="e">
        <v>#N/A</v>
      </c>
      <c r="BF11" s="7" t="e">
        <v>#N/A</v>
      </c>
      <c r="BG11" s="7" t="e">
        <v>#N/A</v>
      </c>
      <c r="BH11" s="7" t="e">
        <v>#N/A</v>
      </c>
      <c r="BI11" s="7" t="e">
        <v>#N/A</v>
      </c>
    </row>
    <row r="12" spans="1:61" x14ac:dyDescent="0.35">
      <c r="A12" s="7" t="str">
        <f t="shared" si="0"/>
        <v>462384501758114</v>
      </c>
      <c r="B12" s="7" t="str">
        <f t="shared" si="1"/>
        <v>GP486978-004B857</v>
      </c>
      <c r="C12" s="22" t="s">
        <v>1241</v>
      </c>
      <c r="D12" s="22" t="s">
        <v>1182</v>
      </c>
      <c r="E12" s="22" t="s">
        <v>1177</v>
      </c>
      <c r="F12" s="22" t="s">
        <v>1179</v>
      </c>
      <c r="G12" s="22" t="s">
        <v>1240</v>
      </c>
      <c r="H12" s="22" t="s">
        <v>1181</v>
      </c>
      <c r="I12" s="23">
        <v>46238</v>
      </c>
      <c r="J12" s="22" t="s">
        <v>1242</v>
      </c>
      <c r="K12" s="22" t="s">
        <v>1182</v>
      </c>
      <c r="L12" s="22" t="s">
        <v>1183</v>
      </c>
      <c r="M12" s="22" t="s">
        <v>1184</v>
      </c>
      <c r="N12" s="22" t="s">
        <v>1177</v>
      </c>
      <c r="O12" s="22" t="s">
        <v>1177</v>
      </c>
      <c r="P12" s="23">
        <v>46253</v>
      </c>
      <c r="Q12" s="22" t="s">
        <v>1177</v>
      </c>
      <c r="R12" s="22" t="s">
        <v>23</v>
      </c>
      <c r="S12" s="22" t="s">
        <v>959</v>
      </c>
      <c r="T12" s="22" t="s">
        <v>193</v>
      </c>
      <c r="U12" s="22" t="s">
        <v>194</v>
      </c>
      <c r="V12" s="26">
        <v>624.6</v>
      </c>
      <c r="W12" s="22" t="s">
        <v>1185</v>
      </c>
      <c r="X12" s="22" t="s">
        <v>1185</v>
      </c>
      <c r="Y12" s="25">
        <v>3700.28</v>
      </c>
      <c r="Z12" s="22" t="s">
        <v>1186</v>
      </c>
      <c r="AA12" s="22" t="s">
        <v>1187</v>
      </c>
      <c r="AB12" s="22" t="s">
        <v>1177</v>
      </c>
      <c r="AC12" s="22" t="s">
        <v>1177</v>
      </c>
      <c r="AD12" s="22" t="s">
        <v>1177</v>
      </c>
      <c r="AE12" s="22" t="s">
        <v>1188</v>
      </c>
      <c r="AF12" s="22" t="s">
        <v>1189</v>
      </c>
      <c r="AG12" s="22" t="s">
        <v>1189</v>
      </c>
      <c r="AH12" s="22" t="s">
        <v>1178</v>
      </c>
      <c r="AI12" s="22" t="s">
        <v>1177</v>
      </c>
      <c r="AJ12" s="22" t="s">
        <v>1190</v>
      </c>
      <c r="AK12" s="26">
        <v>0</v>
      </c>
      <c r="AL12" s="22" t="s">
        <v>1185</v>
      </c>
      <c r="AM12" s="23">
        <v>46255</v>
      </c>
      <c r="AN12" s="23"/>
      <c r="AO12" s="23"/>
      <c r="AP12" s="23"/>
      <c r="AQ12" s="23"/>
      <c r="AR12" s="23"/>
      <c r="AS12" s="23"/>
      <c r="AT12" s="22" t="s">
        <v>1191</v>
      </c>
      <c r="AU12" s="22" t="s">
        <v>1177</v>
      </c>
      <c r="AV12" s="22" t="s">
        <v>1192</v>
      </c>
      <c r="AW12" s="22" t="s">
        <v>1177</v>
      </c>
      <c r="AX12" s="26">
        <v>60</v>
      </c>
      <c r="AY12" s="26">
        <v>2</v>
      </c>
      <c r="AZ12" s="22" t="s">
        <v>1177</v>
      </c>
      <c r="BA12" s="26">
        <v>0</v>
      </c>
      <c r="BB12" s="22" t="s">
        <v>1185</v>
      </c>
      <c r="BC12" s="7" t="e">
        <v>#N/A</v>
      </c>
      <c r="BD12" s="7" t="e">
        <v>#N/A</v>
      </c>
      <c r="BE12" s="7" t="e">
        <v>#N/A</v>
      </c>
      <c r="BF12" s="7" t="e">
        <v>#N/A</v>
      </c>
      <c r="BG12" s="7" t="e">
        <v>#N/A</v>
      </c>
      <c r="BH12" s="7" t="e">
        <v>#N/A</v>
      </c>
      <c r="BI12" s="7" t="e">
        <v>#N/A</v>
      </c>
    </row>
    <row r="13" spans="1:61" x14ac:dyDescent="0.35">
      <c r="A13" s="7" t="str">
        <f t="shared" si="0"/>
        <v>462574501760680</v>
      </c>
      <c r="B13" s="7" t="str">
        <f t="shared" si="1"/>
        <v>GP486978-004B865</v>
      </c>
      <c r="C13" s="22" t="s">
        <v>1244</v>
      </c>
      <c r="D13" s="22" t="s">
        <v>1182</v>
      </c>
      <c r="E13" s="22" t="s">
        <v>1177</v>
      </c>
      <c r="F13" s="22" t="s">
        <v>1232</v>
      </c>
      <c r="G13" s="22" t="s">
        <v>1245</v>
      </c>
      <c r="H13" s="22" t="s">
        <v>1181</v>
      </c>
      <c r="I13" s="23">
        <v>46257</v>
      </c>
      <c r="J13" s="22" t="s">
        <v>1246</v>
      </c>
      <c r="K13" s="22" t="s">
        <v>1182</v>
      </c>
      <c r="L13" s="22" t="s">
        <v>1183</v>
      </c>
      <c r="M13" s="22" t="s">
        <v>1184</v>
      </c>
      <c r="N13" s="22" t="s">
        <v>1177</v>
      </c>
      <c r="O13" s="22" t="s">
        <v>1177</v>
      </c>
      <c r="P13" s="23">
        <v>46275</v>
      </c>
      <c r="Q13" s="22" t="s">
        <v>1177</v>
      </c>
      <c r="R13" s="22" t="s">
        <v>7</v>
      </c>
      <c r="S13" s="22" t="s">
        <v>1040</v>
      </c>
      <c r="T13" s="22" t="s">
        <v>193</v>
      </c>
      <c r="U13" s="22" t="s">
        <v>194</v>
      </c>
      <c r="V13" s="26">
        <v>416.4</v>
      </c>
      <c r="W13" s="22" t="s">
        <v>1185</v>
      </c>
      <c r="X13" s="22" t="s">
        <v>1185</v>
      </c>
      <c r="Y13" s="25">
        <v>4055.84</v>
      </c>
      <c r="Z13" s="22" t="s">
        <v>1186</v>
      </c>
      <c r="AA13" s="22" t="s">
        <v>1187</v>
      </c>
      <c r="AB13" s="22" t="s">
        <v>1177</v>
      </c>
      <c r="AC13" s="22" t="s">
        <v>1177</v>
      </c>
      <c r="AD13" s="22" t="s">
        <v>1177</v>
      </c>
      <c r="AE13" s="22" t="s">
        <v>1188</v>
      </c>
      <c r="AF13" s="22" t="s">
        <v>1189</v>
      </c>
      <c r="AG13" s="22" t="s">
        <v>1189</v>
      </c>
      <c r="AH13" s="22" t="s">
        <v>1178</v>
      </c>
      <c r="AI13" s="22" t="s">
        <v>1177</v>
      </c>
      <c r="AJ13" s="22" t="s">
        <v>1190</v>
      </c>
      <c r="AK13" s="26">
        <v>0</v>
      </c>
      <c r="AL13" s="22" t="s">
        <v>1185</v>
      </c>
      <c r="AM13" s="23">
        <v>46314</v>
      </c>
      <c r="AN13" s="23"/>
      <c r="AO13" s="23"/>
      <c r="AP13" s="23"/>
      <c r="AQ13" s="23"/>
      <c r="AR13" s="23"/>
      <c r="AS13" s="23"/>
      <c r="AT13" s="22" t="s">
        <v>1191</v>
      </c>
      <c r="AU13" s="22" t="s">
        <v>1177</v>
      </c>
      <c r="AV13" s="22" t="s">
        <v>1192</v>
      </c>
      <c r="AW13" s="22" t="s">
        <v>1177</v>
      </c>
      <c r="AX13" s="26">
        <v>60</v>
      </c>
      <c r="AY13" s="26">
        <v>2</v>
      </c>
      <c r="AZ13" s="22" t="s">
        <v>1177</v>
      </c>
      <c r="BA13" s="26">
        <v>0</v>
      </c>
      <c r="BB13" s="22" t="s">
        <v>1185</v>
      </c>
      <c r="BC13" s="7" t="e">
        <v>#N/A</v>
      </c>
      <c r="BD13" s="7" t="e">
        <v>#N/A</v>
      </c>
      <c r="BE13" s="7" t="e">
        <v>#N/A</v>
      </c>
      <c r="BF13" s="7" t="e">
        <v>#N/A</v>
      </c>
      <c r="BG13" s="7" t="e">
        <v>#N/A</v>
      </c>
      <c r="BH13" s="7" t="e">
        <v>#N/A</v>
      </c>
      <c r="BI13" s="7" t="e">
        <v>#N/A</v>
      </c>
    </row>
    <row r="14" spans="1:61" x14ac:dyDescent="0.35">
      <c r="A14" s="7" t="str">
        <f t="shared" si="0"/>
        <v>462644501761685</v>
      </c>
      <c r="B14" s="7" t="str">
        <f t="shared" si="1"/>
        <v>GP486978-004B825</v>
      </c>
      <c r="C14" s="22" t="s">
        <v>1247</v>
      </c>
      <c r="D14" s="22" t="s">
        <v>1182</v>
      </c>
      <c r="E14" s="22" t="s">
        <v>1177</v>
      </c>
      <c r="F14" s="22" t="s">
        <v>1248</v>
      </c>
      <c r="G14" s="22" t="s">
        <v>1245</v>
      </c>
      <c r="H14" s="22" t="s">
        <v>1181</v>
      </c>
      <c r="I14" s="23">
        <v>46264</v>
      </c>
      <c r="J14" s="22" t="s">
        <v>1249</v>
      </c>
      <c r="K14" s="22" t="s">
        <v>1182</v>
      </c>
      <c r="L14" s="22" t="s">
        <v>1183</v>
      </c>
      <c r="M14" s="22" t="s">
        <v>1184</v>
      </c>
      <c r="N14" s="22" t="s">
        <v>1177</v>
      </c>
      <c r="O14" s="22" t="s">
        <v>1177</v>
      </c>
      <c r="P14" s="23">
        <v>46264</v>
      </c>
      <c r="Q14" s="22" t="s">
        <v>1177</v>
      </c>
      <c r="R14" s="22" t="s">
        <v>16</v>
      </c>
      <c r="S14" s="22" t="s">
        <v>512</v>
      </c>
      <c r="T14" s="22" t="s">
        <v>193</v>
      </c>
      <c r="U14" s="22" t="s">
        <v>194</v>
      </c>
      <c r="V14" s="26">
        <v>2082</v>
      </c>
      <c r="W14" s="22" t="s">
        <v>1185</v>
      </c>
      <c r="X14" s="22" t="s">
        <v>1185</v>
      </c>
      <c r="Y14" s="25">
        <v>3903.01</v>
      </c>
      <c r="Z14" s="22" t="s">
        <v>1186</v>
      </c>
      <c r="AA14" s="22" t="s">
        <v>1187</v>
      </c>
      <c r="AB14" s="22" t="s">
        <v>1177</v>
      </c>
      <c r="AC14" s="22" t="s">
        <v>1177</v>
      </c>
      <c r="AD14" s="22" t="s">
        <v>1177</v>
      </c>
      <c r="AE14" s="22" t="s">
        <v>1188</v>
      </c>
      <c r="AF14" s="22" t="s">
        <v>1189</v>
      </c>
      <c r="AG14" s="22" t="s">
        <v>1189</v>
      </c>
      <c r="AH14" s="22" t="s">
        <v>1178</v>
      </c>
      <c r="AI14" s="22" t="s">
        <v>1177</v>
      </c>
      <c r="AJ14" s="22" t="s">
        <v>1190</v>
      </c>
      <c r="AK14" s="26">
        <v>0</v>
      </c>
      <c r="AL14" s="22" t="s">
        <v>1185</v>
      </c>
      <c r="AM14" s="23">
        <v>46295</v>
      </c>
      <c r="AN14" s="23"/>
      <c r="AO14" s="23"/>
      <c r="AP14" s="23"/>
      <c r="AQ14" s="23"/>
      <c r="AR14" s="23"/>
      <c r="AS14" s="23"/>
      <c r="AT14" s="22" t="s">
        <v>1191</v>
      </c>
      <c r="AU14" s="22" t="s">
        <v>1177</v>
      </c>
      <c r="AV14" s="22" t="s">
        <v>1192</v>
      </c>
      <c r="AW14" s="22" t="s">
        <v>1177</v>
      </c>
      <c r="AX14" s="26">
        <v>60</v>
      </c>
      <c r="AY14" s="26">
        <v>2</v>
      </c>
      <c r="AZ14" s="22" t="s">
        <v>1177</v>
      </c>
      <c r="BA14" s="26">
        <v>0</v>
      </c>
      <c r="BB14" s="22" t="s">
        <v>1185</v>
      </c>
      <c r="BC14" s="7" t="e">
        <v>#N/A</v>
      </c>
      <c r="BD14" s="7" t="e">
        <v>#N/A</v>
      </c>
      <c r="BE14" s="7" t="e">
        <v>#N/A</v>
      </c>
      <c r="BF14" s="7" t="e">
        <v>#N/A</v>
      </c>
      <c r="BG14" s="7" t="e">
        <v>#N/A</v>
      </c>
      <c r="BH14" s="7" t="e">
        <v>#N/A</v>
      </c>
      <c r="BI14" s="7" t="e">
        <v>#N/A</v>
      </c>
    </row>
    <row r="15" spans="1:61" x14ac:dyDescent="0.35">
      <c r="A15" s="7" t="str">
        <f t="shared" si="0"/>
        <v>462734501762617</v>
      </c>
      <c r="B15" s="7" t="str">
        <f t="shared" si="1"/>
        <v>GP485051-001B825</v>
      </c>
      <c r="C15" s="22" t="s">
        <v>1250</v>
      </c>
      <c r="D15" s="22" t="s">
        <v>1182</v>
      </c>
      <c r="E15" s="22" t="s">
        <v>1177</v>
      </c>
      <c r="F15" s="22" t="s">
        <v>1232</v>
      </c>
      <c r="G15" s="22" t="s">
        <v>1251</v>
      </c>
      <c r="H15" s="22" t="s">
        <v>1181</v>
      </c>
      <c r="I15" s="23">
        <v>46273</v>
      </c>
      <c r="J15" s="22" t="s">
        <v>1252</v>
      </c>
      <c r="K15" s="22" t="s">
        <v>1253</v>
      </c>
      <c r="L15" s="22" t="s">
        <v>1183</v>
      </c>
      <c r="M15" s="22" t="s">
        <v>1184</v>
      </c>
      <c r="N15" s="22" t="s">
        <v>1177</v>
      </c>
      <c r="O15" s="22" t="s">
        <v>1177</v>
      </c>
      <c r="P15" s="23">
        <v>46273</v>
      </c>
      <c r="Q15" s="22" t="s">
        <v>1177</v>
      </c>
      <c r="R15" s="22" t="s">
        <v>16</v>
      </c>
      <c r="S15" s="22" t="s">
        <v>512</v>
      </c>
      <c r="T15" s="22" t="s">
        <v>296</v>
      </c>
      <c r="U15" s="22" t="s">
        <v>297</v>
      </c>
      <c r="V15" s="26">
        <v>40</v>
      </c>
      <c r="W15" s="22" t="s">
        <v>1185</v>
      </c>
      <c r="X15" s="22" t="s">
        <v>1185</v>
      </c>
      <c r="Y15" s="25">
        <v>922.13</v>
      </c>
      <c r="Z15" s="22" t="s">
        <v>1186</v>
      </c>
      <c r="AA15" s="22" t="s">
        <v>1243</v>
      </c>
      <c r="AB15" s="22" t="s">
        <v>1177</v>
      </c>
      <c r="AC15" s="22" t="s">
        <v>1177</v>
      </c>
      <c r="AD15" s="22" t="s">
        <v>1177</v>
      </c>
      <c r="AE15" s="22" t="s">
        <v>1205</v>
      </c>
      <c r="AF15" s="22" t="s">
        <v>1189</v>
      </c>
      <c r="AG15" s="22" t="s">
        <v>1189</v>
      </c>
      <c r="AH15" s="22" t="s">
        <v>1178</v>
      </c>
      <c r="AI15" s="22" t="s">
        <v>1177</v>
      </c>
      <c r="AJ15" s="22" t="s">
        <v>1190</v>
      </c>
      <c r="AK15" s="26">
        <v>0</v>
      </c>
      <c r="AL15" s="22" t="s">
        <v>1185</v>
      </c>
      <c r="AM15" s="23">
        <v>46314</v>
      </c>
      <c r="AN15" s="23"/>
      <c r="AO15" s="23"/>
      <c r="AP15" s="23"/>
      <c r="AQ15" s="23"/>
      <c r="AR15" s="23"/>
      <c r="AS15" s="23"/>
      <c r="AT15" s="22" t="s">
        <v>1191</v>
      </c>
      <c r="AU15" s="22" t="s">
        <v>1177</v>
      </c>
      <c r="AV15" s="22" t="s">
        <v>1192</v>
      </c>
      <c r="AW15" s="22" t="s">
        <v>1177</v>
      </c>
      <c r="AX15" s="26">
        <v>60</v>
      </c>
      <c r="AY15" s="26">
        <v>2</v>
      </c>
      <c r="AZ15" s="22" t="s">
        <v>1177</v>
      </c>
      <c r="BA15" s="26">
        <v>0</v>
      </c>
      <c r="BB15" s="22" t="s">
        <v>1185</v>
      </c>
      <c r="BC15" s="7" t="e">
        <v>#N/A</v>
      </c>
      <c r="BD15" s="7" t="e">
        <v>#N/A</v>
      </c>
      <c r="BE15" s="7" t="e">
        <v>#N/A</v>
      </c>
      <c r="BF15" s="7" t="e">
        <v>#N/A</v>
      </c>
      <c r="BG15" s="7" t="e">
        <v>#N/A</v>
      </c>
      <c r="BH15" s="7" t="e">
        <v>#N/A</v>
      </c>
      <c r="BI15" s="7" t="e">
        <v>#N/A</v>
      </c>
    </row>
    <row r="16" spans="1:61" x14ac:dyDescent="0.35">
      <c r="A16" s="7" t="str">
        <f t="shared" si="0"/>
        <v>462744501762741</v>
      </c>
      <c r="B16" s="7" t="str">
        <f t="shared" si="1"/>
        <v>A7B95001359966B864</v>
      </c>
      <c r="C16" s="22" t="s">
        <v>1254</v>
      </c>
      <c r="D16" s="22" t="s">
        <v>1182</v>
      </c>
      <c r="E16" s="22" t="s">
        <v>1177</v>
      </c>
      <c r="F16" s="22" t="s">
        <v>1255</v>
      </c>
      <c r="G16" s="22" t="s">
        <v>1256</v>
      </c>
      <c r="H16" s="22" t="s">
        <v>1181</v>
      </c>
      <c r="I16" s="23">
        <v>46274</v>
      </c>
      <c r="J16" s="22" t="s">
        <v>1257</v>
      </c>
      <c r="K16" s="22" t="s">
        <v>1182</v>
      </c>
      <c r="L16" s="22" t="s">
        <v>1258</v>
      </c>
      <c r="M16" s="22" t="s">
        <v>1259</v>
      </c>
      <c r="N16" s="22" t="s">
        <v>1177</v>
      </c>
      <c r="O16" s="22" t="s">
        <v>1177</v>
      </c>
      <c r="P16" s="23">
        <v>46274</v>
      </c>
      <c r="Q16" s="22" t="s">
        <v>1177</v>
      </c>
      <c r="R16" s="22" t="s">
        <v>10</v>
      </c>
      <c r="S16" s="22" t="s">
        <v>1011</v>
      </c>
      <c r="T16" s="22" t="s">
        <v>1260</v>
      </c>
      <c r="U16" s="22" t="s">
        <v>1261</v>
      </c>
      <c r="V16" s="26">
        <v>1</v>
      </c>
      <c r="W16" s="22" t="s">
        <v>1262</v>
      </c>
      <c r="X16" s="22" t="s">
        <v>1262</v>
      </c>
      <c r="Y16" s="25">
        <v>878.54</v>
      </c>
      <c r="Z16" s="22" t="s">
        <v>1186</v>
      </c>
      <c r="AA16" s="22" t="s">
        <v>1263</v>
      </c>
      <c r="AB16" s="22" t="s">
        <v>1177</v>
      </c>
      <c r="AC16" s="22" t="s">
        <v>1177</v>
      </c>
      <c r="AD16" s="22" t="s">
        <v>1177</v>
      </c>
      <c r="AE16" s="22" t="s">
        <v>1264</v>
      </c>
      <c r="AF16" s="22" t="s">
        <v>1189</v>
      </c>
      <c r="AG16" s="22" t="s">
        <v>1178</v>
      </c>
      <c r="AH16" s="22" t="s">
        <v>1178</v>
      </c>
      <c r="AI16" s="22" t="s">
        <v>1177</v>
      </c>
      <c r="AJ16" s="22" t="s">
        <v>1190</v>
      </c>
      <c r="AK16" s="26">
        <v>0</v>
      </c>
      <c r="AL16" s="22" t="s">
        <v>1262</v>
      </c>
      <c r="AM16" s="23">
        <v>46295</v>
      </c>
      <c r="AN16" s="23"/>
      <c r="AO16" s="23"/>
      <c r="AP16" s="23"/>
      <c r="AQ16" s="23"/>
      <c r="AR16" s="23"/>
      <c r="AS16" s="23"/>
      <c r="AT16" s="22" t="s">
        <v>1191</v>
      </c>
      <c r="AU16" s="22" t="s">
        <v>1177</v>
      </c>
      <c r="AV16" s="22" t="s">
        <v>1192</v>
      </c>
      <c r="AW16" s="22" t="s">
        <v>1177</v>
      </c>
      <c r="AX16" s="26">
        <v>0</v>
      </c>
      <c r="AY16" s="26">
        <v>0</v>
      </c>
      <c r="AZ16" s="22" t="s">
        <v>1177</v>
      </c>
      <c r="BA16" s="26">
        <v>0</v>
      </c>
      <c r="BB16" s="22" t="s">
        <v>1262</v>
      </c>
      <c r="BC16" s="7" t="e">
        <v>#N/A</v>
      </c>
      <c r="BD16" s="7" t="e">
        <v>#N/A</v>
      </c>
      <c r="BE16" s="7" t="e">
        <v>#N/A</v>
      </c>
      <c r="BF16" s="7" t="e">
        <v>#N/A</v>
      </c>
      <c r="BG16" s="7" t="e">
        <v>#N/A</v>
      </c>
      <c r="BH16" s="7" t="e">
        <v>#N/A</v>
      </c>
      <c r="BI16" s="7" t="e">
        <v>#N/A</v>
      </c>
    </row>
    <row r="17" spans="1:61" x14ac:dyDescent="0.35">
      <c r="A17" s="7" t="str">
        <f t="shared" si="0"/>
        <v>462744501762743</v>
      </c>
      <c r="B17" s="7" t="str">
        <f t="shared" si="1"/>
        <v>A7B95001359966B865</v>
      </c>
      <c r="C17" s="22" t="s">
        <v>1265</v>
      </c>
      <c r="D17" s="22" t="s">
        <v>1182</v>
      </c>
      <c r="E17" s="22" t="s">
        <v>1177</v>
      </c>
      <c r="F17" s="22" t="s">
        <v>1255</v>
      </c>
      <c r="G17" s="22" t="s">
        <v>1256</v>
      </c>
      <c r="H17" s="22" t="s">
        <v>1181</v>
      </c>
      <c r="I17" s="23">
        <v>46274</v>
      </c>
      <c r="J17" s="22" t="s">
        <v>1266</v>
      </c>
      <c r="K17" s="22" t="s">
        <v>1182</v>
      </c>
      <c r="L17" s="22" t="s">
        <v>1258</v>
      </c>
      <c r="M17" s="22" t="s">
        <v>1259</v>
      </c>
      <c r="N17" s="22" t="s">
        <v>1177</v>
      </c>
      <c r="O17" s="22" t="s">
        <v>1177</v>
      </c>
      <c r="P17" s="23">
        <v>46274</v>
      </c>
      <c r="Q17" s="22" t="s">
        <v>1177</v>
      </c>
      <c r="R17" s="22" t="s">
        <v>7</v>
      </c>
      <c r="S17" s="22" t="s">
        <v>1040</v>
      </c>
      <c r="T17" s="22" t="s">
        <v>1260</v>
      </c>
      <c r="U17" s="22" t="s">
        <v>1261</v>
      </c>
      <c r="V17" s="26">
        <v>1</v>
      </c>
      <c r="W17" s="22" t="s">
        <v>1262</v>
      </c>
      <c r="X17" s="22" t="s">
        <v>1262</v>
      </c>
      <c r="Y17" s="25">
        <v>878.54</v>
      </c>
      <c r="Z17" s="22" t="s">
        <v>1186</v>
      </c>
      <c r="AA17" s="22" t="s">
        <v>1263</v>
      </c>
      <c r="AB17" s="22" t="s">
        <v>1177</v>
      </c>
      <c r="AC17" s="22" t="s">
        <v>1177</v>
      </c>
      <c r="AD17" s="22" t="s">
        <v>1177</v>
      </c>
      <c r="AE17" s="22" t="s">
        <v>1264</v>
      </c>
      <c r="AF17" s="22" t="s">
        <v>1189</v>
      </c>
      <c r="AG17" s="22" t="s">
        <v>1178</v>
      </c>
      <c r="AH17" s="22" t="s">
        <v>1178</v>
      </c>
      <c r="AI17" s="22" t="s">
        <v>1177</v>
      </c>
      <c r="AJ17" s="22" t="s">
        <v>1190</v>
      </c>
      <c r="AK17" s="26">
        <v>0</v>
      </c>
      <c r="AL17" s="22" t="s">
        <v>1262</v>
      </c>
      <c r="AM17" s="23">
        <v>46295</v>
      </c>
      <c r="AN17" s="23"/>
      <c r="AO17" s="23"/>
      <c r="AP17" s="23"/>
      <c r="AQ17" s="23"/>
      <c r="AR17" s="23"/>
      <c r="AS17" s="23"/>
      <c r="AT17" s="22" t="s">
        <v>1191</v>
      </c>
      <c r="AU17" s="22" t="s">
        <v>1177</v>
      </c>
      <c r="AV17" s="22" t="s">
        <v>1192</v>
      </c>
      <c r="AW17" s="22" t="s">
        <v>1177</v>
      </c>
      <c r="AX17" s="26">
        <v>0</v>
      </c>
      <c r="AY17" s="26">
        <v>0</v>
      </c>
      <c r="AZ17" s="22" t="s">
        <v>1177</v>
      </c>
      <c r="BA17" s="26">
        <v>0</v>
      </c>
      <c r="BB17" s="22" t="s">
        <v>1262</v>
      </c>
      <c r="BC17" s="7" t="e">
        <v>#N/A</v>
      </c>
      <c r="BD17" s="7" t="e">
        <v>#N/A</v>
      </c>
      <c r="BE17" s="7" t="e">
        <v>#N/A</v>
      </c>
      <c r="BF17" s="7" t="e">
        <v>#N/A</v>
      </c>
      <c r="BG17" s="7" t="e">
        <v>#N/A</v>
      </c>
      <c r="BH17" s="7" t="e">
        <v>#N/A</v>
      </c>
      <c r="BI17" s="7" t="e">
        <v>#N/A</v>
      </c>
    </row>
    <row r="18" spans="1:61" x14ac:dyDescent="0.35">
      <c r="A18" s="7" t="str">
        <f t="shared" si="0"/>
        <v>462754501763067</v>
      </c>
      <c r="B18" s="7" t="str">
        <f t="shared" si="1"/>
        <v>A7B95001359966B832</v>
      </c>
      <c r="C18" s="22" t="s">
        <v>1267</v>
      </c>
      <c r="D18" s="22" t="s">
        <v>1182</v>
      </c>
      <c r="E18" s="22" t="s">
        <v>1177</v>
      </c>
      <c r="F18" s="22" t="s">
        <v>1255</v>
      </c>
      <c r="G18" s="22" t="s">
        <v>1256</v>
      </c>
      <c r="H18" s="22" t="s">
        <v>1181</v>
      </c>
      <c r="I18" s="23">
        <v>46275</v>
      </c>
      <c r="J18" s="22" t="s">
        <v>1268</v>
      </c>
      <c r="K18" s="22" t="s">
        <v>1182</v>
      </c>
      <c r="L18" s="22" t="s">
        <v>1258</v>
      </c>
      <c r="M18" s="22" t="s">
        <v>1259</v>
      </c>
      <c r="N18" s="22" t="s">
        <v>1177</v>
      </c>
      <c r="O18" s="22" t="s">
        <v>1177</v>
      </c>
      <c r="P18" s="23">
        <v>46275</v>
      </c>
      <c r="Q18" s="22" t="s">
        <v>1177</v>
      </c>
      <c r="R18" s="22" t="s">
        <v>19</v>
      </c>
      <c r="S18" s="22" t="s">
        <v>654</v>
      </c>
      <c r="T18" s="22" t="s">
        <v>1260</v>
      </c>
      <c r="U18" s="22" t="s">
        <v>1261</v>
      </c>
      <c r="V18" s="26">
        <v>1</v>
      </c>
      <c r="W18" s="22" t="s">
        <v>1262</v>
      </c>
      <c r="X18" s="22" t="s">
        <v>1262</v>
      </c>
      <c r="Y18" s="25">
        <v>878.54</v>
      </c>
      <c r="Z18" s="22" t="s">
        <v>1186</v>
      </c>
      <c r="AA18" s="22" t="s">
        <v>1263</v>
      </c>
      <c r="AB18" s="22" t="s">
        <v>1177</v>
      </c>
      <c r="AC18" s="22" t="s">
        <v>1177</v>
      </c>
      <c r="AD18" s="22" t="s">
        <v>1177</v>
      </c>
      <c r="AE18" s="22" t="s">
        <v>1264</v>
      </c>
      <c r="AF18" s="22" t="s">
        <v>1189</v>
      </c>
      <c r="AG18" s="22" t="s">
        <v>1178</v>
      </c>
      <c r="AH18" s="22" t="s">
        <v>1178</v>
      </c>
      <c r="AI18" s="22" t="s">
        <v>1177</v>
      </c>
      <c r="AJ18" s="22" t="s">
        <v>1190</v>
      </c>
      <c r="AK18" s="26">
        <v>0</v>
      </c>
      <c r="AL18" s="22" t="s">
        <v>1262</v>
      </c>
      <c r="AM18" s="23">
        <v>46295</v>
      </c>
      <c r="AN18" s="23"/>
      <c r="AO18" s="23"/>
      <c r="AP18" s="23"/>
      <c r="AQ18" s="23"/>
      <c r="AR18" s="23"/>
      <c r="AS18" s="23"/>
      <c r="AT18" s="22" t="s">
        <v>1191</v>
      </c>
      <c r="AU18" s="22" t="s">
        <v>1177</v>
      </c>
      <c r="AV18" s="22" t="s">
        <v>1192</v>
      </c>
      <c r="AW18" s="22" t="s">
        <v>1177</v>
      </c>
      <c r="AX18" s="26">
        <v>0</v>
      </c>
      <c r="AY18" s="26">
        <v>0</v>
      </c>
      <c r="AZ18" s="22" t="s">
        <v>1177</v>
      </c>
      <c r="BA18" s="26">
        <v>0</v>
      </c>
      <c r="BB18" s="22" t="s">
        <v>1262</v>
      </c>
      <c r="BC18" s="7" t="e">
        <v>#N/A</v>
      </c>
      <c r="BD18" s="7" t="e">
        <v>#N/A</v>
      </c>
      <c r="BE18" s="7" t="e">
        <v>#N/A</v>
      </c>
      <c r="BF18" s="7" t="e">
        <v>#N/A</v>
      </c>
      <c r="BG18" s="7" t="e">
        <v>#N/A</v>
      </c>
      <c r="BH18" s="7" t="e">
        <v>#N/A</v>
      </c>
      <c r="BI18" s="7" t="e">
        <v>#N/A</v>
      </c>
    </row>
    <row r="19" spans="1:61" x14ac:dyDescent="0.35">
      <c r="A19" s="7" t="str">
        <f t="shared" si="0"/>
        <v>462794300012000</v>
      </c>
      <c r="B19" s="7" t="str">
        <f t="shared" si="1"/>
        <v>GP371842B867</v>
      </c>
      <c r="C19" s="22" t="s">
        <v>1269</v>
      </c>
      <c r="D19" s="22" t="s">
        <v>1253</v>
      </c>
      <c r="E19" s="22" t="s">
        <v>1177</v>
      </c>
      <c r="F19" s="22" t="s">
        <v>1270</v>
      </c>
      <c r="G19" s="22" t="s">
        <v>1236</v>
      </c>
      <c r="H19" s="22" t="s">
        <v>1271</v>
      </c>
      <c r="I19" s="23">
        <v>46279</v>
      </c>
      <c r="J19" s="22" t="s">
        <v>1272</v>
      </c>
      <c r="K19" s="22" t="s">
        <v>1273</v>
      </c>
      <c r="L19" s="22" t="s">
        <v>1177</v>
      </c>
      <c r="M19" s="22" t="s">
        <v>1274</v>
      </c>
      <c r="N19" s="22" t="s">
        <v>1079</v>
      </c>
      <c r="O19" s="22" t="s">
        <v>1275</v>
      </c>
      <c r="P19" s="23">
        <v>46279</v>
      </c>
      <c r="Q19" s="22" t="s">
        <v>1177</v>
      </c>
      <c r="R19" s="22" t="s">
        <v>25</v>
      </c>
      <c r="S19" s="22" t="s">
        <v>1060</v>
      </c>
      <c r="T19" s="22" t="s">
        <v>95</v>
      </c>
      <c r="U19" s="22" t="s">
        <v>96</v>
      </c>
      <c r="V19" s="26">
        <v>3</v>
      </c>
      <c r="W19" s="22" t="s">
        <v>1262</v>
      </c>
      <c r="X19" s="22" t="s">
        <v>1262</v>
      </c>
      <c r="Y19" s="25">
        <v>0</v>
      </c>
      <c r="Z19" s="22" t="s">
        <v>1186</v>
      </c>
      <c r="AA19" s="22" t="s">
        <v>1177</v>
      </c>
      <c r="AB19" s="22" t="s">
        <v>1276</v>
      </c>
      <c r="AC19" s="22" t="s">
        <v>1277</v>
      </c>
      <c r="AD19" s="22" t="s">
        <v>1278</v>
      </c>
      <c r="AE19" s="22" t="s">
        <v>1279</v>
      </c>
      <c r="AF19" s="22" t="s">
        <v>1178</v>
      </c>
      <c r="AG19" s="22" t="s">
        <v>1190</v>
      </c>
      <c r="AH19" s="22" t="s">
        <v>1178</v>
      </c>
      <c r="AI19" s="22" t="s">
        <v>1280</v>
      </c>
      <c r="AJ19" s="22" t="s">
        <v>1189</v>
      </c>
      <c r="AK19" s="26">
        <v>3</v>
      </c>
      <c r="AL19" s="22" t="s">
        <v>1262</v>
      </c>
      <c r="AM19" s="23">
        <v>46302</v>
      </c>
      <c r="AN19" s="23">
        <v>46296</v>
      </c>
      <c r="AO19" s="23">
        <v>46296</v>
      </c>
      <c r="AP19" s="23">
        <v>46300</v>
      </c>
      <c r="AQ19" s="23">
        <v>46300</v>
      </c>
      <c r="AR19" s="23">
        <v>46302</v>
      </c>
      <c r="AS19" s="23">
        <v>46304</v>
      </c>
      <c r="AT19" s="22" t="s">
        <v>1281</v>
      </c>
      <c r="AU19" s="22" t="s">
        <v>1177</v>
      </c>
      <c r="AV19" s="22" t="s">
        <v>1192</v>
      </c>
      <c r="AW19" s="22" t="s">
        <v>1177</v>
      </c>
      <c r="AX19" s="26">
        <v>33</v>
      </c>
      <c r="AY19" s="26">
        <v>2</v>
      </c>
      <c r="AZ19" s="22" t="s">
        <v>1177</v>
      </c>
      <c r="BA19" s="26">
        <v>0</v>
      </c>
      <c r="BB19" s="22" t="s">
        <v>1262</v>
      </c>
      <c r="BC19" s="7" t="e">
        <v>#N/A</v>
      </c>
      <c r="BD19" s="7" t="e">
        <v>#N/A</v>
      </c>
      <c r="BE19" s="7" t="e">
        <v>#N/A</v>
      </c>
      <c r="BF19" s="7" t="e">
        <v>#N/A</v>
      </c>
      <c r="BG19" s="7" t="e">
        <v>#N/A</v>
      </c>
      <c r="BH19" s="7" t="e">
        <v>#N/A</v>
      </c>
      <c r="BI19" s="7" t="e">
        <v>#N/A</v>
      </c>
    </row>
    <row r="20" spans="1:61" x14ac:dyDescent="0.35">
      <c r="A20" s="7" t="str">
        <f t="shared" si="0"/>
        <v>462794300012001</v>
      </c>
      <c r="B20" s="7" t="str">
        <f t="shared" si="1"/>
        <v>GP371842B857</v>
      </c>
      <c r="C20" s="22" t="s">
        <v>1287</v>
      </c>
      <c r="D20" s="22" t="s">
        <v>1288</v>
      </c>
      <c r="E20" s="22" t="s">
        <v>1177</v>
      </c>
      <c r="F20" s="22" t="s">
        <v>1270</v>
      </c>
      <c r="G20" s="22" t="s">
        <v>1236</v>
      </c>
      <c r="H20" s="22" t="s">
        <v>1271</v>
      </c>
      <c r="I20" s="23">
        <v>46279</v>
      </c>
      <c r="J20" s="22" t="s">
        <v>1289</v>
      </c>
      <c r="K20" s="22" t="s">
        <v>1285</v>
      </c>
      <c r="L20" s="22" t="s">
        <v>1177</v>
      </c>
      <c r="M20" s="22" t="s">
        <v>1274</v>
      </c>
      <c r="N20" s="22" t="s">
        <v>1079</v>
      </c>
      <c r="O20" s="22" t="s">
        <v>1275</v>
      </c>
      <c r="P20" s="23">
        <v>46279</v>
      </c>
      <c r="Q20" s="22" t="s">
        <v>1177</v>
      </c>
      <c r="R20" s="22" t="s">
        <v>23</v>
      </c>
      <c r="S20" s="22" t="s">
        <v>959</v>
      </c>
      <c r="T20" s="22" t="s">
        <v>95</v>
      </c>
      <c r="U20" s="22" t="s">
        <v>96</v>
      </c>
      <c r="V20" s="26">
        <v>3</v>
      </c>
      <c r="W20" s="22" t="s">
        <v>1262</v>
      </c>
      <c r="X20" s="22" t="s">
        <v>1262</v>
      </c>
      <c r="Y20" s="25">
        <v>0</v>
      </c>
      <c r="Z20" s="22" t="s">
        <v>1186</v>
      </c>
      <c r="AA20" s="22" t="s">
        <v>1177</v>
      </c>
      <c r="AB20" s="22" t="s">
        <v>1276</v>
      </c>
      <c r="AC20" s="22" t="s">
        <v>1277</v>
      </c>
      <c r="AD20" s="22" t="s">
        <v>1278</v>
      </c>
      <c r="AE20" s="22" t="s">
        <v>1279</v>
      </c>
      <c r="AF20" s="22" t="s">
        <v>1178</v>
      </c>
      <c r="AG20" s="22" t="s">
        <v>1190</v>
      </c>
      <c r="AH20" s="22" t="s">
        <v>1178</v>
      </c>
      <c r="AI20" s="22" t="s">
        <v>1280</v>
      </c>
      <c r="AJ20" s="22" t="s">
        <v>1189</v>
      </c>
      <c r="AK20" s="26">
        <v>3</v>
      </c>
      <c r="AL20" s="22" t="s">
        <v>1262</v>
      </c>
      <c r="AM20" s="23">
        <v>46302</v>
      </c>
      <c r="AN20" s="23">
        <v>46296</v>
      </c>
      <c r="AO20" s="23">
        <v>46296</v>
      </c>
      <c r="AP20" s="23">
        <v>46300</v>
      </c>
      <c r="AQ20" s="23">
        <v>46300</v>
      </c>
      <c r="AR20" s="23">
        <v>46302</v>
      </c>
      <c r="AS20" s="23">
        <v>46304</v>
      </c>
      <c r="AT20" s="22" t="s">
        <v>1281</v>
      </c>
      <c r="AU20" s="22" t="s">
        <v>1177</v>
      </c>
      <c r="AV20" s="22" t="s">
        <v>1192</v>
      </c>
      <c r="AW20" s="22" t="s">
        <v>1177</v>
      </c>
      <c r="AX20" s="26">
        <v>33</v>
      </c>
      <c r="AY20" s="26">
        <v>2</v>
      </c>
      <c r="AZ20" s="22" t="s">
        <v>1177</v>
      </c>
      <c r="BA20" s="26">
        <v>0</v>
      </c>
      <c r="BB20" s="22" t="s">
        <v>1262</v>
      </c>
      <c r="BC20" s="7" t="e">
        <v>#N/A</v>
      </c>
      <c r="BD20" s="7" t="e">
        <v>#N/A</v>
      </c>
      <c r="BE20" s="7" t="e">
        <v>#N/A</v>
      </c>
      <c r="BF20" s="7" t="e">
        <v>#N/A</v>
      </c>
      <c r="BG20" s="7" t="e">
        <v>#N/A</v>
      </c>
      <c r="BH20" s="7" t="e">
        <v>#N/A</v>
      </c>
      <c r="BI20" s="7" t="e">
        <v>#N/A</v>
      </c>
    </row>
    <row r="21" spans="1:61" x14ac:dyDescent="0.35">
      <c r="A21" s="7" t="str">
        <f t="shared" si="0"/>
        <v>462794300012002</v>
      </c>
      <c r="B21" s="7" t="str">
        <f t="shared" si="1"/>
        <v>GP468401B856</v>
      </c>
      <c r="C21" s="22" t="s">
        <v>1293</v>
      </c>
      <c r="D21" s="22" t="s">
        <v>1282</v>
      </c>
      <c r="E21" s="22" t="s">
        <v>1177</v>
      </c>
      <c r="F21" s="22" t="s">
        <v>1270</v>
      </c>
      <c r="G21" s="22" t="s">
        <v>1236</v>
      </c>
      <c r="H21" s="22" t="s">
        <v>1271</v>
      </c>
      <c r="I21" s="23">
        <v>46279</v>
      </c>
      <c r="J21" s="22" t="s">
        <v>1294</v>
      </c>
      <c r="K21" s="22" t="s">
        <v>1282</v>
      </c>
      <c r="L21" s="22" t="s">
        <v>1177</v>
      </c>
      <c r="M21" s="22" t="s">
        <v>1274</v>
      </c>
      <c r="N21" s="22" t="s">
        <v>1079</v>
      </c>
      <c r="O21" s="22" t="s">
        <v>1275</v>
      </c>
      <c r="P21" s="23">
        <v>46279</v>
      </c>
      <c r="Q21" s="22" t="s">
        <v>1177</v>
      </c>
      <c r="R21" s="22" t="s">
        <v>21</v>
      </c>
      <c r="S21" s="22" t="s">
        <v>853</v>
      </c>
      <c r="T21" s="22" t="s">
        <v>1290</v>
      </c>
      <c r="U21" s="22" t="s">
        <v>1291</v>
      </c>
      <c r="V21" s="26">
        <v>20</v>
      </c>
      <c r="W21" s="22" t="s">
        <v>1262</v>
      </c>
      <c r="X21" s="22" t="s">
        <v>1262</v>
      </c>
      <c r="Y21" s="25">
        <v>0</v>
      </c>
      <c r="Z21" s="22" t="s">
        <v>1186</v>
      </c>
      <c r="AA21" s="22" t="s">
        <v>1177</v>
      </c>
      <c r="AB21" s="22" t="s">
        <v>1276</v>
      </c>
      <c r="AC21" s="22" t="s">
        <v>1277</v>
      </c>
      <c r="AD21" s="22" t="s">
        <v>1278</v>
      </c>
      <c r="AE21" s="22" t="s">
        <v>1292</v>
      </c>
      <c r="AF21" s="22" t="s">
        <v>1178</v>
      </c>
      <c r="AG21" s="22" t="s">
        <v>1190</v>
      </c>
      <c r="AH21" s="22" t="s">
        <v>1178</v>
      </c>
      <c r="AI21" s="22" t="s">
        <v>1280</v>
      </c>
      <c r="AJ21" s="22" t="s">
        <v>1190</v>
      </c>
      <c r="AK21" s="26">
        <v>0</v>
      </c>
      <c r="AL21" s="22" t="s">
        <v>1262</v>
      </c>
      <c r="AM21" s="23">
        <v>46428</v>
      </c>
      <c r="AN21" s="23">
        <v>46477</v>
      </c>
      <c r="AO21" s="23">
        <v>46422</v>
      </c>
      <c r="AP21" s="23">
        <v>46426</v>
      </c>
      <c r="AQ21" s="23">
        <v>46426</v>
      </c>
      <c r="AR21" s="23">
        <v>46428</v>
      </c>
      <c r="AS21" s="23">
        <v>46428</v>
      </c>
      <c r="AT21" s="22" t="s">
        <v>1281</v>
      </c>
      <c r="AU21" s="22" t="s">
        <v>1177</v>
      </c>
      <c r="AV21" s="22" t="s">
        <v>1192</v>
      </c>
      <c r="AW21" s="22" t="s">
        <v>1177</v>
      </c>
      <c r="AX21" s="26">
        <v>0</v>
      </c>
      <c r="AY21" s="26">
        <v>0</v>
      </c>
      <c r="AZ21" s="22" t="s">
        <v>1177</v>
      </c>
      <c r="BA21" s="26">
        <v>0</v>
      </c>
      <c r="BB21" s="22" t="s">
        <v>1262</v>
      </c>
      <c r="BC21" s="7" t="e">
        <v>#N/A</v>
      </c>
      <c r="BD21" s="7" t="e">
        <v>#N/A</v>
      </c>
      <c r="BE21" s="7" t="e">
        <v>#N/A</v>
      </c>
      <c r="BF21" s="7" t="e">
        <v>#N/A</v>
      </c>
      <c r="BG21" s="7" t="e">
        <v>#N/A</v>
      </c>
      <c r="BH21" s="7" t="e">
        <v>#N/A</v>
      </c>
      <c r="BI21" s="7" t="e">
        <v>#N/A</v>
      </c>
    </row>
    <row r="22" spans="1:61" x14ac:dyDescent="0.35">
      <c r="A22" s="7" t="str">
        <f t="shared" si="0"/>
        <v>462794300012003</v>
      </c>
      <c r="B22" s="7" t="str">
        <f t="shared" si="1"/>
        <v>GP325616B832</v>
      </c>
      <c r="C22" s="22" t="s">
        <v>1299</v>
      </c>
      <c r="D22" s="22" t="s">
        <v>1182</v>
      </c>
      <c r="E22" s="22" t="s">
        <v>1177</v>
      </c>
      <c r="F22" s="22" t="s">
        <v>1300</v>
      </c>
      <c r="G22" s="22" t="s">
        <v>1236</v>
      </c>
      <c r="H22" s="22" t="s">
        <v>1271</v>
      </c>
      <c r="I22" s="23">
        <v>46279</v>
      </c>
      <c r="J22" s="22" t="s">
        <v>1301</v>
      </c>
      <c r="K22" s="22" t="s">
        <v>1182</v>
      </c>
      <c r="L22" s="22" t="s">
        <v>1177</v>
      </c>
      <c r="M22" s="22" t="s">
        <v>1274</v>
      </c>
      <c r="N22" s="22" t="s">
        <v>16</v>
      </c>
      <c r="O22" s="22" t="s">
        <v>512</v>
      </c>
      <c r="P22" s="23">
        <v>46279</v>
      </c>
      <c r="Q22" s="22" t="s">
        <v>1177</v>
      </c>
      <c r="R22" s="22" t="s">
        <v>19</v>
      </c>
      <c r="S22" s="22" t="s">
        <v>654</v>
      </c>
      <c r="T22" s="22" t="s">
        <v>188</v>
      </c>
      <c r="U22" s="22" t="s">
        <v>1302</v>
      </c>
      <c r="V22" s="26">
        <v>1</v>
      </c>
      <c r="W22" s="22" t="s">
        <v>1262</v>
      </c>
      <c r="X22" s="22" t="s">
        <v>1262</v>
      </c>
      <c r="Y22" s="25">
        <v>0</v>
      </c>
      <c r="Z22" s="22" t="s">
        <v>1186</v>
      </c>
      <c r="AA22" s="22" t="s">
        <v>1177</v>
      </c>
      <c r="AB22" s="22" t="s">
        <v>1276</v>
      </c>
      <c r="AC22" s="22" t="s">
        <v>1277</v>
      </c>
      <c r="AD22" s="22" t="s">
        <v>1278</v>
      </c>
      <c r="AE22" s="22" t="s">
        <v>1279</v>
      </c>
      <c r="AF22" s="22" t="s">
        <v>1178</v>
      </c>
      <c r="AG22" s="22" t="s">
        <v>1190</v>
      </c>
      <c r="AH22" s="22" t="s">
        <v>1178</v>
      </c>
      <c r="AI22" s="22" t="s">
        <v>1177</v>
      </c>
      <c r="AJ22" s="22" t="s">
        <v>1190</v>
      </c>
      <c r="AK22" s="26">
        <v>1</v>
      </c>
      <c r="AL22" s="22" t="s">
        <v>1262</v>
      </c>
      <c r="AM22" s="23">
        <v>46308</v>
      </c>
      <c r="AN22" s="23">
        <v>46308</v>
      </c>
      <c r="AO22" s="23">
        <v>46308</v>
      </c>
      <c r="AP22" s="23">
        <v>46308</v>
      </c>
      <c r="AQ22" s="23">
        <v>46308</v>
      </c>
      <c r="AR22" s="23">
        <v>46308</v>
      </c>
      <c r="AS22" s="23">
        <v>46310</v>
      </c>
      <c r="AT22" s="22" t="s">
        <v>1281</v>
      </c>
      <c r="AU22" s="22" t="s">
        <v>1177</v>
      </c>
      <c r="AV22" s="22" t="s">
        <v>1192</v>
      </c>
      <c r="AW22" s="22" t="s">
        <v>1177</v>
      </c>
      <c r="AX22" s="26">
        <v>33</v>
      </c>
      <c r="AY22" s="26">
        <v>2</v>
      </c>
      <c r="AZ22" s="22" t="s">
        <v>1177</v>
      </c>
      <c r="BA22" s="26">
        <v>1</v>
      </c>
      <c r="BB22" s="22" t="s">
        <v>1262</v>
      </c>
      <c r="BC22" s="7" t="e">
        <v>#N/A</v>
      </c>
      <c r="BD22" s="7" t="e">
        <v>#N/A</v>
      </c>
      <c r="BE22" s="7" t="e">
        <v>#N/A</v>
      </c>
      <c r="BF22" s="7" t="e">
        <v>#N/A</v>
      </c>
      <c r="BG22" s="7" t="e">
        <v>#N/A</v>
      </c>
      <c r="BH22" s="7" t="e">
        <v>#N/A</v>
      </c>
      <c r="BI22" s="7" t="e">
        <v>#N/A</v>
      </c>
    </row>
    <row r="23" spans="1:61" x14ac:dyDescent="0.35">
      <c r="A23" s="7" t="str">
        <f t="shared" si="0"/>
        <v>462794300012011</v>
      </c>
      <c r="B23" s="7" t="str">
        <f t="shared" si="1"/>
        <v>GP553917B857</v>
      </c>
      <c r="C23" s="22" t="s">
        <v>1303</v>
      </c>
      <c r="D23" s="22" t="s">
        <v>1182</v>
      </c>
      <c r="E23" s="22" t="s">
        <v>1177</v>
      </c>
      <c r="F23" s="22" t="s">
        <v>1304</v>
      </c>
      <c r="G23" s="22" t="s">
        <v>1236</v>
      </c>
      <c r="H23" s="22" t="s">
        <v>1271</v>
      </c>
      <c r="I23" s="23">
        <v>46279</v>
      </c>
      <c r="J23" s="22" t="s">
        <v>1305</v>
      </c>
      <c r="K23" s="22" t="s">
        <v>1182</v>
      </c>
      <c r="L23" s="22" t="s">
        <v>1177</v>
      </c>
      <c r="M23" s="22" t="s">
        <v>1274</v>
      </c>
      <c r="N23" s="22" t="s">
        <v>786</v>
      </c>
      <c r="O23" s="22" t="s">
        <v>787</v>
      </c>
      <c r="P23" s="23">
        <v>46279</v>
      </c>
      <c r="Q23" s="22" t="s">
        <v>1177</v>
      </c>
      <c r="R23" s="22" t="s">
        <v>23</v>
      </c>
      <c r="S23" s="22" t="s">
        <v>959</v>
      </c>
      <c r="T23" s="22" t="s">
        <v>1306</v>
      </c>
      <c r="U23" s="22" t="s">
        <v>1307</v>
      </c>
      <c r="V23" s="26">
        <v>1</v>
      </c>
      <c r="W23" s="22" t="s">
        <v>1262</v>
      </c>
      <c r="X23" s="22" t="s">
        <v>1262</v>
      </c>
      <c r="Y23" s="25">
        <v>0</v>
      </c>
      <c r="Z23" s="22" t="s">
        <v>1186</v>
      </c>
      <c r="AA23" s="22" t="s">
        <v>1177</v>
      </c>
      <c r="AB23" s="22" t="s">
        <v>1276</v>
      </c>
      <c r="AC23" s="22" t="s">
        <v>1277</v>
      </c>
      <c r="AD23" s="22" t="s">
        <v>1278</v>
      </c>
      <c r="AE23" s="22" t="s">
        <v>1308</v>
      </c>
      <c r="AF23" s="22" t="s">
        <v>1178</v>
      </c>
      <c r="AG23" s="22" t="s">
        <v>1190</v>
      </c>
      <c r="AH23" s="22" t="s">
        <v>1178</v>
      </c>
      <c r="AI23" s="22" t="s">
        <v>1177</v>
      </c>
      <c r="AJ23" s="22" t="s">
        <v>1190</v>
      </c>
      <c r="AK23" s="26">
        <v>1</v>
      </c>
      <c r="AL23" s="22" t="s">
        <v>1262</v>
      </c>
      <c r="AM23" s="23">
        <v>46358</v>
      </c>
      <c r="AN23" s="23">
        <v>46358</v>
      </c>
      <c r="AO23" s="23">
        <v>46358</v>
      </c>
      <c r="AP23" s="23">
        <v>46358</v>
      </c>
      <c r="AQ23" s="23">
        <v>46358</v>
      </c>
      <c r="AR23" s="23">
        <v>46358</v>
      </c>
      <c r="AS23" s="23">
        <v>46380</v>
      </c>
      <c r="AT23" s="22" t="s">
        <v>1281</v>
      </c>
      <c r="AU23" s="22" t="s">
        <v>1177</v>
      </c>
      <c r="AV23" s="22" t="s">
        <v>1192</v>
      </c>
      <c r="AW23" s="22" t="s">
        <v>1177</v>
      </c>
      <c r="AX23" s="26">
        <v>84</v>
      </c>
      <c r="AY23" s="26">
        <v>16</v>
      </c>
      <c r="AZ23" s="22" t="s">
        <v>1177</v>
      </c>
      <c r="BA23" s="26">
        <v>1</v>
      </c>
      <c r="BB23" s="22" t="s">
        <v>1262</v>
      </c>
      <c r="BC23" s="7" t="e">
        <v>#N/A</v>
      </c>
      <c r="BD23" s="7" t="e">
        <v>#N/A</v>
      </c>
      <c r="BE23" s="7" t="e">
        <v>#N/A</v>
      </c>
      <c r="BF23" s="7" t="e">
        <v>#N/A</v>
      </c>
      <c r="BG23" s="7" t="e">
        <v>#N/A</v>
      </c>
      <c r="BH23" s="7" t="e">
        <v>#N/A</v>
      </c>
      <c r="BI23" s="7" t="e">
        <v>#N/A</v>
      </c>
    </row>
    <row r="24" spans="1:61" x14ac:dyDescent="0.35">
      <c r="A24" s="7" t="str">
        <f t="shared" si="0"/>
        <v>462794300012012</v>
      </c>
      <c r="B24" s="7" t="str">
        <f t="shared" si="1"/>
        <v>218150B832</v>
      </c>
      <c r="C24" s="22" t="s">
        <v>1309</v>
      </c>
      <c r="D24" s="22" t="s">
        <v>1182</v>
      </c>
      <c r="E24" s="22" t="s">
        <v>1177</v>
      </c>
      <c r="F24" s="22" t="s">
        <v>1237</v>
      </c>
      <c r="G24" s="22" t="s">
        <v>1236</v>
      </c>
      <c r="H24" s="22" t="s">
        <v>1271</v>
      </c>
      <c r="I24" s="23">
        <v>46279</v>
      </c>
      <c r="J24" s="22" t="s">
        <v>1310</v>
      </c>
      <c r="K24" s="22" t="s">
        <v>1182</v>
      </c>
      <c r="L24" s="22" t="s">
        <v>1177</v>
      </c>
      <c r="M24" s="22" t="s">
        <v>1274</v>
      </c>
      <c r="N24" s="22" t="s">
        <v>16</v>
      </c>
      <c r="O24" s="22" t="s">
        <v>512</v>
      </c>
      <c r="P24" s="23">
        <v>46279</v>
      </c>
      <c r="Q24" s="22" t="s">
        <v>1177</v>
      </c>
      <c r="R24" s="22" t="s">
        <v>19</v>
      </c>
      <c r="S24" s="22" t="s">
        <v>654</v>
      </c>
      <c r="T24" s="22" t="s">
        <v>1311</v>
      </c>
      <c r="U24" s="22" t="s">
        <v>1312</v>
      </c>
      <c r="V24" s="26">
        <v>10</v>
      </c>
      <c r="W24" s="22" t="s">
        <v>1262</v>
      </c>
      <c r="X24" s="22" t="s">
        <v>1262</v>
      </c>
      <c r="Y24" s="25">
        <v>0</v>
      </c>
      <c r="Z24" s="22" t="s">
        <v>1186</v>
      </c>
      <c r="AA24" s="22" t="s">
        <v>1177</v>
      </c>
      <c r="AB24" s="22" t="s">
        <v>1177</v>
      </c>
      <c r="AC24" s="22" t="s">
        <v>1177</v>
      </c>
      <c r="AD24" s="22" t="s">
        <v>1313</v>
      </c>
      <c r="AE24" s="22" t="s">
        <v>1314</v>
      </c>
      <c r="AF24" s="22" t="s">
        <v>1189</v>
      </c>
      <c r="AG24" s="22" t="s">
        <v>1178</v>
      </c>
      <c r="AH24" s="22" t="s">
        <v>1178</v>
      </c>
      <c r="AI24" s="22" t="s">
        <v>1177</v>
      </c>
      <c r="AJ24" s="22" t="s">
        <v>1190</v>
      </c>
      <c r="AK24" s="26">
        <v>10</v>
      </c>
      <c r="AL24" s="22" t="s">
        <v>1262</v>
      </c>
      <c r="AM24" s="23">
        <v>46314</v>
      </c>
      <c r="AN24" s="23">
        <v>46314</v>
      </c>
      <c r="AO24" s="23">
        <v>46314</v>
      </c>
      <c r="AP24" s="23">
        <v>46314</v>
      </c>
      <c r="AQ24" s="23">
        <v>46314</v>
      </c>
      <c r="AR24" s="23">
        <v>46314</v>
      </c>
      <c r="AS24" s="23">
        <v>46316</v>
      </c>
      <c r="AT24" s="22" t="s">
        <v>1281</v>
      </c>
      <c r="AU24" s="22" t="s">
        <v>1177</v>
      </c>
      <c r="AV24" s="22" t="s">
        <v>1192</v>
      </c>
      <c r="AW24" s="22" t="s">
        <v>1177</v>
      </c>
      <c r="AX24" s="26">
        <v>33</v>
      </c>
      <c r="AY24" s="26">
        <v>2</v>
      </c>
      <c r="AZ24" s="22" t="s">
        <v>1177</v>
      </c>
      <c r="BA24" s="26">
        <v>10</v>
      </c>
      <c r="BB24" s="22" t="s">
        <v>1262</v>
      </c>
      <c r="BC24" s="7" t="e">
        <v>#N/A</v>
      </c>
      <c r="BD24" s="7" t="e">
        <v>#N/A</v>
      </c>
      <c r="BE24" s="7" t="e">
        <v>#N/A</v>
      </c>
      <c r="BF24" s="7" t="e">
        <v>#N/A</v>
      </c>
      <c r="BG24" s="7" t="e">
        <v>#N/A</v>
      </c>
      <c r="BH24" s="7" t="e">
        <v>#N/A</v>
      </c>
      <c r="BI24" s="7" t="e">
        <v>#N/A</v>
      </c>
    </row>
    <row r="25" spans="1:61" x14ac:dyDescent="0.35">
      <c r="A25" s="7" t="str">
        <f t="shared" si="0"/>
        <v>462794501763492</v>
      </c>
      <c r="B25" s="7" t="str">
        <f t="shared" si="1"/>
        <v>GP486978-004B856</v>
      </c>
      <c r="C25" s="22" t="s">
        <v>1315</v>
      </c>
      <c r="D25" s="22" t="s">
        <v>1182</v>
      </c>
      <c r="E25" s="22" t="s">
        <v>1177</v>
      </c>
      <c r="F25" s="22" t="s">
        <v>1232</v>
      </c>
      <c r="G25" s="22" t="s">
        <v>1245</v>
      </c>
      <c r="H25" s="22" t="s">
        <v>1181</v>
      </c>
      <c r="I25" s="23">
        <v>46279</v>
      </c>
      <c r="J25" s="22" t="s">
        <v>1316</v>
      </c>
      <c r="K25" s="22" t="s">
        <v>1199</v>
      </c>
      <c r="L25" s="22" t="s">
        <v>1183</v>
      </c>
      <c r="M25" s="22" t="s">
        <v>1184</v>
      </c>
      <c r="N25" s="22" t="s">
        <v>1177</v>
      </c>
      <c r="O25" s="22" t="s">
        <v>1177</v>
      </c>
      <c r="P25" s="23">
        <v>46279</v>
      </c>
      <c r="Q25" s="22" t="s">
        <v>1177</v>
      </c>
      <c r="R25" s="22" t="s">
        <v>21</v>
      </c>
      <c r="S25" s="22" t="s">
        <v>853</v>
      </c>
      <c r="T25" s="22" t="s">
        <v>193</v>
      </c>
      <c r="U25" s="22" t="s">
        <v>194</v>
      </c>
      <c r="V25" s="26">
        <v>208.2</v>
      </c>
      <c r="W25" s="22" t="s">
        <v>1185</v>
      </c>
      <c r="X25" s="22" t="s">
        <v>1185</v>
      </c>
      <c r="Y25" s="25">
        <v>3903.01</v>
      </c>
      <c r="Z25" s="22" t="s">
        <v>1186</v>
      </c>
      <c r="AA25" s="22" t="s">
        <v>1187</v>
      </c>
      <c r="AB25" s="22" t="s">
        <v>1177</v>
      </c>
      <c r="AC25" s="22" t="s">
        <v>1177</v>
      </c>
      <c r="AD25" s="22" t="s">
        <v>1177</v>
      </c>
      <c r="AE25" s="22" t="s">
        <v>1188</v>
      </c>
      <c r="AF25" s="22" t="s">
        <v>1189</v>
      </c>
      <c r="AG25" s="22" t="s">
        <v>1189</v>
      </c>
      <c r="AH25" s="22" t="s">
        <v>1178</v>
      </c>
      <c r="AI25" s="22" t="s">
        <v>1177</v>
      </c>
      <c r="AJ25" s="22" t="s">
        <v>1190</v>
      </c>
      <c r="AK25" s="26">
        <v>0</v>
      </c>
      <c r="AL25" s="22" t="s">
        <v>1185</v>
      </c>
      <c r="AM25" s="23">
        <v>46309</v>
      </c>
      <c r="AN25" s="23"/>
      <c r="AO25" s="23"/>
      <c r="AP25" s="23"/>
      <c r="AQ25" s="23"/>
      <c r="AR25" s="23"/>
      <c r="AS25" s="23"/>
      <c r="AT25" s="22" t="s">
        <v>1191</v>
      </c>
      <c r="AU25" s="22" t="s">
        <v>1177</v>
      </c>
      <c r="AV25" s="22" t="s">
        <v>1192</v>
      </c>
      <c r="AW25" s="22" t="s">
        <v>1177</v>
      </c>
      <c r="AX25" s="26">
        <v>60</v>
      </c>
      <c r="AY25" s="26">
        <v>2</v>
      </c>
      <c r="AZ25" s="22" t="s">
        <v>1177</v>
      </c>
      <c r="BA25" s="26">
        <v>0</v>
      </c>
      <c r="BB25" s="22" t="s">
        <v>1185</v>
      </c>
      <c r="BC25" s="7" t="e">
        <v>#N/A</v>
      </c>
      <c r="BD25" s="7" t="e">
        <v>#N/A</v>
      </c>
      <c r="BE25" s="7" t="e">
        <v>#N/A</v>
      </c>
      <c r="BF25" s="7" t="e">
        <v>#N/A</v>
      </c>
      <c r="BG25" s="7" t="e">
        <v>#N/A</v>
      </c>
      <c r="BH25" s="7" t="e">
        <v>#N/A</v>
      </c>
      <c r="BI25" s="7" t="e">
        <v>#N/A</v>
      </c>
    </row>
    <row r="26" spans="1:61" x14ac:dyDescent="0.35">
      <c r="A26" s="7" t="str">
        <f t="shared" si="0"/>
        <v>462804501763579</v>
      </c>
      <c r="B26" s="7" t="str">
        <f t="shared" si="1"/>
        <v>A7B95001359702B865</v>
      </c>
      <c r="C26" s="22" t="s">
        <v>1317</v>
      </c>
      <c r="D26" s="22" t="s">
        <v>1283</v>
      </c>
      <c r="E26" s="22" t="s">
        <v>1177</v>
      </c>
      <c r="F26" s="22" t="s">
        <v>1318</v>
      </c>
      <c r="G26" s="22" t="s">
        <v>1256</v>
      </c>
      <c r="H26" s="22" t="s">
        <v>1181</v>
      </c>
      <c r="I26" s="23">
        <v>46280</v>
      </c>
      <c r="J26" s="22" t="s">
        <v>1319</v>
      </c>
      <c r="K26" s="22" t="s">
        <v>1283</v>
      </c>
      <c r="L26" s="22" t="s">
        <v>1258</v>
      </c>
      <c r="M26" s="22" t="s">
        <v>1259</v>
      </c>
      <c r="N26" s="22" t="s">
        <v>1177</v>
      </c>
      <c r="O26" s="22" t="s">
        <v>1177</v>
      </c>
      <c r="P26" s="23">
        <v>46280</v>
      </c>
      <c r="Q26" s="22" t="s">
        <v>1177</v>
      </c>
      <c r="R26" s="22" t="s">
        <v>7</v>
      </c>
      <c r="S26" s="22" t="s">
        <v>1320</v>
      </c>
      <c r="T26" s="22" t="s">
        <v>1321</v>
      </c>
      <c r="U26" s="22" t="s">
        <v>1322</v>
      </c>
      <c r="V26" s="26">
        <v>1</v>
      </c>
      <c r="W26" s="22" t="s">
        <v>1262</v>
      </c>
      <c r="X26" s="22" t="s">
        <v>1262</v>
      </c>
      <c r="Y26" s="25">
        <v>389.82</v>
      </c>
      <c r="Z26" s="22" t="s">
        <v>1186</v>
      </c>
      <c r="AA26" s="22" t="s">
        <v>1263</v>
      </c>
      <c r="AB26" s="22" t="s">
        <v>1177</v>
      </c>
      <c r="AC26" s="22" t="s">
        <v>1177</v>
      </c>
      <c r="AD26" s="22" t="s">
        <v>1177</v>
      </c>
      <c r="AE26" s="22" t="s">
        <v>1323</v>
      </c>
      <c r="AF26" s="22" t="s">
        <v>1189</v>
      </c>
      <c r="AG26" s="22" t="s">
        <v>1178</v>
      </c>
      <c r="AH26" s="22" t="s">
        <v>1178</v>
      </c>
      <c r="AI26" s="22" t="s">
        <v>1177</v>
      </c>
      <c r="AJ26" s="22" t="s">
        <v>1190</v>
      </c>
      <c r="AK26" s="26">
        <v>0</v>
      </c>
      <c r="AL26" s="22" t="s">
        <v>1262</v>
      </c>
      <c r="AM26" s="23">
        <v>46295</v>
      </c>
      <c r="AN26" s="23"/>
      <c r="AO26" s="23"/>
      <c r="AP26" s="23"/>
      <c r="AQ26" s="23"/>
      <c r="AR26" s="23"/>
      <c r="AS26" s="23"/>
      <c r="AT26" s="22" t="s">
        <v>1191</v>
      </c>
      <c r="AU26" s="22" t="s">
        <v>1177</v>
      </c>
      <c r="AV26" s="22" t="s">
        <v>1192</v>
      </c>
      <c r="AW26" s="22" t="s">
        <v>1177</v>
      </c>
      <c r="AX26" s="26">
        <v>0</v>
      </c>
      <c r="AY26" s="26">
        <v>0</v>
      </c>
      <c r="AZ26" s="22" t="s">
        <v>1177</v>
      </c>
      <c r="BA26" s="26">
        <v>0</v>
      </c>
      <c r="BB26" s="22" t="s">
        <v>1262</v>
      </c>
      <c r="BC26" s="7" t="e">
        <v>#N/A</v>
      </c>
      <c r="BD26" s="7" t="e">
        <v>#N/A</v>
      </c>
      <c r="BE26" s="7" t="e">
        <v>#N/A</v>
      </c>
      <c r="BF26" s="7" t="e">
        <v>#N/A</v>
      </c>
      <c r="BG26" s="7" t="e">
        <v>#N/A</v>
      </c>
      <c r="BH26" s="7" t="e">
        <v>#N/A</v>
      </c>
      <c r="BI26" s="7" t="e">
        <v>#N/A</v>
      </c>
    </row>
    <row r="27" spans="1:61" x14ac:dyDescent="0.35">
      <c r="A27" s="7" t="str">
        <f t="shared" si="0"/>
        <v>462804501763606</v>
      </c>
      <c r="B27" s="7" t="str">
        <f t="shared" si="1"/>
        <v>A7B95001359703B865</v>
      </c>
      <c r="C27" s="22" t="s">
        <v>1324</v>
      </c>
      <c r="D27" s="22" t="s">
        <v>1285</v>
      </c>
      <c r="E27" s="22" t="s">
        <v>1177</v>
      </c>
      <c r="F27" s="22" t="s">
        <v>1318</v>
      </c>
      <c r="G27" s="22" t="s">
        <v>1256</v>
      </c>
      <c r="H27" s="22" t="s">
        <v>1181</v>
      </c>
      <c r="I27" s="23">
        <v>46280</v>
      </c>
      <c r="J27" s="22" t="s">
        <v>1325</v>
      </c>
      <c r="K27" s="22" t="s">
        <v>1285</v>
      </c>
      <c r="L27" s="22" t="s">
        <v>1326</v>
      </c>
      <c r="M27" s="22" t="s">
        <v>1259</v>
      </c>
      <c r="N27" s="22" t="s">
        <v>1177</v>
      </c>
      <c r="O27" s="22" t="s">
        <v>1177</v>
      </c>
      <c r="P27" s="23">
        <v>46280</v>
      </c>
      <c r="Q27" s="22" t="s">
        <v>1177</v>
      </c>
      <c r="R27" s="22" t="s">
        <v>7</v>
      </c>
      <c r="S27" s="22" t="s">
        <v>1320</v>
      </c>
      <c r="T27" s="22" t="s">
        <v>1327</v>
      </c>
      <c r="U27" s="22" t="s">
        <v>1328</v>
      </c>
      <c r="V27" s="26">
        <v>1</v>
      </c>
      <c r="W27" s="22" t="s">
        <v>1262</v>
      </c>
      <c r="X27" s="22" t="s">
        <v>1262</v>
      </c>
      <c r="Y27" s="25">
        <v>23.89</v>
      </c>
      <c r="Z27" s="22" t="s">
        <v>1186</v>
      </c>
      <c r="AA27" s="22" t="s">
        <v>1329</v>
      </c>
      <c r="AB27" s="22" t="s">
        <v>1177</v>
      </c>
      <c r="AC27" s="22" t="s">
        <v>1177</v>
      </c>
      <c r="AD27" s="22" t="s">
        <v>1177</v>
      </c>
      <c r="AE27" s="22" t="s">
        <v>1330</v>
      </c>
      <c r="AF27" s="22" t="s">
        <v>1189</v>
      </c>
      <c r="AG27" s="22" t="s">
        <v>1189</v>
      </c>
      <c r="AH27" s="22" t="s">
        <v>1178</v>
      </c>
      <c r="AI27" s="22" t="s">
        <v>1177</v>
      </c>
      <c r="AJ27" s="22" t="s">
        <v>1190</v>
      </c>
      <c r="AK27" s="26">
        <v>0</v>
      </c>
      <c r="AL27" s="22" t="s">
        <v>1262</v>
      </c>
      <c r="AM27" s="23">
        <v>46295</v>
      </c>
      <c r="AN27" s="23"/>
      <c r="AO27" s="23"/>
      <c r="AP27" s="23"/>
      <c r="AQ27" s="23"/>
      <c r="AR27" s="23"/>
      <c r="AS27" s="23"/>
      <c r="AT27" s="22" t="s">
        <v>1191</v>
      </c>
      <c r="AU27" s="22" t="s">
        <v>1177</v>
      </c>
      <c r="AV27" s="22" t="s">
        <v>1192</v>
      </c>
      <c r="AW27" s="22" t="s">
        <v>1177</v>
      </c>
      <c r="AX27" s="26">
        <v>0</v>
      </c>
      <c r="AY27" s="26">
        <v>0</v>
      </c>
      <c r="AZ27" s="22" t="s">
        <v>1177</v>
      </c>
      <c r="BA27" s="26">
        <v>0</v>
      </c>
      <c r="BB27" s="22" t="s">
        <v>1262</v>
      </c>
      <c r="BC27" s="7" t="e">
        <v>#N/A</v>
      </c>
      <c r="BD27" s="7" t="e">
        <v>#N/A</v>
      </c>
      <c r="BE27" s="7" t="e">
        <v>#N/A</v>
      </c>
      <c r="BF27" s="7" t="e">
        <v>#N/A</v>
      </c>
      <c r="BG27" s="7" t="e">
        <v>#N/A</v>
      </c>
      <c r="BH27" s="7" t="e">
        <v>#N/A</v>
      </c>
      <c r="BI27" s="7" t="e">
        <v>#N/A</v>
      </c>
    </row>
    <row r="28" spans="1:61" x14ac:dyDescent="0.35">
      <c r="A28" s="7" t="str">
        <f t="shared" si="0"/>
        <v>462804501763612</v>
      </c>
      <c r="B28" s="7" t="str">
        <f t="shared" si="1"/>
        <v>A7B95001359703B864</v>
      </c>
      <c r="C28" s="22" t="s">
        <v>1331</v>
      </c>
      <c r="D28" s="22" t="s">
        <v>1285</v>
      </c>
      <c r="E28" s="22" t="s">
        <v>1177</v>
      </c>
      <c r="F28" s="22" t="s">
        <v>1318</v>
      </c>
      <c r="G28" s="22" t="s">
        <v>1256</v>
      </c>
      <c r="H28" s="22" t="s">
        <v>1181</v>
      </c>
      <c r="I28" s="23">
        <v>46280</v>
      </c>
      <c r="J28" s="22" t="s">
        <v>1332</v>
      </c>
      <c r="K28" s="22" t="s">
        <v>1285</v>
      </c>
      <c r="L28" s="22" t="s">
        <v>1326</v>
      </c>
      <c r="M28" s="22" t="s">
        <v>1259</v>
      </c>
      <c r="N28" s="22" t="s">
        <v>1177</v>
      </c>
      <c r="O28" s="22" t="s">
        <v>1177</v>
      </c>
      <c r="P28" s="23">
        <v>46280</v>
      </c>
      <c r="Q28" s="22" t="s">
        <v>1177</v>
      </c>
      <c r="R28" s="22" t="s">
        <v>10</v>
      </c>
      <c r="S28" s="22" t="s">
        <v>1011</v>
      </c>
      <c r="T28" s="22" t="s">
        <v>1327</v>
      </c>
      <c r="U28" s="22" t="s">
        <v>1328</v>
      </c>
      <c r="V28" s="26">
        <v>1</v>
      </c>
      <c r="W28" s="22" t="s">
        <v>1262</v>
      </c>
      <c r="X28" s="22" t="s">
        <v>1262</v>
      </c>
      <c r="Y28" s="25">
        <v>23.89</v>
      </c>
      <c r="Z28" s="22" t="s">
        <v>1186</v>
      </c>
      <c r="AA28" s="22" t="s">
        <v>1329</v>
      </c>
      <c r="AB28" s="22" t="s">
        <v>1177</v>
      </c>
      <c r="AC28" s="22" t="s">
        <v>1177</v>
      </c>
      <c r="AD28" s="22" t="s">
        <v>1177</v>
      </c>
      <c r="AE28" s="22" t="s">
        <v>1330</v>
      </c>
      <c r="AF28" s="22" t="s">
        <v>1189</v>
      </c>
      <c r="AG28" s="22" t="s">
        <v>1189</v>
      </c>
      <c r="AH28" s="22" t="s">
        <v>1178</v>
      </c>
      <c r="AI28" s="22" t="s">
        <v>1177</v>
      </c>
      <c r="AJ28" s="22" t="s">
        <v>1190</v>
      </c>
      <c r="AK28" s="26">
        <v>0</v>
      </c>
      <c r="AL28" s="22" t="s">
        <v>1262</v>
      </c>
      <c r="AM28" s="23">
        <v>46295</v>
      </c>
      <c r="AN28" s="23"/>
      <c r="AO28" s="23"/>
      <c r="AP28" s="23"/>
      <c r="AQ28" s="23"/>
      <c r="AR28" s="23"/>
      <c r="AS28" s="23"/>
      <c r="AT28" s="22" t="s">
        <v>1191</v>
      </c>
      <c r="AU28" s="22" t="s">
        <v>1177</v>
      </c>
      <c r="AV28" s="22" t="s">
        <v>1192</v>
      </c>
      <c r="AW28" s="22" t="s">
        <v>1177</v>
      </c>
      <c r="AX28" s="26">
        <v>0</v>
      </c>
      <c r="AY28" s="26">
        <v>0</v>
      </c>
      <c r="AZ28" s="22" t="s">
        <v>1177</v>
      </c>
      <c r="BA28" s="26">
        <v>0</v>
      </c>
      <c r="BB28" s="22" t="s">
        <v>1262</v>
      </c>
      <c r="BC28" s="7" t="e">
        <v>#N/A</v>
      </c>
      <c r="BD28" s="7" t="e">
        <v>#N/A</v>
      </c>
      <c r="BE28" s="7" t="e">
        <v>#N/A</v>
      </c>
      <c r="BF28" s="7" t="e">
        <v>#N/A</v>
      </c>
      <c r="BG28" s="7" t="e">
        <v>#N/A</v>
      </c>
      <c r="BH28" s="7" t="e">
        <v>#N/A</v>
      </c>
      <c r="BI28" s="7" t="e">
        <v>#N/A</v>
      </c>
    </row>
    <row r="29" spans="1:61" x14ac:dyDescent="0.35">
      <c r="A29" s="7" t="str">
        <f t="shared" si="0"/>
        <v>462824300012037</v>
      </c>
      <c r="B29" s="7" t="str">
        <f t="shared" si="1"/>
        <v>109537B867</v>
      </c>
      <c r="C29" s="22" t="s">
        <v>1333</v>
      </c>
      <c r="D29" s="22" t="s">
        <v>1182</v>
      </c>
      <c r="E29" s="22" t="s">
        <v>1177</v>
      </c>
      <c r="F29" s="22" t="s">
        <v>1334</v>
      </c>
      <c r="G29" s="22" t="s">
        <v>1236</v>
      </c>
      <c r="H29" s="22" t="s">
        <v>1271</v>
      </c>
      <c r="I29" s="23">
        <v>46282</v>
      </c>
      <c r="J29" s="22" t="s">
        <v>1335</v>
      </c>
      <c r="K29" s="22" t="s">
        <v>1182</v>
      </c>
      <c r="L29" s="22" t="s">
        <v>1177</v>
      </c>
      <c r="M29" s="22" t="s">
        <v>1274</v>
      </c>
      <c r="N29" s="22" t="s">
        <v>1079</v>
      </c>
      <c r="O29" s="22" t="s">
        <v>1275</v>
      </c>
      <c r="P29" s="23">
        <v>46282</v>
      </c>
      <c r="Q29" s="22" t="s">
        <v>1177</v>
      </c>
      <c r="R29" s="22" t="s">
        <v>25</v>
      </c>
      <c r="S29" s="22" t="s">
        <v>1060</v>
      </c>
      <c r="T29" s="22" t="s">
        <v>1336</v>
      </c>
      <c r="U29" s="22" t="s">
        <v>1337</v>
      </c>
      <c r="V29" s="26">
        <v>2</v>
      </c>
      <c r="W29" s="22" t="s">
        <v>1262</v>
      </c>
      <c r="X29" s="22" t="s">
        <v>1262</v>
      </c>
      <c r="Y29" s="25">
        <v>0</v>
      </c>
      <c r="Z29" s="22" t="s">
        <v>1186</v>
      </c>
      <c r="AA29" s="22" t="s">
        <v>1177</v>
      </c>
      <c r="AB29" s="22" t="s">
        <v>1276</v>
      </c>
      <c r="AC29" s="22" t="s">
        <v>1277</v>
      </c>
      <c r="AD29" s="22" t="s">
        <v>1278</v>
      </c>
      <c r="AE29" s="22" t="s">
        <v>1338</v>
      </c>
      <c r="AF29" s="22" t="s">
        <v>1178</v>
      </c>
      <c r="AG29" s="22" t="s">
        <v>1190</v>
      </c>
      <c r="AH29" s="22" t="s">
        <v>1178</v>
      </c>
      <c r="AI29" s="22" t="s">
        <v>1280</v>
      </c>
      <c r="AJ29" s="22" t="s">
        <v>1189</v>
      </c>
      <c r="AK29" s="26">
        <v>2</v>
      </c>
      <c r="AL29" s="22" t="s">
        <v>1262</v>
      </c>
      <c r="AM29" s="23">
        <v>46309</v>
      </c>
      <c r="AN29" s="23">
        <v>46302</v>
      </c>
      <c r="AO29" s="23">
        <v>46302</v>
      </c>
      <c r="AP29" s="23">
        <v>46304</v>
      </c>
      <c r="AQ29" s="23">
        <v>46304</v>
      </c>
      <c r="AR29" s="23">
        <v>46309</v>
      </c>
      <c r="AS29" s="23">
        <v>46311</v>
      </c>
      <c r="AT29" s="22" t="s">
        <v>1281</v>
      </c>
      <c r="AU29" s="22" t="s">
        <v>1177</v>
      </c>
      <c r="AV29" s="22" t="s">
        <v>1192</v>
      </c>
      <c r="AW29" s="22" t="s">
        <v>1177</v>
      </c>
      <c r="AX29" s="26">
        <v>33</v>
      </c>
      <c r="AY29" s="26">
        <v>2</v>
      </c>
      <c r="AZ29" s="22" t="s">
        <v>1177</v>
      </c>
      <c r="BA29" s="26">
        <v>0</v>
      </c>
      <c r="BB29" s="22" t="s">
        <v>1262</v>
      </c>
      <c r="BC29" s="7" t="e">
        <v>#N/A</v>
      </c>
      <c r="BD29" s="7" t="e">
        <v>#N/A</v>
      </c>
      <c r="BE29" s="7" t="e">
        <v>#N/A</v>
      </c>
      <c r="BF29" s="7" t="e">
        <v>#N/A</v>
      </c>
      <c r="BG29" s="7" t="e">
        <v>#N/A</v>
      </c>
      <c r="BH29" s="7" t="e">
        <v>#N/A</v>
      </c>
      <c r="BI29" s="7" t="e">
        <v>#N/A</v>
      </c>
    </row>
    <row r="30" spans="1:61" x14ac:dyDescent="0.35">
      <c r="A30" s="7" t="str">
        <f t="shared" si="0"/>
        <v>462824300012038</v>
      </c>
      <c r="B30" s="7" t="str">
        <f t="shared" si="1"/>
        <v>109537B857</v>
      </c>
      <c r="C30" s="22" t="s">
        <v>1339</v>
      </c>
      <c r="D30" s="22" t="s">
        <v>1182</v>
      </c>
      <c r="E30" s="22" t="s">
        <v>1177</v>
      </c>
      <c r="F30" s="22" t="s">
        <v>1334</v>
      </c>
      <c r="G30" s="22" t="s">
        <v>1236</v>
      </c>
      <c r="H30" s="22" t="s">
        <v>1271</v>
      </c>
      <c r="I30" s="23">
        <v>46282</v>
      </c>
      <c r="J30" s="22" t="s">
        <v>1340</v>
      </c>
      <c r="K30" s="22" t="s">
        <v>1182</v>
      </c>
      <c r="L30" s="22" t="s">
        <v>1177</v>
      </c>
      <c r="M30" s="22" t="s">
        <v>1274</v>
      </c>
      <c r="N30" s="22" t="s">
        <v>1079</v>
      </c>
      <c r="O30" s="22" t="s">
        <v>1275</v>
      </c>
      <c r="P30" s="23">
        <v>46282</v>
      </c>
      <c r="Q30" s="22" t="s">
        <v>1177</v>
      </c>
      <c r="R30" s="22" t="s">
        <v>23</v>
      </c>
      <c r="S30" s="22" t="s">
        <v>959</v>
      </c>
      <c r="T30" s="22" t="s">
        <v>1336</v>
      </c>
      <c r="U30" s="22" t="s">
        <v>1337</v>
      </c>
      <c r="V30" s="26">
        <v>2</v>
      </c>
      <c r="W30" s="22" t="s">
        <v>1262</v>
      </c>
      <c r="X30" s="22" t="s">
        <v>1262</v>
      </c>
      <c r="Y30" s="25">
        <v>0</v>
      </c>
      <c r="Z30" s="22" t="s">
        <v>1186</v>
      </c>
      <c r="AA30" s="22" t="s">
        <v>1177</v>
      </c>
      <c r="AB30" s="22" t="s">
        <v>1276</v>
      </c>
      <c r="AC30" s="22" t="s">
        <v>1277</v>
      </c>
      <c r="AD30" s="22" t="s">
        <v>1278</v>
      </c>
      <c r="AE30" s="22" t="s">
        <v>1338</v>
      </c>
      <c r="AF30" s="22" t="s">
        <v>1178</v>
      </c>
      <c r="AG30" s="22" t="s">
        <v>1190</v>
      </c>
      <c r="AH30" s="22" t="s">
        <v>1178</v>
      </c>
      <c r="AI30" s="22" t="s">
        <v>1280</v>
      </c>
      <c r="AJ30" s="22" t="s">
        <v>1189</v>
      </c>
      <c r="AK30" s="26">
        <v>2</v>
      </c>
      <c r="AL30" s="22" t="s">
        <v>1262</v>
      </c>
      <c r="AM30" s="23">
        <v>46309</v>
      </c>
      <c r="AN30" s="23">
        <v>46302</v>
      </c>
      <c r="AO30" s="23">
        <v>46302</v>
      </c>
      <c r="AP30" s="23">
        <v>46304</v>
      </c>
      <c r="AQ30" s="23">
        <v>46304</v>
      </c>
      <c r="AR30" s="23">
        <v>46309</v>
      </c>
      <c r="AS30" s="23">
        <v>46311</v>
      </c>
      <c r="AT30" s="22" t="s">
        <v>1281</v>
      </c>
      <c r="AU30" s="22" t="s">
        <v>1177</v>
      </c>
      <c r="AV30" s="22" t="s">
        <v>1192</v>
      </c>
      <c r="AW30" s="22" t="s">
        <v>1177</v>
      </c>
      <c r="AX30" s="26">
        <v>33</v>
      </c>
      <c r="AY30" s="26">
        <v>2</v>
      </c>
      <c r="AZ30" s="22" t="s">
        <v>1177</v>
      </c>
      <c r="BA30" s="26">
        <v>0</v>
      </c>
      <c r="BB30" s="22" t="s">
        <v>1262</v>
      </c>
      <c r="BC30" s="7" t="e">
        <v>#N/A</v>
      </c>
      <c r="BD30" s="7" t="e">
        <v>#N/A</v>
      </c>
      <c r="BE30" s="7" t="e">
        <v>#N/A</v>
      </c>
      <c r="BF30" s="7" t="e">
        <v>#N/A</v>
      </c>
      <c r="BG30" s="7" t="e">
        <v>#N/A</v>
      </c>
      <c r="BH30" s="7" t="e">
        <v>#N/A</v>
      </c>
      <c r="BI30" s="7" t="e">
        <v>#N/A</v>
      </c>
    </row>
    <row r="31" spans="1:61" x14ac:dyDescent="0.35">
      <c r="A31" s="7" t="str">
        <f t="shared" si="0"/>
        <v>462824501763954</v>
      </c>
      <c r="B31" s="7" t="str">
        <f t="shared" si="1"/>
        <v>A9B00019165B867</v>
      </c>
      <c r="C31" s="22" t="s">
        <v>1341</v>
      </c>
      <c r="D31" s="22" t="s">
        <v>1182</v>
      </c>
      <c r="E31" s="22" t="s">
        <v>1177</v>
      </c>
      <c r="F31" s="22" t="s">
        <v>1342</v>
      </c>
      <c r="G31" s="22" t="s">
        <v>1245</v>
      </c>
      <c r="H31" s="22" t="s">
        <v>1181</v>
      </c>
      <c r="I31" s="23">
        <v>46282</v>
      </c>
      <c r="J31" s="22" t="s">
        <v>1343</v>
      </c>
      <c r="K31" s="22" t="s">
        <v>1182</v>
      </c>
      <c r="L31" s="22" t="s">
        <v>1183</v>
      </c>
      <c r="M31" s="22" t="s">
        <v>1184</v>
      </c>
      <c r="N31" s="22" t="s">
        <v>1177</v>
      </c>
      <c r="O31" s="22" t="s">
        <v>1177</v>
      </c>
      <c r="P31" s="23">
        <v>46282</v>
      </c>
      <c r="Q31" s="22" t="s">
        <v>1177</v>
      </c>
      <c r="R31" s="22" t="s">
        <v>25</v>
      </c>
      <c r="S31" s="22" t="s">
        <v>1060</v>
      </c>
      <c r="T31" s="22" t="s">
        <v>204</v>
      </c>
      <c r="U31" s="22" t="s">
        <v>205</v>
      </c>
      <c r="V31" s="26">
        <v>490</v>
      </c>
      <c r="W31" s="22" t="s">
        <v>1202</v>
      </c>
      <c r="X31" s="22" t="s">
        <v>1202</v>
      </c>
      <c r="Y31" s="25">
        <v>873.01</v>
      </c>
      <c r="Z31" s="22" t="s">
        <v>1186</v>
      </c>
      <c r="AA31" s="22" t="s">
        <v>1203</v>
      </c>
      <c r="AB31" s="22" t="s">
        <v>1177</v>
      </c>
      <c r="AC31" s="22" t="s">
        <v>1177</v>
      </c>
      <c r="AD31" s="22" t="s">
        <v>1177</v>
      </c>
      <c r="AE31" s="22" t="s">
        <v>1205</v>
      </c>
      <c r="AF31" s="22" t="s">
        <v>1189</v>
      </c>
      <c r="AG31" s="22" t="s">
        <v>1189</v>
      </c>
      <c r="AH31" s="22" t="s">
        <v>1178</v>
      </c>
      <c r="AI31" s="22" t="s">
        <v>1177</v>
      </c>
      <c r="AJ31" s="22" t="s">
        <v>1190</v>
      </c>
      <c r="AK31" s="26">
        <v>0</v>
      </c>
      <c r="AL31" s="22" t="s">
        <v>1202</v>
      </c>
      <c r="AM31" s="23">
        <v>46296</v>
      </c>
      <c r="AN31" s="23"/>
      <c r="AO31" s="23"/>
      <c r="AP31" s="23"/>
      <c r="AQ31" s="23"/>
      <c r="AR31" s="23"/>
      <c r="AS31" s="23"/>
      <c r="AT31" s="22" t="s">
        <v>1191</v>
      </c>
      <c r="AU31" s="22" t="s">
        <v>1177</v>
      </c>
      <c r="AV31" s="22" t="s">
        <v>1192</v>
      </c>
      <c r="AW31" s="22" t="s">
        <v>1177</v>
      </c>
      <c r="AX31" s="26">
        <v>60</v>
      </c>
      <c r="AY31" s="26">
        <v>2</v>
      </c>
      <c r="AZ31" s="22" t="s">
        <v>1177</v>
      </c>
      <c r="BA31" s="26">
        <v>0</v>
      </c>
      <c r="BB31" s="22" t="s">
        <v>1202</v>
      </c>
      <c r="BC31" s="7" t="e">
        <v>#N/A</v>
      </c>
      <c r="BD31" s="7" t="e">
        <v>#N/A</v>
      </c>
      <c r="BE31" s="7" t="e">
        <v>#N/A</v>
      </c>
      <c r="BF31" s="7" t="e">
        <v>#N/A</v>
      </c>
      <c r="BG31" s="7" t="e">
        <v>#N/A</v>
      </c>
      <c r="BH31" s="7" t="e">
        <v>#N/A</v>
      </c>
      <c r="BI31" s="7" t="e">
        <v>#N/A</v>
      </c>
    </row>
    <row r="32" spans="1:61" x14ac:dyDescent="0.35">
      <c r="A32" s="7" t="str">
        <f t="shared" si="0"/>
        <v>462824300012043</v>
      </c>
      <c r="B32" s="7" t="str">
        <f t="shared" si="1"/>
        <v>50834B825</v>
      </c>
      <c r="C32" s="22" t="s">
        <v>1344</v>
      </c>
      <c r="D32" s="22" t="s">
        <v>1182</v>
      </c>
      <c r="E32" s="22" t="s">
        <v>1177</v>
      </c>
      <c r="F32" s="22" t="s">
        <v>1248</v>
      </c>
      <c r="G32" s="22" t="s">
        <v>1236</v>
      </c>
      <c r="H32" s="22" t="s">
        <v>1271</v>
      </c>
      <c r="I32" s="23">
        <v>46282</v>
      </c>
      <c r="J32" s="22" t="s">
        <v>1345</v>
      </c>
      <c r="K32" s="22" t="s">
        <v>1182</v>
      </c>
      <c r="L32" s="22" t="s">
        <v>1177</v>
      </c>
      <c r="M32" s="22" t="s">
        <v>1274</v>
      </c>
      <c r="N32" s="22" t="s">
        <v>1079</v>
      </c>
      <c r="O32" s="22" t="s">
        <v>1275</v>
      </c>
      <c r="P32" s="23">
        <v>46282</v>
      </c>
      <c r="Q32" s="22" t="s">
        <v>1177</v>
      </c>
      <c r="R32" s="22" t="s">
        <v>16</v>
      </c>
      <c r="S32" s="22" t="s">
        <v>512</v>
      </c>
      <c r="T32" s="22" t="s">
        <v>1346</v>
      </c>
      <c r="U32" s="22" t="s">
        <v>1347</v>
      </c>
      <c r="V32" s="26">
        <v>2</v>
      </c>
      <c r="W32" s="22" t="s">
        <v>1262</v>
      </c>
      <c r="X32" s="22" t="s">
        <v>1262</v>
      </c>
      <c r="Y32" s="25">
        <v>0</v>
      </c>
      <c r="Z32" s="22" t="s">
        <v>1186</v>
      </c>
      <c r="AA32" s="22" t="s">
        <v>1177</v>
      </c>
      <c r="AB32" s="22" t="s">
        <v>1276</v>
      </c>
      <c r="AC32" s="22" t="s">
        <v>1277</v>
      </c>
      <c r="AD32" s="22" t="s">
        <v>1278</v>
      </c>
      <c r="AE32" s="22" t="s">
        <v>1348</v>
      </c>
      <c r="AF32" s="22" t="s">
        <v>1178</v>
      </c>
      <c r="AG32" s="22" t="s">
        <v>1190</v>
      </c>
      <c r="AH32" s="22" t="s">
        <v>1178</v>
      </c>
      <c r="AI32" s="22" t="s">
        <v>1349</v>
      </c>
      <c r="AJ32" s="22" t="s">
        <v>1190</v>
      </c>
      <c r="AK32" s="26">
        <v>0</v>
      </c>
      <c r="AL32" s="22" t="s">
        <v>1262</v>
      </c>
      <c r="AM32" s="23">
        <v>46315</v>
      </c>
      <c r="AN32" s="23">
        <v>46304</v>
      </c>
      <c r="AO32" s="23">
        <v>46304</v>
      </c>
      <c r="AP32" s="23">
        <v>46309</v>
      </c>
      <c r="AQ32" s="23">
        <v>46309</v>
      </c>
      <c r="AR32" s="23">
        <v>46311</v>
      </c>
      <c r="AS32" s="23">
        <v>46315</v>
      </c>
      <c r="AT32" s="22" t="s">
        <v>1281</v>
      </c>
      <c r="AU32" s="22" t="s">
        <v>1177</v>
      </c>
      <c r="AV32" s="22" t="s">
        <v>1192</v>
      </c>
      <c r="AW32" s="22" t="s">
        <v>1177</v>
      </c>
      <c r="AX32" s="26">
        <v>33</v>
      </c>
      <c r="AY32" s="26">
        <v>2</v>
      </c>
      <c r="AZ32" s="22" t="s">
        <v>1177</v>
      </c>
      <c r="BA32" s="26">
        <v>0</v>
      </c>
      <c r="BB32" s="22" t="s">
        <v>1262</v>
      </c>
      <c r="BC32" s="7" t="e">
        <v>#N/A</v>
      </c>
      <c r="BD32" s="7" t="e">
        <v>#N/A</v>
      </c>
      <c r="BE32" s="7" t="e">
        <v>#N/A</v>
      </c>
      <c r="BF32" s="7" t="e">
        <v>#N/A</v>
      </c>
      <c r="BG32" s="7" t="e">
        <v>#N/A</v>
      </c>
      <c r="BH32" s="7" t="e">
        <v>#N/A</v>
      </c>
      <c r="BI32" s="7" t="e">
        <v>#N/A</v>
      </c>
    </row>
    <row r="33" spans="1:61" x14ac:dyDescent="0.35">
      <c r="A33" s="7" t="str">
        <f t="shared" si="0"/>
        <v>462824300012045</v>
      </c>
      <c r="B33" s="7" t="str">
        <f t="shared" si="1"/>
        <v>GP081087B825</v>
      </c>
      <c r="C33" s="22" t="s">
        <v>1350</v>
      </c>
      <c r="D33" s="22" t="s">
        <v>1182</v>
      </c>
      <c r="E33" s="22" t="s">
        <v>1177</v>
      </c>
      <c r="F33" s="22" t="s">
        <v>1248</v>
      </c>
      <c r="G33" s="22" t="s">
        <v>1236</v>
      </c>
      <c r="H33" s="22" t="s">
        <v>1271</v>
      </c>
      <c r="I33" s="23">
        <v>46282</v>
      </c>
      <c r="J33" s="22" t="s">
        <v>1351</v>
      </c>
      <c r="K33" s="22" t="s">
        <v>1182</v>
      </c>
      <c r="L33" s="22" t="s">
        <v>1177</v>
      </c>
      <c r="M33" s="22" t="s">
        <v>1274</v>
      </c>
      <c r="N33" s="22" t="s">
        <v>1079</v>
      </c>
      <c r="O33" s="22" t="s">
        <v>1275</v>
      </c>
      <c r="P33" s="23">
        <v>46282</v>
      </c>
      <c r="Q33" s="22" t="s">
        <v>1177</v>
      </c>
      <c r="R33" s="22" t="s">
        <v>16</v>
      </c>
      <c r="S33" s="22" t="s">
        <v>512</v>
      </c>
      <c r="T33" s="22" t="s">
        <v>1352</v>
      </c>
      <c r="U33" s="22" t="s">
        <v>1353</v>
      </c>
      <c r="V33" s="26">
        <v>220</v>
      </c>
      <c r="W33" s="22" t="s">
        <v>1262</v>
      </c>
      <c r="X33" s="22" t="s">
        <v>1262</v>
      </c>
      <c r="Y33" s="25">
        <v>0</v>
      </c>
      <c r="Z33" s="22" t="s">
        <v>1186</v>
      </c>
      <c r="AA33" s="22" t="s">
        <v>1177</v>
      </c>
      <c r="AB33" s="22" t="s">
        <v>1276</v>
      </c>
      <c r="AC33" s="22" t="s">
        <v>1277</v>
      </c>
      <c r="AD33" s="22" t="s">
        <v>1278</v>
      </c>
      <c r="AE33" s="22" t="s">
        <v>1354</v>
      </c>
      <c r="AF33" s="22" t="s">
        <v>1178</v>
      </c>
      <c r="AG33" s="22" t="s">
        <v>1190</v>
      </c>
      <c r="AH33" s="22" t="s">
        <v>1178</v>
      </c>
      <c r="AI33" s="22" t="s">
        <v>1349</v>
      </c>
      <c r="AJ33" s="22" t="s">
        <v>1190</v>
      </c>
      <c r="AK33" s="26">
        <v>0</v>
      </c>
      <c r="AL33" s="22" t="s">
        <v>1262</v>
      </c>
      <c r="AM33" s="23">
        <v>46343</v>
      </c>
      <c r="AN33" s="23">
        <v>46468</v>
      </c>
      <c r="AO33" s="23">
        <v>46335</v>
      </c>
      <c r="AP33" s="23">
        <v>46337</v>
      </c>
      <c r="AQ33" s="23">
        <v>46337</v>
      </c>
      <c r="AR33" s="23">
        <v>46339</v>
      </c>
      <c r="AS33" s="23">
        <v>46339</v>
      </c>
      <c r="AT33" s="22" t="s">
        <v>1281</v>
      </c>
      <c r="AU33" s="22" t="s">
        <v>1177</v>
      </c>
      <c r="AV33" s="22" t="s">
        <v>1192</v>
      </c>
      <c r="AW33" s="22" t="s">
        <v>1177</v>
      </c>
      <c r="AX33" s="26">
        <v>0</v>
      </c>
      <c r="AY33" s="26">
        <v>0</v>
      </c>
      <c r="AZ33" s="22" t="s">
        <v>1177</v>
      </c>
      <c r="BA33" s="26">
        <v>0</v>
      </c>
      <c r="BB33" s="22" t="s">
        <v>1262</v>
      </c>
      <c r="BC33" s="7" t="e">
        <v>#N/A</v>
      </c>
      <c r="BD33" s="7" t="e">
        <v>#N/A</v>
      </c>
      <c r="BE33" s="7" t="e">
        <v>#N/A</v>
      </c>
      <c r="BF33" s="7" t="e">
        <v>#N/A</v>
      </c>
      <c r="BG33" s="7" t="e">
        <v>#N/A</v>
      </c>
      <c r="BH33" s="7" t="e">
        <v>#N/A</v>
      </c>
      <c r="BI33" s="7" t="e">
        <v>#N/A</v>
      </c>
    </row>
    <row r="34" spans="1:61" x14ac:dyDescent="0.35">
      <c r="A34" s="7" t="str">
        <f t="shared" si="0"/>
        <v>462824300012048</v>
      </c>
      <c r="B34" s="7" t="str">
        <f t="shared" si="1"/>
        <v>GP485135B857</v>
      </c>
      <c r="C34" s="22" t="s">
        <v>1355</v>
      </c>
      <c r="D34" s="22" t="s">
        <v>1285</v>
      </c>
      <c r="E34" s="22" t="s">
        <v>1177</v>
      </c>
      <c r="F34" s="22" t="s">
        <v>1334</v>
      </c>
      <c r="G34" s="22" t="s">
        <v>1236</v>
      </c>
      <c r="H34" s="22" t="s">
        <v>1271</v>
      </c>
      <c r="I34" s="23">
        <v>46282</v>
      </c>
      <c r="J34" s="22" t="s">
        <v>1356</v>
      </c>
      <c r="K34" s="22" t="s">
        <v>1285</v>
      </c>
      <c r="L34" s="22" t="s">
        <v>1177</v>
      </c>
      <c r="M34" s="22" t="s">
        <v>1274</v>
      </c>
      <c r="N34" s="22" t="s">
        <v>1079</v>
      </c>
      <c r="O34" s="22" t="s">
        <v>1275</v>
      </c>
      <c r="P34" s="23">
        <v>46282</v>
      </c>
      <c r="Q34" s="22" t="s">
        <v>1177</v>
      </c>
      <c r="R34" s="22" t="s">
        <v>23</v>
      </c>
      <c r="S34" s="22" t="s">
        <v>959</v>
      </c>
      <c r="T34" s="22" t="s">
        <v>774</v>
      </c>
      <c r="U34" s="22" t="s">
        <v>775</v>
      </c>
      <c r="V34" s="26">
        <v>2</v>
      </c>
      <c r="W34" s="22" t="s">
        <v>1262</v>
      </c>
      <c r="X34" s="22" t="s">
        <v>1262</v>
      </c>
      <c r="Y34" s="25">
        <v>0</v>
      </c>
      <c r="Z34" s="22" t="s">
        <v>1186</v>
      </c>
      <c r="AA34" s="22" t="s">
        <v>1177</v>
      </c>
      <c r="AB34" s="22" t="s">
        <v>1276</v>
      </c>
      <c r="AC34" s="22" t="s">
        <v>1277</v>
      </c>
      <c r="AD34" s="22" t="s">
        <v>1278</v>
      </c>
      <c r="AE34" s="22" t="s">
        <v>1357</v>
      </c>
      <c r="AF34" s="22" t="s">
        <v>1178</v>
      </c>
      <c r="AG34" s="22" t="s">
        <v>1190</v>
      </c>
      <c r="AH34" s="22" t="s">
        <v>1178</v>
      </c>
      <c r="AI34" s="22" t="s">
        <v>1280</v>
      </c>
      <c r="AJ34" s="22" t="s">
        <v>1189</v>
      </c>
      <c r="AK34" s="26">
        <v>1</v>
      </c>
      <c r="AL34" s="22" t="s">
        <v>1262</v>
      </c>
      <c r="AM34" s="23">
        <v>46302</v>
      </c>
      <c r="AN34" s="23">
        <v>46302</v>
      </c>
      <c r="AO34" s="23">
        <v>46296</v>
      </c>
      <c r="AP34" s="23">
        <v>46300</v>
      </c>
      <c r="AQ34" s="23">
        <v>46300</v>
      </c>
      <c r="AR34" s="23">
        <v>46302</v>
      </c>
      <c r="AS34" s="23">
        <v>46304</v>
      </c>
      <c r="AT34" s="22" t="s">
        <v>1281</v>
      </c>
      <c r="AU34" s="22" t="s">
        <v>1177</v>
      </c>
      <c r="AV34" s="22" t="s">
        <v>1192</v>
      </c>
      <c r="AW34" s="22" t="s">
        <v>1177</v>
      </c>
      <c r="AX34" s="26">
        <v>33</v>
      </c>
      <c r="AY34" s="26">
        <v>2</v>
      </c>
      <c r="AZ34" s="22" t="s">
        <v>1177</v>
      </c>
      <c r="BA34" s="26">
        <v>0</v>
      </c>
      <c r="BB34" s="22" t="s">
        <v>1262</v>
      </c>
      <c r="BC34" s="7" t="e">
        <v>#N/A</v>
      </c>
      <c r="BD34" s="7" t="e">
        <v>#N/A</v>
      </c>
      <c r="BE34" s="7" t="e">
        <v>#N/A</v>
      </c>
      <c r="BF34" s="7" t="e">
        <v>#N/A</v>
      </c>
      <c r="BG34" s="7" t="e">
        <v>#N/A</v>
      </c>
      <c r="BH34" s="7" t="e">
        <v>#N/A</v>
      </c>
      <c r="BI34" s="7" t="e">
        <v>#N/A</v>
      </c>
    </row>
    <row r="35" spans="1:61" x14ac:dyDescent="0.35">
      <c r="A35" s="7" t="str">
        <f t="shared" si="0"/>
        <v>462824300012049</v>
      </c>
      <c r="B35" s="7" t="str">
        <f t="shared" si="1"/>
        <v>GP315334B867</v>
      </c>
      <c r="C35" s="22" t="s">
        <v>1360</v>
      </c>
      <c r="D35" s="22" t="s">
        <v>1182</v>
      </c>
      <c r="E35" s="22" t="s">
        <v>1177</v>
      </c>
      <c r="F35" s="22" t="s">
        <v>1334</v>
      </c>
      <c r="G35" s="22" t="s">
        <v>1236</v>
      </c>
      <c r="H35" s="22" t="s">
        <v>1271</v>
      </c>
      <c r="I35" s="23">
        <v>46282</v>
      </c>
      <c r="J35" s="22" t="s">
        <v>1361</v>
      </c>
      <c r="K35" s="22" t="s">
        <v>1182</v>
      </c>
      <c r="L35" s="22" t="s">
        <v>1177</v>
      </c>
      <c r="M35" s="22" t="s">
        <v>1274</v>
      </c>
      <c r="N35" s="22" t="s">
        <v>1079</v>
      </c>
      <c r="O35" s="22" t="s">
        <v>1275</v>
      </c>
      <c r="P35" s="23">
        <v>46282</v>
      </c>
      <c r="Q35" s="22" t="s">
        <v>1177</v>
      </c>
      <c r="R35" s="22" t="s">
        <v>25</v>
      </c>
      <c r="S35" s="22" t="s">
        <v>1060</v>
      </c>
      <c r="T35" s="22" t="s">
        <v>805</v>
      </c>
      <c r="U35" s="22" t="s">
        <v>806</v>
      </c>
      <c r="V35" s="26">
        <v>2</v>
      </c>
      <c r="W35" s="22" t="s">
        <v>1262</v>
      </c>
      <c r="X35" s="22" t="s">
        <v>1262</v>
      </c>
      <c r="Y35" s="25">
        <v>0</v>
      </c>
      <c r="Z35" s="22" t="s">
        <v>1186</v>
      </c>
      <c r="AA35" s="22" t="s">
        <v>1177</v>
      </c>
      <c r="AB35" s="22" t="s">
        <v>1276</v>
      </c>
      <c r="AC35" s="22" t="s">
        <v>1277</v>
      </c>
      <c r="AD35" s="22" t="s">
        <v>1278</v>
      </c>
      <c r="AE35" s="22" t="s">
        <v>1359</v>
      </c>
      <c r="AF35" s="22" t="s">
        <v>1178</v>
      </c>
      <c r="AG35" s="22" t="s">
        <v>1190</v>
      </c>
      <c r="AH35" s="22" t="s">
        <v>1178</v>
      </c>
      <c r="AI35" s="22" t="s">
        <v>1280</v>
      </c>
      <c r="AJ35" s="22" t="s">
        <v>1190</v>
      </c>
      <c r="AK35" s="26">
        <v>0</v>
      </c>
      <c r="AL35" s="22" t="s">
        <v>1262</v>
      </c>
      <c r="AM35" s="23">
        <v>46314</v>
      </c>
      <c r="AN35" s="23">
        <v>46468</v>
      </c>
      <c r="AO35" s="23">
        <v>46302</v>
      </c>
      <c r="AP35" s="23">
        <v>46304</v>
      </c>
      <c r="AQ35" s="23">
        <v>46304</v>
      </c>
      <c r="AR35" s="23">
        <v>46309</v>
      </c>
      <c r="AS35" s="23">
        <v>46311</v>
      </c>
      <c r="AT35" s="22" t="s">
        <v>1281</v>
      </c>
      <c r="AU35" s="22" t="s">
        <v>1177</v>
      </c>
      <c r="AV35" s="22" t="s">
        <v>1192</v>
      </c>
      <c r="AW35" s="22" t="s">
        <v>1177</v>
      </c>
      <c r="AX35" s="26">
        <v>33</v>
      </c>
      <c r="AY35" s="26">
        <v>2</v>
      </c>
      <c r="AZ35" s="22" t="s">
        <v>1177</v>
      </c>
      <c r="BA35" s="26">
        <v>0</v>
      </c>
      <c r="BB35" s="22" t="s">
        <v>1262</v>
      </c>
      <c r="BC35" s="7" t="e">
        <v>#N/A</v>
      </c>
      <c r="BD35" s="7" t="e">
        <v>#N/A</v>
      </c>
      <c r="BE35" s="7" t="e">
        <v>#N/A</v>
      </c>
      <c r="BF35" s="7" t="e">
        <v>#N/A</v>
      </c>
      <c r="BG35" s="7" t="e">
        <v>#N/A</v>
      </c>
      <c r="BH35" s="7" t="e">
        <v>#N/A</v>
      </c>
      <c r="BI35" s="7" t="e">
        <v>#N/A</v>
      </c>
    </row>
    <row r="36" spans="1:61" x14ac:dyDescent="0.35">
      <c r="A36" s="7" t="str">
        <f t="shared" si="0"/>
        <v>461594300008405</v>
      </c>
      <c r="B36" s="7" t="str">
        <f t="shared" si="1"/>
        <v>GP583604B838</v>
      </c>
      <c r="C36" s="22" t="s">
        <v>1177</v>
      </c>
      <c r="D36" s="22" t="s">
        <v>1178</v>
      </c>
      <c r="E36" s="22" t="s">
        <v>1362</v>
      </c>
      <c r="F36" s="22" t="s">
        <v>1363</v>
      </c>
      <c r="G36" s="22" t="s">
        <v>1363</v>
      </c>
      <c r="H36" s="22" t="s">
        <v>1271</v>
      </c>
      <c r="I36" s="23">
        <v>46159</v>
      </c>
      <c r="J36" s="22" t="s">
        <v>1364</v>
      </c>
      <c r="K36" s="22" t="s">
        <v>1282</v>
      </c>
      <c r="L36" s="22" t="s">
        <v>1177</v>
      </c>
      <c r="M36" s="22" t="s">
        <v>1274</v>
      </c>
      <c r="N36" s="22" t="s">
        <v>1079</v>
      </c>
      <c r="O36" s="22" t="s">
        <v>1275</v>
      </c>
      <c r="P36" s="23">
        <v>46159</v>
      </c>
      <c r="Q36" s="22" t="s">
        <v>1177</v>
      </c>
      <c r="R36" s="22" t="s">
        <v>48</v>
      </c>
      <c r="S36" s="22" t="s">
        <v>745</v>
      </c>
      <c r="T36" s="22" t="s">
        <v>1365</v>
      </c>
      <c r="U36" s="22" t="s">
        <v>1366</v>
      </c>
      <c r="V36" s="26">
        <v>4</v>
      </c>
      <c r="W36" s="22" t="s">
        <v>1262</v>
      </c>
      <c r="X36" s="22" t="s">
        <v>1262</v>
      </c>
      <c r="Y36" s="25">
        <v>0</v>
      </c>
      <c r="Z36" s="22" t="s">
        <v>1186</v>
      </c>
      <c r="AA36" s="22" t="s">
        <v>1177</v>
      </c>
      <c r="AB36" s="22" t="s">
        <v>1276</v>
      </c>
      <c r="AC36" s="22" t="s">
        <v>1277</v>
      </c>
      <c r="AD36" s="22" t="s">
        <v>1278</v>
      </c>
      <c r="AE36" s="22" t="s">
        <v>1354</v>
      </c>
      <c r="AF36" s="22" t="s">
        <v>1178</v>
      </c>
      <c r="AG36" s="22" t="s">
        <v>1190</v>
      </c>
      <c r="AH36" s="22" t="s">
        <v>1178</v>
      </c>
      <c r="AI36" s="22" t="s">
        <v>1280</v>
      </c>
      <c r="AJ36" s="22" t="s">
        <v>1190</v>
      </c>
      <c r="AK36" s="26">
        <v>0</v>
      </c>
      <c r="AL36" s="22" t="s">
        <v>1262</v>
      </c>
      <c r="AM36" s="23">
        <v>47177</v>
      </c>
      <c r="AN36" s="23">
        <v>47171</v>
      </c>
      <c r="AO36" s="23">
        <v>47171</v>
      </c>
      <c r="AP36" s="23">
        <v>47175</v>
      </c>
      <c r="AQ36" s="23">
        <v>47175</v>
      </c>
      <c r="AR36" s="23">
        <v>47177</v>
      </c>
      <c r="AS36" s="23">
        <v>47177</v>
      </c>
      <c r="AT36" s="22" t="s">
        <v>1281</v>
      </c>
      <c r="AU36" s="22" t="s">
        <v>1177</v>
      </c>
      <c r="AV36" s="22" t="s">
        <v>1192</v>
      </c>
      <c r="AW36" s="22" t="s">
        <v>1177</v>
      </c>
      <c r="AX36" s="26">
        <v>0</v>
      </c>
      <c r="AY36" s="26">
        <v>0</v>
      </c>
      <c r="AZ36" s="22" t="s">
        <v>1177</v>
      </c>
      <c r="BA36" s="26">
        <v>0</v>
      </c>
      <c r="BB36" s="22" t="s">
        <v>1262</v>
      </c>
      <c r="BC36" s="7" t="e">
        <v>#N/A</v>
      </c>
      <c r="BD36" s="7" t="e">
        <v>#N/A</v>
      </c>
      <c r="BE36" s="7" t="e">
        <v>#N/A</v>
      </c>
      <c r="BF36" s="7" t="e">
        <v>#N/A</v>
      </c>
      <c r="BG36" s="7" t="e">
        <v>#N/A</v>
      </c>
      <c r="BH36" s="7" t="e">
        <v>#N/A</v>
      </c>
      <c r="BI36" s="7" t="e">
        <v>#N/A</v>
      </c>
    </row>
    <row r="37" spans="1:61" x14ac:dyDescent="0.35">
      <c r="A37" s="7" t="str">
        <f t="shared" si="0"/>
        <v>461594300008407</v>
      </c>
      <c r="B37" s="7" t="str">
        <f t="shared" si="1"/>
        <v>GP104233B832</v>
      </c>
      <c r="C37" s="22" t="s">
        <v>1177</v>
      </c>
      <c r="D37" s="22" t="s">
        <v>1178</v>
      </c>
      <c r="E37" s="22" t="s">
        <v>1367</v>
      </c>
      <c r="F37" s="22" t="s">
        <v>1363</v>
      </c>
      <c r="G37" s="22" t="s">
        <v>1363</v>
      </c>
      <c r="H37" s="22" t="s">
        <v>1271</v>
      </c>
      <c r="I37" s="23">
        <v>46159</v>
      </c>
      <c r="J37" s="22" t="s">
        <v>1368</v>
      </c>
      <c r="K37" s="22" t="s">
        <v>1182</v>
      </c>
      <c r="L37" s="22" t="s">
        <v>1177</v>
      </c>
      <c r="M37" s="22" t="s">
        <v>1274</v>
      </c>
      <c r="N37" s="22" t="s">
        <v>1079</v>
      </c>
      <c r="O37" s="22" t="s">
        <v>1275</v>
      </c>
      <c r="P37" s="23">
        <v>46159</v>
      </c>
      <c r="Q37" s="22" t="s">
        <v>1177</v>
      </c>
      <c r="R37" s="22" t="s">
        <v>19</v>
      </c>
      <c r="S37" s="22" t="s">
        <v>654</v>
      </c>
      <c r="T37" s="22" t="s">
        <v>1369</v>
      </c>
      <c r="U37" s="22" t="s">
        <v>1370</v>
      </c>
      <c r="V37" s="26">
        <v>124</v>
      </c>
      <c r="W37" s="22" t="s">
        <v>1262</v>
      </c>
      <c r="X37" s="22" t="s">
        <v>1262</v>
      </c>
      <c r="Y37" s="25">
        <v>0</v>
      </c>
      <c r="Z37" s="22" t="s">
        <v>1186</v>
      </c>
      <c r="AA37" s="22" t="s">
        <v>1177</v>
      </c>
      <c r="AB37" s="22" t="s">
        <v>1286</v>
      </c>
      <c r="AC37" s="22" t="s">
        <v>1277</v>
      </c>
      <c r="AD37" s="22" t="s">
        <v>1278</v>
      </c>
      <c r="AE37" s="22" t="s">
        <v>1371</v>
      </c>
      <c r="AF37" s="22" t="s">
        <v>1178</v>
      </c>
      <c r="AG37" s="22" t="s">
        <v>1178</v>
      </c>
      <c r="AH37" s="22" t="s">
        <v>1178</v>
      </c>
      <c r="AI37" s="22" t="s">
        <v>1349</v>
      </c>
      <c r="AJ37" s="22" t="s">
        <v>1189</v>
      </c>
      <c r="AK37" s="26">
        <v>124</v>
      </c>
      <c r="AL37" s="22" t="s">
        <v>1262</v>
      </c>
      <c r="AM37" s="23">
        <v>46262</v>
      </c>
      <c r="AN37" s="23">
        <v>46258</v>
      </c>
      <c r="AO37" s="23">
        <v>46258</v>
      </c>
      <c r="AP37" s="23">
        <v>46260</v>
      </c>
      <c r="AQ37" s="23">
        <v>46260</v>
      </c>
      <c r="AR37" s="23">
        <v>46262</v>
      </c>
      <c r="AS37" s="23">
        <v>46262</v>
      </c>
      <c r="AT37" s="22" t="s">
        <v>1281</v>
      </c>
      <c r="AU37" s="22" t="s">
        <v>1177</v>
      </c>
      <c r="AV37" s="22" t="s">
        <v>1192</v>
      </c>
      <c r="AW37" s="22" t="s">
        <v>1177</v>
      </c>
      <c r="AX37" s="26">
        <v>0</v>
      </c>
      <c r="AY37" s="26">
        <v>0</v>
      </c>
      <c r="AZ37" s="22" t="s">
        <v>1177</v>
      </c>
      <c r="BA37" s="26">
        <v>0</v>
      </c>
      <c r="BB37" s="22" t="s">
        <v>1262</v>
      </c>
      <c r="BC37" s="7" t="e">
        <v>#N/A</v>
      </c>
      <c r="BD37" s="7" t="e">
        <v>#N/A</v>
      </c>
      <c r="BE37" s="7" t="e">
        <v>#N/A</v>
      </c>
      <c r="BF37" s="7" t="e">
        <v>#N/A</v>
      </c>
      <c r="BG37" s="7" t="s">
        <v>1372</v>
      </c>
      <c r="BH37" s="7" t="s">
        <v>1373</v>
      </c>
      <c r="BI37" s="7" t="s">
        <v>1372</v>
      </c>
    </row>
    <row r="38" spans="1:61" x14ac:dyDescent="0.35">
      <c r="A38" s="7" t="str">
        <f t="shared" si="0"/>
        <v>461594300008408</v>
      </c>
      <c r="B38" s="7" t="str">
        <f t="shared" si="1"/>
        <v>GP062392B833</v>
      </c>
      <c r="C38" s="22" t="s">
        <v>1177</v>
      </c>
      <c r="D38" s="22" t="s">
        <v>1178</v>
      </c>
      <c r="E38" s="22" t="s">
        <v>1374</v>
      </c>
      <c r="F38" s="22" t="s">
        <v>1363</v>
      </c>
      <c r="G38" s="22" t="s">
        <v>1363</v>
      </c>
      <c r="H38" s="22" t="s">
        <v>1271</v>
      </c>
      <c r="I38" s="23">
        <v>46159</v>
      </c>
      <c r="J38" s="22" t="s">
        <v>1375</v>
      </c>
      <c r="K38" s="22" t="s">
        <v>1199</v>
      </c>
      <c r="L38" s="22" t="s">
        <v>1177</v>
      </c>
      <c r="M38" s="22" t="s">
        <v>1274</v>
      </c>
      <c r="N38" s="22" t="s">
        <v>1079</v>
      </c>
      <c r="O38" s="22" t="s">
        <v>1275</v>
      </c>
      <c r="P38" s="23">
        <v>46159</v>
      </c>
      <c r="Q38" s="22" t="s">
        <v>1177</v>
      </c>
      <c r="R38" s="22" t="s">
        <v>697</v>
      </c>
      <c r="S38" s="22" t="s">
        <v>699</v>
      </c>
      <c r="T38" s="22" t="s">
        <v>1376</v>
      </c>
      <c r="U38" s="22" t="s">
        <v>1377</v>
      </c>
      <c r="V38" s="26">
        <v>39</v>
      </c>
      <c r="W38" s="22" t="s">
        <v>1262</v>
      </c>
      <c r="X38" s="22" t="s">
        <v>1262</v>
      </c>
      <c r="Y38" s="25">
        <v>0</v>
      </c>
      <c r="Z38" s="22" t="s">
        <v>1186</v>
      </c>
      <c r="AA38" s="22" t="s">
        <v>1177</v>
      </c>
      <c r="AB38" s="22" t="s">
        <v>1276</v>
      </c>
      <c r="AC38" s="22" t="s">
        <v>1277</v>
      </c>
      <c r="AD38" s="22" t="s">
        <v>1278</v>
      </c>
      <c r="AE38" s="22" t="s">
        <v>1378</v>
      </c>
      <c r="AF38" s="22" t="s">
        <v>1178</v>
      </c>
      <c r="AG38" s="22" t="s">
        <v>1190</v>
      </c>
      <c r="AH38" s="22" t="s">
        <v>1178</v>
      </c>
      <c r="AI38" s="22" t="s">
        <v>1349</v>
      </c>
      <c r="AJ38" s="22" t="s">
        <v>1190</v>
      </c>
      <c r="AK38" s="26">
        <v>0</v>
      </c>
      <c r="AL38" s="22" t="s">
        <v>1262</v>
      </c>
      <c r="AM38" s="23">
        <v>46264</v>
      </c>
      <c r="AN38" s="23">
        <v>46258</v>
      </c>
      <c r="AO38" s="23">
        <v>46258</v>
      </c>
      <c r="AP38" s="23">
        <v>46260</v>
      </c>
      <c r="AQ38" s="23">
        <v>46260</v>
      </c>
      <c r="AR38" s="23">
        <v>46262</v>
      </c>
      <c r="AS38" s="23">
        <v>46262</v>
      </c>
      <c r="AT38" s="22" t="s">
        <v>1281</v>
      </c>
      <c r="AU38" s="22" t="s">
        <v>1177</v>
      </c>
      <c r="AV38" s="22" t="s">
        <v>1192</v>
      </c>
      <c r="AW38" s="22" t="s">
        <v>1177</v>
      </c>
      <c r="AX38" s="26">
        <v>0</v>
      </c>
      <c r="AY38" s="26">
        <v>0</v>
      </c>
      <c r="AZ38" s="22" t="s">
        <v>1177</v>
      </c>
      <c r="BA38" s="26">
        <v>0</v>
      </c>
      <c r="BB38" s="22" t="s">
        <v>1262</v>
      </c>
      <c r="BC38" s="7" t="s">
        <v>1379</v>
      </c>
      <c r="BD38" s="7">
        <v>39</v>
      </c>
      <c r="BE38" s="7">
        <v>46230</v>
      </c>
      <c r="BF38" s="7" t="s">
        <v>1165</v>
      </c>
      <c r="BG38" s="7" t="s">
        <v>1372</v>
      </c>
      <c r="BH38" s="7" t="s">
        <v>1373</v>
      </c>
      <c r="BI38" s="7" t="s">
        <v>1372</v>
      </c>
    </row>
    <row r="39" spans="1:61" x14ac:dyDescent="0.35">
      <c r="A39" s="7" t="str">
        <f t="shared" si="0"/>
        <v>461594300008410</v>
      </c>
      <c r="B39" s="7" t="str">
        <f t="shared" si="1"/>
        <v>GP104233B865</v>
      </c>
      <c r="C39" s="22" t="s">
        <v>1177</v>
      </c>
      <c r="D39" s="22" t="s">
        <v>1178</v>
      </c>
      <c r="E39" s="22" t="s">
        <v>1381</v>
      </c>
      <c r="F39" s="22" t="s">
        <v>1363</v>
      </c>
      <c r="G39" s="22" t="s">
        <v>1363</v>
      </c>
      <c r="H39" s="22" t="s">
        <v>1271</v>
      </c>
      <c r="I39" s="23">
        <v>46159</v>
      </c>
      <c r="J39" s="22" t="s">
        <v>1382</v>
      </c>
      <c r="K39" s="22" t="s">
        <v>1199</v>
      </c>
      <c r="L39" s="22" t="s">
        <v>1177</v>
      </c>
      <c r="M39" s="22" t="s">
        <v>1274</v>
      </c>
      <c r="N39" s="22" t="s">
        <v>1079</v>
      </c>
      <c r="O39" s="22" t="s">
        <v>1275</v>
      </c>
      <c r="P39" s="23">
        <v>46159</v>
      </c>
      <c r="Q39" s="22" t="s">
        <v>1177</v>
      </c>
      <c r="R39" s="22" t="s">
        <v>7</v>
      </c>
      <c r="S39" s="22" t="s">
        <v>1040</v>
      </c>
      <c r="T39" s="22" t="s">
        <v>1369</v>
      </c>
      <c r="U39" s="22" t="s">
        <v>1370</v>
      </c>
      <c r="V39" s="26">
        <v>500</v>
      </c>
      <c r="W39" s="22" t="s">
        <v>1262</v>
      </c>
      <c r="X39" s="22" t="s">
        <v>1262</v>
      </c>
      <c r="Y39" s="25">
        <v>0</v>
      </c>
      <c r="Z39" s="22" t="s">
        <v>1186</v>
      </c>
      <c r="AA39" s="22" t="s">
        <v>1177</v>
      </c>
      <c r="AB39" s="22" t="s">
        <v>1286</v>
      </c>
      <c r="AC39" s="22" t="s">
        <v>1277</v>
      </c>
      <c r="AD39" s="22" t="s">
        <v>1278</v>
      </c>
      <c r="AE39" s="22" t="s">
        <v>1371</v>
      </c>
      <c r="AF39" s="22" t="s">
        <v>1178</v>
      </c>
      <c r="AG39" s="22" t="s">
        <v>1178</v>
      </c>
      <c r="AH39" s="22" t="s">
        <v>1178</v>
      </c>
      <c r="AI39" s="22" t="s">
        <v>1349</v>
      </c>
      <c r="AJ39" s="22" t="s">
        <v>1189</v>
      </c>
      <c r="AK39" s="26">
        <v>500</v>
      </c>
      <c r="AL39" s="22" t="s">
        <v>1262</v>
      </c>
      <c r="AM39" s="23">
        <v>47172</v>
      </c>
      <c r="AN39" s="23">
        <v>47168</v>
      </c>
      <c r="AO39" s="23">
        <v>47168</v>
      </c>
      <c r="AP39" s="23">
        <v>47170</v>
      </c>
      <c r="AQ39" s="23">
        <v>47170</v>
      </c>
      <c r="AR39" s="23">
        <v>47172</v>
      </c>
      <c r="AS39" s="23">
        <v>47172</v>
      </c>
      <c r="AT39" s="22" t="s">
        <v>1281</v>
      </c>
      <c r="AU39" s="22" t="s">
        <v>1177</v>
      </c>
      <c r="AV39" s="22" t="s">
        <v>1192</v>
      </c>
      <c r="AW39" s="22" t="s">
        <v>1177</v>
      </c>
      <c r="AX39" s="26">
        <v>0</v>
      </c>
      <c r="AY39" s="26">
        <v>0</v>
      </c>
      <c r="AZ39" s="22" t="s">
        <v>1177</v>
      </c>
      <c r="BA39" s="26">
        <v>0</v>
      </c>
      <c r="BB39" s="22" t="s">
        <v>1262</v>
      </c>
      <c r="BC39" s="7" t="e">
        <v>#N/A</v>
      </c>
      <c r="BD39" s="7" t="e">
        <v>#N/A</v>
      </c>
      <c r="BE39" s="7" t="e">
        <v>#N/A</v>
      </c>
      <c r="BF39" s="7" t="e">
        <v>#N/A</v>
      </c>
      <c r="BG39" s="7" t="s">
        <v>1372</v>
      </c>
      <c r="BH39" s="7" t="s">
        <v>1373</v>
      </c>
      <c r="BI39" s="7" t="s">
        <v>1372</v>
      </c>
    </row>
    <row r="40" spans="1:61" x14ac:dyDescent="0.35">
      <c r="A40" s="7" t="str">
        <f t="shared" si="0"/>
        <v>461594300008411</v>
      </c>
      <c r="B40" s="7" t="str">
        <f t="shared" si="1"/>
        <v>GP569984B864</v>
      </c>
      <c r="C40" s="22" t="s">
        <v>1177</v>
      </c>
      <c r="D40" s="22" t="s">
        <v>1178</v>
      </c>
      <c r="E40" s="22" t="s">
        <v>1386</v>
      </c>
      <c r="F40" s="22" t="s">
        <v>1363</v>
      </c>
      <c r="G40" s="22" t="s">
        <v>1363</v>
      </c>
      <c r="H40" s="22" t="s">
        <v>1271</v>
      </c>
      <c r="I40" s="23">
        <v>46159</v>
      </c>
      <c r="J40" s="22" t="s">
        <v>1387</v>
      </c>
      <c r="K40" s="22" t="s">
        <v>1182</v>
      </c>
      <c r="L40" s="22" t="s">
        <v>1177</v>
      </c>
      <c r="M40" s="22" t="s">
        <v>1274</v>
      </c>
      <c r="N40" s="22" t="s">
        <v>1079</v>
      </c>
      <c r="O40" s="22" t="s">
        <v>1275</v>
      </c>
      <c r="P40" s="23">
        <v>46159</v>
      </c>
      <c r="Q40" s="22" t="s">
        <v>1177</v>
      </c>
      <c r="R40" s="22" t="s">
        <v>10</v>
      </c>
      <c r="S40" s="22" t="s">
        <v>1011</v>
      </c>
      <c r="T40" s="22" t="s">
        <v>1388</v>
      </c>
      <c r="U40" s="22" t="s">
        <v>1389</v>
      </c>
      <c r="V40" s="26">
        <v>2</v>
      </c>
      <c r="W40" s="22" t="s">
        <v>1262</v>
      </c>
      <c r="X40" s="22" t="s">
        <v>1262</v>
      </c>
      <c r="Y40" s="25">
        <v>0</v>
      </c>
      <c r="Z40" s="22" t="s">
        <v>1186</v>
      </c>
      <c r="AA40" s="22" t="s">
        <v>1177</v>
      </c>
      <c r="AB40" s="22" t="s">
        <v>1276</v>
      </c>
      <c r="AC40" s="22" t="s">
        <v>1277</v>
      </c>
      <c r="AD40" s="22" t="s">
        <v>1278</v>
      </c>
      <c r="AE40" s="22" t="s">
        <v>1354</v>
      </c>
      <c r="AF40" s="22" t="s">
        <v>1178</v>
      </c>
      <c r="AG40" s="22" t="s">
        <v>1190</v>
      </c>
      <c r="AH40" s="22" t="s">
        <v>1178</v>
      </c>
      <c r="AI40" s="22" t="s">
        <v>1280</v>
      </c>
      <c r="AJ40" s="22" t="s">
        <v>1190</v>
      </c>
      <c r="AK40" s="26">
        <v>0</v>
      </c>
      <c r="AL40" s="22" t="s">
        <v>1262</v>
      </c>
      <c r="AM40" s="23">
        <v>47177</v>
      </c>
      <c r="AN40" s="23">
        <v>47171</v>
      </c>
      <c r="AO40" s="23">
        <v>47171</v>
      </c>
      <c r="AP40" s="23">
        <v>47175</v>
      </c>
      <c r="AQ40" s="23">
        <v>47175</v>
      </c>
      <c r="AR40" s="23">
        <v>47177</v>
      </c>
      <c r="AS40" s="23">
        <v>47177</v>
      </c>
      <c r="AT40" s="22" t="s">
        <v>1281</v>
      </c>
      <c r="AU40" s="22" t="s">
        <v>1177</v>
      </c>
      <c r="AV40" s="22" t="s">
        <v>1192</v>
      </c>
      <c r="AW40" s="22" t="s">
        <v>1177</v>
      </c>
      <c r="AX40" s="26">
        <v>0</v>
      </c>
      <c r="AY40" s="26">
        <v>0</v>
      </c>
      <c r="AZ40" s="22" t="s">
        <v>1177</v>
      </c>
      <c r="BA40" s="26">
        <v>0</v>
      </c>
      <c r="BB40" s="22" t="s">
        <v>1262</v>
      </c>
      <c r="BC40" s="7" t="e">
        <v>#N/A</v>
      </c>
      <c r="BD40" s="7" t="e">
        <v>#N/A</v>
      </c>
      <c r="BE40" s="7" t="e">
        <v>#N/A</v>
      </c>
      <c r="BF40" s="7" t="e">
        <v>#N/A</v>
      </c>
      <c r="BG40" s="7" t="s">
        <v>1372</v>
      </c>
      <c r="BH40" s="7" t="s">
        <v>1390</v>
      </c>
      <c r="BI40" s="7" t="s">
        <v>1391</v>
      </c>
    </row>
    <row r="41" spans="1:61" x14ac:dyDescent="0.35">
      <c r="A41" s="7" t="str">
        <f t="shared" si="0"/>
        <v>461594300008415</v>
      </c>
      <c r="B41" s="7" t="str">
        <f t="shared" si="1"/>
        <v>GP026647B833</v>
      </c>
      <c r="C41" s="22" t="s">
        <v>1177</v>
      </c>
      <c r="D41" s="22" t="s">
        <v>1178</v>
      </c>
      <c r="E41" s="22" t="s">
        <v>1393</v>
      </c>
      <c r="F41" s="22" t="s">
        <v>1363</v>
      </c>
      <c r="G41" s="22" t="s">
        <v>1363</v>
      </c>
      <c r="H41" s="22" t="s">
        <v>1271</v>
      </c>
      <c r="I41" s="23">
        <v>46159</v>
      </c>
      <c r="J41" s="22" t="s">
        <v>1394</v>
      </c>
      <c r="K41" s="22" t="s">
        <v>1199</v>
      </c>
      <c r="L41" s="22" t="s">
        <v>1177</v>
      </c>
      <c r="M41" s="22" t="s">
        <v>1274</v>
      </c>
      <c r="N41" s="22" t="s">
        <v>1079</v>
      </c>
      <c r="O41" s="22" t="s">
        <v>1275</v>
      </c>
      <c r="P41" s="23">
        <v>46159</v>
      </c>
      <c r="Q41" s="22" t="s">
        <v>1177</v>
      </c>
      <c r="R41" s="22" t="s">
        <v>697</v>
      </c>
      <c r="S41" s="22" t="s">
        <v>699</v>
      </c>
      <c r="T41" s="22" t="s">
        <v>376</v>
      </c>
      <c r="U41" s="22" t="s">
        <v>377</v>
      </c>
      <c r="V41" s="26">
        <v>92</v>
      </c>
      <c r="W41" s="22" t="s">
        <v>1262</v>
      </c>
      <c r="X41" s="22" t="s">
        <v>1262</v>
      </c>
      <c r="Y41" s="25">
        <v>0</v>
      </c>
      <c r="Z41" s="22" t="s">
        <v>1186</v>
      </c>
      <c r="AA41" s="22" t="s">
        <v>1177</v>
      </c>
      <c r="AB41" s="22" t="s">
        <v>1286</v>
      </c>
      <c r="AC41" s="22" t="s">
        <v>1277</v>
      </c>
      <c r="AD41" s="22" t="s">
        <v>1278</v>
      </c>
      <c r="AE41" s="22" t="s">
        <v>1383</v>
      </c>
      <c r="AF41" s="22" t="s">
        <v>1178</v>
      </c>
      <c r="AG41" s="22" t="s">
        <v>1178</v>
      </c>
      <c r="AH41" s="22" t="s">
        <v>1178</v>
      </c>
      <c r="AI41" s="22" t="s">
        <v>1349</v>
      </c>
      <c r="AJ41" s="22" t="s">
        <v>1190</v>
      </c>
      <c r="AK41" s="26">
        <v>0</v>
      </c>
      <c r="AL41" s="22" t="s">
        <v>1262</v>
      </c>
      <c r="AM41" s="23">
        <v>46264</v>
      </c>
      <c r="AN41" s="23">
        <v>46258</v>
      </c>
      <c r="AO41" s="23">
        <v>46258</v>
      </c>
      <c r="AP41" s="23">
        <v>46260</v>
      </c>
      <c r="AQ41" s="23">
        <v>46260</v>
      </c>
      <c r="AR41" s="23">
        <v>46262</v>
      </c>
      <c r="AS41" s="23">
        <v>46287</v>
      </c>
      <c r="AT41" s="22" t="s">
        <v>1281</v>
      </c>
      <c r="AU41" s="22" t="s">
        <v>1177</v>
      </c>
      <c r="AV41" s="22" t="s">
        <v>1192</v>
      </c>
      <c r="AW41" s="22" t="s">
        <v>1177</v>
      </c>
      <c r="AX41" s="26">
        <v>45</v>
      </c>
      <c r="AY41" s="26">
        <v>16</v>
      </c>
      <c r="AZ41" s="22" t="s">
        <v>1177</v>
      </c>
      <c r="BA41" s="26">
        <v>0</v>
      </c>
      <c r="BB41" s="22" t="s">
        <v>1262</v>
      </c>
      <c r="BC41" s="7" t="e">
        <v>#N/A</v>
      </c>
      <c r="BD41" s="7" t="e">
        <v>#N/A</v>
      </c>
      <c r="BE41" s="7" t="e">
        <v>#N/A</v>
      </c>
      <c r="BF41" s="7" t="e">
        <v>#N/A</v>
      </c>
      <c r="BG41" s="7" t="s">
        <v>1372</v>
      </c>
      <c r="BH41" s="7" t="s">
        <v>1373</v>
      </c>
      <c r="BI41" s="7" t="s">
        <v>1372</v>
      </c>
    </row>
    <row r="42" spans="1:61" x14ac:dyDescent="0.35">
      <c r="A42" s="7" t="str">
        <f t="shared" si="0"/>
        <v>461594300008416</v>
      </c>
      <c r="B42" s="7" t="str">
        <f t="shared" si="1"/>
        <v>GP605790B838</v>
      </c>
      <c r="C42" s="22" t="s">
        <v>1177</v>
      </c>
      <c r="D42" s="22" t="s">
        <v>1178</v>
      </c>
      <c r="E42" s="22" t="s">
        <v>1395</v>
      </c>
      <c r="F42" s="22" t="s">
        <v>1363</v>
      </c>
      <c r="G42" s="22" t="s">
        <v>1363</v>
      </c>
      <c r="H42" s="22" t="s">
        <v>1271</v>
      </c>
      <c r="I42" s="23">
        <v>46159</v>
      </c>
      <c r="J42" s="22" t="s">
        <v>1396</v>
      </c>
      <c r="K42" s="22" t="s">
        <v>1182</v>
      </c>
      <c r="L42" s="22" t="s">
        <v>1177</v>
      </c>
      <c r="M42" s="22" t="s">
        <v>1274</v>
      </c>
      <c r="N42" s="22" t="s">
        <v>1079</v>
      </c>
      <c r="O42" s="22" t="s">
        <v>1275</v>
      </c>
      <c r="P42" s="23">
        <v>46159</v>
      </c>
      <c r="Q42" s="22" t="s">
        <v>1177</v>
      </c>
      <c r="R42" s="22" t="s">
        <v>48</v>
      </c>
      <c r="S42" s="22" t="s">
        <v>745</v>
      </c>
      <c r="T42" s="22" t="s">
        <v>1397</v>
      </c>
      <c r="U42" s="22" t="s">
        <v>1398</v>
      </c>
      <c r="V42" s="26">
        <v>78</v>
      </c>
      <c r="W42" s="22" t="s">
        <v>1262</v>
      </c>
      <c r="X42" s="22" t="s">
        <v>1262</v>
      </c>
      <c r="Y42" s="25">
        <v>0</v>
      </c>
      <c r="Z42" s="22" t="s">
        <v>1186</v>
      </c>
      <c r="AA42" s="22" t="s">
        <v>1177</v>
      </c>
      <c r="AB42" s="22" t="s">
        <v>1177</v>
      </c>
      <c r="AC42" s="22" t="s">
        <v>1177</v>
      </c>
      <c r="AD42" s="22" t="s">
        <v>1204</v>
      </c>
      <c r="AE42" s="22" t="s">
        <v>1399</v>
      </c>
      <c r="AF42" s="22" t="s">
        <v>1189</v>
      </c>
      <c r="AG42" s="22" t="s">
        <v>1190</v>
      </c>
      <c r="AH42" s="22" t="s">
        <v>1178</v>
      </c>
      <c r="AI42" s="22" t="s">
        <v>1280</v>
      </c>
      <c r="AJ42" s="22" t="s">
        <v>1190</v>
      </c>
      <c r="AK42" s="26">
        <v>0</v>
      </c>
      <c r="AL42" s="22" t="s">
        <v>1262</v>
      </c>
      <c r="AM42" s="23">
        <v>47177</v>
      </c>
      <c r="AN42" s="23">
        <v>47171</v>
      </c>
      <c r="AO42" s="23">
        <v>47171</v>
      </c>
      <c r="AP42" s="23">
        <v>47175</v>
      </c>
      <c r="AQ42" s="23">
        <v>47175</v>
      </c>
      <c r="AR42" s="23">
        <v>47177</v>
      </c>
      <c r="AS42" s="23">
        <v>47177</v>
      </c>
      <c r="AT42" s="22" t="s">
        <v>1281</v>
      </c>
      <c r="AU42" s="22" t="s">
        <v>1177</v>
      </c>
      <c r="AV42" s="22" t="s">
        <v>1192</v>
      </c>
      <c r="AW42" s="22" t="s">
        <v>1177</v>
      </c>
      <c r="AX42" s="26">
        <v>0</v>
      </c>
      <c r="AY42" s="26">
        <v>0</v>
      </c>
      <c r="AZ42" s="22" t="s">
        <v>1177</v>
      </c>
      <c r="BA42" s="26">
        <v>78</v>
      </c>
      <c r="BB42" s="22" t="s">
        <v>1262</v>
      </c>
      <c r="BC42" s="7" t="s">
        <v>1400</v>
      </c>
      <c r="BD42" s="7">
        <v>78</v>
      </c>
      <c r="BE42" s="7">
        <v>46170</v>
      </c>
      <c r="BF42" s="7" t="s">
        <v>1165</v>
      </c>
      <c r="BG42" s="7" t="e">
        <v>#N/A</v>
      </c>
      <c r="BH42" s="7" t="e">
        <v>#N/A</v>
      </c>
      <c r="BI42" s="7" t="e">
        <v>#N/A</v>
      </c>
    </row>
    <row r="43" spans="1:61" x14ac:dyDescent="0.35">
      <c r="A43" s="7" t="str">
        <f t="shared" si="0"/>
        <v>461594300008421</v>
      </c>
      <c r="B43" s="7" t="str">
        <f t="shared" si="1"/>
        <v>GP140289B832</v>
      </c>
      <c r="C43" s="22" t="s">
        <v>1177</v>
      </c>
      <c r="D43" s="22" t="s">
        <v>1178</v>
      </c>
      <c r="E43" s="22" t="s">
        <v>1409</v>
      </c>
      <c r="F43" s="22" t="s">
        <v>1363</v>
      </c>
      <c r="G43" s="22" t="s">
        <v>1363</v>
      </c>
      <c r="H43" s="22" t="s">
        <v>1271</v>
      </c>
      <c r="I43" s="23">
        <v>46159</v>
      </c>
      <c r="J43" s="22" t="s">
        <v>1410</v>
      </c>
      <c r="K43" s="22" t="s">
        <v>1182</v>
      </c>
      <c r="L43" s="22" t="s">
        <v>1177</v>
      </c>
      <c r="M43" s="22" t="s">
        <v>1274</v>
      </c>
      <c r="N43" s="22" t="s">
        <v>1079</v>
      </c>
      <c r="O43" s="22" t="s">
        <v>1275</v>
      </c>
      <c r="P43" s="23">
        <v>46159</v>
      </c>
      <c r="Q43" s="22" t="s">
        <v>1177</v>
      </c>
      <c r="R43" s="22" t="s">
        <v>19</v>
      </c>
      <c r="S43" s="22" t="s">
        <v>654</v>
      </c>
      <c r="T43" s="22" t="s">
        <v>1411</v>
      </c>
      <c r="U43" s="22" t="s">
        <v>1412</v>
      </c>
      <c r="V43" s="24">
        <v>124</v>
      </c>
      <c r="W43" s="22" t="s">
        <v>1262</v>
      </c>
      <c r="X43" s="22" t="s">
        <v>1262</v>
      </c>
      <c r="Y43" s="25">
        <v>0</v>
      </c>
      <c r="Z43" s="22" t="s">
        <v>1186</v>
      </c>
      <c r="AA43" s="22" t="s">
        <v>1177</v>
      </c>
      <c r="AB43" s="22" t="s">
        <v>1286</v>
      </c>
      <c r="AC43" s="22" t="s">
        <v>1277</v>
      </c>
      <c r="AD43" s="22" t="s">
        <v>1278</v>
      </c>
      <c r="AE43" s="22" t="s">
        <v>1371</v>
      </c>
      <c r="AF43" s="22" t="s">
        <v>1178</v>
      </c>
      <c r="AG43" s="22" t="s">
        <v>1178</v>
      </c>
      <c r="AH43" s="22" t="s">
        <v>1178</v>
      </c>
      <c r="AI43" s="22" t="s">
        <v>1349</v>
      </c>
      <c r="AJ43" s="22" t="s">
        <v>1189</v>
      </c>
      <c r="AK43" s="24">
        <v>124</v>
      </c>
      <c r="AL43" s="22" t="s">
        <v>1262</v>
      </c>
      <c r="AM43" s="23">
        <v>47172</v>
      </c>
      <c r="AN43" s="23">
        <v>47168</v>
      </c>
      <c r="AO43" s="23">
        <v>47168</v>
      </c>
      <c r="AP43" s="23">
        <v>47170</v>
      </c>
      <c r="AQ43" s="23">
        <v>47170</v>
      </c>
      <c r="AR43" s="23">
        <v>47172</v>
      </c>
      <c r="AS43" s="23">
        <v>47172</v>
      </c>
      <c r="AT43" s="22" t="s">
        <v>1281</v>
      </c>
      <c r="AU43" s="22" t="s">
        <v>1177</v>
      </c>
      <c r="AV43" s="22" t="s">
        <v>1192</v>
      </c>
      <c r="AW43" s="22" t="s">
        <v>1177</v>
      </c>
      <c r="AX43" s="26">
        <v>0</v>
      </c>
      <c r="AY43" s="26">
        <v>0</v>
      </c>
      <c r="AZ43" s="22" t="s">
        <v>1177</v>
      </c>
      <c r="BA43" s="24">
        <v>0</v>
      </c>
      <c r="BB43" s="22" t="s">
        <v>1262</v>
      </c>
      <c r="BC43" s="7" t="e">
        <v>#N/A</v>
      </c>
      <c r="BD43" s="7" t="e">
        <v>#N/A</v>
      </c>
      <c r="BE43" s="7" t="e">
        <v>#N/A</v>
      </c>
      <c r="BF43" s="7" t="e">
        <v>#N/A</v>
      </c>
      <c r="BG43" s="7" t="s">
        <v>1372</v>
      </c>
      <c r="BH43" s="7" t="s">
        <v>1373</v>
      </c>
      <c r="BI43" s="7" t="s">
        <v>1372</v>
      </c>
    </row>
    <row r="44" spans="1:61" x14ac:dyDescent="0.35">
      <c r="A44" s="7" t="str">
        <f t="shared" si="0"/>
        <v>461594300008423</v>
      </c>
      <c r="B44" s="7" t="str">
        <f t="shared" si="1"/>
        <v>GP038397B856</v>
      </c>
      <c r="C44" s="22" t="s">
        <v>1177</v>
      </c>
      <c r="D44" s="22" t="s">
        <v>1178</v>
      </c>
      <c r="E44" s="22" t="s">
        <v>1413</v>
      </c>
      <c r="F44" s="22" t="s">
        <v>1363</v>
      </c>
      <c r="G44" s="22" t="s">
        <v>1363</v>
      </c>
      <c r="H44" s="22" t="s">
        <v>1271</v>
      </c>
      <c r="I44" s="23">
        <v>46159</v>
      </c>
      <c r="J44" s="22" t="s">
        <v>1414</v>
      </c>
      <c r="K44" s="22" t="s">
        <v>1283</v>
      </c>
      <c r="L44" s="22" t="s">
        <v>1177</v>
      </c>
      <c r="M44" s="22" t="s">
        <v>1274</v>
      </c>
      <c r="N44" s="22" t="s">
        <v>1079</v>
      </c>
      <c r="O44" s="22" t="s">
        <v>1275</v>
      </c>
      <c r="P44" s="23">
        <v>46159</v>
      </c>
      <c r="Q44" s="22" t="s">
        <v>1177</v>
      </c>
      <c r="R44" s="22" t="s">
        <v>21</v>
      </c>
      <c r="S44" s="22" t="s">
        <v>853</v>
      </c>
      <c r="T44" s="22" t="s">
        <v>1415</v>
      </c>
      <c r="U44" s="22" t="s">
        <v>1416</v>
      </c>
      <c r="V44" s="26">
        <v>2</v>
      </c>
      <c r="W44" s="22" t="s">
        <v>1262</v>
      </c>
      <c r="X44" s="22" t="s">
        <v>1262</v>
      </c>
      <c r="Y44" s="25">
        <v>0</v>
      </c>
      <c r="Z44" s="22" t="s">
        <v>1186</v>
      </c>
      <c r="AA44" s="22" t="s">
        <v>1177</v>
      </c>
      <c r="AB44" s="22" t="s">
        <v>1286</v>
      </c>
      <c r="AC44" s="22" t="s">
        <v>1277</v>
      </c>
      <c r="AD44" s="22" t="s">
        <v>1278</v>
      </c>
      <c r="AE44" s="22" t="s">
        <v>1383</v>
      </c>
      <c r="AF44" s="22" t="s">
        <v>1178</v>
      </c>
      <c r="AG44" s="22" t="s">
        <v>1178</v>
      </c>
      <c r="AH44" s="22" t="s">
        <v>1178</v>
      </c>
      <c r="AI44" s="22" t="s">
        <v>1280</v>
      </c>
      <c r="AJ44" s="22" t="s">
        <v>1190</v>
      </c>
      <c r="AK44" s="26">
        <v>0</v>
      </c>
      <c r="AL44" s="22" t="s">
        <v>1262</v>
      </c>
      <c r="AM44" s="23">
        <v>47177</v>
      </c>
      <c r="AN44" s="23">
        <v>47171</v>
      </c>
      <c r="AO44" s="23">
        <v>47171</v>
      </c>
      <c r="AP44" s="23">
        <v>47175</v>
      </c>
      <c r="AQ44" s="23">
        <v>47175</v>
      </c>
      <c r="AR44" s="23">
        <v>47177</v>
      </c>
      <c r="AS44" s="23">
        <v>47177</v>
      </c>
      <c r="AT44" s="22" t="s">
        <v>1281</v>
      </c>
      <c r="AU44" s="22" t="s">
        <v>1177</v>
      </c>
      <c r="AV44" s="22" t="s">
        <v>1192</v>
      </c>
      <c r="AW44" s="22" t="s">
        <v>1177</v>
      </c>
      <c r="AX44" s="26">
        <v>0</v>
      </c>
      <c r="AY44" s="26">
        <v>0</v>
      </c>
      <c r="AZ44" s="22" t="s">
        <v>1177</v>
      </c>
      <c r="BA44" s="26">
        <v>0</v>
      </c>
      <c r="BB44" s="22" t="s">
        <v>1262</v>
      </c>
      <c r="BC44" s="7" t="e">
        <v>#N/A</v>
      </c>
      <c r="BD44" s="7" t="e">
        <v>#N/A</v>
      </c>
      <c r="BE44" s="7" t="e">
        <v>#N/A</v>
      </c>
      <c r="BF44" s="7" t="e">
        <v>#N/A</v>
      </c>
      <c r="BG44" s="7" t="s">
        <v>1372</v>
      </c>
      <c r="BH44" s="7" t="s">
        <v>1373</v>
      </c>
      <c r="BI44" s="7" t="s">
        <v>1417</v>
      </c>
    </row>
    <row r="45" spans="1:61" x14ac:dyDescent="0.35">
      <c r="A45" s="7" t="str">
        <f t="shared" si="0"/>
        <v>461594300008424</v>
      </c>
      <c r="B45" s="7" t="str">
        <f t="shared" si="1"/>
        <v>GP135406B857</v>
      </c>
      <c r="C45" s="22" t="s">
        <v>1177</v>
      </c>
      <c r="D45" s="22" t="s">
        <v>1178</v>
      </c>
      <c r="E45" s="22" t="s">
        <v>1421</v>
      </c>
      <c r="F45" s="22" t="s">
        <v>1363</v>
      </c>
      <c r="G45" s="22" t="s">
        <v>1363</v>
      </c>
      <c r="H45" s="22" t="s">
        <v>1271</v>
      </c>
      <c r="I45" s="23">
        <v>46159</v>
      </c>
      <c r="J45" s="22" t="s">
        <v>1422</v>
      </c>
      <c r="K45" s="22" t="s">
        <v>1282</v>
      </c>
      <c r="L45" s="22" t="s">
        <v>1177</v>
      </c>
      <c r="M45" s="22" t="s">
        <v>1274</v>
      </c>
      <c r="N45" s="22" t="s">
        <v>1079</v>
      </c>
      <c r="O45" s="22" t="s">
        <v>1275</v>
      </c>
      <c r="P45" s="23">
        <v>46159</v>
      </c>
      <c r="Q45" s="22" t="s">
        <v>1177</v>
      </c>
      <c r="R45" s="22" t="s">
        <v>23</v>
      </c>
      <c r="S45" s="22" t="s">
        <v>959</v>
      </c>
      <c r="T45" s="22" t="s">
        <v>1418</v>
      </c>
      <c r="U45" s="22" t="s">
        <v>1419</v>
      </c>
      <c r="V45" s="26">
        <v>4</v>
      </c>
      <c r="W45" s="22" t="s">
        <v>1262</v>
      </c>
      <c r="X45" s="22" t="s">
        <v>1262</v>
      </c>
      <c r="Y45" s="25">
        <v>0</v>
      </c>
      <c r="Z45" s="22" t="s">
        <v>1186</v>
      </c>
      <c r="AA45" s="22" t="s">
        <v>1177</v>
      </c>
      <c r="AB45" s="22" t="s">
        <v>1276</v>
      </c>
      <c r="AC45" s="22" t="s">
        <v>1277</v>
      </c>
      <c r="AD45" s="22" t="s">
        <v>1278</v>
      </c>
      <c r="AE45" s="22" t="s">
        <v>1420</v>
      </c>
      <c r="AF45" s="22" t="s">
        <v>1178</v>
      </c>
      <c r="AG45" s="22" t="s">
        <v>1190</v>
      </c>
      <c r="AH45" s="22" t="s">
        <v>1178</v>
      </c>
      <c r="AI45" s="22" t="s">
        <v>1280</v>
      </c>
      <c r="AJ45" s="22" t="s">
        <v>1190</v>
      </c>
      <c r="AK45" s="26">
        <v>0</v>
      </c>
      <c r="AL45" s="22" t="s">
        <v>1262</v>
      </c>
      <c r="AM45" s="23">
        <v>47177</v>
      </c>
      <c r="AN45" s="23">
        <v>47171</v>
      </c>
      <c r="AO45" s="23">
        <v>47171</v>
      </c>
      <c r="AP45" s="23">
        <v>47175</v>
      </c>
      <c r="AQ45" s="23">
        <v>47175</v>
      </c>
      <c r="AR45" s="23">
        <v>47177</v>
      </c>
      <c r="AS45" s="23">
        <v>47177</v>
      </c>
      <c r="AT45" s="22" t="s">
        <v>1281</v>
      </c>
      <c r="AU45" s="22" t="s">
        <v>1177</v>
      </c>
      <c r="AV45" s="22" t="s">
        <v>1192</v>
      </c>
      <c r="AW45" s="22" t="s">
        <v>1177</v>
      </c>
      <c r="AX45" s="26">
        <v>0</v>
      </c>
      <c r="AY45" s="26">
        <v>0</v>
      </c>
      <c r="AZ45" s="22" t="s">
        <v>1177</v>
      </c>
      <c r="BA45" s="26">
        <v>0</v>
      </c>
      <c r="BB45" s="22" t="s">
        <v>1262</v>
      </c>
      <c r="BC45" s="7" t="e">
        <v>#N/A</v>
      </c>
      <c r="BD45" s="7" t="e">
        <v>#N/A</v>
      </c>
      <c r="BE45" s="7" t="e">
        <v>#N/A</v>
      </c>
      <c r="BF45" s="7" t="e">
        <v>#N/A</v>
      </c>
      <c r="BG45" s="7" t="s">
        <v>1372</v>
      </c>
      <c r="BH45" s="7" t="s">
        <v>1373</v>
      </c>
      <c r="BI45" s="7" t="s">
        <v>1417</v>
      </c>
    </row>
    <row r="46" spans="1:61" x14ac:dyDescent="0.35">
      <c r="A46" s="7" t="str">
        <f t="shared" si="0"/>
        <v>461594300008435</v>
      </c>
      <c r="B46" s="7" t="str">
        <f t="shared" si="1"/>
        <v>GP022119-001B856</v>
      </c>
      <c r="C46" s="22" t="s">
        <v>1177</v>
      </c>
      <c r="D46" s="22" t="s">
        <v>1178</v>
      </c>
      <c r="E46" s="22" t="s">
        <v>1424</v>
      </c>
      <c r="F46" s="22" t="s">
        <v>1363</v>
      </c>
      <c r="G46" s="22" t="s">
        <v>1363</v>
      </c>
      <c r="H46" s="22" t="s">
        <v>1271</v>
      </c>
      <c r="I46" s="23">
        <v>46159</v>
      </c>
      <c r="J46" s="22" t="s">
        <v>1425</v>
      </c>
      <c r="K46" s="22" t="s">
        <v>1407</v>
      </c>
      <c r="L46" s="22" t="s">
        <v>1177</v>
      </c>
      <c r="M46" s="22" t="s">
        <v>1274</v>
      </c>
      <c r="N46" s="22" t="s">
        <v>1079</v>
      </c>
      <c r="O46" s="22" t="s">
        <v>1275</v>
      </c>
      <c r="P46" s="23">
        <v>46159</v>
      </c>
      <c r="Q46" s="22" t="s">
        <v>1177</v>
      </c>
      <c r="R46" s="22" t="s">
        <v>21</v>
      </c>
      <c r="S46" s="22" t="s">
        <v>853</v>
      </c>
      <c r="T46" s="22" t="s">
        <v>236</v>
      </c>
      <c r="U46" s="22" t="s">
        <v>237</v>
      </c>
      <c r="V46" s="26">
        <v>74</v>
      </c>
      <c r="W46" s="22" t="s">
        <v>1262</v>
      </c>
      <c r="X46" s="22" t="s">
        <v>1262</v>
      </c>
      <c r="Y46" s="25">
        <v>0</v>
      </c>
      <c r="Z46" s="22" t="s">
        <v>1186</v>
      </c>
      <c r="AA46" s="22" t="s">
        <v>1177</v>
      </c>
      <c r="AB46" s="22" t="s">
        <v>1177</v>
      </c>
      <c r="AC46" s="22" t="s">
        <v>1177</v>
      </c>
      <c r="AD46" s="22" t="s">
        <v>1204</v>
      </c>
      <c r="AE46" s="22" t="s">
        <v>1408</v>
      </c>
      <c r="AF46" s="22" t="s">
        <v>1189</v>
      </c>
      <c r="AG46" s="22" t="s">
        <v>1178</v>
      </c>
      <c r="AH46" s="22" t="s">
        <v>1178</v>
      </c>
      <c r="AI46" s="22" t="s">
        <v>1280</v>
      </c>
      <c r="AJ46" s="22" t="s">
        <v>1189</v>
      </c>
      <c r="AK46" s="26">
        <v>74</v>
      </c>
      <c r="AL46" s="22" t="s">
        <v>1262</v>
      </c>
      <c r="AM46" s="23">
        <v>46260</v>
      </c>
      <c r="AN46" s="23">
        <v>46254</v>
      </c>
      <c r="AO46" s="23">
        <v>46254</v>
      </c>
      <c r="AP46" s="23">
        <v>46258</v>
      </c>
      <c r="AQ46" s="23">
        <v>46258</v>
      </c>
      <c r="AR46" s="23">
        <v>46260</v>
      </c>
      <c r="AS46" s="23">
        <v>46262</v>
      </c>
      <c r="AT46" s="22" t="s">
        <v>1281</v>
      </c>
      <c r="AU46" s="22" t="s">
        <v>1177</v>
      </c>
      <c r="AV46" s="22" t="s">
        <v>1192</v>
      </c>
      <c r="AW46" s="22" t="s">
        <v>1177</v>
      </c>
      <c r="AX46" s="26">
        <v>134</v>
      </c>
      <c r="AY46" s="26">
        <v>2</v>
      </c>
      <c r="AZ46" s="22" t="s">
        <v>1177</v>
      </c>
      <c r="BA46" s="26">
        <v>0</v>
      </c>
      <c r="BB46" s="22" t="s">
        <v>1262</v>
      </c>
      <c r="BC46" s="7" t="e">
        <v>#N/A</v>
      </c>
      <c r="BD46" s="7" t="e">
        <v>#N/A</v>
      </c>
      <c r="BE46" s="7" t="e">
        <v>#N/A</v>
      </c>
      <c r="BF46" s="7" t="e">
        <v>#N/A</v>
      </c>
      <c r="BG46" s="7" t="s">
        <v>1372</v>
      </c>
      <c r="BH46" s="7" t="s">
        <v>1373</v>
      </c>
      <c r="BI46" s="7" t="s">
        <v>1372</v>
      </c>
    </row>
    <row r="47" spans="1:61" x14ac:dyDescent="0.35">
      <c r="A47" s="7" t="str">
        <f t="shared" si="0"/>
        <v>461594300008436</v>
      </c>
      <c r="B47" s="7" t="str">
        <f t="shared" si="1"/>
        <v>GP048518B857</v>
      </c>
      <c r="C47" s="22" t="s">
        <v>1177</v>
      </c>
      <c r="D47" s="22" t="s">
        <v>1178</v>
      </c>
      <c r="E47" s="22" t="s">
        <v>1427</v>
      </c>
      <c r="F47" s="22" t="s">
        <v>1363</v>
      </c>
      <c r="G47" s="22" t="s">
        <v>1363</v>
      </c>
      <c r="H47" s="22" t="s">
        <v>1271</v>
      </c>
      <c r="I47" s="23">
        <v>46159</v>
      </c>
      <c r="J47" s="22" t="s">
        <v>1428</v>
      </c>
      <c r="K47" s="22" t="s">
        <v>1426</v>
      </c>
      <c r="L47" s="22" t="s">
        <v>1177</v>
      </c>
      <c r="M47" s="22" t="s">
        <v>1274</v>
      </c>
      <c r="N47" s="22" t="s">
        <v>1079</v>
      </c>
      <c r="O47" s="22" t="s">
        <v>1275</v>
      </c>
      <c r="P47" s="23">
        <v>46159</v>
      </c>
      <c r="Q47" s="22" t="s">
        <v>1177</v>
      </c>
      <c r="R47" s="22" t="s">
        <v>23</v>
      </c>
      <c r="S47" s="22" t="s">
        <v>959</v>
      </c>
      <c r="T47" s="22" t="s">
        <v>1402</v>
      </c>
      <c r="U47" s="22" t="s">
        <v>1403</v>
      </c>
      <c r="V47" s="26">
        <v>1116</v>
      </c>
      <c r="W47" s="22" t="s">
        <v>1404</v>
      </c>
      <c r="X47" s="22" t="s">
        <v>1404</v>
      </c>
      <c r="Y47" s="25">
        <v>0</v>
      </c>
      <c r="Z47" s="22" t="s">
        <v>1186</v>
      </c>
      <c r="AA47" s="22" t="s">
        <v>1177</v>
      </c>
      <c r="AB47" s="22" t="s">
        <v>1177</v>
      </c>
      <c r="AC47" s="22" t="s">
        <v>1177</v>
      </c>
      <c r="AD47" s="22" t="s">
        <v>1204</v>
      </c>
      <c r="AE47" s="22" t="s">
        <v>1354</v>
      </c>
      <c r="AF47" s="22" t="s">
        <v>1189</v>
      </c>
      <c r="AG47" s="22" t="s">
        <v>1190</v>
      </c>
      <c r="AH47" s="22" t="s">
        <v>1178</v>
      </c>
      <c r="AI47" s="22" t="s">
        <v>1280</v>
      </c>
      <c r="AJ47" s="22" t="s">
        <v>1189</v>
      </c>
      <c r="AK47" s="26">
        <v>1116</v>
      </c>
      <c r="AL47" s="22" t="s">
        <v>1404</v>
      </c>
      <c r="AM47" s="23">
        <v>46232</v>
      </c>
      <c r="AN47" s="23">
        <v>46226</v>
      </c>
      <c r="AO47" s="23">
        <v>46226</v>
      </c>
      <c r="AP47" s="23">
        <v>46230</v>
      </c>
      <c r="AQ47" s="23">
        <v>46230</v>
      </c>
      <c r="AR47" s="23">
        <v>46232</v>
      </c>
      <c r="AS47" s="23">
        <v>46232</v>
      </c>
      <c r="AT47" s="22" t="s">
        <v>1281</v>
      </c>
      <c r="AU47" s="22" t="s">
        <v>1177</v>
      </c>
      <c r="AV47" s="22" t="s">
        <v>1192</v>
      </c>
      <c r="AW47" s="22" t="s">
        <v>1177</v>
      </c>
      <c r="AX47" s="26">
        <v>0</v>
      </c>
      <c r="AY47" s="26">
        <v>0</v>
      </c>
      <c r="AZ47" s="22" t="s">
        <v>1177</v>
      </c>
      <c r="BA47" s="26">
        <v>0</v>
      </c>
      <c r="BB47" s="22" t="s">
        <v>1404</v>
      </c>
      <c r="BC47" s="7" t="e">
        <v>#N/A</v>
      </c>
      <c r="BD47" s="7" t="e">
        <v>#N/A</v>
      </c>
      <c r="BE47" s="7" t="e">
        <v>#N/A</v>
      </c>
      <c r="BF47" s="7" t="e">
        <v>#N/A</v>
      </c>
      <c r="BG47" s="7" t="s">
        <v>1372</v>
      </c>
      <c r="BH47" s="7" t="s">
        <v>1373</v>
      </c>
      <c r="BI47" s="7" t="s">
        <v>1372</v>
      </c>
    </row>
    <row r="48" spans="1:61" x14ac:dyDescent="0.35">
      <c r="A48" s="7" t="str">
        <f t="shared" si="0"/>
        <v>461594300008442</v>
      </c>
      <c r="B48" s="7" t="str">
        <f t="shared" si="1"/>
        <v>GP467112B825</v>
      </c>
      <c r="C48" s="22" t="s">
        <v>1177</v>
      </c>
      <c r="D48" s="22" t="s">
        <v>1178</v>
      </c>
      <c r="E48" s="22" t="s">
        <v>1432</v>
      </c>
      <c r="F48" s="22" t="s">
        <v>1363</v>
      </c>
      <c r="G48" s="22" t="s">
        <v>1363</v>
      </c>
      <c r="H48" s="22" t="s">
        <v>1271</v>
      </c>
      <c r="I48" s="23">
        <v>46159</v>
      </c>
      <c r="J48" s="22" t="s">
        <v>1433</v>
      </c>
      <c r="K48" s="22" t="s">
        <v>1380</v>
      </c>
      <c r="L48" s="22" t="s">
        <v>1177</v>
      </c>
      <c r="M48" s="22" t="s">
        <v>1274</v>
      </c>
      <c r="N48" s="22" t="s">
        <v>1079</v>
      </c>
      <c r="O48" s="22" t="s">
        <v>1275</v>
      </c>
      <c r="P48" s="23">
        <v>46191</v>
      </c>
      <c r="Q48" s="22" t="s">
        <v>1177</v>
      </c>
      <c r="R48" s="22" t="s">
        <v>16</v>
      </c>
      <c r="S48" s="22" t="s">
        <v>512</v>
      </c>
      <c r="T48" s="22" t="s">
        <v>1434</v>
      </c>
      <c r="U48" s="22" t="s">
        <v>1435</v>
      </c>
      <c r="V48" s="26">
        <v>778</v>
      </c>
      <c r="W48" s="22" t="s">
        <v>1262</v>
      </c>
      <c r="X48" s="22" t="s">
        <v>1262</v>
      </c>
      <c r="Y48" s="25">
        <v>0</v>
      </c>
      <c r="Z48" s="22" t="s">
        <v>1186</v>
      </c>
      <c r="AA48" s="22" t="s">
        <v>1177</v>
      </c>
      <c r="AB48" s="22" t="s">
        <v>1276</v>
      </c>
      <c r="AC48" s="22" t="s">
        <v>1277</v>
      </c>
      <c r="AD48" s="22" t="s">
        <v>1278</v>
      </c>
      <c r="AE48" s="22" t="s">
        <v>1354</v>
      </c>
      <c r="AF48" s="22" t="s">
        <v>1178</v>
      </c>
      <c r="AG48" s="22" t="s">
        <v>1190</v>
      </c>
      <c r="AH48" s="22" t="s">
        <v>1178</v>
      </c>
      <c r="AI48" s="22" t="s">
        <v>1349</v>
      </c>
      <c r="AJ48" s="22" t="s">
        <v>1189</v>
      </c>
      <c r="AK48" s="26">
        <v>778</v>
      </c>
      <c r="AL48" s="22" t="s">
        <v>1262</v>
      </c>
      <c r="AM48" s="23">
        <v>47172</v>
      </c>
      <c r="AN48" s="23">
        <v>47168</v>
      </c>
      <c r="AO48" s="23">
        <v>47168</v>
      </c>
      <c r="AP48" s="23">
        <v>47170</v>
      </c>
      <c r="AQ48" s="23">
        <v>47170</v>
      </c>
      <c r="AR48" s="23">
        <v>47172</v>
      </c>
      <c r="AS48" s="23">
        <v>47172</v>
      </c>
      <c r="AT48" s="22" t="s">
        <v>1281</v>
      </c>
      <c r="AU48" s="22" t="s">
        <v>1177</v>
      </c>
      <c r="AV48" s="22" t="s">
        <v>1192</v>
      </c>
      <c r="AW48" s="22" t="s">
        <v>1177</v>
      </c>
      <c r="AX48" s="26">
        <v>0</v>
      </c>
      <c r="AY48" s="26">
        <v>0</v>
      </c>
      <c r="AZ48" s="22" t="s">
        <v>1177</v>
      </c>
      <c r="BA48" s="26">
        <v>0</v>
      </c>
      <c r="BB48" s="22" t="s">
        <v>1262</v>
      </c>
      <c r="BC48" s="7" t="e">
        <v>#N/A</v>
      </c>
      <c r="BD48" s="7" t="e">
        <v>#N/A</v>
      </c>
      <c r="BE48" s="7" t="e">
        <v>#N/A</v>
      </c>
      <c r="BF48" s="7" t="e">
        <v>#N/A</v>
      </c>
      <c r="BG48" s="7" t="s">
        <v>1372</v>
      </c>
      <c r="BH48" s="7" t="s">
        <v>1373</v>
      </c>
      <c r="BI48" s="7" t="s">
        <v>1372</v>
      </c>
    </row>
    <row r="49" spans="1:61" x14ac:dyDescent="0.35">
      <c r="A49" s="7" t="str">
        <f t="shared" si="0"/>
        <v>461594300008460</v>
      </c>
      <c r="B49" s="7" t="str">
        <f t="shared" si="1"/>
        <v>153282B825</v>
      </c>
      <c r="C49" s="22" t="s">
        <v>1177</v>
      </c>
      <c r="D49" s="22" t="s">
        <v>1178</v>
      </c>
      <c r="E49" s="22" t="s">
        <v>1439</v>
      </c>
      <c r="F49" s="22" t="s">
        <v>1363</v>
      </c>
      <c r="G49" s="22" t="s">
        <v>1363</v>
      </c>
      <c r="H49" s="22" t="s">
        <v>1271</v>
      </c>
      <c r="I49" s="23">
        <v>46159</v>
      </c>
      <c r="J49" s="22" t="s">
        <v>1440</v>
      </c>
      <c r="K49" s="22" t="s">
        <v>1199</v>
      </c>
      <c r="L49" s="22" t="s">
        <v>1177</v>
      </c>
      <c r="M49" s="22" t="s">
        <v>1274</v>
      </c>
      <c r="N49" s="22" t="s">
        <v>1079</v>
      </c>
      <c r="O49" s="22" t="s">
        <v>1275</v>
      </c>
      <c r="P49" s="23">
        <v>46159</v>
      </c>
      <c r="Q49" s="22" t="s">
        <v>1177</v>
      </c>
      <c r="R49" s="22" t="s">
        <v>16</v>
      </c>
      <c r="S49" s="22" t="s">
        <v>512</v>
      </c>
      <c r="T49" s="22" t="s">
        <v>1441</v>
      </c>
      <c r="U49" s="22" t="s">
        <v>1442</v>
      </c>
      <c r="V49" s="26">
        <v>12</v>
      </c>
      <c r="W49" s="22" t="s">
        <v>1262</v>
      </c>
      <c r="X49" s="22" t="s">
        <v>1262</v>
      </c>
      <c r="Y49" s="25">
        <v>0</v>
      </c>
      <c r="Z49" s="22" t="s">
        <v>1186</v>
      </c>
      <c r="AA49" s="22" t="s">
        <v>1177</v>
      </c>
      <c r="AB49" s="22" t="s">
        <v>1276</v>
      </c>
      <c r="AC49" s="22" t="s">
        <v>1277</v>
      </c>
      <c r="AD49" s="22" t="s">
        <v>1278</v>
      </c>
      <c r="AE49" s="22" t="s">
        <v>1378</v>
      </c>
      <c r="AF49" s="22" t="s">
        <v>1178</v>
      </c>
      <c r="AG49" s="22" t="s">
        <v>1190</v>
      </c>
      <c r="AH49" s="22" t="s">
        <v>1178</v>
      </c>
      <c r="AI49" s="22" t="s">
        <v>1349</v>
      </c>
      <c r="AJ49" s="22" t="s">
        <v>1189</v>
      </c>
      <c r="AK49" s="26">
        <v>12</v>
      </c>
      <c r="AL49" s="22" t="s">
        <v>1262</v>
      </c>
      <c r="AM49" s="23">
        <v>47172</v>
      </c>
      <c r="AN49" s="23">
        <v>47168</v>
      </c>
      <c r="AO49" s="23">
        <v>47168</v>
      </c>
      <c r="AP49" s="23">
        <v>47170</v>
      </c>
      <c r="AQ49" s="23">
        <v>47170</v>
      </c>
      <c r="AR49" s="23">
        <v>47172</v>
      </c>
      <c r="AS49" s="23">
        <v>47176</v>
      </c>
      <c r="AT49" s="22" t="s">
        <v>1281</v>
      </c>
      <c r="AU49" s="22" t="s">
        <v>1177</v>
      </c>
      <c r="AV49" s="22" t="s">
        <v>1192</v>
      </c>
      <c r="AW49" s="22" t="s">
        <v>1177</v>
      </c>
      <c r="AX49" s="26">
        <v>33</v>
      </c>
      <c r="AY49" s="26">
        <v>2</v>
      </c>
      <c r="AZ49" s="22" t="s">
        <v>1177</v>
      </c>
      <c r="BA49" s="26">
        <v>0</v>
      </c>
      <c r="BB49" s="22" t="s">
        <v>1262</v>
      </c>
      <c r="BC49" s="7" t="e">
        <v>#N/A</v>
      </c>
      <c r="BD49" s="7" t="e">
        <v>#N/A</v>
      </c>
      <c r="BE49" s="7" t="e">
        <v>#N/A</v>
      </c>
      <c r="BF49" s="7" t="e">
        <v>#N/A</v>
      </c>
      <c r="BG49" s="7" t="s">
        <v>1372</v>
      </c>
      <c r="BH49" s="7" t="s">
        <v>1373</v>
      </c>
      <c r="BI49" s="7" t="s">
        <v>1372</v>
      </c>
    </row>
    <row r="50" spans="1:61" x14ac:dyDescent="0.35">
      <c r="A50" s="7" t="str">
        <f t="shared" si="0"/>
        <v>461594300008468</v>
      </c>
      <c r="B50" s="7" t="str">
        <f t="shared" si="1"/>
        <v>P670143B864</v>
      </c>
      <c r="C50" s="22" t="s">
        <v>1177</v>
      </c>
      <c r="D50" s="22" t="s">
        <v>1178</v>
      </c>
      <c r="E50" s="22" t="s">
        <v>1448</v>
      </c>
      <c r="F50" s="22" t="s">
        <v>1363</v>
      </c>
      <c r="G50" s="22" t="s">
        <v>1363</v>
      </c>
      <c r="H50" s="22" t="s">
        <v>1271</v>
      </c>
      <c r="I50" s="23">
        <v>46159</v>
      </c>
      <c r="J50" s="22" t="s">
        <v>1449</v>
      </c>
      <c r="K50" s="22" t="s">
        <v>1199</v>
      </c>
      <c r="L50" s="22" t="s">
        <v>1177</v>
      </c>
      <c r="M50" s="22" t="s">
        <v>1274</v>
      </c>
      <c r="N50" s="22" t="s">
        <v>1079</v>
      </c>
      <c r="O50" s="22" t="s">
        <v>1275</v>
      </c>
      <c r="P50" s="23">
        <v>46159</v>
      </c>
      <c r="Q50" s="22" t="s">
        <v>1177</v>
      </c>
      <c r="R50" s="22" t="s">
        <v>10</v>
      </c>
      <c r="S50" s="22" t="s">
        <v>1011</v>
      </c>
      <c r="T50" s="22" t="s">
        <v>440</v>
      </c>
      <c r="U50" s="22" t="s">
        <v>441</v>
      </c>
      <c r="V50" s="26">
        <v>668</v>
      </c>
      <c r="W50" s="22" t="s">
        <v>1262</v>
      </c>
      <c r="X50" s="22" t="s">
        <v>1262</v>
      </c>
      <c r="Y50" s="25">
        <v>0</v>
      </c>
      <c r="Z50" s="22" t="s">
        <v>1186</v>
      </c>
      <c r="AA50" s="22" t="s">
        <v>1177</v>
      </c>
      <c r="AB50" s="22" t="s">
        <v>1286</v>
      </c>
      <c r="AC50" s="22" t="s">
        <v>1277</v>
      </c>
      <c r="AD50" s="22" t="s">
        <v>1278</v>
      </c>
      <c r="AE50" s="22" t="s">
        <v>1383</v>
      </c>
      <c r="AF50" s="22" t="s">
        <v>1178</v>
      </c>
      <c r="AG50" s="22" t="s">
        <v>1178</v>
      </c>
      <c r="AH50" s="22" t="s">
        <v>1178</v>
      </c>
      <c r="AI50" s="22" t="s">
        <v>1280</v>
      </c>
      <c r="AJ50" s="22" t="s">
        <v>1190</v>
      </c>
      <c r="AK50" s="26">
        <v>0</v>
      </c>
      <c r="AL50" s="22" t="s">
        <v>1262</v>
      </c>
      <c r="AM50" s="23">
        <v>47177</v>
      </c>
      <c r="AN50" s="23">
        <v>47171</v>
      </c>
      <c r="AO50" s="23">
        <v>47171</v>
      </c>
      <c r="AP50" s="23">
        <v>47175</v>
      </c>
      <c r="AQ50" s="23">
        <v>47175</v>
      </c>
      <c r="AR50" s="23">
        <v>47177</v>
      </c>
      <c r="AS50" s="23">
        <v>47179</v>
      </c>
      <c r="AT50" s="22" t="s">
        <v>1281</v>
      </c>
      <c r="AU50" s="22" t="s">
        <v>1177</v>
      </c>
      <c r="AV50" s="22" t="s">
        <v>1192</v>
      </c>
      <c r="AW50" s="22" t="s">
        <v>1177</v>
      </c>
      <c r="AX50" s="26">
        <v>71</v>
      </c>
      <c r="AY50" s="26">
        <v>2</v>
      </c>
      <c r="AZ50" s="22" t="s">
        <v>1177</v>
      </c>
      <c r="BA50" s="26">
        <v>0</v>
      </c>
      <c r="BB50" s="22" t="s">
        <v>1262</v>
      </c>
      <c r="BC50" s="7" t="e">
        <v>#N/A</v>
      </c>
      <c r="BD50" s="7" t="e">
        <v>#N/A</v>
      </c>
      <c r="BE50" s="7" t="e">
        <v>#N/A</v>
      </c>
      <c r="BF50" s="7" t="e">
        <v>#N/A</v>
      </c>
      <c r="BG50" s="7" t="s">
        <v>1372</v>
      </c>
      <c r="BH50" s="7" t="s">
        <v>1373</v>
      </c>
      <c r="BI50" s="7" t="s">
        <v>1372</v>
      </c>
    </row>
    <row r="51" spans="1:61" x14ac:dyDescent="0.35">
      <c r="A51" s="7" t="str">
        <f t="shared" si="0"/>
        <v>461594300008472</v>
      </c>
      <c r="B51" s="7" t="str">
        <f t="shared" si="1"/>
        <v>F250014B825</v>
      </c>
      <c r="C51" s="22" t="s">
        <v>1177</v>
      </c>
      <c r="D51" s="22" t="s">
        <v>1178</v>
      </c>
      <c r="E51" s="22" t="s">
        <v>1450</v>
      </c>
      <c r="F51" s="22" t="s">
        <v>1363</v>
      </c>
      <c r="G51" s="22" t="s">
        <v>1363</v>
      </c>
      <c r="H51" s="22" t="s">
        <v>1271</v>
      </c>
      <c r="I51" s="23">
        <v>46159</v>
      </c>
      <c r="J51" s="22" t="s">
        <v>1451</v>
      </c>
      <c r="K51" s="22" t="s">
        <v>1380</v>
      </c>
      <c r="L51" s="22" t="s">
        <v>1177</v>
      </c>
      <c r="M51" s="22" t="s">
        <v>1274</v>
      </c>
      <c r="N51" s="22" t="s">
        <v>1079</v>
      </c>
      <c r="O51" s="22" t="s">
        <v>1275</v>
      </c>
      <c r="P51" s="23">
        <v>46159</v>
      </c>
      <c r="Q51" s="22" t="s">
        <v>1177</v>
      </c>
      <c r="R51" s="22" t="s">
        <v>16</v>
      </c>
      <c r="S51" s="22" t="s">
        <v>512</v>
      </c>
      <c r="T51" s="22" t="s">
        <v>344</v>
      </c>
      <c r="U51" s="22" t="s">
        <v>1452</v>
      </c>
      <c r="V51" s="26">
        <v>20</v>
      </c>
      <c r="W51" s="22" t="s">
        <v>1262</v>
      </c>
      <c r="X51" s="22" t="s">
        <v>1262</v>
      </c>
      <c r="Y51" s="25">
        <v>0</v>
      </c>
      <c r="Z51" s="22" t="s">
        <v>1186</v>
      </c>
      <c r="AA51" s="22" t="s">
        <v>1177</v>
      </c>
      <c r="AB51" s="22" t="s">
        <v>1276</v>
      </c>
      <c r="AC51" s="22" t="s">
        <v>1277</v>
      </c>
      <c r="AD51" s="22" t="s">
        <v>1278</v>
      </c>
      <c r="AE51" s="22" t="s">
        <v>1354</v>
      </c>
      <c r="AF51" s="22" t="s">
        <v>1178</v>
      </c>
      <c r="AG51" s="22" t="s">
        <v>1190</v>
      </c>
      <c r="AH51" s="22" t="s">
        <v>1178</v>
      </c>
      <c r="AI51" s="22" t="s">
        <v>1349</v>
      </c>
      <c r="AJ51" s="22" t="s">
        <v>1190</v>
      </c>
      <c r="AK51" s="26">
        <v>0</v>
      </c>
      <c r="AL51" s="22" t="s">
        <v>1262</v>
      </c>
      <c r="AM51" s="23">
        <v>45487</v>
      </c>
      <c r="AN51" s="23">
        <v>46160</v>
      </c>
      <c r="AO51" s="23">
        <v>46160</v>
      </c>
      <c r="AP51" s="23">
        <v>46162</v>
      </c>
      <c r="AQ51" s="23">
        <v>46162</v>
      </c>
      <c r="AR51" s="23">
        <v>46164</v>
      </c>
      <c r="AS51" s="23">
        <v>46168</v>
      </c>
      <c r="AT51" s="22" t="s">
        <v>1281</v>
      </c>
      <c r="AU51" s="22" t="s">
        <v>1177</v>
      </c>
      <c r="AV51" s="22" t="s">
        <v>1192</v>
      </c>
      <c r="AW51" s="22" t="s">
        <v>1177</v>
      </c>
      <c r="AX51" s="26">
        <v>163</v>
      </c>
      <c r="AY51" s="26">
        <v>2</v>
      </c>
      <c r="AZ51" s="22" t="s">
        <v>1177</v>
      </c>
      <c r="BA51" s="26">
        <v>20</v>
      </c>
      <c r="BB51" s="22" t="s">
        <v>1262</v>
      </c>
      <c r="BC51" s="7" t="s">
        <v>1453</v>
      </c>
      <c r="BD51" s="7">
        <v>20</v>
      </c>
      <c r="BE51" s="7">
        <v>46230</v>
      </c>
      <c r="BF51" s="7" t="s">
        <v>1165</v>
      </c>
      <c r="BG51" s="7" t="s">
        <v>1212</v>
      </c>
      <c r="BH51" s="7" t="s">
        <v>1454</v>
      </c>
      <c r="BI51" s="7" t="s">
        <v>1455</v>
      </c>
    </row>
    <row r="52" spans="1:61" x14ac:dyDescent="0.35">
      <c r="A52" s="7" t="str">
        <f t="shared" si="0"/>
        <v>461594300008476</v>
      </c>
      <c r="B52" s="7" t="str">
        <f t="shared" si="1"/>
        <v>GP092948B856</v>
      </c>
      <c r="C52" s="22" t="s">
        <v>1177</v>
      </c>
      <c r="D52" s="22" t="s">
        <v>1178</v>
      </c>
      <c r="E52" s="22" t="s">
        <v>1456</v>
      </c>
      <c r="F52" s="22" t="s">
        <v>1363</v>
      </c>
      <c r="G52" s="22" t="s">
        <v>1363</v>
      </c>
      <c r="H52" s="22" t="s">
        <v>1271</v>
      </c>
      <c r="I52" s="23">
        <v>46159</v>
      </c>
      <c r="J52" s="22" t="s">
        <v>1457</v>
      </c>
      <c r="K52" s="22" t="s">
        <v>1182</v>
      </c>
      <c r="L52" s="22" t="s">
        <v>1177</v>
      </c>
      <c r="M52" s="22" t="s">
        <v>1274</v>
      </c>
      <c r="N52" s="22" t="s">
        <v>1079</v>
      </c>
      <c r="O52" s="22" t="s">
        <v>1275</v>
      </c>
      <c r="P52" s="23">
        <v>46159</v>
      </c>
      <c r="Q52" s="22" t="s">
        <v>1177</v>
      </c>
      <c r="R52" s="22" t="s">
        <v>21</v>
      </c>
      <c r="S52" s="22" t="s">
        <v>853</v>
      </c>
      <c r="T52" s="22" t="s">
        <v>1085</v>
      </c>
      <c r="U52" s="22" t="s">
        <v>1086</v>
      </c>
      <c r="V52" s="26">
        <v>316</v>
      </c>
      <c r="W52" s="22" t="s">
        <v>1262</v>
      </c>
      <c r="X52" s="22" t="s">
        <v>1262</v>
      </c>
      <c r="Y52" s="25">
        <v>0</v>
      </c>
      <c r="Z52" s="22" t="s">
        <v>1186</v>
      </c>
      <c r="AA52" s="22" t="s">
        <v>1177</v>
      </c>
      <c r="AB52" s="22" t="s">
        <v>1286</v>
      </c>
      <c r="AC52" s="22" t="s">
        <v>1277</v>
      </c>
      <c r="AD52" s="22" t="s">
        <v>1278</v>
      </c>
      <c r="AE52" s="22" t="s">
        <v>1383</v>
      </c>
      <c r="AF52" s="22" t="s">
        <v>1178</v>
      </c>
      <c r="AG52" s="22" t="s">
        <v>1178</v>
      </c>
      <c r="AH52" s="22" t="s">
        <v>1178</v>
      </c>
      <c r="AI52" s="22" t="s">
        <v>1280</v>
      </c>
      <c r="AJ52" s="22" t="s">
        <v>1190</v>
      </c>
      <c r="AK52" s="26">
        <v>0</v>
      </c>
      <c r="AL52" s="22" t="s">
        <v>1262</v>
      </c>
      <c r="AM52" s="23">
        <v>45555</v>
      </c>
      <c r="AN52" s="23">
        <v>46231</v>
      </c>
      <c r="AO52" s="23">
        <v>46163</v>
      </c>
      <c r="AP52" s="23">
        <v>46167</v>
      </c>
      <c r="AQ52" s="23">
        <v>46167</v>
      </c>
      <c r="AR52" s="23">
        <v>46169</v>
      </c>
      <c r="AS52" s="23">
        <v>46191</v>
      </c>
      <c r="AT52" s="22" t="s">
        <v>1281</v>
      </c>
      <c r="AU52" s="22" t="s">
        <v>1177</v>
      </c>
      <c r="AV52" s="22" t="s">
        <v>1192</v>
      </c>
      <c r="AW52" s="22" t="s">
        <v>1177</v>
      </c>
      <c r="AX52" s="26">
        <v>60</v>
      </c>
      <c r="AY52" s="26">
        <v>16</v>
      </c>
      <c r="AZ52" s="22" t="s">
        <v>1177</v>
      </c>
      <c r="BA52" s="26">
        <v>0</v>
      </c>
      <c r="BB52" s="22" t="s">
        <v>1262</v>
      </c>
      <c r="BC52" s="7" t="e">
        <v>#N/A</v>
      </c>
      <c r="BD52" s="7" t="e">
        <v>#N/A</v>
      </c>
      <c r="BE52" s="7" t="e">
        <v>#N/A</v>
      </c>
      <c r="BF52" s="7" t="e">
        <v>#N/A</v>
      </c>
      <c r="BG52" s="7" t="s">
        <v>1458</v>
      </c>
      <c r="BH52" s="7" t="s">
        <v>1454</v>
      </c>
      <c r="BI52" s="7" t="s">
        <v>1458</v>
      </c>
    </row>
    <row r="53" spans="1:61" x14ac:dyDescent="0.35">
      <c r="A53" s="7" t="str">
        <f t="shared" si="0"/>
        <v>461594300008477</v>
      </c>
      <c r="B53" s="7" t="str">
        <f t="shared" si="1"/>
        <v>GP015432B856</v>
      </c>
      <c r="C53" s="22" t="s">
        <v>1177</v>
      </c>
      <c r="D53" s="22" t="s">
        <v>1178</v>
      </c>
      <c r="E53" s="22" t="s">
        <v>1459</v>
      </c>
      <c r="F53" s="22" t="s">
        <v>1363</v>
      </c>
      <c r="G53" s="22" t="s">
        <v>1363</v>
      </c>
      <c r="H53" s="22" t="s">
        <v>1271</v>
      </c>
      <c r="I53" s="23">
        <v>46159</v>
      </c>
      <c r="J53" s="22" t="s">
        <v>1460</v>
      </c>
      <c r="K53" s="22" t="s">
        <v>1198</v>
      </c>
      <c r="L53" s="22" t="s">
        <v>1177</v>
      </c>
      <c r="M53" s="22" t="s">
        <v>1274</v>
      </c>
      <c r="N53" s="22" t="s">
        <v>1079</v>
      </c>
      <c r="O53" s="22" t="s">
        <v>1275</v>
      </c>
      <c r="P53" s="23">
        <v>46159</v>
      </c>
      <c r="Q53" s="22" t="s">
        <v>1177</v>
      </c>
      <c r="R53" s="22" t="s">
        <v>21</v>
      </c>
      <c r="S53" s="22" t="s">
        <v>853</v>
      </c>
      <c r="T53" s="22" t="s">
        <v>1461</v>
      </c>
      <c r="U53" s="22" t="s">
        <v>1462</v>
      </c>
      <c r="V53" s="26">
        <v>15</v>
      </c>
      <c r="W53" s="22" t="s">
        <v>1185</v>
      </c>
      <c r="X53" s="22" t="s">
        <v>1185</v>
      </c>
      <c r="Y53" s="25">
        <v>0</v>
      </c>
      <c r="Z53" s="22" t="s">
        <v>1186</v>
      </c>
      <c r="AA53" s="22" t="s">
        <v>1177</v>
      </c>
      <c r="AB53" s="22" t="s">
        <v>1276</v>
      </c>
      <c r="AC53" s="22" t="s">
        <v>1277</v>
      </c>
      <c r="AD53" s="22" t="s">
        <v>1278</v>
      </c>
      <c r="AE53" s="22" t="s">
        <v>1463</v>
      </c>
      <c r="AF53" s="22" t="s">
        <v>1178</v>
      </c>
      <c r="AG53" s="22" t="s">
        <v>1190</v>
      </c>
      <c r="AH53" s="22" t="s">
        <v>1178</v>
      </c>
      <c r="AI53" s="22" t="s">
        <v>1280</v>
      </c>
      <c r="AJ53" s="22" t="s">
        <v>1190</v>
      </c>
      <c r="AK53" s="26">
        <v>0</v>
      </c>
      <c r="AL53" s="22" t="s">
        <v>1185</v>
      </c>
      <c r="AM53" s="23">
        <v>45464</v>
      </c>
      <c r="AN53" s="23">
        <v>46245</v>
      </c>
      <c r="AO53" s="23">
        <v>46163</v>
      </c>
      <c r="AP53" s="23">
        <v>46167</v>
      </c>
      <c r="AQ53" s="23">
        <v>46167</v>
      </c>
      <c r="AR53" s="23">
        <v>46169</v>
      </c>
      <c r="AS53" s="23">
        <v>46171</v>
      </c>
      <c r="AT53" s="22" t="s">
        <v>1281</v>
      </c>
      <c r="AU53" s="22" t="s">
        <v>1177</v>
      </c>
      <c r="AV53" s="22" t="s">
        <v>1192</v>
      </c>
      <c r="AW53" s="22" t="s">
        <v>1177</v>
      </c>
      <c r="AX53" s="26">
        <v>119</v>
      </c>
      <c r="AY53" s="26">
        <v>2</v>
      </c>
      <c r="AZ53" s="22" t="s">
        <v>1177</v>
      </c>
      <c r="BA53" s="26">
        <v>0</v>
      </c>
      <c r="BB53" s="22" t="s">
        <v>1185</v>
      </c>
      <c r="BC53" s="7" t="e">
        <v>#N/A</v>
      </c>
      <c r="BD53" s="7" t="e">
        <v>#N/A</v>
      </c>
      <c r="BE53" s="7" t="e">
        <v>#N/A</v>
      </c>
      <c r="BF53" s="7" t="e">
        <v>#N/A</v>
      </c>
      <c r="BG53" s="7" t="s">
        <v>1464</v>
      </c>
      <c r="BH53" s="7" t="s">
        <v>1465</v>
      </c>
      <c r="BI53" s="7" t="s">
        <v>1466</v>
      </c>
    </row>
    <row r="54" spans="1:61" x14ac:dyDescent="0.35">
      <c r="A54" s="7" t="str">
        <f t="shared" si="0"/>
        <v>461594300008508</v>
      </c>
      <c r="B54" s="7" t="str">
        <f t="shared" si="1"/>
        <v>GP557217B856</v>
      </c>
      <c r="C54" t="s">
        <v>1177</v>
      </c>
      <c r="D54" t="s">
        <v>1178</v>
      </c>
      <c r="E54" t="s">
        <v>1468</v>
      </c>
      <c r="F54" t="s">
        <v>1363</v>
      </c>
      <c r="G54" t="s">
        <v>1363</v>
      </c>
      <c r="H54" t="s">
        <v>1271</v>
      </c>
      <c r="I54">
        <v>46159</v>
      </c>
      <c r="J54" t="s">
        <v>1469</v>
      </c>
      <c r="K54" t="s">
        <v>1288</v>
      </c>
      <c r="L54" t="s">
        <v>1177</v>
      </c>
      <c r="M54" t="s">
        <v>1274</v>
      </c>
      <c r="N54" t="s">
        <v>1079</v>
      </c>
      <c r="O54" t="s">
        <v>1275</v>
      </c>
      <c r="P54">
        <v>46159</v>
      </c>
      <c r="Q54" t="s">
        <v>1177</v>
      </c>
      <c r="R54" t="s">
        <v>21</v>
      </c>
      <c r="S54" t="s">
        <v>853</v>
      </c>
      <c r="T54" t="s">
        <v>1470</v>
      </c>
      <c r="U54" t="s">
        <v>1471</v>
      </c>
      <c r="V54">
        <v>24</v>
      </c>
      <c r="W54" t="s">
        <v>1262</v>
      </c>
      <c r="X54" t="s">
        <v>1262</v>
      </c>
      <c r="Y54">
        <v>0</v>
      </c>
      <c r="Z54" t="s">
        <v>1186</v>
      </c>
      <c r="AA54" t="s">
        <v>1177</v>
      </c>
      <c r="AB54" t="s">
        <v>1276</v>
      </c>
      <c r="AC54" t="s">
        <v>1277</v>
      </c>
      <c r="AD54" t="s">
        <v>1278</v>
      </c>
      <c r="AE54" t="s">
        <v>1371</v>
      </c>
      <c r="AF54" t="s">
        <v>1178</v>
      </c>
      <c r="AG54" t="s">
        <v>1190</v>
      </c>
      <c r="AH54" t="s">
        <v>1178</v>
      </c>
      <c r="AI54" t="s">
        <v>1280</v>
      </c>
      <c r="AJ54" t="s">
        <v>1190</v>
      </c>
      <c r="AK54">
        <v>0</v>
      </c>
      <c r="AL54" t="s">
        <v>1262</v>
      </c>
      <c r="AM54">
        <v>47177</v>
      </c>
      <c r="AN54">
        <v>47171</v>
      </c>
      <c r="AO54">
        <v>47171</v>
      </c>
      <c r="AP54">
        <v>47175</v>
      </c>
      <c r="AQ54">
        <v>47175</v>
      </c>
      <c r="AR54">
        <v>47177</v>
      </c>
      <c r="AS54">
        <v>47177</v>
      </c>
      <c r="AT54" t="s">
        <v>1281</v>
      </c>
      <c r="AU54" t="s">
        <v>1177</v>
      </c>
      <c r="AV54" t="s">
        <v>1192</v>
      </c>
      <c r="AW54" t="s">
        <v>1177</v>
      </c>
      <c r="AX54">
        <v>0</v>
      </c>
      <c r="AY54">
        <v>0</v>
      </c>
      <c r="AZ54" t="s">
        <v>1177</v>
      </c>
      <c r="BA54">
        <v>0</v>
      </c>
      <c r="BB54" t="s">
        <v>1262</v>
      </c>
      <c r="BC54" t="e">
        <v>#N/A</v>
      </c>
      <c r="BD54" t="e">
        <v>#N/A</v>
      </c>
      <c r="BE54" t="e">
        <v>#N/A</v>
      </c>
      <c r="BF54" t="e">
        <v>#N/A</v>
      </c>
      <c r="BG54" t="s">
        <v>1372</v>
      </c>
      <c r="BH54" t="s">
        <v>1373</v>
      </c>
      <c r="BI54" t="s">
        <v>1372</v>
      </c>
    </row>
    <row r="55" spans="1:61" x14ac:dyDescent="0.35">
      <c r="A55" s="7" t="str">
        <f t="shared" si="0"/>
        <v>461594300008511</v>
      </c>
      <c r="B55" s="7" t="str">
        <f t="shared" si="1"/>
        <v>GP469730B833</v>
      </c>
      <c r="C55" t="s">
        <v>1177</v>
      </c>
      <c r="D55" t="s">
        <v>1178</v>
      </c>
      <c r="E55" t="s">
        <v>1474</v>
      </c>
      <c r="F55" t="s">
        <v>1363</v>
      </c>
      <c r="G55" t="s">
        <v>1363</v>
      </c>
      <c r="H55" t="s">
        <v>1271</v>
      </c>
      <c r="I55">
        <v>46159</v>
      </c>
      <c r="J55" t="s">
        <v>1475</v>
      </c>
      <c r="K55" t="s">
        <v>1182</v>
      </c>
      <c r="L55" t="s">
        <v>1177</v>
      </c>
      <c r="M55" t="s">
        <v>1274</v>
      </c>
      <c r="N55" t="s">
        <v>1079</v>
      </c>
      <c r="O55" t="s">
        <v>1275</v>
      </c>
      <c r="P55">
        <v>46159</v>
      </c>
      <c r="Q55" t="s">
        <v>1177</v>
      </c>
      <c r="R55" t="s">
        <v>697</v>
      </c>
      <c r="S55" t="s">
        <v>699</v>
      </c>
      <c r="T55" t="s">
        <v>649</v>
      </c>
      <c r="U55" t="s">
        <v>650</v>
      </c>
      <c r="V55">
        <v>138</v>
      </c>
      <c r="W55" t="s">
        <v>1262</v>
      </c>
      <c r="X55" t="s">
        <v>1262</v>
      </c>
      <c r="Y55">
        <v>0</v>
      </c>
      <c r="Z55" t="s">
        <v>1186</v>
      </c>
      <c r="AA55" t="s">
        <v>1177</v>
      </c>
      <c r="AB55" t="s">
        <v>1276</v>
      </c>
      <c r="AC55" t="s">
        <v>1277</v>
      </c>
      <c r="AD55" t="s">
        <v>1278</v>
      </c>
      <c r="AE55" t="s">
        <v>1477</v>
      </c>
      <c r="AF55" t="s">
        <v>1178</v>
      </c>
      <c r="AG55" t="s">
        <v>1190</v>
      </c>
      <c r="AH55" t="s">
        <v>1178</v>
      </c>
      <c r="AI55" t="s">
        <v>1349</v>
      </c>
      <c r="AJ55" t="s">
        <v>1190</v>
      </c>
      <c r="AK55">
        <v>0</v>
      </c>
      <c r="AL55" t="s">
        <v>1262</v>
      </c>
      <c r="AM55">
        <v>46265</v>
      </c>
      <c r="AN55">
        <v>46302</v>
      </c>
      <c r="AO55">
        <v>46258</v>
      </c>
      <c r="AP55">
        <v>46260</v>
      </c>
      <c r="AQ55">
        <v>46260</v>
      </c>
      <c r="AR55">
        <v>46262</v>
      </c>
      <c r="AS55">
        <v>46287</v>
      </c>
      <c r="AT55" t="s">
        <v>1281</v>
      </c>
      <c r="AU55" t="s">
        <v>1177</v>
      </c>
      <c r="AV55" t="s">
        <v>1192</v>
      </c>
      <c r="AW55" t="s">
        <v>1177</v>
      </c>
      <c r="AX55">
        <v>105</v>
      </c>
      <c r="AY55">
        <v>16</v>
      </c>
      <c r="AZ55" t="s">
        <v>1177</v>
      </c>
      <c r="BA55">
        <v>0</v>
      </c>
      <c r="BB55" t="s">
        <v>1262</v>
      </c>
      <c r="BC55" t="e">
        <v>#N/A</v>
      </c>
      <c r="BD55" t="e">
        <v>#N/A</v>
      </c>
      <c r="BE55" t="e">
        <v>#N/A</v>
      </c>
      <c r="BF55" t="e">
        <v>#N/A</v>
      </c>
      <c r="BG55" t="s">
        <v>1372</v>
      </c>
      <c r="BH55" t="s">
        <v>1373</v>
      </c>
      <c r="BI55" t="s">
        <v>1372</v>
      </c>
    </row>
    <row r="56" spans="1:61" x14ac:dyDescent="0.35">
      <c r="A56" s="7" t="str">
        <f t="shared" si="0"/>
        <v>461594300008522</v>
      </c>
      <c r="B56" s="7" t="str">
        <f t="shared" si="1"/>
        <v>GP004219B865</v>
      </c>
      <c r="C56" t="s">
        <v>1177</v>
      </c>
      <c r="D56" t="s">
        <v>1178</v>
      </c>
      <c r="E56" t="s">
        <v>1480</v>
      </c>
      <c r="F56" t="s">
        <v>1363</v>
      </c>
      <c r="G56" t="s">
        <v>1363</v>
      </c>
      <c r="H56" t="s">
        <v>1271</v>
      </c>
      <c r="I56">
        <v>46159</v>
      </c>
      <c r="J56" t="s">
        <v>1481</v>
      </c>
      <c r="K56" t="s">
        <v>1273</v>
      </c>
      <c r="L56" t="s">
        <v>1177</v>
      </c>
      <c r="M56" t="s">
        <v>1274</v>
      </c>
      <c r="N56" t="s">
        <v>1079</v>
      </c>
      <c r="O56" t="s">
        <v>1275</v>
      </c>
      <c r="P56">
        <v>46159</v>
      </c>
      <c r="Q56" t="s">
        <v>1177</v>
      </c>
      <c r="R56" t="s">
        <v>7</v>
      </c>
      <c r="S56" t="s">
        <v>1040</v>
      </c>
      <c r="T56" t="s">
        <v>961</v>
      </c>
      <c r="U56" t="s">
        <v>962</v>
      </c>
      <c r="V56">
        <v>1404</v>
      </c>
      <c r="W56" t="s">
        <v>1262</v>
      </c>
      <c r="X56" t="s">
        <v>1262</v>
      </c>
      <c r="Y56">
        <v>0</v>
      </c>
      <c r="Z56" t="s">
        <v>1186</v>
      </c>
      <c r="AA56" t="s">
        <v>1177</v>
      </c>
      <c r="AB56" t="s">
        <v>1286</v>
      </c>
      <c r="AC56" t="s">
        <v>1277</v>
      </c>
      <c r="AD56" t="s">
        <v>1278</v>
      </c>
      <c r="AE56" t="s">
        <v>1371</v>
      </c>
      <c r="AF56" t="s">
        <v>1178</v>
      </c>
      <c r="AG56" t="s">
        <v>1178</v>
      </c>
      <c r="AH56" t="s">
        <v>1178</v>
      </c>
      <c r="AI56" t="s">
        <v>1349</v>
      </c>
      <c r="AJ56" t="s">
        <v>1190</v>
      </c>
      <c r="AK56">
        <v>0</v>
      </c>
      <c r="AL56" t="s">
        <v>1262</v>
      </c>
      <c r="AM56">
        <v>46265</v>
      </c>
      <c r="AN56">
        <v>46258</v>
      </c>
      <c r="AO56">
        <v>46258</v>
      </c>
      <c r="AP56">
        <v>46260</v>
      </c>
      <c r="AQ56">
        <v>46260</v>
      </c>
      <c r="AR56">
        <v>46262</v>
      </c>
      <c r="AS56">
        <v>46266</v>
      </c>
      <c r="AT56" t="s">
        <v>1281</v>
      </c>
      <c r="AU56" t="s">
        <v>1177</v>
      </c>
      <c r="AV56" t="s">
        <v>1192</v>
      </c>
      <c r="AW56" t="s">
        <v>1177</v>
      </c>
      <c r="AX56">
        <v>62</v>
      </c>
      <c r="AY56">
        <v>2</v>
      </c>
      <c r="AZ56" t="s">
        <v>1177</v>
      </c>
      <c r="BA56">
        <v>123</v>
      </c>
      <c r="BB56" t="s">
        <v>1262</v>
      </c>
      <c r="BC56" t="s">
        <v>1430</v>
      </c>
      <c r="BD56">
        <v>123</v>
      </c>
      <c r="BE56">
        <v>46171</v>
      </c>
      <c r="BF56" t="s">
        <v>1165</v>
      </c>
      <c r="BG56" t="s">
        <v>1372</v>
      </c>
      <c r="BH56" t="s">
        <v>1373</v>
      </c>
      <c r="BI56" t="s">
        <v>1482</v>
      </c>
    </row>
    <row r="57" spans="1:61" x14ac:dyDescent="0.35">
      <c r="A57" s="7" t="str">
        <f t="shared" si="0"/>
        <v>461594300008524</v>
      </c>
      <c r="B57" s="7" t="str">
        <f t="shared" si="1"/>
        <v>GP004219B864</v>
      </c>
      <c r="C57" t="s">
        <v>1177</v>
      </c>
      <c r="D57" t="s">
        <v>1178</v>
      </c>
      <c r="E57" t="s">
        <v>1483</v>
      </c>
      <c r="F57" t="s">
        <v>1363</v>
      </c>
      <c r="G57" t="s">
        <v>1363</v>
      </c>
      <c r="H57" t="s">
        <v>1271</v>
      </c>
      <c r="I57">
        <v>46159</v>
      </c>
      <c r="J57" t="s">
        <v>1484</v>
      </c>
      <c r="K57" t="s">
        <v>1273</v>
      </c>
      <c r="L57" t="s">
        <v>1177</v>
      </c>
      <c r="M57" t="s">
        <v>1274</v>
      </c>
      <c r="N57" t="s">
        <v>1079</v>
      </c>
      <c r="O57" t="s">
        <v>1275</v>
      </c>
      <c r="P57">
        <v>46159</v>
      </c>
      <c r="Q57" t="s">
        <v>1177</v>
      </c>
      <c r="R57" t="s">
        <v>10</v>
      </c>
      <c r="S57" t="s">
        <v>1011</v>
      </c>
      <c r="T57" t="s">
        <v>961</v>
      </c>
      <c r="U57" t="s">
        <v>962</v>
      </c>
      <c r="V57">
        <v>1026</v>
      </c>
      <c r="W57" t="s">
        <v>1262</v>
      </c>
      <c r="X57" t="s">
        <v>1262</v>
      </c>
      <c r="Y57">
        <v>0</v>
      </c>
      <c r="Z57" t="s">
        <v>1186</v>
      </c>
      <c r="AA57" t="s">
        <v>1177</v>
      </c>
      <c r="AB57" t="s">
        <v>1286</v>
      </c>
      <c r="AC57" t="s">
        <v>1277</v>
      </c>
      <c r="AD57" t="s">
        <v>1278</v>
      </c>
      <c r="AE57" t="s">
        <v>1371</v>
      </c>
      <c r="AF57" t="s">
        <v>1178</v>
      </c>
      <c r="AG57" t="s">
        <v>1178</v>
      </c>
      <c r="AH57" t="s">
        <v>1178</v>
      </c>
      <c r="AI57" t="s">
        <v>1280</v>
      </c>
      <c r="AJ57" t="s">
        <v>1189</v>
      </c>
      <c r="AK57">
        <v>1026</v>
      </c>
      <c r="AL57" t="s">
        <v>1262</v>
      </c>
      <c r="AM57">
        <v>46260</v>
      </c>
      <c r="AN57">
        <v>46254</v>
      </c>
      <c r="AO57">
        <v>46254</v>
      </c>
      <c r="AP57">
        <v>46258</v>
      </c>
      <c r="AQ57">
        <v>46258</v>
      </c>
      <c r="AR57">
        <v>46260</v>
      </c>
      <c r="AS57">
        <v>46262</v>
      </c>
      <c r="AT57" t="s">
        <v>1281</v>
      </c>
      <c r="AU57" t="s">
        <v>1177</v>
      </c>
      <c r="AV57" t="s">
        <v>1192</v>
      </c>
      <c r="AW57" t="s">
        <v>1177</v>
      </c>
      <c r="AX57">
        <v>33</v>
      </c>
      <c r="AY57">
        <v>2</v>
      </c>
      <c r="AZ57" t="s">
        <v>1177</v>
      </c>
      <c r="BA57">
        <v>0</v>
      </c>
      <c r="BB57" t="s">
        <v>1262</v>
      </c>
      <c r="BC57" t="s">
        <v>1405</v>
      </c>
      <c r="BD57">
        <v>357</v>
      </c>
      <c r="BE57">
        <v>46170</v>
      </c>
      <c r="BF57" t="s">
        <v>1165</v>
      </c>
      <c r="BG57" t="s">
        <v>1372</v>
      </c>
      <c r="BH57" t="s">
        <v>1373</v>
      </c>
      <c r="BI57" t="s">
        <v>1485</v>
      </c>
    </row>
    <row r="58" spans="1:61" x14ac:dyDescent="0.35">
      <c r="A58" s="7" t="str">
        <f t="shared" si="0"/>
        <v>461594300008525</v>
      </c>
      <c r="B58" s="7" t="str">
        <f t="shared" si="1"/>
        <v>GP589016B856</v>
      </c>
      <c r="C58" t="s">
        <v>1177</v>
      </c>
      <c r="D58" t="s">
        <v>1178</v>
      </c>
      <c r="E58" t="s">
        <v>1486</v>
      </c>
      <c r="F58" t="s">
        <v>1363</v>
      </c>
      <c r="G58" t="s">
        <v>1363</v>
      </c>
      <c r="H58" t="s">
        <v>1271</v>
      </c>
      <c r="I58">
        <v>46159</v>
      </c>
      <c r="J58" t="s">
        <v>1487</v>
      </c>
      <c r="K58" t="s">
        <v>1488</v>
      </c>
      <c r="L58" t="s">
        <v>1177</v>
      </c>
      <c r="M58" t="s">
        <v>1274</v>
      </c>
      <c r="N58" t="s">
        <v>1079</v>
      </c>
      <c r="O58" t="s">
        <v>1275</v>
      </c>
      <c r="P58">
        <v>46159</v>
      </c>
      <c r="Q58" t="s">
        <v>1177</v>
      </c>
      <c r="R58" t="s">
        <v>21</v>
      </c>
      <c r="S58" t="s">
        <v>853</v>
      </c>
      <c r="T58" t="s">
        <v>1489</v>
      </c>
      <c r="U58" t="s">
        <v>1490</v>
      </c>
      <c r="V58">
        <v>99</v>
      </c>
      <c r="W58" t="s">
        <v>1262</v>
      </c>
      <c r="X58" t="s">
        <v>1262</v>
      </c>
      <c r="Y58">
        <v>0</v>
      </c>
      <c r="Z58" t="s">
        <v>1186</v>
      </c>
      <c r="AA58" t="s">
        <v>1177</v>
      </c>
      <c r="AB58" t="s">
        <v>1276</v>
      </c>
      <c r="AC58" t="s">
        <v>1277</v>
      </c>
      <c r="AD58" t="s">
        <v>1278</v>
      </c>
      <c r="AE58" t="s">
        <v>1491</v>
      </c>
      <c r="AF58" t="s">
        <v>1178</v>
      </c>
      <c r="AG58" t="s">
        <v>1190</v>
      </c>
      <c r="AH58" t="s">
        <v>1178</v>
      </c>
      <c r="AI58" t="s">
        <v>1280</v>
      </c>
      <c r="AJ58" t="s">
        <v>1190</v>
      </c>
      <c r="AK58">
        <v>0</v>
      </c>
      <c r="AL58" t="s">
        <v>1262</v>
      </c>
      <c r="AM58">
        <v>46265</v>
      </c>
      <c r="AN58">
        <v>46254</v>
      </c>
      <c r="AO58">
        <v>46254</v>
      </c>
      <c r="AP58">
        <v>46258</v>
      </c>
      <c r="AQ58">
        <v>46258</v>
      </c>
      <c r="AR58">
        <v>46260</v>
      </c>
      <c r="AS58">
        <v>46260</v>
      </c>
      <c r="AT58" t="s">
        <v>1281</v>
      </c>
      <c r="AU58" t="s">
        <v>1177</v>
      </c>
      <c r="AV58" t="s">
        <v>1192</v>
      </c>
      <c r="AW58" t="s">
        <v>1177</v>
      </c>
      <c r="AX58">
        <v>0</v>
      </c>
      <c r="AY58">
        <v>0</v>
      </c>
      <c r="AZ58" t="s">
        <v>1177</v>
      </c>
      <c r="BA58">
        <v>0</v>
      </c>
      <c r="BB58" t="s">
        <v>1262</v>
      </c>
      <c r="BC58" t="e">
        <v>#N/A</v>
      </c>
      <c r="BD58" t="e">
        <v>#N/A</v>
      </c>
      <c r="BE58" t="e">
        <v>#N/A</v>
      </c>
      <c r="BF58" t="e">
        <v>#N/A</v>
      </c>
      <c r="BG58" t="s">
        <v>1372</v>
      </c>
      <c r="BH58" t="s">
        <v>1373</v>
      </c>
      <c r="BI58" t="s">
        <v>1492</v>
      </c>
    </row>
    <row r="59" spans="1:61" x14ac:dyDescent="0.35">
      <c r="A59" s="7" t="str">
        <f t="shared" si="0"/>
        <v>461594300008526</v>
      </c>
      <c r="B59" s="7" t="str">
        <f t="shared" si="1"/>
        <v>GP055944B833</v>
      </c>
      <c r="C59" t="s">
        <v>1177</v>
      </c>
      <c r="D59" t="s">
        <v>1178</v>
      </c>
      <c r="E59" t="s">
        <v>1493</v>
      </c>
      <c r="F59" t="s">
        <v>1363</v>
      </c>
      <c r="G59" t="s">
        <v>1363</v>
      </c>
      <c r="H59" t="s">
        <v>1271</v>
      </c>
      <c r="I59">
        <v>46159</v>
      </c>
      <c r="J59" t="s">
        <v>1494</v>
      </c>
      <c r="K59" t="s">
        <v>1198</v>
      </c>
      <c r="L59" t="s">
        <v>1177</v>
      </c>
      <c r="M59" t="s">
        <v>1274</v>
      </c>
      <c r="N59" t="s">
        <v>1079</v>
      </c>
      <c r="O59" t="s">
        <v>1275</v>
      </c>
      <c r="P59">
        <v>46159</v>
      </c>
      <c r="Q59" t="s">
        <v>1177</v>
      </c>
      <c r="R59" t="s">
        <v>697</v>
      </c>
      <c r="S59" t="s">
        <v>699</v>
      </c>
      <c r="T59" t="s">
        <v>389</v>
      </c>
      <c r="U59" t="s">
        <v>1495</v>
      </c>
      <c r="V59">
        <v>460</v>
      </c>
      <c r="W59" t="s">
        <v>1262</v>
      </c>
      <c r="X59" t="s">
        <v>1262</v>
      </c>
      <c r="Y59">
        <v>0</v>
      </c>
      <c r="Z59" t="s">
        <v>1186</v>
      </c>
      <c r="AA59" t="s">
        <v>1177</v>
      </c>
      <c r="AB59" t="s">
        <v>1286</v>
      </c>
      <c r="AC59" t="s">
        <v>1277</v>
      </c>
      <c r="AD59" t="s">
        <v>1278</v>
      </c>
      <c r="AE59" t="s">
        <v>1496</v>
      </c>
      <c r="AF59" t="s">
        <v>1178</v>
      </c>
      <c r="AG59" t="s">
        <v>1178</v>
      </c>
      <c r="AH59" t="s">
        <v>1178</v>
      </c>
      <c r="AI59" t="s">
        <v>1349</v>
      </c>
      <c r="AJ59" t="s">
        <v>1189</v>
      </c>
      <c r="AK59">
        <v>460</v>
      </c>
      <c r="AL59" t="s">
        <v>1262</v>
      </c>
      <c r="AM59">
        <v>46262</v>
      </c>
      <c r="AN59">
        <v>46258</v>
      </c>
      <c r="AO59">
        <v>46258</v>
      </c>
      <c r="AP59">
        <v>46260</v>
      </c>
      <c r="AQ59">
        <v>46260</v>
      </c>
      <c r="AR59">
        <v>46262</v>
      </c>
      <c r="AS59">
        <v>46262</v>
      </c>
      <c r="AT59" t="s">
        <v>1281</v>
      </c>
      <c r="AU59" t="s">
        <v>1177</v>
      </c>
      <c r="AV59" t="s">
        <v>1192</v>
      </c>
      <c r="AW59" t="s">
        <v>1177</v>
      </c>
      <c r="AX59">
        <v>0</v>
      </c>
      <c r="AY59">
        <v>0</v>
      </c>
      <c r="AZ59" t="s">
        <v>1177</v>
      </c>
      <c r="BA59">
        <v>0</v>
      </c>
      <c r="BB59" t="s">
        <v>1262</v>
      </c>
      <c r="BC59" t="e">
        <v>#N/A</v>
      </c>
      <c r="BD59" t="e">
        <v>#N/A</v>
      </c>
      <c r="BE59" t="e">
        <v>#N/A</v>
      </c>
      <c r="BF59" t="e">
        <v>#N/A</v>
      </c>
      <c r="BG59" t="s">
        <v>1372</v>
      </c>
      <c r="BH59" t="s">
        <v>1373</v>
      </c>
      <c r="BI59" t="s">
        <v>1497</v>
      </c>
    </row>
    <row r="60" spans="1:61" x14ac:dyDescent="0.35">
      <c r="A60" s="7" t="str">
        <f t="shared" si="0"/>
        <v>461594300008528</v>
      </c>
      <c r="B60" s="7" t="str">
        <f t="shared" si="1"/>
        <v>GP089087B867</v>
      </c>
      <c r="C60" t="s">
        <v>1177</v>
      </c>
      <c r="D60" t="s">
        <v>1178</v>
      </c>
      <c r="E60" t="s">
        <v>1498</v>
      </c>
      <c r="F60" t="s">
        <v>1363</v>
      </c>
      <c r="G60" t="s">
        <v>1363</v>
      </c>
      <c r="H60" t="s">
        <v>1271</v>
      </c>
      <c r="I60">
        <v>46159</v>
      </c>
      <c r="J60" t="s">
        <v>1499</v>
      </c>
      <c r="K60" t="s">
        <v>1288</v>
      </c>
      <c r="L60" t="s">
        <v>1177</v>
      </c>
      <c r="M60" t="s">
        <v>1274</v>
      </c>
      <c r="N60" t="s">
        <v>1079</v>
      </c>
      <c r="O60" t="s">
        <v>1275</v>
      </c>
      <c r="P60">
        <v>46259</v>
      </c>
      <c r="Q60" t="s">
        <v>1177</v>
      </c>
      <c r="R60" t="s">
        <v>25</v>
      </c>
      <c r="S60" t="s">
        <v>1060</v>
      </c>
      <c r="T60" t="s">
        <v>164</v>
      </c>
      <c r="U60" t="s">
        <v>1500</v>
      </c>
      <c r="V60">
        <v>94</v>
      </c>
      <c r="W60" t="s">
        <v>1262</v>
      </c>
      <c r="X60" t="s">
        <v>1262</v>
      </c>
      <c r="Y60">
        <v>0</v>
      </c>
      <c r="Z60" t="s">
        <v>1186</v>
      </c>
      <c r="AA60" t="s">
        <v>1177</v>
      </c>
      <c r="AB60" t="s">
        <v>1177</v>
      </c>
      <c r="AC60" t="s">
        <v>1177</v>
      </c>
      <c r="AD60" t="s">
        <v>1204</v>
      </c>
      <c r="AE60" t="s">
        <v>1501</v>
      </c>
      <c r="AF60" t="s">
        <v>1189</v>
      </c>
      <c r="AG60" t="s">
        <v>1178</v>
      </c>
      <c r="AH60" t="s">
        <v>1178</v>
      </c>
      <c r="AI60" t="s">
        <v>1280</v>
      </c>
      <c r="AJ60" t="s">
        <v>1190</v>
      </c>
      <c r="AK60">
        <v>0</v>
      </c>
      <c r="AL60" t="s">
        <v>1262</v>
      </c>
      <c r="AM60">
        <v>47177</v>
      </c>
      <c r="AN60">
        <v>47171</v>
      </c>
      <c r="AO60">
        <v>47171</v>
      </c>
      <c r="AP60">
        <v>47175</v>
      </c>
      <c r="AQ60">
        <v>47175</v>
      </c>
      <c r="AR60">
        <v>47177</v>
      </c>
      <c r="AS60">
        <v>47179</v>
      </c>
      <c r="AT60" t="s">
        <v>1281</v>
      </c>
      <c r="AU60" t="s">
        <v>1177</v>
      </c>
      <c r="AV60" t="s">
        <v>1192</v>
      </c>
      <c r="AW60" t="s">
        <v>1177</v>
      </c>
      <c r="AX60">
        <v>55</v>
      </c>
      <c r="AY60">
        <v>2</v>
      </c>
      <c r="AZ60" t="s">
        <v>1177</v>
      </c>
      <c r="BA60">
        <v>94</v>
      </c>
      <c r="BB60" t="s">
        <v>1262</v>
      </c>
      <c r="BC60" t="e">
        <v>#N/A</v>
      </c>
      <c r="BD60" t="e">
        <v>#N/A</v>
      </c>
      <c r="BE60" t="e">
        <v>#N/A</v>
      </c>
      <c r="BF60" t="e">
        <v>#N/A</v>
      </c>
      <c r="BG60" t="s">
        <v>1372</v>
      </c>
      <c r="BH60" t="s">
        <v>1373</v>
      </c>
      <c r="BI60" t="s">
        <v>1492</v>
      </c>
    </row>
    <row r="61" spans="1:61" x14ac:dyDescent="0.35">
      <c r="A61" s="7" t="str">
        <f t="shared" si="0"/>
        <v>461594300008533</v>
      </c>
      <c r="B61" s="7" t="str">
        <f t="shared" si="1"/>
        <v>GP095930B864</v>
      </c>
      <c r="C61" t="s">
        <v>1177</v>
      </c>
      <c r="D61" t="s">
        <v>1178</v>
      </c>
      <c r="E61" t="s">
        <v>1503</v>
      </c>
      <c r="F61" t="s">
        <v>1363</v>
      </c>
      <c r="G61" t="s">
        <v>1363</v>
      </c>
      <c r="H61" t="s">
        <v>1271</v>
      </c>
      <c r="I61">
        <v>46159</v>
      </c>
      <c r="J61" t="s">
        <v>1504</v>
      </c>
      <c r="K61" t="s">
        <v>1182</v>
      </c>
      <c r="L61" t="s">
        <v>1177</v>
      </c>
      <c r="M61" t="s">
        <v>1274</v>
      </c>
      <c r="N61" t="s">
        <v>1079</v>
      </c>
      <c r="O61" t="s">
        <v>1275</v>
      </c>
      <c r="P61">
        <v>46262</v>
      </c>
      <c r="Q61" t="s">
        <v>1177</v>
      </c>
      <c r="R61" t="s">
        <v>10</v>
      </c>
      <c r="S61" t="s">
        <v>1011</v>
      </c>
      <c r="T61" t="s">
        <v>635</v>
      </c>
      <c r="U61" t="s">
        <v>636</v>
      </c>
      <c r="V61">
        <v>342</v>
      </c>
      <c r="W61" t="s">
        <v>1262</v>
      </c>
      <c r="X61" t="s">
        <v>1262</v>
      </c>
      <c r="Y61">
        <v>0</v>
      </c>
      <c r="Z61" t="s">
        <v>1186</v>
      </c>
      <c r="AA61" t="s">
        <v>1177</v>
      </c>
      <c r="AB61" t="s">
        <v>1286</v>
      </c>
      <c r="AC61" t="s">
        <v>1277</v>
      </c>
      <c r="AD61" t="s">
        <v>1278</v>
      </c>
      <c r="AE61" t="s">
        <v>1371</v>
      </c>
      <c r="AF61" t="s">
        <v>1178</v>
      </c>
      <c r="AG61" t="s">
        <v>1178</v>
      </c>
      <c r="AH61" t="s">
        <v>1178</v>
      </c>
      <c r="AI61" t="s">
        <v>1280</v>
      </c>
      <c r="AJ61" t="s">
        <v>1190</v>
      </c>
      <c r="AK61">
        <v>0</v>
      </c>
      <c r="AL61" t="s">
        <v>1262</v>
      </c>
      <c r="AM61">
        <v>46171</v>
      </c>
      <c r="AN61">
        <v>46262</v>
      </c>
      <c r="AO61">
        <v>46163</v>
      </c>
      <c r="AP61">
        <v>46167</v>
      </c>
      <c r="AQ61">
        <v>46167</v>
      </c>
      <c r="AR61">
        <v>46169</v>
      </c>
      <c r="AS61">
        <v>46191</v>
      </c>
      <c r="AT61" t="s">
        <v>1281</v>
      </c>
      <c r="AU61" t="s">
        <v>1177</v>
      </c>
      <c r="AV61" t="s">
        <v>1192</v>
      </c>
      <c r="AW61" t="s">
        <v>1177</v>
      </c>
      <c r="AX61">
        <v>45</v>
      </c>
      <c r="AY61">
        <v>16</v>
      </c>
      <c r="AZ61" t="s">
        <v>1177</v>
      </c>
      <c r="BA61">
        <v>0</v>
      </c>
      <c r="BB61" t="s">
        <v>1262</v>
      </c>
      <c r="BC61" t="e">
        <v>#N/A</v>
      </c>
      <c r="BD61" t="e">
        <v>#N/A</v>
      </c>
      <c r="BE61" t="e">
        <v>#N/A</v>
      </c>
      <c r="BF61" t="e">
        <v>#N/A</v>
      </c>
      <c r="BG61" t="s">
        <v>1372</v>
      </c>
      <c r="BH61" t="s">
        <v>1373</v>
      </c>
      <c r="BI61" t="s">
        <v>1492</v>
      </c>
    </row>
    <row r="62" spans="1:61" x14ac:dyDescent="0.35">
      <c r="A62" s="7" t="str">
        <f t="shared" si="0"/>
        <v>461594300008534</v>
      </c>
      <c r="B62" s="7" t="str">
        <f t="shared" si="1"/>
        <v>GP041249B825</v>
      </c>
      <c r="C62" t="s">
        <v>1177</v>
      </c>
      <c r="D62" t="s">
        <v>1178</v>
      </c>
      <c r="E62" t="s">
        <v>1505</v>
      </c>
      <c r="F62" t="s">
        <v>1363</v>
      </c>
      <c r="G62" t="s">
        <v>1363</v>
      </c>
      <c r="H62" t="s">
        <v>1271</v>
      </c>
      <c r="I62">
        <v>46159</v>
      </c>
      <c r="J62" t="s">
        <v>1506</v>
      </c>
      <c r="K62" t="s">
        <v>1182</v>
      </c>
      <c r="L62" t="s">
        <v>1177</v>
      </c>
      <c r="M62" t="s">
        <v>1274</v>
      </c>
      <c r="N62" t="s">
        <v>1079</v>
      </c>
      <c r="O62" t="s">
        <v>1275</v>
      </c>
      <c r="P62">
        <v>46159</v>
      </c>
      <c r="Q62" t="s">
        <v>1177</v>
      </c>
      <c r="R62" t="s">
        <v>16</v>
      </c>
      <c r="S62" t="s">
        <v>512</v>
      </c>
      <c r="T62" t="s">
        <v>383</v>
      </c>
      <c r="U62" t="s">
        <v>384</v>
      </c>
      <c r="V62">
        <v>580</v>
      </c>
      <c r="W62" t="s">
        <v>1262</v>
      </c>
      <c r="X62" t="s">
        <v>1262</v>
      </c>
      <c r="Y62">
        <v>0</v>
      </c>
      <c r="Z62" t="s">
        <v>1186</v>
      </c>
      <c r="AA62" t="s">
        <v>1177</v>
      </c>
      <c r="AB62" t="s">
        <v>1286</v>
      </c>
      <c r="AC62" t="s">
        <v>1277</v>
      </c>
      <c r="AD62" t="s">
        <v>1278</v>
      </c>
      <c r="AE62" t="s">
        <v>1371</v>
      </c>
      <c r="AF62" t="s">
        <v>1178</v>
      </c>
      <c r="AG62" t="s">
        <v>1178</v>
      </c>
      <c r="AH62" t="s">
        <v>1178</v>
      </c>
      <c r="AI62" t="s">
        <v>1349</v>
      </c>
      <c r="AJ62" t="s">
        <v>1190</v>
      </c>
      <c r="AK62">
        <v>0</v>
      </c>
      <c r="AL62" t="s">
        <v>1262</v>
      </c>
      <c r="AM62">
        <v>46234</v>
      </c>
      <c r="AN62">
        <v>46230</v>
      </c>
      <c r="AO62">
        <v>46230</v>
      </c>
      <c r="AP62">
        <v>46232</v>
      </c>
      <c r="AQ62">
        <v>46232</v>
      </c>
      <c r="AR62">
        <v>46234</v>
      </c>
      <c r="AS62">
        <v>46238</v>
      </c>
      <c r="AT62" t="s">
        <v>1281</v>
      </c>
      <c r="AU62" t="s">
        <v>1177</v>
      </c>
      <c r="AV62" t="s">
        <v>1192</v>
      </c>
      <c r="AW62" t="s">
        <v>1177</v>
      </c>
      <c r="AX62">
        <v>33</v>
      </c>
      <c r="AY62">
        <v>2</v>
      </c>
      <c r="AZ62" t="s">
        <v>1177</v>
      </c>
      <c r="BA62">
        <v>0</v>
      </c>
      <c r="BB62" t="s">
        <v>1262</v>
      </c>
      <c r="BC62" t="e">
        <v>#N/A</v>
      </c>
      <c r="BD62" t="e">
        <v>#N/A</v>
      </c>
      <c r="BE62" t="e">
        <v>#N/A</v>
      </c>
      <c r="BF62" t="e">
        <v>#N/A</v>
      </c>
      <c r="BG62" t="s">
        <v>1372</v>
      </c>
      <c r="BH62" t="s">
        <v>1373</v>
      </c>
      <c r="BI62" t="s">
        <v>1507</v>
      </c>
    </row>
    <row r="63" spans="1:61" x14ac:dyDescent="0.35">
      <c r="A63" s="7" t="str">
        <f t="shared" si="0"/>
        <v>461594300008535</v>
      </c>
      <c r="B63" s="7" t="str">
        <f t="shared" si="1"/>
        <v>GP473182B857</v>
      </c>
      <c r="C63" t="s">
        <v>1177</v>
      </c>
      <c r="D63" t="s">
        <v>1178</v>
      </c>
      <c r="E63" t="s">
        <v>1508</v>
      </c>
      <c r="F63" t="s">
        <v>1363</v>
      </c>
      <c r="G63" t="s">
        <v>1363</v>
      </c>
      <c r="H63" t="s">
        <v>1271</v>
      </c>
      <c r="I63">
        <v>46159</v>
      </c>
      <c r="J63" t="s">
        <v>1509</v>
      </c>
      <c r="K63" t="s">
        <v>1182</v>
      </c>
      <c r="L63" t="s">
        <v>1177</v>
      </c>
      <c r="M63" t="s">
        <v>1274</v>
      </c>
      <c r="N63" t="s">
        <v>1079</v>
      </c>
      <c r="O63" t="s">
        <v>1275</v>
      </c>
      <c r="P63">
        <v>46159</v>
      </c>
      <c r="Q63" t="s">
        <v>1177</v>
      </c>
      <c r="R63" t="s">
        <v>23</v>
      </c>
      <c r="S63" t="s">
        <v>959</v>
      </c>
      <c r="T63" t="s">
        <v>1510</v>
      </c>
      <c r="U63" t="s">
        <v>1511</v>
      </c>
      <c r="V63">
        <v>648</v>
      </c>
      <c r="W63" t="s">
        <v>1262</v>
      </c>
      <c r="X63" t="s">
        <v>1262</v>
      </c>
      <c r="Y63">
        <v>0</v>
      </c>
      <c r="Z63" t="s">
        <v>1186</v>
      </c>
      <c r="AA63" t="s">
        <v>1177</v>
      </c>
      <c r="AB63" t="s">
        <v>1276</v>
      </c>
      <c r="AC63" t="s">
        <v>1277</v>
      </c>
      <c r="AD63" t="s">
        <v>1278</v>
      </c>
      <c r="AE63" t="s">
        <v>1383</v>
      </c>
      <c r="AF63" t="s">
        <v>1178</v>
      </c>
      <c r="AG63" t="s">
        <v>1190</v>
      </c>
      <c r="AH63" t="s">
        <v>1178</v>
      </c>
      <c r="AI63" t="s">
        <v>1280</v>
      </c>
      <c r="AJ63" t="s">
        <v>1189</v>
      </c>
      <c r="AK63">
        <v>648</v>
      </c>
      <c r="AL63" t="s">
        <v>1262</v>
      </c>
      <c r="AM63">
        <v>46260</v>
      </c>
      <c r="AN63">
        <v>46254</v>
      </c>
      <c r="AO63">
        <v>46254</v>
      </c>
      <c r="AP63">
        <v>46258</v>
      </c>
      <c r="AQ63">
        <v>46258</v>
      </c>
      <c r="AR63">
        <v>46260</v>
      </c>
      <c r="AS63">
        <v>46260</v>
      </c>
      <c r="AT63" t="s">
        <v>1281</v>
      </c>
      <c r="AU63" t="s">
        <v>1177</v>
      </c>
      <c r="AV63" t="s">
        <v>1192</v>
      </c>
      <c r="AW63" t="s">
        <v>1177</v>
      </c>
      <c r="AX63">
        <v>0</v>
      </c>
      <c r="AY63">
        <v>0</v>
      </c>
      <c r="AZ63" t="s">
        <v>1177</v>
      </c>
      <c r="BA63">
        <v>0</v>
      </c>
      <c r="BB63" t="s">
        <v>1262</v>
      </c>
      <c r="BC63" t="e">
        <v>#N/A</v>
      </c>
      <c r="BD63" t="e">
        <v>#N/A</v>
      </c>
      <c r="BE63" t="e">
        <v>#N/A</v>
      </c>
      <c r="BF63" t="e">
        <v>#N/A</v>
      </c>
      <c r="BG63" t="s">
        <v>1372</v>
      </c>
      <c r="BH63" t="s">
        <v>1373</v>
      </c>
      <c r="BI63" t="s">
        <v>1507</v>
      </c>
    </row>
    <row r="64" spans="1:61" x14ac:dyDescent="0.35">
      <c r="A64" s="7" t="str">
        <f t="shared" si="0"/>
        <v>461594300008537</v>
      </c>
      <c r="B64" s="7" t="str">
        <f t="shared" si="1"/>
        <v>GP473204B867</v>
      </c>
      <c r="C64" t="s">
        <v>1177</v>
      </c>
      <c r="D64" t="s">
        <v>1178</v>
      </c>
      <c r="E64" t="s">
        <v>1514</v>
      </c>
      <c r="F64" t="s">
        <v>1363</v>
      </c>
      <c r="G64" t="s">
        <v>1363</v>
      </c>
      <c r="H64" t="s">
        <v>1271</v>
      </c>
      <c r="I64">
        <v>46159</v>
      </c>
      <c r="J64" t="s">
        <v>1515</v>
      </c>
      <c r="K64" t="s">
        <v>1198</v>
      </c>
      <c r="L64" t="s">
        <v>1177</v>
      </c>
      <c r="M64" t="s">
        <v>1274</v>
      </c>
      <c r="N64" t="s">
        <v>1079</v>
      </c>
      <c r="O64" t="s">
        <v>1275</v>
      </c>
      <c r="P64">
        <v>46159</v>
      </c>
      <c r="Q64" t="s">
        <v>1177</v>
      </c>
      <c r="R64" t="s">
        <v>25</v>
      </c>
      <c r="S64" t="s">
        <v>1060</v>
      </c>
      <c r="T64" t="s">
        <v>1512</v>
      </c>
      <c r="U64" t="s">
        <v>1513</v>
      </c>
      <c r="V64">
        <v>104</v>
      </c>
      <c r="W64" t="s">
        <v>1262</v>
      </c>
      <c r="X64" t="s">
        <v>1262</v>
      </c>
      <c r="Y64">
        <v>0</v>
      </c>
      <c r="Z64" t="s">
        <v>1186</v>
      </c>
      <c r="AA64" t="s">
        <v>1177</v>
      </c>
      <c r="AB64" t="s">
        <v>1276</v>
      </c>
      <c r="AC64" t="s">
        <v>1277</v>
      </c>
      <c r="AD64" t="s">
        <v>1278</v>
      </c>
      <c r="AE64" t="s">
        <v>1354</v>
      </c>
      <c r="AF64" t="s">
        <v>1178</v>
      </c>
      <c r="AG64" t="s">
        <v>1190</v>
      </c>
      <c r="AH64" t="s">
        <v>1178</v>
      </c>
      <c r="AI64" t="s">
        <v>1280</v>
      </c>
      <c r="AJ64" t="s">
        <v>1190</v>
      </c>
      <c r="AK64">
        <v>0</v>
      </c>
      <c r="AL64" t="s">
        <v>1262</v>
      </c>
      <c r="AM64">
        <v>47177</v>
      </c>
      <c r="AN64">
        <v>47171</v>
      </c>
      <c r="AO64">
        <v>47171</v>
      </c>
      <c r="AP64">
        <v>47175</v>
      </c>
      <c r="AQ64">
        <v>47175</v>
      </c>
      <c r="AR64">
        <v>47177</v>
      </c>
      <c r="AS64">
        <v>47179</v>
      </c>
      <c r="AT64" t="s">
        <v>1281</v>
      </c>
      <c r="AU64" t="s">
        <v>1177</v>
      </c>
      <c r="AV64" t="s">
        <v>1192</v>
      </c>
      <c r="AW64" t="s">
        <v>1177</v>
      </c>
      <c r="AX64">
        <v>267</v>
      </c>
      <c r="AY64">
        <v>2</v>
      </c>
      <c r="AZ64" t="s">
        <v>1177</v>
      </c>
      <c r="BA64">
        <v>0</v>
      </c>
      <c r="BB64" t="s">
        <v>1262</v>
      </c>
      <c r="BC64" t="e">
        <v>#N/A</v>
      </c>
      <c r="BD64" t="e">
        <v>#N/A</v>
      </c>
      <c r="BE64" t="e">
        <v>#N/A</v>
      </c>
      <c r="BF64" t="e">
        <v>#N/A</v>
      </c>
      <c r="BG64" t="s">
        <v>1372</v>
      </c>
      <c r="BH64" t="s">
        <v>1373</v>
      </c>
      <c r="BI64" t="s">
        <v>1507</v>
      </c>
    </row>
    <row r="65" spans="1:61" x14ac:dyDescent="0.35">
      <c r="A65" s="7" t="str">
        <f t="shared" si="0"/>
        <v>461594300008538</v>
      </c>
      <c r="B65" s="7" t="str">
        <f t="shared" si="1"/>
        <v>GP473204B864</v>
      </c>
      <c r="C65" t="s">
        <v>1177</v>
      </c>
      <c r="D65" t="s">
        <v>1178</v>
      </c>
      <c r="E65" t="s">
        <v>1516</v>
      </c>
      <c r="F65" t="s">
        <v>1363</v>
      </c>
      <c r="G65" t="s">
        <v>1363</v>
      </c>
      <c r="H65" t="s">
        <v>1271</v>
      </c>
      <c r="I65">
        <v>46159</v>
      </c>
      <c r="J65" t="s">
        <v>1517</v>
      </c>
      <c r="K65" t="s">
        <v>1198</v>
      </c>
      <c r="L65" t="s">
        <v>1177</v>
      </c>
      <c r="M65" t="s">
        <v>1274</v>
      </c>
      <c r="N65" t="s">
        <v>1079</v>
      </c>
      <c r="O65" t="s">
        <v>1275</v>
      </c>
      <c r="P65">
        <v>46159</v>
      </c>
      <c r="Q65" t="s">
        <v>1177</v>
      </c>
      <c r="R65" t="s">
        <v>10</v>
      </c>
      <c r="S65" t="s">
        <v>1011</v>
      </c>
      <c r="T65" t="s">
        <v>1512</v>
      </c>
      <c r="U65" t="s">
        <v>1513</v>
      </c>
      <c r="V65">
        <v>114</v>
      </c>
      <c r="W65" t="s">
        <v>1262</v>
      </c>
      <c r="X65" t="s">
        <v>1262</v>
      </c>
      <c r="Y65">
        <v>0</v>
      </c>
      <c r="Z65" t="s">
        <v>1186</v>
      </c>
      <c r="AA65" t="s">
        <v>1177</v>
      </c>
      <c r="AB65" t="s">
        <v>1276</v>
      </c>
      <c r="AC65" t="s">
        <v>1277</v>
      </c>
      <c r="AD65" t="s">
        <v>1278</v>
      </c>
      <c r="AE65" t="s">
        <v>1354</v>
      </c>
      <c r="AF65" t="s">
        <v>1178</v>
      </c>
      <c r="AG65" t="s">
        <v>1190</v>
      </c>
      <c r="AH65" t="s">
        <v>1178</v>
      </c>
      <c r="AI65" t="s">
        <v>1280</v>
      </c>
      <c r="AJ65" t="s">
        <v>1190</v>
      </c>
      <c r="AK65">
        <v>0</v>
      </c>
      <c r="AL65" t="s">
        <v>1262</v>
      </c>
      <c r="AM65">
        <v>47177</v>
      </c>
      <c r="AN65">
        <v>47171</v>
      </c>
      <c r="AO65">
        <v>47171</v>
      </c>
      <c r="AP65">
        <v>47175</v>
      </c>
      <c r="AQ65">
        <v>47175</v>
      </c>
      <c r="AR65">
        <v>47177</v>
      </c>
      <c r="AS65">
        <v>47177</v>
      </c>
      <c r="AT65" t="s">
        <v>1281</v>
      </c>
      <c r="AU65" t="s">
        <v>1177</v>
      </c>
      <c r="AV65" t="s">
        <v>1192</v>
      </c>
      <c r="AW65" t="s">
        <v>1177</v>
      </c>
      <c r="AX65">
        <v>0</v>
      </c>
      <c r="AY65">
        <v>0</v>
      </c>
      <c r="AZ65" t="s">
        <v>1177</v>
      </c>
      <c r="BA65">
        <v>0</v>
      </c>
      <c r="BB65" t="s">
        <v>1262</v>
      </c>
      <c r="BC65" t="e">
        <v>#N/A</v>
      </c>
      <c r="BD65" t="e">
        <v>#N/A</v>
      </c>
      <c r="BE65" t="e">
        <v>#N/A</v>
      </c>
      <c r="BF65" t="e">
        <v>#N/A</v>
      </c>
      <c r="BG65" t="s">
        <v>1372</v>
      </c>
      <c r="BH65" t="s">
        <v>1373</v>
      </c>
      <c r="BI65" t="s">
        <v>1507</v>
      </c>
    </row>
    <row r="66" spans="1:61" x14ac:dyDescent="0.35">
      <c r="A66" s="7" t="str">
        <f t="shared" ref="A66:A129" si="2">I66&amp;J66</f>
        <v>461594300008539</v>
      </c>
      <c r="B66" s="7" t="str">
        <f t="shared" ref="B66:B129" si="3">_xlfn.CONCAT(T66,R66)</f>
        <v>GP436885B832</v>
      </c>
      <c r="C66" t="s">
        <v>1177</v>
      </c>
      <c r="D66" t="s">
        <v>1178</v>
      </c>
      <c r="E66" t="s">
        <v>1518</v>
      </c>
      <c r="F66" t="s">
        <v>1177</v>
      </c>
      <c r="G66" t="s">
        <v>1363</v>
      </c>
      <c r="H66" t="s">
        <v>1271</v>
      </c>
      <c r="I66">
        <v>46159</v>
      </c>
      <c r="J66" t="s">
        <v>1519</v>
      </c>
      <c r="K66" t="s">
        <v>1198</v>
      </c>
      <c r="L66" t="s">
        <v>1177</v>
      </c>
      <c r="M66" t="s">
        <v>1274</v>
      </c>
      <c r="N66" t="s">
        <v>1079</v>
      </c>
      <c r="O66" t="s">
        <v>1275</v>
      </c>
      <c r="P66">
        <v>46227</v>
      </c>
      <c r="Q66" t="s">
        <v>1177</v>
      </c>
      <c r="R66" t="s">
        <v>19</v>
      </c>
      <c r="S66" t="s">
        <v>654</v>
      </c>
      <c r="T66" t="s">
        <v>1521</v>
      </c>
      <c r="U66" t="s">
        <v>1522</v>
      </c>
      <c r="V66">
        <v>90</v>
      </c>
      <c r="W66" t="s">
        <v>1262</v>
      </c>
      <c r="X66" t="s">
        <v>1262</v>
      </c>
      <c r="Y66">
        <v>0</v>
      </c>
      <c r="Z66" t="s">
        <v>1186</v>
      </c>
      <c r="AA66" t="s">
        <v>1177</v>
      </c>
      <c r="AB66" t="s">
        <v>1276</v>
      </c>
      <c r="AC66" t="s">
        <v>1277</v>
      </c>
      <c r="AD66" t="s">
        <v>1278</v>
      </c>
      <c r="AE66" t="s">
        <v>1284</v>
      </c>
      <c r="AF66" t="s">
        <v>1177</v>
      </c>
      <c r="AG66" t="s">
        <v>1190</v>
      </c>
      <c r="AH66" t="s">
        <v>1178</v>
      </c>
      <c r="AI66" t="s">
        <v>1349</v>
      </c>
      <c r="AJ66" t="s">
        <v>1190</v>
      </c>
      <c r="AK66">
        <v>0</v>
      </c>
      <c r="AL66" t="s">
        <v>1262</v>
      </c>
      <c r="AM66">
        <v>45687</v>
      </c>
      <c r="AN66">
        <v>46188</v>
      </c>
      <c r="AO66">
        <v>46188</v>
      </c>
      <c r="AP66">
        <v>46190</v>
      </c>
      <c r="AQ66">
        <v>46190</v>
      </c>
      <c r="AR66">
        <v>46192</v>
      </c>
      <c r="AS66">
        <v>46196</v>
      </c>
      <c r="AT66" t="s">
        <v>1281</v>
      </c>
      <c r="AU66" t="s">
        <v>1177</v>
      </c>
      <c r="AV66" t="s">
        <v>1192</v>
      </c>
      <c r="AW66" t="s">
        <v>1177</v>
      </c>
      <c r="AX66">
        <v>252</v>
      </c>
      <c r="AY66">
        <v>2</v>
      </c>
      <c r="AZ66" t="s">
        <v>1177</v>
      </c>
      <c r="BA66">
        <v>90</v>
      </c>
      <c r="BB66" t="s">
        <v>1262</v>
      </c>
      <c r="BC66" t="s">
        <v>1520</v>
      </c>
      <c r="BD66">
        <v>90</v>
      </c>
      <c r="BE66">
        <v>46230</v>
      </c>
      <c r="BF66" t="s">
        <v>1165</v>
      </c>
      <c r="BG66" t="s">
        <v>1212</v>
      </c>
      <c r="BH66" t="s">
        <v>1446</v>
      </c>
      <c r="BI66" t="s">
        <v>1212</v>
      </c>
    </row>
    <row r="67" spans="1:61" x14ac:dyDescent="0.35">
      <c r="A67" s="7" t="str">
        <f t="shared" si="2"/>
        <v>461594300008559</v>
      </c>
      <c r="B67" s="7" t="str">
        <f t="shared" si="3"/>
        <v>GP334751B838</v>
      </c>
      <c r="C67" t="s">
        <v>1177</v>
      </c>
      <c r="D67" t="s">
        <v>1178</v>
      </c>
      <c r="E67" t="s">
        <v>1524</v>
      </c>
      <c r="F67" t="s">
        <v>1363</v>
      </c>
      <c r="G67" t="s">
        <v>1363</v>
      </c>
      <c r="H67" t="s">
        <v>1271</v>
      </c>
      <c r="I67">
        <v>46159</v>
      </c>
      <c r="J67" t="s">
        <v>1525</v>
      </c>
      <c r="K67" t="s">
        <v>1198</v>
      </c>
      <c r="L67" t="s">
        <v>1177</v>
      </c>
      <c r="M67" t="s">
        <v>1274</v>
      </c>
      <c r="N67" t="s">
        <v>1079</v>
      </c>
      <c r="O67" t="s">
        <v>1275</v>
      </c>
      <c r="P67">
        <v>46159</v>
      </c>
      <c r="Q67" t="s">
        <v>1177</v>
      </c>
      <c r="R67" t="s">
        <v>48</v>
      </c>
      <c r="S67" t="s">
        <v>745</v>
      </c>
      <c r="T67" t="s">
        <v>688</v>
      </c>
      <c r="U67" t="s">
        <v>689</v>
      </c>
      <c r="V67">
        <v>1</v>
      </c>
      <c r="W67" t="s">
        <v>1262</v>
      </c>
      <c r="X67" t="s">
        <v>1262</v>
      </c>
      <c r="Y67">
        <v>0</v>
      </c>
      <c r="Z67" t="s">
        <v>1186</v>
      </c>
      <c r="AA67" t="s">
        <v>1177</v>
      </c>
      <c r="AB67" t="s">
        <v>1286</v>
      </c>
      <c r="AC67" t="s">
        <v>1277</v>
      </c>
      <c r="AD67" t="s">
        <v>1278</v>
      </c>
      <c r="AE67" t="s">
        <v>1526</v>
      </c>
      <c r="AF67" t="s">
        <v>1178</v>
      </c>
      <c r="AG67" t="s">
        <v>1178</v>
      </c>
      <c r="AH67" t="s">
        <v>1178</v>
      </c>
      <c r="AI67" t="s">
        <v>1280</v>
      </c>
      <c r="AJ67" t="s">
        <v>1190</v>
      </c>
      <c r="AK67">
        <v>0</v>
      </c>
      <c r="AL67" t="s">
        <v>1262</v>
      </c>
      <c r="AM67">
        <v>45777</v>
      </c>
      <c r="AN67">
        <v>46163</v>
      </c>
      <c r="AO67">
        <v>46163</v>
      </c>
      <c r="AP67">
        <v>46167</v>
      </c>
      <c r="AQ67">
        <v>46167</v>
      </c>
      <c r="AR67">
        <v>46169</v>
      </c>
      <c r="AS67">
        <v>46171</v>
      </c>
      <c r="AT67" t="s">
        <v>1281</v>
      </c>
      <c r="AU67" t="s">
        <v>1177</v>
      </c>
      <c r="AV67" t="s">
        <v>1192</v>
      </c>
      <c r="AW67" t="s">
        <v>1177</v>
      </c>
      <c r="AX67">
        <v>241</v>
      </c>
      <c r="AY67">
        <v>2</v>
      </c>
      <c r="AZ67" t="s">
        <v>1177</v>
      </c>
      <c r="BA67">
        <v>0</v>
      </c>
      <c r="BB67" t="s">
        <v>1262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</row>
    <row r="68" spans="1:61" x14ac:dyDescent="0.35">
      <c r="A68" s="7" t="str">
        <f t="shared" si="2"/>
        <v>461594300008569</v>
      </c>
      <c r="B68" s="7" t="str">
        <f t="shared" si="3"/>
        <v>GP233669B838</v>
      </c>
      <c r="C68" t="s">
        <v>1177</v>
      </c>
      <c r="D68" t="s">
        <v>1178</v>
      </c>
      <c r="E68" t="s">
        <v>1527</v>
      </c>
      <c r="F68" t="s">
        <v>1363</v>
      </c>
      <c r="G68" t="s">
        <v>1363</v>
      </c>
      <c r="H68" t="s">
        <v>1271</v>
      </c>
      <c r="I68">
        <v>46159</v>
      </c>
      <c r="J68" t="s">
        <v>1528</v>
      </c>
      <c r="K68" t="s">
        <v>1199</v>
      </c>
      <c r="L68" t="s">
        <v>1177</v>
      </c>
      <c r="M68" t="s">
        <v>1274</v>
      </c>
      <c r="N68" t="s">
        <v>1079</v>
      </c>
      <c r="O68" t="s">
        <v>1275</v>
      </c>
      <c r="P68">
        <v>46159</v>
      </c>
      <c r="Q68" t="s">
        <v>1177</v>
      </c>
      <c r="R68" t="s">
        <v>48</v>
      </c>
      <c r="S68" t="s">
        <v>745</v>
      </c>
      <c r="T68" t="s">
        <v>473</v>
      </c>
      <c r="U68" t="s">
        <v>474</v>
      </c>
      <c r="V68">
        <v>1</v>
      </c>
      <c r="W68" t="s">
        <v>1262</v>
      </c>
      <c r="X68" t="s">
        <v>1262</v>
      </c>
      <c r="Y68">
        <v>0</v>
      </c>
      <c r="Z68" t="s">
        <v>1186</v>
      </c>
      <c r="AA68" t="s">
        <v>1177</v>
      </c>
      <c r="AB68" t="s">
        <v>1276</v>
      </c>
      <c r="AC68" t="s">
        <v>1277</v>
      </c>
      <c r="AD68" t="s">
        <v>1278</v>
      </c>
      <c r="AE68" t="s">
        <v>1354</v>
      </c>
      <c r="AF68" t="s">
        <v>1178</v>
      </c>
      <c r="AG68" t="s">
        <v>1190</v>
      </c>
      <c r="AH68" t="s">
        <v>1178</v>
      </c>
      <c r="AI68" t="s">
        <v>1280</v>
      </c>
      <c r="AJ68" t="s">
        <v>1190</v>
      </c>
      <c r="AK68">
        <v>0</v>
      </c>
      <c r="AL68" t="s">
        <v>1262</v>
      </c>
      <c r="AM68">
        <v>45686</v>
      </c>
      <c r="AN68">
        <v>46290</v>
      </c>
      <c r="AO68">
        <v>46163</v>
      </c>
      <c r="AP68">
        <v>46167</v>
      </c>
      <c r="AQ68">
        <v>46167</v>
      </c>
      <c r="AR68">
        <v>46169</v>
      </c>
      <c r="AS68">
        <v>46171</v>
      </c>
      <c r="AT68" t="s">
        <v>1281</v>
      </c>
      <c r="AU68" t="s">
        <v>1177</v>
      </c>
      <c r="AV68" t="s">
        <v>1192</v>
      </c>
      <c r="AW68" t="s">
        <v>1177</v>
      </c>
      <c r="AX68">
        <v>163</v>
      </c>
      <c r="AY68">
        <v>2</v>
      </c>
      <c r="AZ68" t="s">
        <v>1177</v>
      </c>
      <c r="BA68">
        <v>0</v>
      </c>
      <c r="BB68" t="s">
        <v>1262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</row>
    <row r="69" spans="1:61" x14ac:dyDescent="0.35">
      <c r="A69" s="7" t="str">
        <f t="shared" si="2"/>
        <v>461594300008570</v>
      </c>
      <c r="B69" s="7" t="str">
        <f t="shared" si="3"/>
        <v>GP479700B856</v>
      </c>
      <c r="C69" t="s">
        <v>1177</v>
      </c>
      <c r="D69" t="s">
        <v>1178</v>
      </c>
      <c r="E69" t="s">
        <v>1529</v>
      </c>
      <c r="F69" t="s">
        <v>1363</v>
      </c>
      <c r="G69" t="s">
        <v>1363</v>
      </c>
      <c r="H69" t="s">
        <v>1271</v>
      </c>
      <c r="I69">
        <v>46159</v>
      </c>
      <c r="J69" t="s">
        <v>1530</v>
      </c>
      <c r="K69" t="s">
        <v>1406</v>
      </c>
      <c r="L69" t="s">
        <v>1177</v>
      </c>
      <c r="M69" t="s">
        <v>1274</v>
      </c>
      <c r="N69" t="s">
        <v>1079</v>
      </c>
      <c r="O69" t="s">
        <v>1275</v>
      </c>
      <c r="P69">
        <v>46159</v>
      </c>
      <c r="Q69" t="s">
        <v>1177</v>
      </c>
      <c r="R69" t="s">
        <v>21</v>
      </c>
      <c r="S69" t="s">
        <v>853</v>
      </c>
      <c r="T69" t="s">
        <v>1531</v>
      </c>
      <c r="U69" t="s">
        <v>1532</v>
      </c>
      <c r="V69">
        <v>3</v>
      </c>
      <c r="W69" t="s">
        <v>1262</v>
      </c>
      <c r="X69" t="s">
        <v>1262</v>
      </c>
      <c r="Y69">
        <v>0</v>
      </c>
      <c r="Z69" t="s">
        <v>1186</v>
      </c>
      <c r="AA69" t="s">
        <v>1177</v>
      </c>
      <c r="AB69" t="s">
        <v>1276</v>
      </c>
      <c r="AC69" t="s">
        <v>1277</v>
      </c>
      <c r="AD69" t="s">
        <v>1278</v>
      </c>
      <c r="AE69" t="s">
        <v>1533</v>
      </c>
      <c r="AF69" t="s">
        <v>1178</v>
      </c>
      <c r="AG69" t="s">
        <v>1190</v>
      </c>
      <c r="AH69" t="s">
        <v>1178</v>
      </c>
      <c r="AI69" t="s">
        <v>1280</v>
      </c>
      <c r="AJ69" t="s">
        <v>1190</v>
      </c>
      <c r="AK69">
        <v>0</v>
      </c>
      <c r="AL69" t="s">
        <v>1262</v>
      </c>
      <c r="AM69">
        <v>45623</v>
      </c>
      <c r="AN69">
        <v>46364</v>
      </c>
      <c r="AO69">
        <v>46163</v>
      </c>
      <c r="AP69">
        <v>46167</v>
      </c>
      <c r="AQ69">
        <v>46167</v>
      </c>
      <c r="AR69">
        <v>46169</v>
      </c>
      <c r="AS69">
        <v>46171</v>
      </c>
      <c r="AT69" t="s">
        <v>1281</v>
      </c>
      <c r="AU69" t="s">
        <v>1177</v>
      </c>
      <c r="AV69" t="s">
        <v>1192</v>
      </c>
      <c r="AW69" t="s">
        <v>1177</v>
      </c>
      <c r="AX69">
        <v>187</v>
      </c>
      <c r="AY69">
        <v>2</v>
      </c>
      <c r="AZ69" t="s">
        <v>1177</v>
      </c>
      <c r="BA69">
        <v>0</v>
      </c>
      <c r="BB69" t="s">
        <v>1262</v>
      </c>
      <c r="BC69" t="e">
        <v>#N/A</v>
      </c>
      <c r="BD69" t="e">
        <v>#N/A</v>
      </c>
      <c r="BE69" t="e">
        <v>#N/A</v>
      </c>
      <c r="BF69" t="e">
        <v>#N/A</v>
      </c>
      <c r="BG69" t="s">
        <v>1212</v>
      </c>
      <c r="BH69" t="s">
        <v>1446</v>
      </c>
      <c r="BI69" t="s">
        <v>1447</v>
      </c>
    </row>
    <row r="70" spans="1:61" x14ac:dyDescent="0.35">
      <c r="A70" s="7" t="str">
        <f t="shared" si="2"/>
        <v>461594300008571</v>
      </c>
      <c r="B70" s="7" t="str">
        <f t="shared" si="3"/>
        <v>GP479700B857</v>
      </c>
      <c r="C70" t="s">
        <v>1177</v>
      </c>
      <c r="D70" t="s">
        <v>1178</v>
      </c>
      <c r="E70" t="s">
        <v>1534</v>
      </c>
      <c r="F70" t="s">
        <v>1363</v>
      </c>
      <c r="G70" t="s">
        <v>1363</v>
      </c>
      <c r="H70" t="s">
        <v>1271</v>
      </c>
      <c r="I70">
        <v>46159</v>
      </c>
      <c r="J70" t="s">
        <v>1535</v>
      </c>
      <c r="K70" t="s">
        <v>1407</v>
      </c>
      <c r="L70" t="s">
        <v>1177</v>
      </c>
      <c r="M70" t="s">
        <v>1274</v>
      </c>
      <c r="N70" t="s">
        <v>1079</v>
      </c>
      <c r="O70" t="s">
        <v>1275</v>
      </c>
      <c r="P70">
        <v>46159</v>
      </c>
      <c r="Q70" t="s">
        <v>1177</v>
      </c>
      <c r="R70" t="s">
        <v>23</v>
      </c>
      <c r="S70" t="s">
        <v>959</v>
      </c>
      <c r="T70" t="s">
        <v>1531</v>
      </c>
      <c r="U70" t="s">
        <v>1532</v>
      </c>
      <c r="V70">
        <v>3</v>
      </c>
      <c r="W70" t="s">
        <v>1262</v>
      </c>
      <c r="X70" t="s">
        <v>1262</v>
      </c>
      <c r="Y70">
        <v>0</v>
      </c>
      <c r="Z70" t="s">
        <v>1186</v>
      </c>
      <c r="AA70" t="s">
        <v>1177</v>
      </c>
      <c r="AB70" t="s">
        <v>1276</v>
      </c>
      <c r="AC70" t="s">
        <v>1277</v>
      </c>
      <c r="AD70" t="s">
        <v>1278</v>
      </c>
      <c r="AE70" t="s">
        <v>1533</v>
      </c>
      <c r="AF70" t="s">
        <v>1178</v>
      </c>
      <c r="AG70" t="s">
        <v>1190</v>
      </c>
      <c r="AH70" t="s">
        <v>1178</v>
      </c>
      <c r="AI70" t="s">
        <v>1280</v>
      </c>
      <c r="AJ70" t="s">
        <v>1190</v>
      </c>
      <c r="AK70">
        <v>0</v>
      </c>
      <c r="AL70" t="s">
        <v>1262</v>
      </c>
      <c r="AM70">
        <v>45623</v>
      </c>
      <c r="AN70">
        <v>46364</v>
      </c>
      <c r="AO70">
        <v>46163</v>
      </c>
      <c r="AP70">
        <v>46167</v>
      </c>
      <c r="AQ70">
        <v>46167</v>
      </c>
      <c r="AR70">
        <v>46169</v>
      </c>
      <c r="AS70">
        <v>46171</v>
      </c>
      <c r="AT70" t="s">
        <v>1281</v>
      </c>
      <c r="AU70" t="s">
        <v>1177</v>
      </c>
      <c r="AV70" t="s">
        <v>1192</v>
      </c>
      <c r="AW70" t="s">
        <v>1177</v>
      </c>
      <c r="AX70">
        <v>187</v>
      </c>
      <c r="AY70">
        <v>2</v>
      </c>
      <c r="AZ70" t="s">
        <v>1177</v>
      </c>
      <c r="BA70">
        <v>0</v>
      </c>
      <c r="BB70" t="s">
        <v>1262</v>
      </c>
      <c r="BC70" t="e">
        <v>#N/A</v>
      </c>
      <c r="BD70" t="e">
        <v>#N/A</v>
      </c>
      <c r="BE70" t="e">
        <v>#N/A</v>
      </c>
      <c r="BF70" t="e">
        <v>#N/A</v>
      </c>
      <c r="BG70" t="s">
        <v>1212</v>
      </c>
      <c r="BH70" t="s">
        <v>1446</v>
      </c>
      <c r="BI70" t="s">
        <v>1447</v>
      </c>
    </row>
    <row r="71" spans="1:61" x14ac:dyDescent="0.35">
      <c r="A71" s="7" t="str">
        <f t="shared" si="2"/>
        <v>461594300008572</v>
      </c>
      <c r="B71" s="7" t="str">
        <f t="shared" si="3"/>
        <v>GP525861B856</v>
      </c>
      <c r="C71" t="s">
        <v>1177</v>
      </c>
      <c r="D71" t="s">
        <v>1178</v>
      </c>
      <c r="E71" t="s">
        <v>1536</v>
      </c>
      <c r="F71" t="s">
        <v>1363</v>
      </c>
      <c r="G71" t="s">
        <v>1363</v>
      </c>
      <c r="H71" t="s">
        <v>1271</v>
      </c>
      <c r="I71">
        <v>46159</v>
      </c>
      <c r="J71" t="s">
        <v>1537</v>
      </c>
      <c r="K71" t="s">
        <v>1199</v>
      </c>
      <c r="L71" t="s">
        <v>1177</v>
      </c>
      <c r="M71" t="s">
        <v>1274</v>
      </c>
      <c r="N71" t="s">
        <v>1079</v>
      </c>
      <c r="O71" t="s">
        <v>1275</v>
      </c>
      <c r="P71">
        <v>46159</v>
      </c>
      <c r="Q71" t="s">
        <v>1177</v>
      </c>
      <c r="R71" t="s">
        <v>21</v>
      </c>
      <c r="S71" t="s">
        <v>853</v>
      </c>
      <c r="T71" t="s">
        <v>1538</v>
      </c>
      <c r="U71" t="s">
        <v>1539</v>
      </c>
      <c r="V71">
        <v>4</v>
      </c>
      <c r="W71" t="s">
        <v>1262</v>
      </c>
      <c r="X71" t="s">
        <v>1262</v>
      </c>
      <c r="Y71">
        <v>0</v>
      </c>
      <c r="Z71" t="s">
        <v>1186</v>
      </c>
      <c r="AA71" t="s">
        <v>1177</v>
      </c>
      <c r="AB71" t="s">
        <v>1276</v>
      </c>
      <c r="AC71" t="s">
        <v>1277</v>
      </c>
      <c r="AD71" t="s">
        <v>1278</v>
      </c>
      <c r="AE71" t="s">
        <v>1292</v>
      </c>
      <c r="AF71" t="s">
        <v>1178</v>
      </c>
      <c r="AG71" t="s">
        <v>1190</v>
      </c>
      <c r="AH71" t="s">
        <v>1178</v>
      </c>
      <c r="AI71" t="s">
        <v>1280</v>
      </c>
      <c r="AJ71" t="s">
        <v>1190</v>
      </c>
      <c r="AK71">
        <v>0</v>
      </c>
      <c r="AL71" t="s">
        <v>1262</v>
      </c>
      <c r="AM71">
        <v>45687</v>
      </c>
      <c r="AN71">
        <v>46351</v>
      </c>
      <c r="AO71">
        <v>46163</v>
      </c>
      <c r="AP71">
        <v>46167</v>
      </c>
      <c r="AQ71">
        <v>46167</v>
      </c>
      <c r="AR71">
        <v>46169</v>
      </c>
      <c r="AS71">
        <v>46171</v>
      </c>
      <c r="AT71" t="s">
        <v>1281</v>
      </c>
      <c r="AU71" t="s">
        <v>1177</v>
      </c>
      <c r="AV71" t="s">
        <v>1192</v>
      </c>
      <c r="AW71" t="s">
        <v>1177</v>
      </c>
      <c r="AX71">
        <v>176</v>
      </c>
      <c r="AY71">
        <v>2</v>
      </c>
      <c r="AZ71" t="s">
        <v>1177</v>
      </c>
      <c r="BA71">
        <v>0</v>
      </c>
      <c r="BB71" t="s">
        <v>1262</v>
      </c>
      <c r="BC71" t="e">
        <v>#N/A</v>
      </c>
      <c r="BD71" t="e">
        <v>#N/A</v>
      </c>
      <c r="BE71" t="e">
        <v>#N/A</v>
      </c>
      <c r="BF71" t="e">
        <v>#N/A</v>
      </c>
      <c r="BG71" t="s">
        <v>1212</v>
      </c>
      <c r="BH71" t="s">
        <v>1446</v>
      </c>
      <c r="BI71" t="s">
        <v>1447</v>
      </c>
    </row>
    <row r="72" spans="1:61" x14ac:dyDescent="0.35">
      <c r="A72" s="7" t="str">
        <f t="shared" si="2"/>
        <v>461594300008573</v>
      </c>
      <c r="B72" s="7" t="str">
        <f t="shared" si="3"/>
        <v>GP525861B857</v>
      </c>
      <c r="C72" t="s">
        <v>1177</v>
      </c>
      <c r="D72" t="s">
        <v>1178</v>
      </c>
      <c r="E72" t="s">
        <v>1540</v>
      </c>
      <c r="F72" t="s">
        <v>1363</v>
      </c>
      <c r="G72" t="s">
        <v>1363</v>
      </c>
      <c r="H72" t="s">
        <v>1271</v>
      </c>
      <c r="I72">
        <v>46159</v>
      </c>
      <c r="J72" t="s">
        <v>1541</v>
      </c>
      <c r="K72" t="s">
        <v>1199</v>
      </c>
      <c r="L72" t="s">
        <v>1177</v>
      </c>
      <c r="M72" t="s">
        <v>1274</v>
      </c>
      <c r="N72" t="s">
        <v>1079</v>
      </c>
      <c r="O72" t="s">
        <v>1275</v>
      </c>
      <c r="P72">
        <v>46159</v>
      </c>
      <c r="Q72" t="s">
        <v>1177</v>
      </c>
      <c r="R72" t="s">
        <v>23</v>
      </c>
      <c r="S72" t="s">
        <v>959</v>
      </c>
      <c r="T72" t="s">
        <v>1538</v>
      </c>
      <c r="U72" t="s">
        <v>1539</v>
      </c>
      <c r="V72">
        <v>10</v>
      </c>
      <c r="W72" t="s">
        <v>1262</v>
      </c>
      <c r="X72" t="s">
        <v>1262</v>
      </c>
      <c r="Y72">
        <v>0</v>
      </c>
      <c r="Z72" t="s">
        <v>1186</v>
      </c>
      <c r="AA72" t="s">
        <v>1177</v>
      </c>
      <c r="AB72" t="s">
        <v>1276</v>
      </c>
      <c r="AC72" t="s">
        <v>1277</v>
      </c>
      <c r="AD72" t="s">
        <v>1278</v>
      </c>
      <c r="AE72" t="s">
        <v>1292</v>
      </c>
      <c r="AF72" t="s">
        <v>1178</v>
      </c>
      <c r="AG72" t="s">
        <v>1190</v>
      </c>
      <c r="AH72" t="s">
        <v>1178</v>
      </c>
      <c r="AI72" t="s">
        <v>1280</v>
      </c>
      <c r="AJ72" t="s">
        <v>1190</v>
      </c>
      <c r="AK72">
        <v>0</v>
      </c>
      <c r="AL72" t="s">
        <v>1262</v>
      </c>
      <c r="AM72">
        <v>45657</v>
      </c>
      <c r="AN72">
        <v>46351</v>
      </c>
      <c r="AO72">
        <v>46163</v>
      </c>
      <c r="AP72">
        <v>46167</v>
      </c>
      <c r="AQ72">
        <v>46167</v>
      </c>
      <c r="AR72">
        <v>46169</v>
      </c>
      <c r="AS72">
        <v>46171</v>
      </c>
      <c r="AT72" t="s">
        <v>1281</v>
      </c>
      <c r="AU72" t="s">
        <v>1177</v>
      </c>
      <c r="AV72" t="s">
        <v>1192</v>
      </c>
      <c r="AW72" t="s">
        <v>1177</v>
      </c>
      <c r="AX72">
        <v>176</v>
      </c>
      <c r="AY72">
        <v>2</v>
      </c>
      <c r="AZ72" t="s">
        <v>1177</v>
      </c>
      <c r="BA72">
        <v>0</v>
      </c>
      <c r="BB72" t="s">
        <v>1262</v>
      </c>
      <c r="BC72" t="e">
        <v>#N/A</v>
      </c>
      <c r="BD72" t="e">
        <v>#N/A</v>
      </c>
      <c r="BE72" t="e">
        <v>#N/A</v>
      </c>
      <c r="BF72" t="e">
        <v>#N/A</v>
      </c>
      <c r="BG72" t="s">
        <v>1212</v>
      </c>
      <c r="BH72" t="s">
        <v>1446</v>
      </c>
      <c r="BI72" t="s">
        <v>1447</v>
      </c>
    </row>
    <row r="73" spans="1:61" x14ac:dyDescent="0.35">
      <c r="A73" s="7" t="str">
        <f t="shared" si="2"/>
        <v>461594300008580</v>
      </c>
      <c r="B73" s="7" t="str">
        <f t="shared" si="3"/>
        <v>GP089087B856</v>
      </c>
      <c r="C73" t="s">
        <v>1177</v>
      </c>
      <c r="D73" t="s">
        <v>1178</v>
      </c>
      <c r="E73" t="s">
        <v>1545</v>
      </c>
      <c r="F73" t="s">
        <v>1363</v>
      </c>
      <c r="G73" t="s">
        <v>1363</v>
      </c>
      <c r="H73" t="s">
        <v>1271</v>
      </c>
      <c r="I73">
        <v>46159</v>
      </c>
      <c r="J73" t="s">
        <v>1546</v>
      </c>
      <c r="K73" t="s">
        <v>1199</v>
      </c>
      <c r="L73" t="s">
        <v>1177</v>
      </c>
      <c r="M73" t="s">
        <v>1274</v>
      </c>
      <c r="N73" t="s">
        <v>1079</v>
      </c>
      <c r="O73" t="s">
        <v>1275</v>
      </c>
      <c r="P73">
        <v>46159</v>
      </c>
      <c r="Q73" t="s">
        <v>1177</v>
      </c>
      <c r="R73" t="s">
        <v>21</v>
      </c>
      <c r="S73" t="s">
        <v>853</v>
      </c>
      <c r="T73" t="s">
        <v>164</v>
      </c>
      <c r="U73" t="s">
        <v>1500</v>
      </c>
      <c r="V73">
        <v>120</v>
      </c>
      <c r="W73" t="s">
        <v>1262</v>
      </c>
      <c r="X73" t="s">
        <v>1262</v>
      </c>
      <c r="Y73">
        <v>0</v>
      </c>
      <c r="Z73" t="s">
        <v>1186</v>
      </c>
      <c r="AA73" t="s">
        <v>1177</v>
      </c>
      <c r="AB73" t="s">
        <v>1177</v>
      </c>
      <c r="AC73" t="s">
        <v>1177</v>
      </c>
      <c r="AD73" t="s">
        <v>1204</v>
      </c>
      <c r="AE73" t="s">
        <v>1501</v>
      </c>
      <c r="AF73" t="s">
        <v>1189</v>
      </c>
      <c r="AG73" t="s">
        <v>1178</v>
      </c>
      <c r="AH73" t="s">
        <v>1178</v>
      </c>
      <c r="AI73" t="s">
        <v>1280</v>
      </c>
      <c r="AJ73" t="s">
        <v>1190</v>
      </c>
      <c r="AK73">
        <v>0</v>
      </c>
      <c r="AL73" t="s">
        <v>1262</v>
      </c>
      <c r="AM73">
        <v>46265</v>
      </c>
      <c r="AN73">
        <v>46254</v>
      </c>
      <c r="AO73">
        <v>46254</v>
      </c>
      <c r="AP73">
        <v>46258</v>
      </c>
      <c r="AQ73">
        <v>46258</v>
      </c>
      <c r="AR73">
        <v>46260</v>
      </c>
      <c r="AS73">
        <v>46262</v>
      </c>
      <c r="AT73" t="s">
        <v>1281</v>
      </c>
      <c r="AU73" t="s">
        <v>1177</v>
      </c>
      <c r="AV73" t="s">
        <v>1192</v>
      </c>
      <c r="AW73" t="s">
        <v>1177</v>
      </c>
      <c r="AX73">
        <v>55</v>
      </c>
      <c r="AY73">
        <v>2</v>
      </c>
      <c r="AZ73" t="s">
        <v>1177</v>
      </c>
      <c r="BA73">
        <v>0</v>
      </c>
      <c r="BB73" t="s">
        <v>1262</v>
      </c>
      <c r="BC73" t="e">
        <v>#N/A</v>
      </c>
      <c r="BD73" t="e">
        <v>#N/A</v>
      </c>
      <c r="BE73" t="e">
        <v>#N/A</v>
      </c>
      <c r="BF73" t="e">
        <v>#N/A</v>
      </c>
      <c r="BG73" t="s">
        <v>1372</v>
      </c>
      <c r="BH73" t="s">
        <v>1373</v>
      </c>
      <c r="BI73" t="s">
        <v>1507</v>
      </c>
    </row>
    <row r="74" spans="1:61" x14ac:dyDescent="0.35">
      <c r="A74" s="7" t="str">
        <f t="shared" si="2"/>
        <v>461594300008581</v>
      </c>
      <c r="B74" s="7" t="str">
        <f t="shared" si="3"/>
        <v>P390351B825</v>
      </c>
      <c r="C74" t="s">
        <v>1177</v>
      </c>
      <c r="D74" t="s">
        <v>1178</v>
      </c>
      <c r="E74" t="s">
        <v>1547</v>
      </c>
      <c r="F74" t="s">
        <v>1363</v>
      </c>
      <c r="G74" t="s">
        <v>1363</v>
      </c>
      <c r="H74" t="s">
        <v>1271</v>
      </c>
      <c r="I74">
        <v>46159</v>
      </c>
      <c r="J74" t="s">
        <v>1548</v>
      </c>
      <c r="K74" t="s">
        <v>1198</v>
      </c>
      <c r="L74" t="s">
        <v>1177</v>
      </c>
      <c r="M74" t="s">
        <v>1274</v>
      </c>
      <c r="N74" t="s">
        <v>1079</v>
      </c>
      <c r="O74" t="s">
        <v>1275</v>
      </c>
      <c r="P74">
        <v>46188</v>
      </c>
      <c r="Q74" t="s">
        <v>1177</v>
      </c>
      <c r="R74" t="s">
        <v>16</v>
      </c>
      <c r="S74" t="s">
        <v>512</v>
      </c>
      <c r="T74" t="s">
        <v>201</v>
      </c>
      <c r="U74" t="s">
        <v>1549</v>
      </c>
      <c r="V74">
        <v>440</v>
      </c>
      <c r="W74" t="s">
        <v>1262</v>
      </c>
      <c r="X74" t="s">
        <v>1262</v>
      </c>
      <c r="Y74">
        <v>0</v>
      </c>
      <c r="Z74" t="s">
        <v>1186</v>
      </c>
      <c r="AA74" t="s">
        <v>1177</v>
      </c>
      <c r="AB74" t="s">
        <v>1286</v>
      </c>
      <c r="AC74" t="s">
        <v>1277</v>
      </c>
      <c r="AD74" t="s">
        <v>1278</v>
      </c>
      <c r="AE74" t="s">
        <v>1292</v>
      </c>
      <c r="AF74" t="s">
        <v>1178</v>
      </c>
      <c r="AG74" t="s">
        <v>1178</v>
      </c>
      <c r="AH74" t="s">
        <v>1178</v>
      </c>
      <c r="AI74" t="s">
        <v>1349</v>
      </c>
      <c r="AJ74" t="s">
        <v>1190</v>
      </c>
      <c r="AK74">
        <v>0</v>
      </c>
      <c r="AL74" t="s">
        <v>1262</v>
      </c>
      <c r="AM74">
        <v>46265</v>
      </c>
      <c r="AN74">
        <v>46258</v>
      </c>
      <c r="AO74">
        <v>46258</v>
      </c>
      <c r="AP74">
        <v>46260</v>
      </c>
      <c r="AQ74">
        <v>46260</v>
      </c>
      <c r="AR74">
        <v>46262</v>
      </c>
      <c r="AS74">
        <v>46266</v>
      </c>
      <c r="AT74" t="s">
        <v>1281</v>
      </c>
      <c r="AU74" t="s">
        <v>1177</v>
      </c>
      <c r="AV74" t="s">
        <v>1192</v>
      </c>
      <c r="AW74" t="s">
        <v>1177</v>
      </c>
      <c r="AX74">
        <v>104</v>
      </c>
      <c r="AY74">
        <v>2</v>
      </c>
      <c r="AZ74" t="s">
        <v>1177</v>
      </c>
      <c r="BA74">
        <v>400</v>
      </c>
      <c r="BB74" t="s">
        <v>1262</v>
      </c>
      <c r="BC74" t="s">
        <v>1550</v>
      </c>
      <c r="BD74">
        <v>8690</v>
      </c>
      <c r="BE74">
        <v>46230</v>
      </c>
      <c r="BF74" t="s">
        <v>1165</v>
      </c>
      <c r="BG74" t="s">
        <v>1372</v>
      </c>
      <c r="BH74" t="s">
        <v>1373</v>
      </c>
      <c r="BI74" t="s">
        <v>1551</v>
      </c>
    </row>
    <row r="75" spans="1:61" x14ac:dyDescent="0.35">
      <c r="A75" s="7" t="str">
        <f t="shared" si="2"/>
        <v>461594300008582</v>
      </c>
      <c r="B75" s="7" t="str">
        <f t="shared" si="3"/>
        <v>GP326156B856</v>
      </c>
      <c r="C75" t="s">
        <v>1177</v>
      </c>
      <c r="D75" t="s">
        <v>1178</v>
      </c>
      <c r="E75" t="s">
        <v>1559</v>
      </c>
      <c r="F75" t="s">
        <v>1363</v>
      </c>
      <c r="G75" t="s">
        <v>1363</v>
      </c>
      <c r="H75" t="s">
        <v>1271</v>
      </c>
      <c r="I75">
        <v>46159</v>
      </c>
      <c r="J75" t="s">
        <v>1560</v>
      </c>
      <c r="K75" t="s">
        <v>1283</v>
      </c>
      <c r="L75" t="s">
        <v>1177</v>
      </c>
      <c r="M75" t="s">
        <v>1274</v>
      </c>
      <c r="N75" t="s">
        <v>1079</v>
      </c>
      <c r="O75" t="s">
        <v>1275</v>
      </c>
      <c r="P75">
        <v>46159</v>
      </c>
      <c r="Q75" t="s">
        <v>1177</v>
      </c>
      <c r="R75" t="s">
        <v>21</v>
      </c>
      <c r="S75" t="s">
        <v>853</v>
      </c>
      <c r="T75" t="s">
        <v>1099</v>
      </c>
      <c r="U75" t="s">
        <v>1561</v>
      </c>
      <c r="V75">
        <v>5</v>
      </c>
      <c r="W75" t="s">
        <v>1262</v>
      </c>
      <c r="X75" t="s">
        <v>1262</v>
      </c>
      <c r="Y75">
        <v>0</v>
      </c>
      <c r="Z75" t="s">
        <v>1186</v>
      </c>
      <c r="AA75" t="s">
        <v>1177</v>
      </c>
      <c r="AB75" t="s">
        <v>1286</v>
      </c>
      <c r="AC75" t="s">
        <v>1277</v>
      </c>
      <c r="AD75" t="s">
        <v>1278</v>
      </c>
      <c r="AE75" t="s">
        <v>1378</v>
      </c>
      <c r="AF75" t="s">
        <v>1178</v>
      </c>
      <c r="AG75" t="s">
        <v>1178</v>
      </c>
      <c r="AH75" t="s">
        <v>1178</v>
      </c>
      <c r="AI75" t="s">
        <v>1280</v>
      </c>
      <c r="AJ75" t="s">
        <v>1190</v>
      </c>
      <c r="AK75">
        <v>0</v>
      </c>
      <c r="AL75" t="s">
        <v>1262</v>
      </c>
      <c r="AM75">
        <v>45746</v>
      </c>
      <c r="AN75">
        <v>46163</v>
      </c>
      <c r="AO75">
        <v>46163</v>
      </c>
      <c r="AP75">
        <v>46167</v>
      </c>
      <c r="AQ75">
        <v>46167</v>
      </c>
      <c r="AR75">
        <v>46169</v>
      </c>
      <c r="AS75">
        <v>46169</v>
      </c>
      <c r="AT75" t="s">
        <v>1281</v>
      </c>
      <c r="AU75" t="s">
        <v>1177</v>
      </c>
      <c r="AV75" t="s">
        <v>1192</v>
      </c>
      <c r="AW75" t="s">
        <v>1177</v>
      </c>
      <c r="AX75">
        <v>0</v>
      </c>
      <c r="AY75">
        <v>0</v>
      </c>
      <c r="AZ75" t="s">
        <v>1177</v>
      </c>
      <c r="BA75">
        <v>0</v>
      </c>
      <c r="BB75" t="s">
        <v>1262</v>
      </c>
      <c r="BC75" t="e">
        <v>#N/A</v>
      </c>
      <c r="BD75" t="e">
        <v>#N/A</v>
      </c>
      <c r="BE75" t="e">
        <v>#N/A</v>
      </c>
      <c r="BF75" t="e">
        <v>#N/A</v>
      </c>
      <c r="BG75" t="s">
        <v>1458</v>
      </c>
      <c r="BH75" t="s">
        <v>1544</v>
      </c>
      <c r="BI75" t="s">
        <v>1562</v>
      </c>
    </row>
    <row r="76" spans="1:61" x14ac:dyDescent="0.35">
      <c r="A76" s="7" t="str">
        <f t="shared" si="2"/>
        <v>461594300008588</v>
      </c>
      <c r="B76" s="7" t="str">
        <f t="shared" si="3"/>
        <v>GP386042B864</v>
      </c>
      <c r="C76" t="s">
        <v>1177</v>
      </c>
      <c r="D76" t="s">
        <v>1178</v>
      </c>
      <c r="E76" t="s">
        <v>1563</v>
      </c>
      <c r="F76" t="s">
        <v>1363</v>
      </c>
      <c r="G76" t="s">
        <v>1363</v>
      </c>
      <c r="H76" t="s">
        <v>1271</v>
      </c>
      <c r="I76">
        <v>46159</v>
      </c>
      <c r="J76" t="s">
        <v>1564</v>
      </c>
      <c r="K76" t="s">
        <v>1182</v>
      </c>
      <c r="L76" t="s">
        <v>1177</v>
      </c>
      <c r="M76" t="s">
        <v>1274</v>
      </c>
      <c r="N76" t="s">
        <v>1079</v>
      </c>
      <c r="O76" t="s">
        <v>1275</v>
      </c>
      <c r="P76">
        <v>46159</v>
      </c>
      <c r="Q76" t="s">
        <v>1177</v>
      </c>
      <c r="R76" t="s">
        <v>10</v>
      </c>
      <c r="S76" t="s">
        <v>1011</v>
      </c>
      <c r="T76" t="s">
        <v>987</v>
      </c>
      <c r="U76" t="s">
        <v>988</v>
      </c>
      <c r="V76">
        <v>1</v>
      </c>
      <c r="W76" t="s">
        <v>1262</v>
      </c>
      <c r="X76" t="s">
        <v>1262</v>
      </c>
      <c r="Y76">
        <v>0</v>
      </c>
      <c r="Z76" t="s">
        <v>1186</v>
      </c>
      <c r="AA76" t="s">
        <v>1177</v>
      </c>
      <c r="AB76" t="s">
        <v>1276</v>
      </c>
      <c r="AC76" t="s">
        <v>1277</v>
      </c>
      <c r="AD76" t="s">
        <v>1278</v>
      </c>
      <c r="AE76" t="s">
        <v>1565</v>
      </c>
      <c r="AF76" t="s">
        <v>1178</v>
      </c>
      <c r="AG76" t="s">
        <v>1190</v>
      </c>
      <c r="AH76" t="s">
        <v>1178</v>
      </c>
      <c r="AI76" t="s">
        <v>1280</v>
      </c>
      <c r="AJ76" t="s">
        <v>1190</v>
      </c>
      <c r="AK76">
        <v>0</v>
      </c>
      <c r="AL76" t="s">
        <v>1262</v>
      </c>
      <c r="AM76">
        <v>45677</v>
      </c>
      <c r="AN76">
        <v>46302</v>
      </c>
      <c r="AO76">
        <v>46163</v>
      </c>
      <c r="AP76">
        <v>46167</v>
      </c>
      <c r="AQ76">
        <v>46167</v>
      </c>
      <c r="AR76">
        <v>46169</v>
      </c>
      <c r="AS76">
        <v>46171</v>
      </c>
      <c r="AT76" t="s">
        <v>1281</v>
      </c>
      <c r="AU76" t="s">
        <v>1177</v>
      </c>
      <c r="AV76" t="s">
        <v>1192</v>
      </c>
      <c r="AW76" t="s">
        <v>1177</v>
      </c>
      <c r="AX76">
        <v>33</v>
      </c>
      <c r="AY76">
        <v>2</v>
      </c>
      <c r="AZ76" t="s">
        <v>1177</v>
      </c>
      <c r="BA76">
        <v>0</v>
      </c>
      <c r="BB76" t="s">
        <v>1262</v>
      </c>
      <c r="BC76" t="e">
        <v>#N/A</v>
      </c>
      <c r="BD76" t="e">
        <v>#N/A</v>
      </c>
      <c r="BE76" t="e">
        <v>#N/A</v>
      </c>
      <c r="BF76" t="e">
        <v>#N/A</v>
      </c>
      <c r="BG76" t="s">
        <v>126</v>
      </c>
      <c r="BH76" t="s">
        <v>1194</v>
      </c>
      <c r="BI76" t="s">
        <v>126</v>
      </c>
    </row>
    <row r="77" spans="1:61" x14ac:dyDescent="0.35">
      <c r="A77" s="7" t="str">
        <f t="shared" si="2"/>
        <v>461594300008591</v>
      </c>
      <c r="B77" s="7" t="str">
        <f t="shared" si="3"/>
        <v>GP396897B857</v>
      </c>
      <c r="C77" t="s">
        <v>1177</v>
      </c>
      <c r="D77" t="s">
        <v>1178</v>
      </c>
      <c r="E77" t="s">
        <v>1568</v>
      </c>
      <c r="F77" t="s">
        <v>1363</v>
      </c>
      <c r="G77" t="s">
        <v>1363</v>
      </c>
      <c r="H77" t="s">
        <v>1271</v>
      </c>
      <c r="I77">
        <v>46159</v>
      </c>
      <c r="J77" t="s">
        <v>1569</v>
      </c>
      <c r="K77" t="s">
        <v>1401</v>
      </c>
      <c r="L77" t="s">
        <v>1177</v>
      </c>
      <c r="M77" t="s">
        <v>1274</v>
      </c>
      <c r="N77" t="s">
        <v>1079</v>
      </c>
      <c r="O77" t="s">
        <v>1275</v>
      </c>
      <c r="P77">
        <v>46159</v>
      </c>
      <c r="Q77" t="s">
        <v>1177</v>
      </c>
      <c r="R77" t="s">
        <v>23</v>
      </c>
      <c r="S77" t="s">
        <v>959</v>
      </c>
      <c r="T77" t="s">
        <v>1570</v>
      </c>
      <c r="U77" t="s">
        <v>1571</v>
      </c>
      <c r="V77">
        <v>6</v>
      </c>
      <c r="W77" t="s">
        <v>1262</v>
      </c>
      <c r="X77" t="s">
        <v>1262</v>
      </c>
      <c r="Y77">
        <v>0</v>
      </c>
      <c r="Z77" t="s">
        <v>1186</v>
      </c>
      <c r="AA77" t="s">
        <v>1177</v>
      </c>
      <c r="AB77" t="s">
        <v>1276</v>
      </c>
      <c r="AC77" t="s">
        <v>1277</v>
      </c>
      <c r="AD77" t="s">
        <v>1278</v>
      </c>
      <c r="AE77" t="s">
        <v>1566</v>
      </c>
      <c r="AF77" t="s">
        <v>1178</v>
      </c>
      <c r="AG77" t="s">
        <v>1190</v>
      </c>
      <c r="AH77" t="s">
        <v>1178</v>
      </c>
      <c r="AI77" t="s">
        <v>1280</v>
      </c>
      <c r="AJ77" t="s">
        <v>1190</v>
      </c>
      <c r="AK77">
        <v>0</v>
      </c>
      <c r="AL77" t="s">
        <v>1262</v>
      </c>
      <c r="AM77">
        <v>45649</v>
      </c>
      <c r="AN77">
        <v>46163</v>
      </c>
      <c r="AO77">
        <v>46163</v>
      </c>
      <c r="AP77">
        <v>46167</v>
      </c>
      <c r="AQ77">
        <v>46167</v>
      </c>
      <c r="AR77">
        <v>46169</v>
      </c>
      <c r="AS77">
        <v>46171</v>
      </c>
      <c r="AT77" t="s">
        <v>1281</v>
      </c>
      <c r="AU77" t="s">
        <v>1177</v>
      </c>
      <c r="AV77" t="s">
        <v>1192</v>
      </c>
      <c r="AW77" t="s">
        <v>1177</v>
      </c>
      <c r="AX77">
        <v>194</v>
      </c>
      <c r="AY77">
        <v>2</v>
      </c>
      <c r="AZ77" t="s">
        <v>1177</v>
      </c>
      <c r="BA77">
        <v>6</v>
      </c>
      <c r="BB77" t="s">
        <v>1262</v>
      </c>
      <c r="BC77" t="e">
        <v>#N/A</v>
      </c>
      <c r="BD77" t="e">
        <v>#N/A</v>
      </c>
      <c r="BE77" t="e">
        <v>#N/A</v>
      </c>
      <c r="BF77" t="e">
        <v>#N/A</v>
      </c>
      <c r="BG77" t="s">
        <v>1212</v>
      </c>
      <c r="BH77" t="s">
        <v>1567</v>
      </c>
      <c r="BI77" t="s">
        <v>1212</v>
      </c>
    </row>
    <row r="78" spans="1:61" x14ac:dyDescent="0.35">
      <c r="A78" s="7" t="str">
        <f t="shared" si="2"/>
        <v>461594300008592</v>
      </c>
      <c r="B78" s="7" t="str">
        <f t="shared" si="3"/>
        <v>GP462176B865</v>
      </c>
      <c r="C78" t="s">
        <v>1177</v>
      </c>
      <c r="D78" t="s">
        <v>1178</v>
      </c>
      <c r="E78" t="s">
        <v>1572</v>
      </c>
      <c r="F78" t="s">
        <v>1363</v>
      </c>
      <c r="G78" t="s">
        <v>1363</v>
      </c>
      <c r="H78" t="s">
        <v>1271</v>
      </c>
      <c r="I78">
        <v>46159</v>
      </c>
      <c r="J78" t="s">
        <v>1573</v>
      </c>
      <c r="K78" t="s">
        <v>1288</v>
      </c>
      <c r="L78" t="s">
        <v>1177</v>
      </c>
      <c r="M78" t="s">
        <v>1274</v>
      </c>
      <c r="N78" t="s">
        <v>1079</v>
      </c>
      <c r="O78" t="s">
        <v>1275</v>
      </c>
      <c r="P78">
        <v>46159</v>
      </c>
      <c r="Q78" t="s">
        <v>1177</v>
      </c>
      <c r="R78" t="s">
        <v>7</v>
      </c>
      <c r="S78" t="s">
        <v>1040</v>
      </c>
      <c r="T78" t="s">
        <v>1110</v>
      </c>
      <c r="U78" t="s">
        <v>1574</v>
      </c>
      <c r="V78">
        <v>40</v>
      </c>
      <c r="W78" t="s">
        <v>1262</v>
      </c>
      <c r="X78" t="s">
        <v>1262</v>
      </c>
      <c r="Y78">
        <v>0</v>
      </c>
      <c r="Z78" t="s">
        <v>1186</v>
      </c>
      <c r="AA78" t="s">
        <v>1177</v>
      </c>
      <c r="AB78" t="s">
        <v>1286</v>
      </c>
      <c r="AC78" t="s">
        <v>1277</v>
      </c>
      <c r="AD78" t="s">
        <v>1278</v>
      </c>
      <c r="AE78" t="s">
        <v>1378</v>
      </c>
      <c r="AF78" t="s">
        <v>1178</v>
      </c>
      <c r="AG78" t="s">
        <v>1178</v>
      </c>
      <c r="AH78" t="s">
        <v>1178</v>
      </c>
      <c r="AI78" t="s">
        <v>1349</v>
      </c>
      <c r="AJ78" t="s">
        <v>1190</v>
      </c>
      <c r="AK78">
        <v>0</v>
      </c>
      <c r="AL78" t="s">
        <v>1262</v>
      </c>
      <c r="AM78">
        <v>45688</v>
      </c>
      <c r="AN78">
        <v>46160</v>
      </c>
      <c r="AO78">
        <v>46160</v>
      </c>
      <c r="AP78">
        <v>46162</v>
      </c>
      <c r="AQ78">
        <v>46162</v>
      </c>
      <c r="AR78">
        <v>46164</v>
      </c>
      <c r="AS78">
        <v>46164</v>
      </c>
      <c r="AT78" t="s">
        <v>1281</v>
      </c>
      <c r="AU78" t="s">
        <v>1177</v>
      </c>
      <c r="AV78" t="s">
        <v>1192</v>
      </c>
      <c r="AW78" t="s">
        <v>1177</v>
      </c>
      <c r="AX78">
        <v>0</v>
      </c>
      <c r="AY78">
        <v>0</v>
      </c>
      <c r="AZ78" t="s">
        <v>1177</v>
      </c>
      <c r="BA78">
        <v>0</v>
      </c>
      <c r="BB78" t="s">
        <v>1262</v>
      </c>
      <c r="BC78" t="e">
        <v>#N/A</v>
      </c>
      <c r="BD78" t="e">
        <v>#N/A</v>
      </c>
      <c r="BE78" t="e">
        <v>#N/A</v>
      </c>
      <c r="BF78" t="e">
        <v>#N/A</v>
      </c>
      <c r="BG78" t="s">
        <v>1458</v>
      </c>
      <c r="BH78" t="s">
        <v>1544</v>
      </c>
      <c r="BI78" t="s">
        <v>1575</v>
      </c>
    </row>
    <row r="79" spans="1:61" x14ac:dyDescent="0.35">
      <c r="A79" s="7" t="str">
        <f t="shared" si="2"/>
        <v>461594300008595</v>
      </c>
      <c r="B79" s="7" t="str">
        <f t="shared" si="3"/>
        <v>GP139201B857</v>
      </c>
      <c r="C79" t="s">
        <v>1177</v>
      </c>
      <c r="D79" t="s">
        <v>1178</v>
      </c>
      <c r="E79" t="s">
        <v>1577</v>
      </c>
      <c r="F79" t="s">
        <v>1363</v>
      </c>
      <c r="G79" t="s">
        <v>1363</v>
      </c>
      <c r="H79" t="s">
        <v>1271</v>
      </c>
      <c r="I79">
        <v>46159</v>
      </c>
      <c r="J79" t="s">
        <v>1578</v>
      </c>
      <c r="K79" t="s">
        <v>1283</v>
      </c>
      <c r="L79" t="s">
        <v>1177</v>
      </c>
      <c r="M79" t="s">
        <v>1274</v>
      </c>
      <c r="N79" t="s">
        <v>1079</v>
      </c>
      <c r="O79" t="s">
        <v>1275</v>
      </c>
      <c r="P79">
        <v>46159</v>
      </c>
      <c r="Q79" t="s">
        <v>1177</v>
      </c>
      <c r="R79" t="s">
        <v>23</v>
      </c>
      <c r="S79" t="s">
        <v>959</v>
      </c>
      <c r="T79" t="s">
        <v>264</v>
      </c>
      <c r="U79" t="s">
        <v>265</v>
      </c>
      <c r="V79">
        <v>35</v>
      </c>
      <c r="W79" t="s">
        <v>1262</v>
      </c>
      <c r="X79" t="s">
        <v>1262</v>
      </c>
      <c r="Y79">
        <v>0</v>
      </c>
      <c r="Z79" t="s">
        <v>1186</v>
      </c>
      <c r="AA79" t="s">
        <v>1177</v>
      </c>
      <c r="AB79" t="s">
        <v>1276</v>
      </c>
      <c r="AC79" t="s">
        <v>1277</v>
      </c>
      <c r="AD79" t="s">
        <v>1278</v>
      </c>
      <c r="AE79" t="s">
        <v>1579</v>
      </c>
      <c r="AF79" t="s">
        <v>1178</v>
      </c>
      <c r="AG79" t="s">
        <v>1190</v>
      </c>
      <c r="AH79" t="s">
        <v>1178</v>
      </c>
      <c r="AI79" t="s">
        <v>1280</v>
      </c>
      <c r="AJ79" t="s">
        <v>1190</v>
      </c>
      <c r="AK79">
        <v>0</v>
      </c>
      <c r="AL79" t="s">
        <v>1262</v>
      </c>
      <c r="AM79">
        <v>45988</v>
      </c>
      <c r="AN79">
        <v>46163</v>
      </c>
      <c r="AO79">
        <v>46163</v>
      </c>
      <c r="AP79">
        <v>46167</v>
      </c>
      <c r="AQ79">
        <v>46167</v>
      </c>
      <c r="AR79">
        <v>46169</v>
      </c>
      <c r="AS79">
        <v>46171</v>
      </c>
      <c r="AT79" t="s">
        <v>1281</v>
      </c>
      <c r="AU79" t="s">
        <v>1177</v>
      </c>
      <c r="AV79" t="s">
        <v>1192</v>
      </c>
      <c r="AW79" t="s">
        <v>1177</v>
      </c>
      <c r="AX79">
        <v>204</v>
      </c>
      <c r="AY79">
        <v>2</v>
      </c>
      <c r="AZ79" t="s">
        <v>1177</v>
      </c>
      <c r="BA79">
        <v>35</v>
      </c>
      <c r="BB79" t="s">
        <v>1262</v>
      </c>
      <c r="BC79" t="s">
        <v>1580</v>
      </c>
      <c r="BD79">
        <v>35</v>
      </c>
      <c r="BE79">
        <v>46191</v>
      </c>
      <c r="BF79" t="s">
        <v>1165</v>
      </c>
      <c r="BG79" t="s">
        <v>1581</v>
      </c>
      <c r="BH79" t="s">
        <v>1194</v>
      </c>
      <c r="BI79" t="s">
        <v>1582</v>
      </c>
    </row>
    <row r="80" spans="1:61" x14ac:dyDescent="0.35">
      <c r="A80" s="7" t="str">
        <f t="shared" si="2"/>
        <v>461594300008596</v>
      </c>
      <c r="B80" s="7" t="str">
        <f t="shared" si="3"/>
        <v>1R4689A9AACB856</v>
      </c>
      <c r="C80" t="s">
        <v>1177</v>
      </c>
      <c r="D80" t="s">
        <v>1178</v>
      </c>
      <c r="E80" t="s">
        <v>1583</v>
      </c>
      <c r="F80" t="s">
        <v>1363</v>
      </c>
      <c r="G80" t="s">
        <v>1363</v>
      </c>
      <c r="H80" t="s">
        <v>1271</v>
      </c>
      <c r="I80">
        <v>46159</v>
      </c>
      <c r="J80" t="s">
        <v>1584</v>
      </c>
      <c r="K80" t="s">
        <v>1182</v>
      </c>
      <c r="L80" t="s">
        <v>1177</v>
      </c>
      <c r="M80" t="s">
        <v>1274</v>
      </c>
      <c r="N80" t="s">
        <v>1079</v>
      </c>
      <c r="O80" t="s">
        <v>1275</v>
      </c>
      <c r="P80">
        <v>46159</v>
      </c>
      <c r="Q80" t="s">
        <v>1177</v>
      </c>
      <c r="R80" t="s">
        <v>21</v>
      </c>
      <c r="S80" t="s">
        <v>853</v>
      </c>
      <c r="T80" t="s">
        <v>1585</v>
      </c>
      <c r="U80" t="s">
        <v>1586</v>
      </c>
      <c r="V80">
        <v>52</v>
      </c>
      <c r="W80" t="s">
        <v>1404</v>
      </c>
      <c r="X80" t="s">
        <v>1404</v>
      </c>
      <c r="Y80">
        <v>0</v>
      </c>
      <c r="Z80" t="s">
        <v>1186</v>
      </c>
      <c r="AA80" t="s">
        <v>1177</v>
      </c>
      <c r="AB80" t="s">
        <v>1276</v>
      </c>
      <c r="AC80" t="s">
        <v>1277</v>
      </c>
      <c r="AD80" t="s">
        <v>1278</v>
      </c>
      <c r="AE80" t="s">
        <v>1587</v>
      </c>
      <c r="AF80" t="s">
        <v>1178</v>
      </c>
      <c r="AG80" t="s">
        <v>1190</v>
      </c>
      <c r="AH80" t="s">
        <v>1178</v>
      </c>
      <c r="AI80" t="s">
        <v>1280</v>
      </c>
      <c r="AJ80" t="s">
        <v>1190</v>
      </c>
      <c r="AK80">
        <v>0</v>
      </c>
      <c r="AL80" t="s">
        <v>1404</v>
      </c>
      <c r="AM80">
        <v>45649</v>
      </c>
      <c r="AN80">
        <v>46384</v>
      </c>
      <c r="AO80">
        <v>46163</v>
      </c>
      <c r="AP80">
        <v>46167</v>
      </c>
      <c r="AQ80">
        <v>46167</v>
      </c>
      <c r="AR80">
        <v>46169</v>
      </c>
      <c r="AS80">
        <v>46171</v>
      </c>
      <c r="AT80" t="s">
        <v>1281</v>
      </c>
      <c r="AU80" t="s">
        <v>1177</v>
      </c>
      <c r="AV80" t="s">
        <v>1192</v>
      </c>
      <c r="AW80" t="s">
        <v>1177</v>
      </c>
      <c r="AX80">
        <v>206</v>
      </c>
      <c r="AY80">
        <v>2</v>
      </c>
      <c r="AZ80" t="s">
        <v>1177</v>
      </c>
      <c r="BA80">
        <v>0</v>
      </c>
      <c r="BB80" t="s">
        <v>1404</v>
      </c>
      <c r="BC80" t="e">
        <v>#N/A</v>
      </c>
      <c r="BD80" t="e">
        <v>#N/A</v>
      </c>
      <c r="BE80" t="e">
        <v>#N/A</v>
      </c>
      <c r="BF80" t="e">
        <v>#N/A</v>
      </c>
      <c r="BG80" t="s">
        <v>1212</v>
      </c>
      <c r="BH80" t="s">
        <v>1567</v>
      </c>
      <c r="BI80" t="s">
        <v>1447</v>
      </c>
    </row>
    <row r="81" spans="1:61" x14ac:dyDescent="0.35">
      <c r="A81" s="7" t="str">
        <f t="shared" si="2"/>
        <v>461594300008635</v>
      </c>
      <c r="B81" s="7" t="str">
        <f t="shared" si="3"/>
        <v>GP615165B857</v>
      </c>
      <c r="C81" t="s">
        <v>1177</v>
      </c>
      <c r="D81" t="s">
        <v>1178</v>
      </c>
      <c r="E81" t="s">
        <v>1588</v>
      </c>
      <c r="F81" t="s">
        <v>1363</v>
      </c>
      <c r="G81" t="s">
        <v>1363</v>
      </c>
      <c r="H81" t="s">
        <v>1271</v>
      </c>
      <c r="I81">
        <v>46159</v>
      </c>
      <c r="J81" t="s">
        <v>1589</v>
      </c>
      <c r="K81" t="s">
        <v>1182</v>
      </c>
      <c r="L81" t="s">
        <v>1177</v>
      </c>
      <c r="M81" t="s">
        <v>1274</v>
      </c>
      <c r="N81" t="s">
        <v>1079</v>
      </c>
      <c r="O81" t="s">
        <v>1275</v>
      </c>
      <c r="P81">
        <v>46159</v>
      </c>
      <c r="Q81" t="s">
        <v>1177</v>
      </c>
      <c r="R81" t="s">
        <v>23</v>
      </c>
      <c r="S81" t="s">
        <v>959</v>
      </c>
      <c r="T81" t="s">
        <v>1590</v>
      </c>
      <c r="U81" t="s">
        <v>1591</v>
      </c>
      <c r="V81">
        <v>2</v>
      </c>
      <c r="W81" t="s">
        <v>1262</v>
      </c>
      <c r="X81" t="s">
        <v>1262</v>
      </c>
      <c r="Y81">
        <v>0</v>
      </c>
      <c r="Z81" t="s">
        <v>1186</v>
      </c>
      <c r="AA81" t="s">
        <v>1177</v>
      </c>
      <c r="AB81" t="s">
        <v>1276</v>
      </c>
      <c r="AC81" t="s">
        <v>1277</v>
      </c>
      <c r="AD81" t="s">
        <v>1278</v>
      </c>
      <c r="AE81" t="s">
        <v>1357</v>
      </c>
      <c r="AF81" t="s">
        <v>1178</v>
      </c>
      <c r="AG81" t="s">
        <v>1190</v>
      </c>
      <c r="AH81" t="s">
        <v>1178</v>
      </c>
      <c r="AI81" t="s">
        <v>1280</v>
      </c>
      <c r="AJ81" t="s">
        <v>1190</v>
      </c>
      <c r="AK81">
        <v>0</v>
      </c>
      <c r="AL81" t="s">
        <v>1262</v>
      </c>
      <c r="AM81">
        <v>45649</v>
      </c>
      <c r="AN81">
        <v>46163</v>
      </c>
      <c r="AO81">
        <v>46163</v>
      </c>
      <c r="AP81">
        <v>46167</v>
      </c>
      <c r="AQ81">
        <v>46167</v>
      </c>
      <c r="AR81">
        <v>46169</v>
      </c>
      <c r="AS81">
        <v>46171</v>
      </c>
      <c r="AT81" t="s">
        <v>1281</v>
      </c>
      <c r="AU81" t="s">
        <v>1177</v>
      </c>
      <c r="AV81" t="s">
        <v>1192</v>
      </c>
      <c r="AW81" t="s">
        <v>1177</v>
      </c>
      <c r="AX81">
        <v>101</v>
      </c>
      <c r="AY81">
        <v>2</v>
      </c>
      <c r="AZ81" t="s">
        <v>1177</v>
      </c>
      <c r="BA81">
        <v>2</v>
      </c>
      <c r="BB81" t="s">
        <v>1262</v>
      </c>
      <c r="BC81" t="s">
        <v>1580</v>
      </c>
      <c r="BD81">
        <v>2</v>
      </c>
      <c r="BE81">
        <v>46191</v>
      </c>
      <c r="BF81" t="s">
        <v>1165</v>
      </c>
      <c r="BG81" t="s">
        <v>1212</v>
      </c>
      <c r="BH81" t="s">
        <v>1194</v>
      </c>
      <c r="BI81" t="s">
        <v>1592</v>
      </c>
    </row>
    <row r="82" spans="1:61" x14ac:dyDescent="0.35">
      <c r="A82" s="7" t="str">
        <f t="shared" si="2"/>
        <v>461594300008638</v>
      </c>
      <c r="B82" s="7" t="str">
        <f t="shared" si="3"/>
        <v>GP430419B857</v>
      </c>
      <c r="C82" t="s">
        <v>1177</v>
      </c>
      <c r="D82" t="s">
        <v>1178</v>
      </c>
      <c r="E82" t="s">
        <v>1593</v>
      </c>
      <c r="F82" t="s">
        <v>1363</v>
      </c>
      <c r="G82" t="s">
        <v>1363</v>
      </c>
      <c r="H82" t="s">
        <v>1271</v>
      </c>
      <c r="I82">
        <v>46159</v>
      </c>
      <c r="J82" t="s">
        <v>1594</v>
      </c>
      <c r="K82" t="s">
        <v>1282</v>
      </c>
      <c r="L82" t="s">
        <v>1177</v>
      </c>
      <c r="M82" t="s">
        <v>1274</v>
      </c>
      <c r="N82" t="s">
        <v>1079</v>
      </c>
      <c r="O82" t="s">
        <v>1275</v>
      </c>
      <c r="P82">
        <v>46159</v>
      </c>
      <c r="Q82" t="s">
        <v>1177</v>
      </c>
      <c r="R82" t="s">
        <v>23</v>
      </c>
      <c r="S82" t="s">
        <v>959</v>
      </c>
      <c r="T82" t="s">
        <v>992</v>
      </c>
      <c r="U82" t="s">
        <v>993</v>
      </c>
      <c r="V82">
        <v>14</v>
      </c>
      <c r="W82" t="s">
        <v>1262</v>
      </c>
      <c r="X82" t="s">
        <v>1262</v>
      </c>
      <c r="Y82">
        <v>0</v>
      </c>
      <c r="Z82" t="s">
        <v>1186</v>
      </c>
      <c r="AA82" t="s">
        <v>1177</v>
      </c>
      <c r="AB82" t="s">
        <v>1286</v>
      </c>
      <c r="AC82" t="s">
        <v>1277</v>
      </c>
      <c r="AD82" t="s">
        <v>1278</v>
      </c>
      <c r="AE82" t="s">
        <v>1595</v>
      </c>
      <c r="AF82" t="s">
        <v>1178</v>
      </c>
      <c r="AG82" t="s">
        <v>1178</v>
      </c>
      <c r="AH82" t="s">
        <v>1178</v>
      </c>
      <c r="AI82" t="s">
        <v>1280</v>
      </c>
      <c r="AJ82" t="s">
        <v>1190</v>
      </c>
      <c r="AK82">
        <v>0</v>
      </c>
      <c r="AL82" t="s">
        <v>1262</v>
      </c>
      <c r="AM82">
        <v>45892</v>
      </c>
      <c r="AN82">
        <v>46163</v>
      </c>
      <c r="AO82">
        <v>46163</v>
      </c>
      <c r="AP82">
        <v>46167</v>
      </c>
      <c r="AQ82">
        <v>46167</v>
      </c>
      <c r="AR82">
        <v>46169</v>
      </c>
      <c r="AS82">
        <v>46171</v>
      </c>
      <c r="AT82" t="s">
        <v>1281</v>
      </c>
      <c r="AU82" t="s">
        <v>1177</v>
      </c>
      <c r="AV82" t="s">
        <v>1192</v>
      </c>
      <c r="AW82" t="s">
        <v>1177</v>
      </c>
      <c r="AX82">
        <v>154</v>
      </c>
      <c r="AY82">
        <v>2</v>
      </c>
      <c r="AZ82" t="s">
        <v>1177</v>
      </c>
      <c r="BA82">
        <v>14</v>
      </c>
      <c r="BB82" t="s">
        <v>1262</v>
      </c>
      <c r="BC82" t="s">
        <v>1580</v>
      </c>
      <c r="BD82">
        <v>14</v>
      </c>
      <c r="BE82">
        <v>46191</v>
      </c>
      <c r="BF82" t="s">
        <v>1165</v>
      </c>
      <c r="BG82" t="s">
        <v>1581</v>
      </c>
      <c r="BH82" t="s">
        <v>1194</v>
      </c>
      <c r="BI82" t="s">
        <v>1596</v>
      </c>
    </row>
    <row r="83" spans="1:61" x14ac:dyDescent="0.35">
      <c r="A83" s="7" t="str">
        <f t="shared" si="2"/>
        <v>461594300008639</v>
      </c>
      <c r="B83" s="7" t="str">
        <f t="shared" si="3"/>
        <v>GP008340B838</v>
      </c>
      <c r="C83" t="s">
        <v>1177</v>
      </c>
      <c r="D83" t="s">
        <v>1178</v>
      </c>
      <c r="E83" t="s">
        <v>1597</v>
      </c>
      <c r="F83" t="s">
        <v>1363</v>
      </c>
      <c r="G83" t="s">
        <v>1363</v>
      </c>
      <c r="H83" t="s">
        <v>1271</v>
      </c>
      <c r="I83">
        <v>46159</v>
      </c>
      <c r="J83" t="s">
        <v>1598</v>
      </c>
      <c r="K83" t="s">
        <v>1407</v>
      </c>
      <c r="L83" t="s">
        <v>1177</v>
      </c>
      <c r="M83" t="s">
        <v>1274</v>
      </c>
      <c r="N83" t="s">
        <v>1079</v>
      </c>
      <c r="O83" t="s">
        <v>1275</v>
      </c>
      <c r="P83">
        <v>46159</v>
      </c>
      <c r="Q83" t="s">
        <v>1177</v>
      </c>
      <c r="R83" t="s">
        <v>48</v>
      </c>
      <c r="S83" t="s">
        <v>745</v>
      </c>
      <c r="T83" t="s">
        <v>357</v>
      </c>
      <c r="U83" t="s">
        <v>358</v>
      </c>
      <c r="V83">
        <v>78</v>
      </c>
      <c r="W83" t="s">
        <v>1262</v>
      </c>
      <c r="X83" t="s">
        <v>1262</v>
      </c>
      <c r="Y83">
        <v>0</v>
      </c>
      <c r="Z83" t="s">
        <v>1186</v>
      </c>
      <c r="AA83" t="s">
        <v>1177</v>
      </c>
      <c r="AB83" t="s">
        <v>1276</v>
      </c>
      <c r="AC83" t="s">
        <v>1277</v>
      </c>
      <c r="AD83" t="s">
        <v>1278</v>
      </c>
      <c r="AE83" t="s">
        <v>1378</v>
      </c>
      <c r="AF83" t="s">
        <v>1178</v>
      </c>
      <c r="AG83" t="s">
        <v>1190</v>
      </c>
      <c r="AH83" t="s">
        <v>1178</v>
      </c>
      <c r="AI83" t="s">
        <v>1280</v>
      </c>
      <c r="AJ83" t="s">
        <v>1189</v>
      </c>
      <c r="AK83">
        <v>78</v>
      </c>
      <c r="AL83" t="s">
        <v>1262</v>
      </c>
      <c r="AM83">
        <v>46260</v>
      </c>
      <c r="AN83">
        <v>46254</v>
      </c>
      <c r="AO83">
        <v>46254</v>
      </c>
      <c r="AP83">
        <v>46258</v>
      </c>
      <c r="AQ83">
        <v>46258</v>
      </c>
      <c r="AR83">
        <v>46260</v>
      </c>
      <c r="AS83">
        <v>46260</v>
      </c>
      <c r="AT83" t="s">
        <v>1281</v>
      </c>
      <c r="AU83" t="s">
        <v>1177</v>
      </c>
      <c r="AV83" t="s">
        <v>1192</v>
      </c>
      <c r="AW83" t="s">
        <v>1177</v>
      </c>
      <c r="AX83">
        <v>0</v>
      </c>
      <c r="AY83">
        <v>0</v>
      </c>
      <c r="AZ83" t="s">
        <v>1177</v>
      </c>
      <c r="BA83">
        <v>0</v>
      </c>
      <c r="BB83" t="s">
        <v>1262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</row>
    <row r="84" spans="1:61" x14ac:dyDescent="0.35">
      <c r="A84" s="7" t="str">
        <f t="shared" si="2"/>
        <v>461594300008649</v>
      </c>
      <c r="B84" s="7" t="str">
        <f t="shared" si="3"/>
        <v>GP473176B857</v>
      </c>
      <c r="C84" t="s">
        <v>1177</v>
      </c>
      <c r="D84" t="s">
        <v>1178</v>
      </c>
      <c r="E84" t="s">
        <v>1599</v>
      </c>
      <c r="F84" t="s">
        <v>1363</v>
      </c>
      <c r="G84" t="s">
        <v>1363</v>
      </c>
      <c r="H84" t="s">
        <v>1271</v>
      </c>
      <c r="I84">
        <v>46159</v>
      </c>
      <c r="J84" t="s">
        <v>1600</v>
      </c>
      <c r="K84" t="s">
        <v>1199</v>
      </c>
      <c r="L84" t="s">
        <v>1177</v>
      </c>
      <c r="M84" t="s">
        <v>1274</v>
      </c>
      <c r="N84" t="s">
        <v>1079</v>
      </c>
      <c r="O84" t="s">
        <v>1275</v>
      </c>
      <c r="P84">
        <v>46159</v>
      </c>
      <c r="Q84" t="s">
        <v>1177</v>
      </c>
      <c r="R84" t="s">
        <v>23</v>
      </c>
      <c r="S84" t="s">
        <v>959</v>
      </c>
      <c r="T84" t="s">
        <v>1601</v>
      </c>
      <c r="U84" t="s">
        <v>1602</v>
      </c>
      <c r="V84">
        <v>324</v>
      </c>
      <c r="W84" t="s">
        <v>1262</v>
      </c>
      <c r="X84" t="s">
        <v>1262</v>
      </c>
      <c r="Y84">
        <v>0</v>
      </c>
      <c r="Z84" t="s">
        <v>1186</v>
      </c>
      <c r="AA84" t="s">
        <v>1177</v>
      </c>
      <c r="AB84" t="s">
        <v>1286</v>
      </c>
      <c r="AC84" t="s">
        <v>1277</v>
      </c>
      <c r="AD84" t="s">
        <v>1278</v>
      </c>
      <c r="AE84" t="s">
        <v>1383</v>
      </c>
      <c r="AF84" t="s">
        <v>1178</v>
      </c>
      <c r="AG84" t="s">
        <v>1178</v>
      </c>
      <c r="AH84" t="s">
        <v>1178</v>
      </c>
      <c r="AI84" t="s">
        <v>1280</v>
      </c>
      <c r="AJ84" t="s">
        <v>1190</v>
      </c>
      <c r="AK84">
        <v>0</v>
      </c>
      <c r="AL84" t="s">
        <v>1262</v>
      </c>
      <c r="AM84">
        <v>46265</v>
      </c>
      <c r="AN84">
        <v>46254</v>
      </c>
      <c r="AO84">
        <v>46254</v>
      </c>
      <c r="AP84">
        <v>46258</v>
      </c>
      <c r="AQ84">
        <v>46258</v>
      </c>
      <c r="AR84">
        <v>46260</v>
      </c>
      <c r="AS84">
        <v>46260</v>
      </c>
      <c r="AT84" t="s">
        <v>1281</v>
      </c>
      <c r="AU84" t="s">
        <v>1177</v>
      </c>
      <c r="AV84" t="s">
        <v>1192</v>
      </c>
      <c r="AW84" t="s">
        <v>1177</v>
      </c>
      <c r="AX84">
        <v>0</v>
      </c>
      <c r="AY84">
        <v>0</v>
      </c>
      <c r="AZ84" t="s">
        <v>1177</v>
      </c>
      <c r="BA84">
        <v>321</v>
      </c>
      <c r="BB84" t="s">
        <v>1262</v>
      </c>
      <c r="BC84" t="s">
        <v>1603</v>
      </c>
      <c r="BD84">
        <v>321</v>
      </c>
      <c r="BE84">
        <v>46219</v>
      </c>
      <c r="BF84" t="s">
        <v>1165</v>
      </c>
      <c r="BG84" t="s">
        <v>1372</v>
      </c>
      <c r="BH84" t="s">
        <v>1373</v>
      </c>
      <c r="BI84" t="s">
        <v>1507</v>
      </c>
    </row>
    <row r="85" spans="1:61" x14ac:dyDescent="0.35">
      <c r="A85" s="7" t="str">
        <f t="shared" si="2"/>
        <v>461594300008651</v>
      </c>
      <c r="B85" s="7" t="str">
        <f t="shared" si="3"/>
        <v>GP479694B857</v>
      </c>
      <c r="C85" t="s">
        <v>1177</v>
      </c>
      <c r="D85" t="s">
        <v>1178</v>
      </c>
      <c r="E85" t="s">
        <v>1604</v>
      </c>
      <c r="F85" t="s">
        <v>1363</v>
      </c>
      <c r="G85" t="s">
        <v>1363</v>
      </c>
      <c r="H85" t="s">
        <v>1271</v>
      </c>
      <c r="I85">
        <v>46159</v>
      </c>
      <c r="J85" t="s">
        <v>1605</v>
      </c>
      <c r="K85" t="s">
        <v>1288</v>
      </c>
      <c r="L85" t="s">
        <v>1177</v>
      </c>
      <c r="M85" t="s">
        <v>1274</v>
      </c>
      <c r="N85" t="s">
        <v>1079</v>
      </c>
      <c r="O85" t="s">
        <v>1275</v>
      </c>
      <c r="P85">
        <v>46159</v>
      </c>
      <c r="Q85" t="s">
        <v>1177</v>
      </c>
      <c r="R85" t="s">
        <v>23</v>
      </c>
      <c r="S85" t="s">
        <v>959</v>
      </c>
      <c r="T85" t="s">
        <v>842</v>
      </c>
      <c r="U85" t="s">
        <v>843</v>
      </c>
      <c r="V85">
        <v>168</v>
      </c>
      <c r="W85" t="s">
        <v>1262</v>
      </c>
      <c r="X85" t="s">
        <v>1262</v>
      </c>
      <c r="Y85">
        <v>0</v>
      </c>
      <c r="Z85" t="s">
        <v>1186</v>
      </c>
      <c r="AA85" t="s">
        <v>1177</v>
      </c>
      <c r="AB85" t="s">
        <v>1276</v>
      </c>
      <c r="AC85" t="s">
        <v>1277</v>
      </c>
      <c r="AD85" t="s">
        <v>1278</v>
      </c>
      <c r="AE85" t="s">
        <v>1606</v>
      </c>
      <c r="AF85" t="s">
        <v>1178</v>
      </c>
      <c r="AG85" t="s">
        <v>1190</v>
      </c>
      <c r="AH85" t="s">
        <v>1178</v>
      </c>
      <c r="AI85" t="s">
        <v>1280</v>
      </c>
      <c r="AJ85" t="s">
        <v>1190</v>
      </c>
      <c r="AK85">
        <v>0</v>
      </c>
      <c r="AL85" t="s">
        <v>1262</v>
      </c>
      <c r="AM85">
        <v>45988</v>
      </c>
      <c r="AN85">
        <v>46163</v>
      </c>
      <c r="AO85">
        <v>46163</v>
      </c>
      <c r="AP85">
        <v>46167</v>
      </c>
      <c r="AQ85">
        <v>46167</v>
      </c>
      <c r="AR85">
        <v>46169</v>
      </c>
      <c r="AS85">
        <v>46171</v>
      </c>
      <c r="AT85" t="s">
        <v>1281</v>
      </c>
      <c r="AU85" t="s">
        <v>1177</v>
      </c>
      <c r="AV85" t="s">
        <v>1192</v>
      </c>
      <c r="AW85" t="s">
        <v>1177</v>
      </c>
      <c r="AX85">
        <v>163</v>
      </c>
      <c r="AY85">
        <v>2</v>
      </c>
      <c r="AZ85" t="s">
        <v>1177</v>
      </c>
      <c r="BA85">
        <v>168</v>
      </c>
      <c r="BB85" t="s">
        <v>1262</v>
      </c>
      <c r="BC85" t="s">
        <v>1580</v>
      </c>
      <c r="BD85">
        <v>168</v>
      </c>
      <c r="BE85">
        <v>46191</v>
      </c>
      <c r="BF85" t="s">
        <v>1165</v>
      </c>
      <c r="BG85" t="s">
        <v>126</v>
      </c>
      <c r="BH85" t="s">
        <v>1194</v>
      </c>
      <c r="BI85" t="s">
        <v>126</v>
      </c>
    </row>
    <row r="86" spans="1:61" x14ac:dyDescent="0.35">
      <c r="A86" s="7" t="str">
        <f t="shared" si="2"/>
        <v>461594300008665</v>
      </c>
      <c r="B86" s="7" t="str">
        <f t="shared" si="3"/>
        <v>GP440217B856</v>
      </c>
      <c r="C86" t="s">
        <v>1177</v>
      </c>
      <c r="D86" t="s">
        <v>1178</v>
      </c>
      <c r="E86" t="s">
        <v>1607</v>
      </c>
      <c r="F86" t="s">
        <v>1363</v>
      </c>
      <c r="G86" t="s">
        <v>1363</v>
      </c>
      <c r="H86" t="s">
        <v>1271</v>
      </c>
      <c r="I86">
        <v>46159</v>
      </c>
      <c r="J86" t="s">
        <v>1608</v>
      </c>
      <c r="K86" t="s">
        <v>1198</v>
      </c>
      <c r="L86" t="s">
        <v>1177</v>
      </c>
      <c r="M86" t="s">
        <v>1274</v>
      </c>
      <c r="N86" t="s">
        <v>1079</v>
      </c>
      <c r="O86" t="s">
        <v>1275</v>
      </c>
      <c r="P86">
        <v>46159</v>
      </c>
      <c r="Q86" t="s">
        <v>1177</v>
      </c>
      <c r="R86" t="s">
        <v>21</v>
      </c>
      <c r="S86" t="s">
        <v>853</v>
      </c>
      <c r="T86" t="s">
        <v>834</v>
      </c>
      <c r="U86" t="s">
        <v>835</v>
      </c>
      <c r="V86">
        <v>1</v>
      </c>
      <c r="W86" t="s">
        <v>1262</v>
      </c>
      <c r="X86" t="s">
        <v>1262</v>
      </c>
      <c r="Y86">
        <v>0</v>
      </c>
      <c r="Z86" t="s">
        <v>1186</v>
      </c>
      <c r="AA86" t="s">
        <v>1177</v>
      </c>
      <c r="AB86" t="s">
        <v>1276</v>
      </c>
      <c r="AC86" t="s">
        <v>1277</v>
      </c>
      <c r="AD86" t="s">
        <v>1278</v>
      </c>
      <c r="AE86" t="s">
        <v>1579</v>
      </c>
      <c r="AF86" t="s">
        <v>1178</v>
      </c>
      <c r="AG86" t="s">
        <v>1190</v>
      </c>
      <c r="AH86" t="s">
        <v>1178</v>
      </c>
      <c r="AI86" t="s">
        <v>1280</v>
      </c>
      <c r="AJ86" t="s">
        <v>1190</v>
      </c>
      <c r="AK86">
        <v>0</v>
      </c>
      <c r="AL86" t="s">
        <v>1262</v>
      </c>
      <c r="AM86">
        <v>45746</v>
      </c>
      <c r="AN86">
        <v>46237</v>
      </c>
      <c r="AO86">
        <v>46163</v>
      </c>
      <c r="AP86">
        <v>46167</v>
      </c>
      <c r="AQ86">
        <v>46167</v>
      </c>
      <c r="AR86">
        <v>46169</v>
      </c>
      <c r="AS86">
        <v>46171</v>
      </c>
      <c r="AT86" t="s">
        <v>1281</v>
      </c>
      <c r="AU86" t="s">
        <v>1177</v>
      </c>
      <c r="AV86" t="s">
        <v>1192</v>
      </c>
      <c r="AW86" t="s">
        <v>1177</v>
      </c>
      <c r="AX86">
        <v>163</v>
      </c>
      <c r="AY86">
        <v>2</v>
      </c>
      <c r="AZ86" t="s">
        <v>1177</v>
      </c>
      <c r="BA86">
        <v>0</v>
      </c>
      <c r="BB86" t="s">
        <v>1262</v>
      </c>
      <c r="BC86" t="e">
        <v>#N/A</v>
      </c>
      <c r="BD86" t="e">
        <v>#N/A</v>
      </c>
      <c r="BE86" t="e">
        <v>#N/A</v>
      </c>
      <c r="BF86" t="e">
        <v>#N/A</v>
      </c>
      <c r="BG86" t="s">
        <v>1458</v>
      </c>
      <c r="BH86" t="s">
        <v>1544</v>
      </c>
      <c r="BI86" t="s">
        <v>1609</v>
      </c>
    </row>
    <row r="87" spans="1:61" x14ac:dyDescent="0.35">
      <c r="A87" s="7" t="str">
        <f t="shared" si="2"/>
        <v>461594300008723</v>
      </c>
      <c r="B87" s="7" t="str">
        <f t="shared" si="3"/>
        <v>P393073B833</v>
      </c>
      <c r="C87" t="s">
        <v>1177</v>
      </c>
      <c r="D87" t="s">
        <v>1178</v>
      </c>
      <c r="E87" t="s">
        <v>1611</v>
      </c>
      <c r="F87" t="s">
        <v>1363</v>
      </c>
      <c r="G87" t="s">
        <v>1363</v>
      </c>
      <c r="H87" t="s">
        <v>1271</v>
      </c>
      <c r="I87">
        <v>46159</v>
      </c>
      <c r="J87" t="s">
        <v>1612</v>
      </c>
      <c r="K87" t="s">
        <v>1182</v>
      </c>
      <c r="L87" t="s">
        <v>1177</v>
      </c>
      <c r="M87" t="s">
        <v>1274</v>
      </c>
      <c r="N87" t="s">
        <v>1079</v>
      </c>
      <c r="O87" t="s">
        <v>1275</v>
      </c>
      <c r="P87">
        <v>46159</v>
      </c>
      <c r="Q87" t="s">
        <v>1177</v>
      </c>
      <c r="R87" t="s">
        <v>697</v>
      </c>
      <c r="S87" t="s">
        <v>699</v>
      </c>
      <c r="T87" t="s">
        <v>303</v>
      </c>
      <c r="U87" t="s">
        <v>1613</v>
      </c>
      <c r="V87">
        <v>2</v>
      </c>
      <c r="W87" t="s">
        <v>1262</v>
      </c>
      <c r="X87" t="s">
        <v>1262</v>
      </c>
      <c r="Y87">
        <v>0</v>
      </c>
      <c r="Z87" t="s">
        <v>1186</v>
      </c>
      <c r="AA87" t="s">
        <v>1177</v>
      </c>
      <c r="AB87" t="s">
        <v>1276</v>
      </c>
      <c r="AC87" t="s">
        <v>1277</v>
      </c>
      <c r="AD87" t="s">
        <v>1278</v>
      </c>
      <c r="AE87" t="s">
        <v>1614</v>
      </c>
      <c r="AF87" t="s">
        <v>1178</v>
      </c>
      <c r="AG87" t="s">
        <v>1190</v>
      </c>
      <c r="AH87" t="s">
        <v>1178</v>
      </c>
      <c r="AI87" t="s">
        <v>1349</v>
      </c>
      <c r="AJ87" t="s">
        <v>1190</v>
      </c>
      <c r="AK87">
        <v>0</v>
      </c>
      <c r="AL87" t="s">
        <v>1262</v>
      </c>
      <c r="AM87">
        <v>45740</v>
      </c>
      <c r="AN87">
        <v>46331</v>
      </c>
      <c r="AO87">
        <v>46160</v>
      </c>
      <c r="AP87">
        <v>46162</v>
      </c>
      <c r="AQ87">
        <v>46162</v>
      </c>
      <c r="AR87">
        <v>46164</v>
      </c>
      <c r="AS87">
        <v>46168</v>
      </c>
      <c r="AT87" t="s">
        <v>1281</v>
      </c>
      <c r="AU87" t="s">
        <v>1177</v>
      </c>
      <c r="AV87" t="s">
        <v>1192</v>
      </c>
      <c r="AW87" t="s">
        <v>1177</v>
      </c>
      <c r="AX87">
        <v>33</v>
      </c>
      <c r="AY87">
        <v>2</v>
      </c>
      <c r="AZ87" t="s">
        <v>1177</v>
      </c>
      <c r="BA87">
        <v>0</v>
      </c>
      <c r="BB87" t="s">
        <v>1262</v>
      </c>
      <c r="BC87" t="e">
        <v>#N/A</v>
      </c>
      <c r="BD87" t="e">
        <v>#N/A</v>
      </c>
      <c r="BE87" t="e">
        <v>#N/A</v>
      </c>
      <c r="BF87" t="e">
        <v>#N/A</v>
      </c>
      <c r="BG87" t="s">
        <v>126</v>
      </c>
      <c r="BH87" t="s">
        <v>1567</v>
      </c>
      <c r="BI87" t="s">
        <v>126</v>
      </c>
    </row>
    <row r="88" spans="1:61" x14ac:dyDescent="0.35">
      <c r="A88" s="7" t="str">
        <f t="shared" si="2"/>
        <v>461594300008724</v>
      </c>
      <c r="B88" s="7" t="str">
        <f t="shared" si="3"/>
        <v>P393073B825</v>
      </c>
      <c r="C88" t="s">
        <v>1177</v>
      </c>
      <c r="D88" t="s">
        <v>1178</v>
      </c>
      <c r="E88" t="s">
        <v>1615</v>
      </c>
      <c r="F88" t="s">
        <v>1363</v>
      </c>
      <c r="G88" t="s">
        <v>1363</v>
      </c>
      <c r="H88" t="s">
        <v>1271</v>
      </c>
      <c r="I88">
        <v>46159</v>
      </c>
      <c r="J88" t="s">
        <v>1616</v>
      </c>
      <c r="K88" t="s">
        <v>1182</v>
      </c>
      <c r="L88" t="s">
        <v>1177</v>
      </c>
      <c r="M88" t="s">
        <v>1274</v>
      </c>
      <c r="N88" t="s">
        <v>1079</v>
      </c>
      <c r="O88" t="s">
        <v>1275</v>
      </c>
      <c r="P88">
        <v>46159</v>
      </c>
      <c r="Q88" t="s">
        <v>1177</v>
      </c>
      <c r="R88" t="s">
        <v>16</v>
      </c>
      <c r="S88" t="s">
        <v>512</v>
      </c>
      <c r="T88" t="s">
        <v>303</v>
      </c>
      <c r="U88" t="s">
        <v>1613</v>
      </c>
      <c r="V88">
        <v>2</v>
      </c>
      <c r="W88" t="s">
        <v>1262</v>
      </c>
      <c r="X88" t="s">
        <v>1262</v>
      </c>
      <c r="Y88">
        <v>0</v>
      </c>
      <c r="Z88" t="s">
        <v>1186</v>
      </c>
      <c r="AA88" t="s">
        <v>1177</v>
      </c>
      <c r="AB88" t="s">
        <v>1276</v>
      </c>
      <c r="AC88" t="s">
        <v>1277</v>
      </c>
      <c r="AD88" t="s">
        <v>1278</v>
      </c>
      <c r="AE88" t="s">
        <v>1614</v>
      </c>
      <c r="AF88" t="s">
        <v>1178</v>
      </c>
      <c r="AG88" t="s">
        <v>1190</v>
      </c>
      <c r="AH88" t="s">
        <v>1178</v>
      </c>
      <c r="AI88" t="s">
        <v>1349</v>
      </c>
      <c r="AJ88" t="s">
        <v>1190</v>
      </c>
      <c r="AK88">
        <v>0</v>
      </c>
      <c r="AL88" t="s">
        <v>1262</v>
      </c>
      <c r="AM88">
        <v>45810</v>
      </c>
      <c r="AN88">
        <v>46331</v>
      </c>
      <c r="AO88">
        <v>46160</v>
      </c>
      <c r="AP88">
        <v>46162</v>
      </c>
      <c r="AQ88">
        <v>46162</v>
      </c>
      <c r="AR88">
        <v>46164</v>
      </c>
      <c r="AS88">
        <v>46168</v>
      </c>
      <c r="AT88" t="s">
        <v>1281</v>
      </c>
      <c r="AU88" t="s">
        <v>1177</v>
      </c>
      <c r="AV88" t="s">
        <v>1192</v>
      </c>
      <c r="AW88" t="s">
        <v>1177</v>
      </c>
      <c r="AX88">
        <v>33</v>
      </c>
      <c r="AY88">
        <v>2</v>
      </c>
      <c r="AZ88" t="s">
        <v>1177</v>
      </c>
      <c r="BA88">
        <v>0</v>
      </c>
      <c r="BB88" t="s">
        <v>1262</v>
      </c>
      <c r="BC88" t="s">
        <v>1617</v>
      </c>
      <c r="BD88">
        <v>2</v>
      </c>
      <c r="BE88">
        <v>46175</v>
      </c>
      <c r="BF88" t="s">
        <v>1165</v>
      </c>
      <c r="BG88" t="s">
        <v>126</v>
      </c>
      <c r="BH88" t="s">
        <v>1567</v>
      </c>
      <c r="BI88" t="s">
        <v>126</v>
      </c>
    </row>
    <row r="89" spans="1:61" x14ac:dyDescent="0.35">
      <c r="A89" s="7" t="str">
        <f t="shared" si="2"/>
        <v>461594300008741</v>
      </c>
      <c r="B89" s="7" t="str">
        <f t="shared" si="3"/>
        <v>GP018876B867</v>
      </c>
      <c r="C89" t="s">
        <v>1177</v>
      </c>
      <c r="D89" t="s">
        <v>1178</v>
      </c>
      <c r="E89" t="s">
        <v>1619</v>
      </c>
      <c r="F89" t="s">
        <v>1363</v>
      </c>
      <c r="G89" t="s">
        <v>1363</v>
      </c>
      <c r="H89" t="s">
        <v>1271</v>
      </c>
      <c r="I89">
        <v>46159</v>
      </c>
      <c r="J89" t="s">
        <v>1620</v>
      </c>
      <c r="K89" t="s">
        <v>1273</v>
      </c>
      <c r="L89" t="s">
        <v>1177</v>
      </c>
      <c r="M89" t="s">
        <v>1274</v>
      </c>
      <c r="N89" t="s">
        <v>1079</v>
      </c>
      <c r="O89" t="s">
        <v>1275</v>
      </c>
      <c r="P89">
        <v>46159</v>
      </c>
      <c r="Q89" t="s">
        <v>1177</v>
      </c>
      <c r="R89" t="s">
        <v>25</v>
      </c>
      <c r="S89" t="s">
        <v>1060</v>
      </c>
      <c r="T89" t="s">
        <v>233</v>
      </c>
      <c r="U89" t="s">
        <v>1622</v>
      </c>
      <c r="V89">
        <v>123</v>
      </c>
      <c r="W89" t="s">
        <v>1262</v>
      </c>
      <c r="X89" t="s">
        <v>1262</v>
      </c>
      <c r="Y89">
        <v>0</v>
      </c>
      <c r="Z89" t="s">
        <v>1186</v>
      </c>
      <c r="AA89" t="s">
        <v>1177</v>
      </c>
      <c r="AB89" t="s">
        <v>1276</v>
      </c>
      <c r="AC89" t="s">
        <v>1277</v>
      </c>
      <c r="AD89" t="s">
        <v>1278</v>
      </c>
      <c r="AE89" t="s">
        <v>1623</v>
      </c>
      <c r="AF89" t="s">
        <v>1178</v>
      </c>
      <c r="AG89" t="s">
        <v>1190</v>
      </c>
      <c r="AH89" t="s">
        <v>1178</v>
      </c>
      <c r="AI89" t="s">
        <v>1280</v>
      </c>
      <c r="AJ89" t="s">
        <v>1190</v>
      </c>
      <c r="AK89">
        <v>0</v>
      </c>
      <c r="AL89" t="s">
        <v>1262</v>
      </c>
      <c r="AM89">
        <v>46078</v>
      </c>
      <c r="AN89">
        <v>46163</v>
      </c>
      <c r="AO89">
        <v>46163</v>
      </c>
      <c r="AP89">
        <v>46167</v>
      </c>
      <c r="AQ89">
        <v>46167</v>
      </c>
      <c r="AR89">
        <v>46169</v>
      </c>
      <c r="AS89">
        <v>46171</v>
      </c>
      <c r="AT89" t="s">
        <v>1281</v>
      </c>
      <c r="AU89" t="s">
        <v>1177</v>
      </c>
      <c r="AV89" t="s">
        <v>1192</v>
      </c>
      <c r="AW89" t="s">
        <v>1177</v>
      </c>
      <c r="AX89">
        <v>62</v>
      </c>
      <c r="AY89">
        <v>2</v>
      </c>
      <c r="AZ89" t="s">
        <v>1177</v>
      </c>
      <c r="BA89">
        <v>0</v>
      </c>
      <c r="BB89" t="s">
        <v>1262</v>
      </c>
      <c r="BC89" t="s">
        <v>1621</v>
      </c>
      <c r="BD89">
        <v>12</v>
      </c>
      <c r="BE89">
        <v>46233</v>
      </c>
      <c r="BF89" t="s">
        <v>1165</v>
      </c>
      <c r="BG89" t="s">
        <v>126</v>
      </c>
      <c r="BH89" t="s">
        <v>1194</v>
      </c>
      <c r="BI89" t="s">
        <v>126</v>
      </c>
    </row>
    <row r="90" spans="1:61" x14ac:dyDescent="0.35">
      <c r="A90" s="7" t="str">
        <f t="shared" si="2"/>
        <v>461594300008742</v>
      </c>
      <c r="B90" s="7" t="str">
        <f t="shared" si="3"/>
        <v>50973B838</v>
      </c>
      <c r="C90" t="s">
        <v>1177</v>
      </c>
      <c r="D90" t="s">
        <v>1178</v>
      </c>
      <c r="E90" t="s">
        <v>1624</v>
      </c>
      <c r="F90" t="s">
        <v>1363</v>
      </c>
      <c r="G90" t="s">
        <v>1363</v>
      </c>
      <c r="H90" t="s">
        <v>1271</v>
      </c>
      <c r="I90">
        <v>46159</v>
      </c>
      <c r="J90" t="s">
        <v>1625</v>
      </c>
      <c r="K90" t="s">
        <v>1199</v>
      </c>
      <c r="L90" t="s">
        <v>1177</v>
      </c>
      <c r="M90" t="s">
        <v>1274</v>
      </c>
      <c r="N90" t="s">
        <v>1079</v>
      </c>
      <c r="O90" t="s">
        <v>1275</v>
      </c>
      <c r="P90">
        <v>46159</v>
      </c>
      <c r="Q90" t="s">
        <v>1177</v>
      </c>
      <c r="R90" t="s">
        <v>48</v>
      </c>
      <c r="S90" t="s">
        <v>745</v>
      </c>
      <c r="T90" t="s">
        <v>1626</v>
      </c>
      <c r="U90" t="s">
        <v>1627</v>
      </c>
      <c r="V90">
        <v>1</v>
      </c>
      <c r="W90" t="s">
        <v>1262</v>
      </c>
      <c r="X90" t="s">
        <v>1262</v>
      </c>
      <c r="Y90">
        <v>0</v>
      </c>
      <c r="Z90" t="s">
        <v>1186</v>
      </c>
      <c r="AA90" t="s">
        <v>1177</v>
      </c>
      <c r="AB90" t="s">
        <v>1276</v>
      </c>
      <c r="AC90" t="s">
        <v>1277</v>
      </c>
      <c r="AD90" t="s">
        <v>1278</v>
      </c>
      <c r="AE90" t="s">
        <v>1628</v>
      </c>
      <c r="AF90" t="s">
        <v>1178</v>
      </c>
      <c r="AG90" t="s">
        <v>1190</v>
      </c>
      <c r="AH90" t="s">
        <v>1178</v>
      </c>
      <c r="AI90" t="s">
        <v>1280</v>
      </c>
      <c r="AJ90" t="s">
        <v>1190</v>
      </c>
      <c r="AK90">
        <v>0</v>
      </c>
      <c r="AL90" t="s">
        <v>1262</v>
      </c>
      <c r="AM90">
        <v>45789</v>
      </c>
      <c r="AN90">
        <v>46196</v>
      </c>
      <c r="AO90">
        <v>46163</v>
      </c>
      <c r="AP90">
        <v>46167</v>
      </c>
      <c r="AQ90">
        <v>46167</v>
      </c>
      <c r="AR90">
        <v>46169</v>
      </c>
      <c r="AS90">
        <v>46171</v>
      </c>
      <c r="AT90" t="s">
        <v>1281</v>
      </c>
      <c r="AU90" t="s">
        <v>1177</v>
      </c>
      <c r="AV90" t="s">
        <v>1192</v>
      </c>
      <c r="AW90" t="s">
        <v>1177</v>
      </c>
      <c r="AX90">
        <v>33</v>
      </c>
      <c r="AY90">
        <v>2</v>
      </c>
      <c r="AZ90" t="s">
        <v>1177</v>
      </c>
      <c r="BA90">
        <v>0</v>
      </c>
      <c r="BB90" t="s">
        <v>1262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</row>
    <row r="91" spans="1:61" x14ac:dyDescent="0.35">
      <c r="A91" s="7" t="str">
        <f t="shared" si="2"/>
        <v>461594300008743</v>
      </c>
      <c r="B91" s="7" t="str">
        <f t="shared" si="3"/>
        <v>GP554973B838</v>
      </c>
      <c r="C91" t="s">
        <v>1177</v>
      </c>
      <c r="D91" t="s">
        <v>1178</v>
      </c>
      <c r="E91" t="s">
        <v>1629</v>
      </c>
      <c r="F91" t="s">
        <v>1363</v>
      </c>
      <c r="G91" t="s">
        <v>1363</v>
      </c>
      <c r="H91" t="s">
        <v>1271</v>
      </c>
      <c r="I91">
        <v>46159</v>
      </c>
      <c r="J91" t="s">
        <v>1630</v>
      </c>
      <c r="K91" t="s">
        <v>1273</v>
      </c>
      <c r="L91" t="s">
        <v>1177</v>
      </c>
      <c r="M91" t="s">
        <v>1274</v>
      </c>
      <c r="N91" t="s">
        <v>1079</v>
      </c>
      <c r="O91" t="s">
        <v>1275</v>
      </c>
      <c r="P91">
        <v>46159</v>
      </c>
      <c r="Q91" t="s">
        <v>1177</v>
      </c>
      <c r="R91" t="s">
        <v>48</v>
      </c>
      <c r="S91" t="s">
        <v>745</v>
      </c>
      <c r="T91" t="s">
        <v>1631</v>
      </c>
      <c r="U91" t="s">
        <v>1632</v>
      </c>
      <c r="V91">
        <v>1</v>
      </c>
      <c r="W91" t="s">
        <v>1262</v>
      </c>
      <c r="X91" t="s">
        <v>1262</v>
      </c>
      <c r="Y91">
        <v>0</v>
      </c>
      <c r="Z91" t="s">
        <v>1186</v>
      </c>
      <c r="AA91" t="s">
        <v>1177</v>
      </c>
      <c r="AB91" t="s">
        <v>1276</v>
      </c>
      <c r="AC91" t="s">
        <v>1277</v>
      </c>
      <c r="AD91" t="s">
        <v>1278</v>
      </c>
      <c r="AE91" t="s">
        <v>1633</v>
      </c>
      <c r="AF91" t="s">
        <v>1178</v>
      </c>
      <c r="AG91" t="s">
        <v>1190</v>
      </c>
      <c r="AH91" t="s">
        <v>1178</v>
      </c>
      <c r="AI91" t="s">
        <v>1280</v>
      </c>
      <c r="AJ91" t="s">
        <v>1190</v>
      </c>
      <c r="AK91">
        <v>0</v>
      </c>
      <c r="AL91" t="s">
        <v>1262</v>
      </c>
      <c r="AM91">
        <v>45955</v>
      </c>
      <c r="AN91">
        <v>46339</v>
      </c>
      <c r="AO91">
        <v>46163</v>
      </c>
      <c r="AP91">
        <v>46167</v>
      </c>
      <c r="AQ91">
        <v>46167</v>
      </c>
      <c r="AR91">
        <v>46169</v>
      </c>
      <c r="AS91">
        <v>46171</v>
      </c>
      <c r="AT91" t="s">
        <v>1281</v>
      </c>
      <c r="AU91" t="s">
        <v>1177</v>
      </c>
      <c r="AV91" t="s">
        <v>1192</v>
      </c>
      <c r="AW91" t="s">
        <v>1177</v>
      </c>
      <c r="AX91">
        <v>163</v>
      </c>
      <c r="AY91">
        <v>2</v>
      </c>
      <c r="AZ91" t="s">
        <v>1177</v>
      </c>
      <c r="BA91">
        <v>0</v>
      </c>
      <c r="BB91" t="s">
        <v>1262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</row>
    <row r="92" spans="1:61" x14ac:dyDescent="0.35">
      <c r="A92" s="7" t="str">
        <f t="shared" si="2"/>
        <v>461594300008745</v>
      </c>
      <c r="B92" s="7" t="str">
        <f t="shared" si="3"/>
        <v>GP642913B825</v>
      </c>
      <c r="C92" t="s">
        <v>1177</v>
      </c>
      <c r="D92" t="s">
        <v>1178</v>
      </c>
      <c r="E92" t="s">
        <v>1634</v>
      </c>
      <c r="F92" t="s">
        <v>1363</v>
      </c>
      <c r="G92" t="s">
        <v>1363</v>
      </c>
      <c r="H92" t="s">
        <v>1271</v>
      </c>
      <c r="I92">
        <v>46159</v>
      </c>
      <c r="J92" t="s">
        <v>1635</v>
      </c>
      <c r="K92" t="s">
        <v>1182</v>
      </c>
      <c r="L92" t="s">
        <v>1177</v>
      </c>
      <c r="M92" t="s">
        <v>1274</v>
      </c>
      <c r="N92" t="s">
        <v>1079</v>
      </c>
      <c r="O92" t="s">
        <v>1275</v>
      </c>
      <c r="P92">
        <v>46159</v>
      </c>
      <c r="Q92" t="s">
        <v>1177</v>
      </c>
      <c r="R92" t="s">
        <v>16</v>
      </c>
      <c r="S92" t="s">
        <v>512</v>
      </c>
      <c r="T92" t="s">
        <v>1636</v>
      </c>
      <c r="U92" t="s">
        <v>1637</v>
      </c>
      <c r="V92">
        <v>1</v>
      </c>
      <c r="W92" t="s">
        <v>1262</v>
      </c>
      <c r="X92" t="s">
        <v>1262</v>
      </c>
      <c r="Y92">
        <v>0</v>
      </c>
      <c r="Z92" t="s">
        <v>1186</v>
      </c>
      <c r="AA92" t="s">
        <v>1177</v>
      </c>
      <c r="AB92" t="s">
        <v>1276</v>
      </c>
      <c r="AC92" t="s">
        <v>1277</v>
      </c>
      <c r="AD92" t="s">
        <v>1278</v>
      </c>
      <c r="AE92" t="s">
        <v>1284</v>
      </c>
      <c r="AF92" t="s">
        <v>1178</v>
      </c>
      <c r="AG92" t="s">
        <v>1190</v>
      </c>
      <c r="AH92" t="s">
        <v>1178</v>
      </c>
      <c r="AI92" t="s">
        <v>1349</v>
      </c>
      <c r="AJ92" t="s">
        <v>1190</v>
      </c>
      <c r="AK92">
        <v>0</v>
      </c>
      <c r="AL92" t="s">
        <v>1262</v>
      </c>
      <c r="AM92">
        <v>45882</v>
      </c>
      <c r="AN92">
        <v>46386</v>
      </c>
      <c r="AO92">
        <v>46160</v>
      </c>
      <c r="AP92">
        <v>46162</v>
      </c>
      <c r="AQ92">
        <v>46162</v>
      </c>
      <c r="AR92">
        <v>46164</v>
      </c>
      <c r="AS92">
        <v>46168</v>
      </c>
      <c r="AT92" t="s">
        <v>1281</v>
      </c>
      <c r="AU92" t="s">
        <v>1177</v>
      </c>
      <c r="AV92" t="s">
        <v>1192</v>
      </c>
      <c r="AW92" t="s">
        <v>1177</v>
      </c>
      <c r="AX92">
        <v>238</v>
      </c>
      <c r="AY92">
        <v>2</v>
      </c>
      <c r="AZ92" t="s">
        <v>1177</v>
      </c>
      <c r="BA92">
        <v>0</v>
      </c>
      <c r="BB92" t="s">
        <v>1262</v>
      </c>
      <c r="BC92" t="e">
        <v>#N/A</v>
      </c>
      <c r="BD92" t="e">
        <v>#N/A</v>
      </c>
      <c r="BE92" t="e">
        <v>#N/A</v>
      </c>
      <c r="BF92" t="e">
        <v>#N/A</v>
      </c>
      <c r="BG92" t="s">
        <v>1212</v>
      </c>
      <c r="BH92" t="s">
        <v>1567</v>
      </c>
      <c r="BI92" t="s">
        <v>1638</v>
      </c>
    </row>
    <row r="93" spans="1:61" x14ac:dyDescent="0.35">
      <c r="A93" s="7" t="str">
        <f t="shared" si="2"/>
        <v>461594300008748</v>
      </c>
      <c r="B93" s="7" t="str">
        <f t="shared" si="3"/>
        <v>GP271466B825</v>
      </c>
      <c r="C93" t="s">
        <v>1177</v>
      </c>
      <c r="D93" t="s">
        <v>1178</v>
      </c>
      <c r="E93" t="s">
        <v>1642</v>
      </c>
      <c r="F93" t="s">
        <v>1363</v>
      </c>
      <c r="G93" t="s">
        <v>1363</v>
      </c>
      <c r="H93" t="s">
        <v>1271</v>
      </c>
      <c r="I93">
        <v>46159</v>
      </c>
      <c r="J93" t="s">
        <v>1643</v>
      </c>
      <c r="K93" t="s">
        <v>1288</v>
      </c>
      <c r="L93" t="s">
        <v>1177</v>
      </c>
      <c r="M93" t="s">
        <v>1274</v>
      </c>
      <c r="N93" t="s">
        <v>1079</v>
      </c>
      <c r="O93" t="s">
        <v>1275</v>
      </c>
      <c r="P93">
        <v>46159</v>
      </c>
      <c r="Q93" t="s">
        <v>1177</v>
      </c>
      <c r="R93" t="s">
        <v>16</v>
      </c>
      <c r="S93" t="s">
        <v>512</v>
      </c>
      <c r="T93" t="s">
        <v>1095</v>
      </c>
      <c r="U93" t="s">
        <v>1096</v>
      </c>
      <c r="V93">
        <v>1</v>
      </c>
      <c r="W93" t="s">
        <v>1262</v>
      </c>
      <c r="X93" t="s">
        <v>1262</v>
      </c>
      <c r="Y93">
        <v>0</v>
      </c>
      <c r="Z93" t="s">
        <v>1186</v>
      </c>
      <c r="AA93" t="s">
        <v>1177</v>
      </c>
      <c r="AB93" t="s">
        <v>1276</v>
      </c>
      <c r="AC93" t="s">
        <v>1277</v>
      </c>
      <c r="AD93" t="s">
        <v>1278</v>
      </c>
      <c r="AE93" t="s">
        <v>1354</v>
      </c>
      <c r="AF93" t="s">
        <v>1178</v>
      </c>
      <c r="AG93" t="s">
        <v>1190</v>
      </c>
      <c r="AH93" t="s">
        <v>1178</v>
      </c>
      <c r="AI93" t="s">
        <v>1349</v>
      </c>
      <c r="AJ93" t="s">
        <v>1190</v>
      </c>
      <c r="AK93">
        <v>0</v>
      </c>
      <c r="AL93" t="s">
        <v>1262</v>
      </c>
      <c r="AM93">
        <v>45748</v>
      </c>
      <c r="AN93">
        <v>46160</v>
      </c>
      <c r="AO93">
        <v>46160</v>
      </c>
      <c r="AP93">
        <v>46162</v>
      </c>
      <c r="AQ93">
        <v>46162</v>
      </c>
      <c r="AR93">
        <v>46164</v>
      </c>
      <c r="AS93">
        <v>46168</v>
      </c>
      <c r="AT93" t="s">
        <v>1281</v>
      </c>
      <c r="AU93" t="s">
        <v>1177</v>
      </c>
      <c r="AV93" t="s">
        <v>1192</v>
      </c>
      <c r="AW93" t="s">
        <v>1177</v>
      </c>
      <c r="AX93">
        <v>242</v>
      </c>
      <c r="AY93">
        <v>2</v>
      </c>
      <c r="AZ93" t="s">
        <v>1177</v>
      </c>
      <c r="BA93">
        <v>0</v>
      </c>
      <c r="BB93" t="s">
        <v>1262</v>
      </c>
      <c r="BC93" t="e">
        <v>#N/A</v>
      </c>
      <c r="BD93" t="e">
        <v>#N/A</v>
      </c>
      <c r="BE93" t="e">
        <v>#N/A</v>
      </c>
      <c r="BF93" t="e">
        <v>#N/A</v>
      </c>
      <c r="BG93" t="s">
        <v>1464</v>
      </c>
      <c r="BH93" t="s">
        <v>1206</v>
      </c>
      <c r="BI93" t="s">
        <v>1644</v>
      </c>
    </row>
    <row r="94" spans="1:61" x14ac:dyDescent="0.35">
      <c r="A94" s="7" t="str">
        <f t="shared" si="2"/>
        <v>461594300008768</v>
      </c>
      <c r="B94" s="7" t="str">
        <f t="shared" si="3"/>
        <v>GP526923B833</v>
      </c>
      <c r="C94" t="s">
        <v>1177</v>
      </c>
      <c r="D94" t="s">
        <v>1178</v>
      </c>
      <c r="E94" t="s">
        <v>1648</v>
      </c>
      <c r="F94" t="s">
        <v>1363</v>
      </c>
      <c r="G94" t="s">
        <v>1363</v>
      </c>
      <c r="H94" t="s">
        <v>1271</v>
      </c>
      <c r="I94">
        <v>46159</v>
      </c>
      <c r="J94" t="s">
        <v>1649</v>
      </c>
      <c r="K94" t="s">
        <v>1199</v>
      </c>
      <c r="L94" t="s">
        <v>1177</v>
      </c>
      <c r="M94" t="s">
        <v>1274</v>
      </c>
      <c r="N94" t="s">
        <v>1079</v>
      </c>
      <c r="O94" t="s">
        <v>1275</v>
      </c>
      <c r="P94">
        <v>46159</v>
      </c>
      <c r="Q94" t="s">
        <v>1177</v>
      </c>
      <c r="R94" t="s">
        <v>697</v>
      </c>
      <c r="S94" t="s">
        <v>699</v>
      </c>
      <c r="T94" t="s">
        <v>509</v>
      </c>
      <c r="U94" t="s">
        <v>1650</v>
      </c>
      <c r="V94">
        <v>3</v>
      </c>
      <c r="W94" t="s">
        <v>1262</v>
      </c>
      <c r="X94" t="s">
        <v>1262</v>
      </c>
      <c r="Y94">
        <v>0</v>
      </c>
      <c r="Z94" t="s">
        <v>1186</v>
      </c>
      <c r="AA94" t="s">
        <v>1177</v>
      </c>
      <c r="AB94" t="s">
        <v>1276</v>
      </c>
      <c r="AC94" t="s">
        <v>1277</v>
      </c>
      <c r="AD94" t="s">
        <v>1278</v>
      </c>
      <c r="AE94" t="s">
        <v>1628</v>
      </c>
      <c r="AF94" t="s">
        <v>1178</v>
      </c>
      <c r="AG94" t="s">
        <v>1190</v>
      </c>
      <c r="AH94" t="s">
        <v>1178</v>
      </c>
      <c r="AI94" t="s">
        <v>1349</v>
      </c>
      <c r="AJ94" t="s">
        <v>1190</v>
      </c>
      <c r="AK94">
        <v>0</v>
      </c>
      <c r="AL94" t="s">
        <v>1262</v>
      </c>
      <c r="AM94">
        <v>45817</v>
      </c>
      <c r="AN94">
        <v>46217</v>
      </c>
      <c r="AO94">
        <v>46160</v>
      </c>
      <c r="AP94">
        <v>46162</v>
      </c>
      <c r="AQ94">
        <v>46162</v>
      </c>
      <c r="AR94">
        <v>46164</v>
      </c>
      <c r="AS94">
        <v>46168</v>
      </c>
      <c r="AT94" t="s">
        <v>1281</v>
      </c>
      <c r="AU94" t="s">
        <v>1177</v>
      </c>
      <c r="AV94" t="s">
        <v>1192</v>
      </c>
      <c r="AW94" t="s">
        <v>1177</v>
      </c>
      <c r="AX94">
        <v>33</v>
      </c>
      <c r="AY94">
        <v>2</v>
      </c>
      <c r="AZ94" t="s">
        <v>1177</v>
      </c>
      <c r="BA94">
        <v>0</v>
      </c>
      <c r="BB94" t="s">
        <v>1262</v>
      </c>
      <c r="BC94" t="e">
        <v>#N/A</v>
      </c>
      <c r="BD94" t="e">
        <v>#N/A</v>
      </c>
      <c r="BE94" t="e">
        <v>#N/A</v>
      </c>
      <c r="BF94" t="e">
        <v>#N/A</v>
      </c>
      <c r="BG94" t="s">
        <v>1651</v>
      </c>
      <c r="BH94" t="s">
        <v>1194</v>
      </c>
      <c r="BI94" t="s">
        <v>1652</v>
      </c>
    </row>
    <row r="95" spans="1:61" x14ac:dyDescent="0.35">
      <c r="A95" s="7" t="str">
        <f t="shared" si="2"/>
        <v>461594300008771</v>
      </c>
      <c r="B95" s="7" t="str">
        <f t="shared" si="3"/>
        <v>GP398742B857</v>
      </c>
      <c r="C95" t="s">
        <v>1177</v>
      </c>
      <c r="D95" t="s">
        <v>1178</v>
      </c>
      <c r="E95" t="s">
        <v>1653</v>
      </c>
      <c r="F95" t="s">
        <v>1363</v>
      </c>
      <c r="G95" t="s">
        <v>1363</v>
      </c>
      <c r="H95" t="s">
        <v>1271</v>
      </c>
      <c r="I95">
        <v>46159</v>
      </c>
      <c r="J95" t="s">
        <v>1654</v>
      </c>
      <c r="K95" t="s">
        <v>1283</v>
      </c>
      <c r="L95" t="s">
        <v>1177</v>
      </c>
      <c r="M95" t="s">
        <v>1274</v>
      </c>
      <c r="N95" t="s">
        <v>1079</v>
      </c>
      <c r="O95" t="s">
        <v>1275</v>
      </c>
      <c r="P95">
        <v>46159</v>
      </c>
      <c r="Q95" t="s">
        <v>1177</v>
      </c>
      <c r="R95" t="s">
        <v>23</v>
      </c>
      <c r="S95" t="s">
        <v>959</v>
      </c>
      <c r="T95" t="s">
        <v>1639</v>
      </c>
      <c r="U95" t="s">
        <v>1640</v>
      </c>
      <c r="V95">
        <v>20</v>
      </c>
      <c r="W95" t="s">
        <v>1262</v>
      </c>
      <c r="X95" t="s">
        <v>1262</v>
      </c>
      <c r="Y95">
        <v>0</v>
      </c>
      <c r="Z95" t="s">
        <v>1186</v>
      </c>
      <c r="AA95" t="s">
        <v>1177</v>
      </c>
      <c r="AB95" t="s">
        <v>1276</v>
      </c>
      <c r="AC95" t="s">
        <v>1277</v>
      </c>
      <c r="AD95" t="s">
        <v>1278</v>
      </c>
      <c r="AE95" t="s">
        <v>1284</v>
      </c>
      <c r="AF95" t="s">
        <v>1178</v>
      </c>
      <c r="AG95" t="s">
        <v>1190</v>
      </c>
      <c r="AH95" t="s">
        <v>1178</v>
      </c>
      <c r="AI95" t="s">
        <v>1280</v>
      </c>
      <c r="AJ95" t="s">
        <v>1190</v>
      </c>
      <c r="AK95">
        <v>0</v>
      </c>
      <c r="AL95" t="s">
        <v>1262</v>
      </c>
      <c r="AM95">
        <v>45820</v>
      </c>
      <c r="AN95">
        <v>46163</v>
      </c>
      <c r="AO95">
        <v>46163</v>
      </c>
      <c r="AP95">
        <v>46167</v>
      </c>
      <c r="AQ95">
        <v>46167</v>
      </c>
      <c r="AR95">
        <v>46169</v>
      </c>
      <c r="AS95">
        <v>46171</v>
      </c>
      <c r="AT95" t="s">
        <v>1281</v>
      </c>
      <c r="AU95" t="s">
        <v>1177</v>
      </c>
      <c r="AV95" t="s">
        <v>1192</v>
      </c>
      <c r="AW95" t="s">
        <v>1177</v>
      </c>
      <c r="AX95">
        <v>176</v>
      </c>
      <c r="AY95">
        <v>2</v>
      </c>
      <c r="AZ95" t="s">
        <v>1177</v>
      </c>
      <c r="BA95">
        <v>20</v>
      </c>
      <c r="BB95" t="s">
        <v>1262</v>
      </c>
      <c r="BC95" t="s">
        <v>1580</v>
      </c>
      <c r="BD95">
        <v>20</v>
      </c>
      <c r="BE95">
        <v>46191</v>
      </c>
      <c r="BF95" t="s">
        <v>1165</v>
      </c>
      <c r="BG95" t="s">
        <v>1212</v>
      </c>
      <c r="BH95" t="s">
        <v>1194</v>
      </c>
      <c r="BI95" t="s">
        <v>1212</v>
      </c>
    </row>
    <row r="96" spans="1:61" x14ac:dyDescent="0.35">
      <c r="A96" s="7" t="str">
        <f t="shared" si="2"/>
        <v>461594300008772</v>
      </c>
      <c r="B96" s="7" t="str">
        <f t="shared" si="3"/>
        <v>GP069689B825</v>
      </c>
      <c r="C96" t="s">
        <v>1177</v>
      </c>
      <c r="D96" t="s">
        <v>1178</v>
      </c>
      <c r="E96" t="s">
        <v>1658</v>
      </c>
      <c r="F96" t="s">
        <v>1363</v>
      </c>
      <c r="G96" t="s">
        <v>1363</v>
      </c>
      <c r="H96" t="s">
        <v>1271</v>
      </c>
      <c r="I96">
        <v>46159</v>
      </c>
      <c r="J96" t="s">
        <v>1659</v>
      </c>
      <c r="K96" t="s">
        <v>1199</v>
      </c>
      <c r="L96" t="s">
        <v>1177</v>
      </c>
      <c r="M96" t="s">
        <v>1274</v>
      </c>
      <c r="N96" t="s">
        <v>1079</v>
      </c>
      <c r="O96" t="s">
        <v>1275</v>
      </c>
      <c r="P96">
        <v>46159</v>
      </c>
      <c r="Q96" t="s">
        <v>1177</v>
      </c>
      <c r="R96" t="s">
        <v>16</v>
      </c>
      <c r="S96" t="s">
        <v>512</v>
      </c>
      <c r="T96" t="s">
        <v>1015</v>
      </c>
      <c r="U96" t="s">
        <v>1016</v>
      </c>
      <c r="V96">
        <v>2200</v>
      </c>
      <c r="W96" t="s">
        <v>1262</v>
      </c>
      <c r="X96" t="s">
        <v>1262</v>
      </c>
      <c r="Y96">
        <v>0</v>
      </c>
      <c r="Z96" t="s">
        <v>1186</v>
      </c>
      <c r="AA96" t="s">
        <v>1177</v>
      </c>
      <c r="AB96" t="s">
        <v>1276</v>
      </c>
      <c r="AC96" t="s">
        <v>1277</v>
      </c>
      <c r="AD96" t="s">
        <v>1278</v>
      </c>
      <c r="AE96" t="s">
        <v>1292</v>
      </c>
      <c r="AF96" t="s">
        <v>1178</v>
      </c>
      <c r="AG96" t="s">
        <v>1190</v>
      </c>
      <c r="AH96" t="s">
        <v>1178</v>
      </c>
      <c r="AI96" t="s">
        <v>1349</v>
      </c>
      <c r="AJ96" t="s">
        <v>1190</v>
      </c>
      <c r="AK96">
        <v>0</v>
      </c>
      <c r="AL96" t="s">
        <v>1262</v>
      </c>
      <c r="AM96">
        <v>46265</v>
      </c>
      <c r="AN96">
        <v>46258</v>
      </c>
      <c r="AO96">
        <v>46258</v>
      </c>
      <c r="AP96">
        <v>46260</v>
      </c>
      <c r="AQ96">
        <v>46260</v>
      </c>
      <c r="AR96">
        <v>46262</v>
      </c>
      <c r="AS96">
        <v>46262</v>
      </c>
      <c r="AT96" t="s">
        <v>1281</v>
      </c>
      <c r="AU96" t="s">
        <v>1177</v>
      </c>
      <c r="AV96" t="s">
        <v>1192</v>
      </c>
      <c r="AW96" t="s">
        <v>1177</v>
      </c>
      <c r="AX96">
        <v>0</v>
      </c>
      <c r="AY96">
        <v>0</v>
      </c>
      <c r="AZ96" t="s">
        <v>1177</v>
      </c>
      <c r="BA96">
        <v>2100</v>
      </c>
      <c r="BB96" t="s">
        <v>1262</v>
      </c>
      <c r="BC96" t="s">
        <v>1550</v>
      </c>
      <c r="BD96">
        <v>220</v>
      </c>
      <c r="BE96">
        <v>46230</v>
      </c>
      <c r="BF96" t="s">
        <v>1165</v>
      </c>
      <c r="BG96" t="s">
        <v>1372</v>
      </c>
      <c r="BH96" t="s">
        <v>1373</v>
      </c>
      <c r="BI96" t="s">
        <v>1372</v>
      </c>
    </row>
    <row r="97" spans="1:61" x14ac:dyDescent="0.35">
      <c r="A97" s="7" t="str">
        <f t="shared" si="2"/>
        <v>461594300008776</v>
      </c>
      <c r="B97" s="7" t="str">
        <f t="shared" si="3"/>
        <v>GP554968B833</v>
      </c>
      <c r="C97" t="s">
        <v>1177</v>
      </c>
      <c r="D97" t="s">
        <v>1178</v>
      </c>
      <c r="E97" t="s">
        <v>1661</v>
      </c>
      <c r="F97" t="s">
        <v>1363</v>
      </c>
      <c r="G97" t="s">
        <v>1363</v>
      </c>
      <c r="H97" t="s">
        <v>1271</v>
      </c>
      <c r="I97">
        <v>46159</v>
      </c>
      <c r="J97" t="s">
        <v>1662</v>
      </c>
      <c r="K97" t="s">
        <v>1182</v>
      </c>
      <c r="L97" t="s">
        <v>1177</v>
      </c>
      <c r="M97" t="s">
        <v>1274</v>
      </c>
      <c r="N97" t="s">
        <v>1079</v>
      </c>
      <c r="O97" t="s">
        <v>1275</v>
      </c>
      <c r="P97">
        <v>46159</v>
      </c>
      <c r="Q97" t="s">
        <v>1177</v>
      </c>
      <c r="R97" t="s">
        <v>697</v>
      </c>
      <c r="S97" t="s">
        <v>699</v>
      </c>
      <c r="T97" t="s">
        <v>783</v>
      </c>
      <c r="U97" t="s">
        <v>784</v>
      </c>
      <c r="V97">
        <v>1</v>
      </c>
      <c r="W97" t="s">
        <v>1262</v>
      </c>
      <c r="X97" t="s">
        <v>1262</v>
      </c>
      <c r="Y97">
        <v>0</v>
      </c>
      <c r="Z97" t="s">
        <v>1186</v>
      </c>
      <c r="AA97" t="s">
        <v>1177</v>
      </c>
      <c r="AB97" t="s">
        <v>1276</v>
      </c>
      <c r="AC97" t="s">
        <v>1277</v>
      </c>
      <c r="AD97" t="s">
        <v>1278</v>
      </c>
      <c r="AE97" t="s">
        <v>1358</v>
      </c>
      <c r="AF97" t="s">
        <v>1178</v>
      </c>
      <c r="AG97" t="s">
        <v>1190</v>
      </c>
      <c r="AH97" t="s">
        <v>1178</v>
      </c>
      <c r="AI97" t="s">
        <v>1349</v>
      </c>
      <c r="AJ97" t="s">
        <v>1190</v>
      </c>
      <c r="AK97">
        <v>0</v>
      </c>
      <c r="AL97" t="s">
        <v>1262</v>
      </c>
      <c r="AM97">
        <v>45743</v>
      </c>
      <c r="AN97">
        <v>46287</v>
      </c>
      <c r="AO97">
        <v>46160</v>
      </c>
      <c r="AP97">
        <v>46162</v>
      </c>
      <c r="AQ97">
        <v>46162</v>
      </c>
      <c r="AR97">
        <v>46164</v>
      </c>
      <c r="AS97">
        <v>46168</v>
      </c>
      <c r="AT97" t="s">
        <v>1281</v>
      </c>
      <c r="AU97" t="s">
        <v>1177</v>
      </c>
      <c r="AV97" t="s">
        <v>1192</v>
      </c>
      <c r="AW97" t="s">
        <v>1177</v>
      </c>
      <c r="AX97">
        <v>163</v>
      </c>
      <c r="AY97">
        <v>2</v>
      </c>
      <c r="AZ97" t="s">
        <v>1177</v>
      </c>
      <c r="BA97">
        <v>0</v>
      </c>
      <c r="BB97" t="s">
        <v>1262</v>
      </c>
      <c r="BC97" t="e">
        <v>#N/A</v>
      </c>
      <c r="BD97" t="e">
        <v>#N/A</v>
      </c>
      <c r="BE97" t="e">
        <v>#N/A</v>
      </c>
      <c r="BF97" t="e">
        <v>#N/A</v>
      </c>
      <c r="BG97" t="s">
        <v>1212</v>
      </c>
      <c r="BH97" t="s">
        <v>1194</v>
      </c>
      <c r="BI97" t="s">
        <v>1663</v>
      </c>
    </row>
    <row r="98" spans="1:61" x14ac:dyDescent="0.35">
      <c r="A98" s="7" t="str">
        <f t="shared" si="2"/>
        <v>461594300008779</v>
      </c>
      <c r="B98" s="7" t="str">
        <f t="shared" si="3"/>
        <v>GP632579B856</v>
      </c>
      <c r="C98" t="s">
        <v>1177</v>
      </c>
      <c r="D98" t="s">
        <v>1178</v>
      </c>
      <c r="E98" t="s">
        <v>1665</v>
      </c>
      <c r="F98" t="s">
        <v>1363</v>
      </c>
      <c r="G98" t="s">
        <v>1363</v>
      </c>
      <c r="H98" t="s">
        <v>1271</v>
      </c>
      <c r="I98">
        <v>46159</v>
      </c>
      <c r="J98" t="s">
        <v>1666</v>
      </c>
      <c r="K98" t="s">
        <v>1283</v>
      </c>
      <c r="L98" t="s">
        <v>1177</v>
      </c>
      <c r="M98" t="s">
        <v>1274</v>
      </c>
      <c r="N98" t="s">
        <v>1079</v>
      </c>
      <c r="O98" t="s">
        <v>1275</v>
      </c>
      <c r="P98">
        <v>46159</v>
      </c>
      <c r="Q98" t="s">
        <v>1177</v>
      </c>
      <c r="R98" t="s">
        <v>21</v>
      </c>
      <c r="S98" t="s">
        <v>853</v>
      </c>
      <c r="T98" t="s">
        <v>1655</v>
      </c>
      <c r="U98" t="s">
        <v>1656</v>
      </c>
      <c r="V98">
        <v>2</v>
      </c>
      <c r="W98" t="s">
        <v>1262</v>
      </c>
      <c r="X98" t="s">
        <v>1262</v>
      </c>
      <c r="Y98">
        <v>0</v>
      </c>
      <c r="Z98" t="s">
        <v>1186</v>
      </c>
      <c r="AA98" t="s">
        <v>1177</v>
      </c>
      <c r="AB98" t="s">
        <v>1276</v>
      </c>
      <c r="AC98" t="s">
        <v>1277</v>
      </c>
      <c r="AD98" t="s">
        <v>1278</v>
      </c>
      <c r="AE98" t="s">
        <v>1657</v>
      </c>
      <c r="AF98" t="s">
        <v>1178</v>
      </c>
      <c r="AG98" t="s">
        <v>1190</v>
      </c>
      <c r="AH98" t="s">
        <v>1178</v>
      </c>
      <c r="AI98" t="s">
        <v>1280</v>
      </c>
      <c r="AJ98" t="s">
        <v>1190</v>
      </c>
      <c r="AK98">
        <v>0</v>
      </c>
      <c r="AL98" t="s">
        <v>1262</v>
      </c>
      <c r="AM98">
        <v>45820</v>
      </c>
      <c r="AN98">
        <v>46442</v>
      </c>
      <c r="AO98">
        <v>46163</v>
      </c>
      <c r="AP98">
        <v>46167</v>
      </c>
      <c r="AQ98">
        <v>46167</v>
      </c>
      <c r="AR98">
        <v>46169</v>
      </c>
      <c r="AS98">
        <v>46171</v>
      </c>
      <c r="AT98" t="s">
        <v>1281</v>
      </c>
      <c r="AU98" t="s">
        <v>1177</v>
      </c>
      <c r="AV98" t="s">
        <v>1192</v>
      </c>
      <c r="AW98" t="s">
        <v>1177</v>
      </c>
      <c r="AX98">
        <v>261</v>
      </c>
      <c r="AY98">
        <v>2</v>
      </c>
      <c r="AZ98" t="s">
        <v>1177</v>
      </c>
      <c r="BA98">
        <v>0</v>
      </c>
      <c r="BB98" t="s">
        <v>1262</v>
      </c>
      <c r="BC98" t="e">
        <v>#N/A</v>
      </c>
      <c r="BD98" t="e">
        <v>#N/A</v>
      </c>
      <c r="BE98" t="e">
        <v>#N/A</v>
      </c>
      <c r="BF98" t="e">
        <v>#N/A</v>
      </c>
      <c r="BG98" t="s">
        <v>1212</v>
      </c>
      <c r="BH98" t="s">
        <v>1194</v>
      </c>
      <c r="BI98" t="s">
        <v>1667</v>
      </c>
    </row>
    <row r="99" spans="1:61" x14ac:dyDescent="0.35">
      <c r="A99" s="7" t="str">
        <f t="shared" si="2"/>
        <v>461594300008781</v>
      </c>
      <c r="B99" s="7" t="str">
        <f t="shared" si="3"/>
        <v>GP307736B825</v>
      </c>
      <c r="C99" t="s">
        <v>1177</v>
      </c>
      <c r="D99" t="s">
        <v>1178</v>
      </c>
      <c r="E99" t="s">
        <v>1668</v>
      </c>
      <c r="F99" t="s">
        <v>1363</v>
      </c>
      <c r="G99" t="s">
        <v>1363</v>
      </c>
      <c r="H99" t="s">
        <v>1271</v>
      </c>
      <c r="I99">
        <v>46159</v>
      </c>
      <c r="J99" t="s">
        <v>1669</v>
      </c>
      <c r="K99" t="s">
        <v>1182</v>
      </c>
      <c r="L99" t="s">
        <v>1177</v>
      </c>
      <c r="M99" t="s">
        <v>1274</v>
      </c>
      <c r="N99" t="s">
        <v>1079</v>
      </c>
      <c r="O99" t="s">
        <v>1275</v>
      </c>
      <c r="P99">
        <v>46159</v>
      </c>
      <c r="Q99" t="s">
        <v>1177</v>
      </c>
      <c r="R99" t="s">
        <v>16</v>
      </c>
      <c r="S99" t="s">
        <v>512</v>
      </c>
      <c r="T99" t="s">
        <v>1443</v>
      </c>
      <c r="U99" t="s">
        <v>1444</v>
      </c>
      <c r="V99">
        <v>3</v>
      </c>
      <c r="W99" t="s">
        <v>1262</v>
      </c>
      <c r="X99" t="s">
        <v>1262</v>
      </c>
      <c r="Y99">
        <v>0</v>
      </c>
      <c r="Z99" t="s">
        <v>1186</v>
      </c>
      <c r="AA99" t="s">
        <v>1177</v>
      </c>
      <c r="AB99" t="s">
        <v>1276</v>
      </c>
      <c r="AC99" t="s">
        <v>1277</v>
      </c>
      <c r="AD99" t="s">
        <v>1278</v>
      </c>
      <c r="AE99" t="s">
        <v>1445</v>
      </c>
      <c r="AF99" t="s">
        <v>1178</v>
      </c>
      <c r="AG99" t="s">
        <v>1190</v>
      </c>
      <c r="AH99" t="s">
        <v>1178</v>
      </c>
      <c r="AI99" t="s">
        <v>1349</v>
      </c>
      <c r="AJ99" t="s">
        <v>1190</v>
      </c>
      <c r="AK99">
        <v>0</v>
      </c>
      <c r="AL99" t="s">
        <v>1262</v>
      </c>
      <c r="AM99">
        <v>45808</v>
      </c>
      <c r="AN99">
        <v>46482</v>
      </c>
      <c r="AO99">
        <v>46160</v>
      </c>
      <c r="AP99">
        <v>46162</v>
      </c>
      <c r="AQ99">
        <v>46162</v>
      </c>
      <c r="AR99">
        <v>46164</v>
      </c>
      <c r="AS99">
        <v>46168</v>
      </c>
      <c r="AT99" t="s">
        <v>1281</v>
      </c>
      <c r="AU99" t="s">
        <v>1177</v>
      </c>
      <c r="AV99" t="s">
        <v>1192</v>
      </c>
      <c r="AW99" t="s">
        <v>1177</v>
      </c>
      <c r="AX99">
        <v>301</v>
      </c>
      <c r="AY99">
        <v>2</v>
      </c>
      <c r="AZ99" t="s">
        <v>1177</v>
      </c>
      <c r="BA99">
        <v>0</v>
      </c>
      <c r="BB99" t="s">
        <v>1262</v>
      </c>
      <c r="BC99" t="e">
        <v>#N/A</v>
      </c>
      <c r="BD99" t="e">
        <v>#N/A</v>
      </c>
      <c r="BE99" t="e">
        <v>#N/A</v>
      </c>
      <c r="BF99" t="e">
        <v>#N/A</v>
      </c>
      <c r="BG99" t="s">
        <v>1212</v>
      </c>
      <c r="BH99" t="s">
        <v>1194</v>
      </c>
      <c r="BI99" t="s">
        <v>1638</v>
      </c>
    </row>
    <row r="100" spans="1:61" x14ac:dyDescent="0.35">
      <c r="A100" s="7" t="str">
        <f t="shared" si="2"/>
        <v>461594300008789</v>
      </c>
      <c r="B100" s="7" t="str">
        <f t="shared" si="3"/>
        <v>GP007339B856</v>
      </c>
      <c r="C100" t="s">
        <v>1177</v>
      </c>
      <c r="D100" t="s">
        <v>1178</v>
      </c>
      <c r="E100" t="s">
        <v>1670</v>
      </c>
      <c r="F100" t="s">
        <v>1363</v>
      </c>
      <c r="G100" t="s">
        <v>1363</v>
      </c>
      <c r="H100" t="s">
        <v>1271</v>
      </c>
      <c r="I100">
        <v>46159</v>
      </c>
      <c r="J100" t="s">
        <v>1671</v>
      </c>
      <c r="K100" t="s">
        <v>1647</v>
      </c>
      <c r="L100" t="s">
        <v>1177</v>
      </c>
      <c r="M100" t="s">
        <v>1274</v>
      </c>
      <c r="N100" t="s">
        <v>1079</v>
      </c>
      <c r="O100" t="s">
        <v>1275</v>
      </c>
      <c r="P100">
        <v>46159</v>
      </c>
      <c r="Q100" t="s">
        <v>1177</v>
      </c>
      <c r="R100" t="s">
        <v>21</v>
      </c>
      <c r="S100" t="s">
        <v>853</v>
      </c>
      <c r="T100" t="s">
        <v>221</v>
      </c>
      <c r="U100" t="s">
        <v>1672</v>
      </c>
      <c r="V100">
        <v>20</v>
      </c>
      <c r="W100" t="s">
        <v>1262</v>
      </c>
      <c r="X100" t="s">
        <v>1262</v>
      </c>
      <c r="Y100">
        <v>0</v>
      </c>
      <c r="Z100" t="s">
        <v>1186</v>
      </c>
      <c r="AA100" t="s">
        <v>1177</v>
      </c>
      <c r="AB100" t="s">
        <v>1177</v>
      </c>
      <c r="AC100" t="s">
        <v>1177</v>
      </c>
      <c r="AD100" t="s">
        <v>1313</v>
      </c>
      <c r="AE100" t="s">
        <v>1292</v>
      </c>
      <c r="AF100" t="s">
        <v>1189</v>
      </c>
      <c r="AG100" t="s">
        <v>1178</v>
      </c>
      <c r="AH100" t="s">
        <v>1178</v>
      </c>
      <c r="AI100" t="s">
        <v>1280</v>
      </c>
      <c r="AJ100" t="s">
        <v>1190</v>
      </c>
      <c r="AK100">
        <v>0</v>
      </c>
      <c r="AL100" t="s">
        <v>1262</v>
      </c>
      <c r="AM100">
        <v>45959</v>
      </c>
      <c r="AN100">
        <v>46163</v>
      </c>
      <c r="AO100">
        <v>46163</v>
      </c>
      <c r="AP100">
        <v>46167</v>
      </c>
      <c r="AQ100">
        <v>46167</v>
      </c>
      <c r="AR100">
        <v>46169</v>
      </c>
      <c r="AS100">
        <v>46171</v>
      </c>
      <c r="AT100" t="s">
        <v>1281</v>
      </c>
      <c r="AU100" t="s">
        <v>1177</v>
      </c>
      <c r="AV100" t="s">
        <v>1192</v>
      </c>
      <c r="AW100" t="s">
        <v>1177</v>
      </c>
      <c r="AX100">
        <v>54</v>
      </c>
      <c r="AY100">
        <v>2</v>
      </c>
      <c r="AZ100" t="s">
        <v>1177</v>
      </c>
      <c r="BA100">
        <v>0</v>
      </c>
      <c r="BB100" t="s">
        <v>1262</v>
      </c>
      <c r="BC100" t="s">
        <v>1641</v>
      </c>
      <c r="BD100">
        <v>1</v>
      </c>
      <c r="BE100">
        <v>46191</v>
      </c>
      <c r="BF100" t="s">
        <v>1165</v>
      </c>
      <c r="BG100" t="s">
        <v>126</v>
      </c>
      <c r="BH100" t="s">
        <v>1194</v>
      </c>
      <c r="BI100" t="s">
        <v>126</v>
      </c>
    </row>
    <row r="101" spans="1:61" x14ac:dyDescent="0.35">
      <c r="A101" s="7" t="str">
        <f t="shared" si="2"/>
        <v>461594300008800</v>
      </c>
      <c r="B101" s="7" t="str">
        <f t="shared" si="3"/>
        <v>GP249817B864</v>
      </c>
      <c r="C101" t="s">
        <v>1177</v>
      </c>
      <c r="D101" t="s">
        <v>1178</v>
      </c>
      <c r="E101" t="s">
        <v>1673</v>
      </c>
      <c r="F101" t="s">
        <v>1363</v>
      </c>
      <c r="G101" t="s">
        <v>1363</v>
      </c>
      <c r="H101" t="s">
        <v>1271</v>
      </c>
      <c r="I101">
        <v>46159</v>
      </c>
      <c r="J101" t="s">
        <v>1674</v>
      </c>
      <c r="K101" t="s">
        <v>1282</v>
      </c>
      <c r="L101" t="s">
        <v>1177</v>
      </c>
      <c r="M101" t="s">
        <v>1274</v>
      </c>
      <c r="N101" t="s">
        <v>1079</v>
      </c>
      <c r="O101" t="s">
        <v>1275</v>
      </c>
      <c r="P101">
        <v>46159</v>
      </c>
      <c r="Q101" t="s">
        <v>1177</v>
      </c>
      <c r="R101" t="s">
        <v>10</v>
      </c>
      <c r="S101" t="s">
        <v>1011</v>
      </c>
      <c r="T101" t="s">
        <v>72</v>
      </c>
      <c r="U101" t="s">
        <v>73</v>
      </c>
      <c r="V101">
        <v>8</v>
      </c>
      <c r="W101" t="s">
        <v>1262</v>
      </c>
      <c r="X101" t="s">
        <v>1262</v>
      </c>
      <c r="Y101">
        <v>0</v>
      </c>
      <c r="Z101" t="s">
        <v>1186</v>
      </c>
      <c r="AA101" t="s">
        <v>1177</v>
      </c>
      <c r="AB101" t="s">
        <v>1276</v>
      </c>
      <c r="AC101" t="s">
        <v>1277</v>
      </c>
      <c r="AD101" t="s">
        <v>1278</v>
      </c>
      <c r="AE101" t="s">
        <v>1478</v>
      </c>
      <c r="AF101" t="s">
        <v>1178</v>
      </c>
      <c r="AG101" t="s">
        <v>1476</v>
      </c>
      <c r="AH101" t="s">
        <v>1178</v>
      </c>
      <c r="AI101" t="s">
        <v>1280</v>
      </c>
      <c r="AJ101" t="s">
        <v>1675</v>
      </c>
      <c r="AK101">
        <v>4</v>
      </c>
      <c r="AL101" t="s">
        <v>1262</v>
      </c>
      <c r="AM101">
        <v>46288</v>
      </c>
      <c r="AN101">
        <v>46280</v>
      </c>
      <c r="AO101">
        <v>46282</v>
      </c>
      <c r="AP101">
        <v>46286</v>
      </c>
      <c r="AQ101">
        <v>46286</v>
      </c>
      <c r="AR101">
        <v>46288</v>
      </c>
      <c r="AS101">
        <v>46290</v>
      </c>
      <c r="AT101" t="s">
        <v>1281</v>
      </c>
      <c r="AU101" t="s">
        <v>1177</v>
      </c>
      <c r="AV101" t="s">
        <v>1192</v>
      </c>
      <c r="AW101" t="s">
        <v>1177</v>
      </c>
      <c r="AX101">
        <v>33</v>
      </c>
      <c r="AY101">
        <v>2</v>
      </c>
      <c r="AZ101" t="s">
        <v>1177</v>
      </c>
      <c r="BA101">
        <v>0</v>
      </c>
      <c r="BB101" t="s">
        <v>1262</v>
      </c>
      <c r="BC101" t="e">
        <v>#N/A</v>
      </c>
      <c r="BD101" t="e">
        <v>#N/A</v>
      </c>
      <c r="BE101" t="e">
        <v>#N/A</v>
      </c>
      <c r="BF101" t="e">
        <v>#N/A</v>
      </c>
      <c r="BG101" t="s">
        <v>1212</v>
      </c>
      <c r="BH101" t="s">
        <v>1194</v>
      </c>
      <c r="BI101" t="s">
        <v>1212</v>
      </c>
    </row>
    <row r="102" spans="1:61" x14ac:dyDescent="0.35">
      <c r="A102" s="7" t="str">
        <f t="shared" si="2"/>
        <v>461594300008804</v>
      </c>
      <c r="B102" s="7" t="str">
        <f t="shared" si="3"/>
        <v>50235B864</v>
      </c>
      <c r="C102" t="s">
        <v>1177</v>
      </c>
      <c r="D102" t="s">
        <v>1178</v>
      </c>
      <c r="E102" t="s">
        <v>1678</v>
      </c>
      <c r="F102" t="s">
        <v>1363</v>
      </c>
      <c r="G102" t="s">
        <v>1363</v>
      </c>
      <c r="H102" t="s">
        <v>1271</v>
      </c>
      <c r="I102">
        <v>46159</v>
      </c>
      <c r="J102" t="s">
        <v>1679</v>
      </c>
      <c r="K102" t="s">
        <v>1401</v>
      </c>
      <c r="L102" t="s">
        <v>1177</v>
      </c>
      <c r="M102" t="s">
        <v>1274</v>
      </c>
      <c r="N102" t="s">
        <v>1079</v>
      </c>
      <c r="O102" t="s">
        <v>1275</v>
      </c>
      <c r="P102">
        <v>46159</v>
      </c>
      <c r="Q102" t="s">
        <v>1177</v>
      </c>
      <c r="R102" t="s">
        <v>10</v>
      </c>
      <c r="S102" t="s">
        <v>1011</v>
      </c>
      <c r="T102" t="s">
        <v>1680</v>
      </c>
      <c r="U102" t="s">
        <v>1681</v>
      </c>
      <c r="V102">
        <v>1</v>
      </c>
      <c r="W102" t="s">
        <v>1262</v>
      </c>
      <c r="X102" t="s">
        <v>1262</v>
      </c>
      <c r="Y102">
        <v>0</v>
      </c>
      <c r="Z102" t="s">
        <v>1186</v>
      </c>
      <c r="AA102" t="s">
        <v>1177</v>
      </c>
      <c r="AB102" t="s">
        <v>1276</v>
      </c>
      <c r="AC102" t="s">
        <v>1277</v>
      </c>
      <c r="AD102" t="s">
        <v>1278</v>
      </c>
      <c r="AE102" t="s">
        <v>1682</v>
      </c>
      <c r="AF102" t="s">
        <v>1178</v>
      </c>
      <c r="AG102" t="s">
        <v>1190</v>
      </c>
      <c r="AH102" t="s">
        <v>1178</v>
      </c>
      <c r="AI102" t="s">
        <v>1280</v>
      </c>
      <c r="AJ102" t="s">
        <v>1190</v>
      </c>
      <c r="AK102">
        <v>0</v>
      </c>
      <c r="AL102" t="s">
        <v>1262</v>
      </c>
      <c r="AM102">
        <v>45803</v>
      </c>
      <c r="AN102">
        <v>46324</v>
      </c>
      <c r="AO102">
        <v>46163</v>
      </c>
      <c r="AP102">
        <v>46167</v>
      </c>
      <c r="AQ102">
        <v>46167</v>
      </c>
      <c r="AR102">
        <v>46169</v>
      </c>
      <c r="AS102">
        <v>46171</v>
      </c>
      <c r="AT102" t="s">
        <v>1281</v>
      </c>
      <c r="AU102" t="s">
        <v>1177</v>
      </c>
      <c r="AV102" t="s">
        <v>1192</v>
      </c>
      <c r="AW102" t="s">
        <v>1177</v>
      </c>
      <c r="AX102">
        <v>33</v>
      </c>
      <c r="AY102">
        <v>2</v>
      </c>
      <c r="AZ102" t="s">
        <v>1177</v>
      </c>
      <c r="BA102">
        <v>0</v>
      </c>
      <c r="BB102" t="s">
        <v>1262</v>
      </c>
      <c r="BC102" t="s">
        <v>1683</v>
      </c>
      <c r="BD102">
        <v>1</v>
      </c>
      <c r="BE102">
        <v>46188</v>
      </c>
      <c r="BF102" t="s">
        <v>1165</v>
      </c>
      <c r="BG102" t="s">
        <v>126</v>
      </c>
      <c r="BH102" t="s">
        <v>1194</v>
      </c>
      <c r="BI102" t="s">
        <v>126</v>
      </c>
    </row>
    <row r="103" spans="1:61" x14ac:dyDescent="0.35">
      <c r="A103" s="7" t="str">
        <f t="shared" si="2"/>
        <v>461594300008805</v>
      </c>
      <c r="B103" s="7" t="str">
        <f t="shared" si="3"/>
        <v>GP386042B864</v>
      </c>
      <c r="C103" t="s">
        <v>1177</v>
      </c>
      <c r="D103" t="s">
        <v>1178</v>
      </c>
      <c r="E103" t="s">
        <v>1685</v>
      </c>
      <c r="F103" t="s">
        <v>1363</v>
      </c>
      <c r="G103" t="s">
        <v>1363</v>
      </c>
      <c r="H103" t="s">
        <v>1271</v>
      </c>
      <c r="I103">
        <v>46159</v>
      </c>
      <c r="J103" t="s">
        <v>1686</v>
      </c>
      <c r="K103" t="s">
        <v>1406</v>
      </c>
      <c r="L103" t="s">
        <v>1177</v>
      </c>
      <c r="M103" t="s">
        <v>1274</v>
      </c>
      <c r="N103" t="s">
        <v>1079</v>
      </c>
      <c r="O103" t="s">
        <v>1275</v>
      </c>
      <c r="P103">
        <v>46159</v>
      </c>
      <c r="Q103" t="s">
        <v>1177</v>
      </c>
      <c r="R103" t="s">
        <v>10</v>
      </c>
      <c r="S103" t="s">
        <v>1011</v>
      </c>
      <c r="T103" t="s">
        <v>987</v>
      </c>
      <c r="U103" t="s">
        <v>988</v>
      </c>
      <c r="V103">
        <v>1</v>
      </c>
      <c r="W103" t="s">
        <v>1262</v>
      </c>
      <c r="X103" t="s">
        <v>1262</v>
      </c>
      <c r="Y103">
        <v>0</v>
      </c>
      <c r="Z103" t="s">
        <v>1186</v>
      </c>
      <c r="AA103" t="s">
        <v>1177</v>
      </c>
      <c r="AB103" t="s">
        <v>1276</v>
      </c>
      <c r="AC103" t="s">
        <v>1277</v>
      </c>
      <c r="AD103" t="s">
        <v>1278</v>
      </c>
      <c r="AE103" t="s">
        <v>1565</v>
      </c>
      <c r="AF103" t="s">
        <v>1178</v>
      </c>
      <c r="AG103" t="s">
        <v>1190</v>
      </c>
      <c r="AH103" t="s">
        <v>1178</v>
      </c>
      <c r="AI103" t="s">
        <v>1280</v>
      </c>
      <c r="AJ103" t="s">
        <v>1190</v>
      </c>
      <c r="AK103">
        <v>0</v>
      </c>
      <c r="AL103" t="s">
        <v>1262</v>
      </c>
      <c r="AM103">
        <v>45803</v>
      </c>
      <c r="AN103">
        <v>46163</v>
      </c>
      <c r="AO103">
        <v>46163</v>
      </c>
      <c r="AP103">
        <v>46167</v>
      </c>
      <c r="AQ103">
        <v>46167</v>
      </c>
      <c r="AR103">
        <v>46169</v>
      </c>
      <c r="AS103">
        <v>46171</v>
      </c>
      <c r="AT103" t="s">
        <v>1281</v>
      </c>
      <c r="AU103" t="s">
        <v>1177</v>
      </c>
      <c r="AV103" t="s">
        <v>1192</v>
      </c>
      <c r="AW103" t="s">
        <v>1177</v>
      </c>
      <c r="AX103">
        <v>33</v>
      </c>
      <c r="AY103">
        <v>2</v>
      </c>
      <c r="AZ103" t="s">
        <v>1177</v>
      </c>
      <c r="BA103">
        <v>0</v>
      </c>
      <c r="BB103" t="s">
        <v>1262</v>
      </c>
      <c r="BC103" t="e">
        <v>#N/A</v>
      </c>
      <c r="BD103" t="e">
        <v>#N/A</v>
      </c>
      <c r="BE103" t="e">
        <v>#N/A</v>
      </c>
      <c r="BF103" t="e">
        <v>#N/A</v>
      </c>
      <c r="BG103" t="s">
        <v>126</v>
      </c>
      <c r="BH103" t="s">
        <v>1194</v>
      </c>
      <c r="BI103" t="s">
        <v>126</v>
      </c>
    </row>
    <row r="104" spans="1:61" x14ac:dyDescent="0.35">
      <c r="A104" s="7" t="str">
        <f t="shared" si="2"/>
        <v>461594300008809</v>
      </c>
      <c r="B104" s="7" t="str">
        <f t="shared" si="3"/>
        <v>GP054670B825</v>
      </c>
      <c r="C104" t="s">
        <v>1177</v>
      </c>
      <c r="D104" t="s">
        <v>1178</v>
      </c>
      <c r="E104" t="s">
        <v>1688</v>
      </c>
      <c r="F104" t="s">
        <v>1363</v>
      </c>
      <c r="G104" t="s">
        <v>1363</v>
      </c>
      <c r="H104" t="s">
        <v>1271</v>
      </c>
      <c r="I104">
        <v>46159</v>
      </c>
      <c r="J104" t="s">
        <v>1689</v>
      </c>
      <c r="K104" t="s">
        <v>1288</v>
      </c>
      <c r="L104" t="s">
        <v>1177</v>
      </c>
      <c r="M104" t="s">
        <v>1274</v>
      </c>
      <c r="N104" t="s">
        <v>1079</v>
      </c>
      <c r="O104" t="s">
        <v>1275</v>
      </c>
      <c r="P104">
        <v>46159</v>
      </c>
      <c r="Q104" t="s">
        <v>1177</v>
      </c>
      <c r="R104" t="s">
        <v>16</v>
      </c>
      <c r="S104" t="s">
        <v>512</v>
      </c>
      <c r="T104" t="s">
        <v>245</v>
      </c>
      <c r="U104" t="s">
        <v>1690</v>
      </c>
      <c r="V104">
        <v>21</v>
      </c>
      <c r="W104" t="s">
        <v>1262</v>
      </c>
      <c r="X104" t="s">
        <v>1262</v>
      </c>
      <c r="Y104">
        <v>0</v>
      </c>
      <c r="Z104" t="s">
        <v>1186</v>
      </c>
      <c r="AA104" t="s">
        <v>1177</v>
      </c>
      <c r="AB104" t="s">
        <v>1276</v>
      </c>
      <c r="AC104" t="s">
        <v>1277</v>
      </c>
      <c r="AD104" t="s">
        <v>1278</v>
      </c>
      <c r="AE104" t="s">
        <v>1691</v>
      </c>
      <c r="AF104" t="s">
        <v>1178</v>
      </c>
      <c r="AG104" t="s">
        <v>1190</v>
      </c>
      <c r="AH104" t="s">
        <v>1178</v>
      </c>
      <c r="AI104" t="s">
        <v>1349</v>
      </c>
      <c r="AJ104" t="s">
        <v>1190</v>
      </c>
      <c r="AK104">
        <v>0</v>
      </c>
      <c r="AL104" t="s">
        <v>1262</v>
      </c>
      <c r="AM104">
        <v>45777</v>
      </c>
      <c r="AN104">
        <v>46258</v>
      </c>
      <c r="AO104">
        <v>46160</v>
      </c>
      <c r="AP104">
        <v>46162</v>
      </c>
      <c r="AQ104">
        <v>46162</v>
      </c>
      <c r="AR104">
        <v>46164</v>
      </c>
      <c r="AS104">
        <v>46168</v>
      </c>
      <c r="AT104" t="s">
        <v>1281</v>
      </c>
      <c r="AU104" t="s">
        <v>1177</v>
      </c>
      <c r="AV104" t="s">
        <v>1192</v>
      </c>
      <c r="AW104" t="s">
        <v>1177</v>
      </c>
      <c r="AX104">
        <v>33</v>
      </c>
      <c r="AY104">
        <v>2</v>
      </c>
      <c r="AZ104" t="s">
        <v>1177</v>
      </c>
      <c r="BA104">
        <v>12</v>
      </c>
      <c r="BB104" t="s">
        <v>1262</v>
      </c>
      <c r="BC104" t="s">
        <v>1692</v>
      </c>
      <c r="BD104">
        <v>1</v>
      </c>
      <c r="BE104">
        <v>46209</v>
      </c>
      <c r="BF104" t="s">
        <v>1165</v>
      </c>
      <c r="BG104" t="s">
        <v>1651</v>
      </c>
      <c r="BH104" t="s">
        <v>1194</v>
      </c>
      <c r="BI104" t="s">
        <v>1693</v>
      </c>
    </row>
    <row r="105" spans="1:61" x14ac:dyDescent="0.35">
      <c r="A105" s="7" t="str">
        <f t="shared" si="2"/>
        <v>461594300008811</v>
      </c>
      <c r="B105" s="7" t="str">
        <f t="shared" si="3"/>
        <v>50973B833</v>
      </c>
      <c r="C105" t="s">
        <v>1177</v>
      </c>
      <c r="D105" t="s">
        <v>1178</v>
      </c>
      <c r="E105" t="s">
        <v>1694</v>
      </c>
      <c r="F105" t="s">
        <v>1363</v>
      </c>
      <c r="G105" t="s">
        <v>1363</v>
      </c>
      <c r="H105" t="s">
        <v>1271</v>
      </c>
      <c r="I105">
        <v>46159</v>
      </c>
      <c r="J105" t="s">
        <v>1695</v>
      </c>
      <c r="K105" t="s">
        <v>1426</v>
      </c>
      <c r="L105" t="s">
        <v>1177</v>
      </c>
      <c r="M105" t="s">
        <v>1274</v>
      </c>
      <c r="N105" t="s">
        <v>1079</v>
      </c>
      <c r="O105" t="s">
        <v>1275</v>
      </c>
      <c r="P105">
        <v>46159</v>
      </c>
      <c r="Q105" t="s">
        <v>1177</v>
      </c>
      <c r="R105" t="s">
        <v>697</v>
      </c>
      <c r="S105" t="s">
        <v>699</v>
      </c>
      <c r="T105" t="s">
        <v>1626</v>
      </c>
      <c r="U105" t="s">
        <v>1627</v>
      </c>
      <c r="V105">
        <v>1</v>
      </c>
      <c r="W105" t="s">
        <v>1262</v>
      </c>
      <c r="X105" t="s">
        <v>1262</v>
      </c>
      <c r="Y105">
        <v>0</v>
      </c>
      <c r="Z105" t="s">
        <v>1186</v>
      </c>
      <c r="AA105" t="s">
        <v>1177</v>
      </c>
      <c r="AB105" t="s">
        <v>1276</v>
      </c>
      <c r="AC105" t="s">
        <v>1277</v>
      </c>
      <c r="AD105" t="s">
        <v>1278</v>
      </c>
      <c r="AE105" t="s">
        <v>1628</v>
      </c>
      <c r="AF105" t="s">
        <v>1178</v>
      </c>
      <c r="AG105" t="s">
        <v>1190</v>
      </c>
      <c r="AH105" t="s">
        <v>1178</v>
      </c>
      <c r="AI105" t="s">
        <v>1349</v>
      </c>
      <c r="AJ105" t="s">
        <v>1190</v>
      </c>
      <c r="AK105">
        <v>0</v>
      </c>
      <c r="AL105" t="s">
        <v>1262</v>
      </c>
      <c r="AM105">
        <v>45824</v>
      </c>
      <c r="AN105">
        <v>46196</v>
      </c>
      <c r="AO105">
        <v>46160</v>
      </c>
      <c r="AP105">
        <v>46162</v>
      </c>
      <c r="AQ105">
        <v>46162</v>
      </c>
      <c r="AR105">
        <v>46164</v>
      </c>
      <c r="AS105">
        <v>46168</v>
      </c>
      <c r="AT105" t="s">
        <v>1281</v>
      </c>
      <c r="AU105" t="s">
        <v>1177</v>
      </c>
      <c r="AV105" t="s">
        <v>1192</v>
      </c>
      <c r="AW105" t="s">
        <v>1177</v>
      </c>
      <c r="AX105">
        <v>33</v>
      </c>
      <c r="AY105">
        <v>2</v>
      </c>
      <c r="AZ105" t="s">
        <v>1177</v>
      </c>
      <c r="BA105">
        <v>0</v>
      </c>
      <c r="BB105" t="s">
        <v>1262</v>
      </c>
      <c r="BC105" t="e">
        <v>#N/A</v>
      </c>
      <c r="BD105" t="e">
        <v>#N/A</v>
      </c>
      <c r="BE105" t="e">
        <v>#N/A</v>
      </c>
      <c r="BF105" t="e">
        <v>#N/A</v>
      </c>
      <c r="BG105" t="s">
        <v>126</v>
      </c>
      <c r="BH105" t="s">
        <v>1194</v>
      </c>
      <c r="BI105" t="s">
        <v>126</v>
      </c>
    </row>
    <row r="106" spans="1:61" x14ac:dyDescent="0.35">
      <c r="A106" s="7" t="str">
        <f t="shared" si="2"/>
        <v>461594300008812</v>
      </c>
      <c r="B106" s="7" t="str">
        <f t="shared" si="3"/>
        <v>GP330271B825</v>
      </c>
      <c r="C106" t="s">
        <v>1177</v>
      </c>
      <c r="D106" t="s">
        <v>1178</v>
      </c>
      <c r="E106" t="s">
        <v>1696</v>
      </c>
      <c r="F106" t="s">
        <v>1363</v>
      </c>
      <c r="G106" t="s">
        <v>1363</v>
      </c>
      <c r="H106" t="s">
        <v>1271</v>
      </c>
      <c r="I106">
        <v>46159</v>
      </c>
      <c r="J106" t="s">
        <v>1697</v>
      </c>
      <c r="K106" t="s">
        <v>1182</v>
      </c>
      <c r="L106" t="s">
        <v>1177</v>
      </c>
      <c r="M106" t="s">
        <v>1274</v>
      </c>
      <c r="N106" t="s">
        <v>1079</v>
      </c>
      <c r="O106" t="s">
        <v>1275</v>
      </c>
      <c r="P106">
        <v>46280</v>
      </c>
      <c r="Q106" t="s">
        <v>1177</v>
      </c>
      <c r="R106" t="s">
        <v>16</v>
      </c>
      <c r="S106" t="s">
        <v>512</v>
      </c>
      <c r="T106" t="s">
        <v>1698</v>
      </c>
      <c r="U106" t="s">
        <v>1699</v>
      </c>
      <c r="V106">
        <v>104</v>
      </c>
      <c r="W106" t="s">
        <v>1262</v>
      </c>
      <c r="X106" t="s">
        <v>1262</v>
      </c>
      <c r="Y106">
        <v>0</v>
      </c>
      <c r="Z106" t="s">
        <v>1186</v>
      </c>
      <c r="AA106" t="s">
        <v>1177</v>
      </c>
      <c r="AB106" t="s">
        <v>1276</v>
      </c>
      <c r="AC106" t="s">
        <v>1277</v>
      </c>
      <c r="AD106" t="s">
        <v>1278</v>
      </c>
      <c r="AE106" t="s">
        <v>1700</v>
      </c>
      <c r="AF106" t="s">
        <v>1178</v>
      </c>
      <c r="AG106" t="s">
        <v>1190</v>
      </c>
      <c r="AH106" t="s">
        <v>1178</v>
      </c>
      <c r="AI106" t="s">
        <v>1349</v>
      </c>
      <c r="AJ106" t="s">
        <v>1675</v>
      </c>
      <c r="AK106">
        <v>21</v>
      </c>
      <c r="AL106" t="s">
        <v>1262</v>
      </c>
      <c r="AM106">
        <v>46479</v>
      </c>
      <c r="AN106">
        <v>46465</v>
      </c>
      <c r="AO106">
        <v>46475</v>
      </c>
      <c r="AP106">
        <v>46477</v>
      </c>
      <c r="AQ106">
        <v>46477</v>
      </c>
      <c r="AR106">
        <v>46479</v>
      </c>
      <c r="AS106">
        <v>46483</v>
      </c>
      <c r="AT106" t="s">
        <v>1281</v>
      </c>
      <c r="AU106" t="s">
        <v>1177</v>
      </c>
      <c r="AV106" t="s">
        <v>1192</v>
      </c>
      <c r="AW106" t="s">
        <v>1177</v>
      </c>
      <c r="AX106">
        <v>163</v>
      </c>
      <c r="AY106">
        <v>2</v>
      </c>
      <c r="AZ106" t="s">
        <v>1177</v>
      </c>
      <c r="BA106">
        <v>0</v>
      </c>
      <c r="BB106" t="s">
        <v>1262</v>
      </c>
      <c r="BC106" t="e">
        <v>#N/A</v>
      </c>
      <c r="BD106" t="e">
        <v>#N/A</v>
      </c>
      <c r="BE106" t="e">
        <v>#N/A</v>
      </c>
      <c r="BF106" t="e">
        <v>#N/A</v>
      </c>
      <c r="BG106" t="s">
        <v>1212</v>
      </c>
      <c r="BH106" t="s">
        <v>1373</v>
      </c>
      <c r="BI106" t="s">
        <v>1212</v>
      </c>
    </row>
    <row r="107" spans="1:61" x14ac:dyDescent="0.35">
      <c r="A107" s="7" t="str">
        <f t="shared" si="2"/>
        <v>461594300008839</v>
      </c>
      <c r="B107" s="7" t="str">
        <f t="shared" si="3"/>
        <v>GP328601B825</v>
      </c>
      <c r="C107" t="s">
        <v>1177</v>
      </c>
      <c r="D107" t="s">
        <v>1178</v>
      </c>
      <c r="E107" t="s">
        <v>1701</v>
      </c>
      <c r="F107" t="s">
        <v>1363</v>
      </c>
      <c r="G107" t="s">
        <v>1363</v>
      </c>
      <c r="H107" t="s">
        <v>1271</v>
      </c>
      <c r="I107">
        <v>46159</v>
      </c>
      <c r="J107" t="s">
        <v>1702</v>
      </c>
      <c r="K107" t="s">
        <v>1273</v>
      </c>
      <c r="L107" t="s">
        <v>1177</v>
      </c>
      <c r="M107" t="s">
        <v>1274</v>
      </c>
      <c r="N107" t="s">
        <v>1079</v>
      </c>
      <c r="O107" t="s">
        <v>1275</v>
      </c>
      <c r="P107">
        <v>46159</v>
      </c>
      <c r="Q107" t="s">
        <v>1177</v>
      </c>
      <c r="R107" t="s">
        <v>16</v>
      </c>
      <c r="S107" t="s">
        <v>512</v>
      </c>
      <c r="T107" t="s">
        <v>603</v>
      </c>
      <c r="U107" t="s">
        <v>604</v>
      </c>
      <c r="V107">
        <v>1</v>
      </c>
      <c r="W107" t="s">
        <v>1262</v>
      </c>
      <c r="X107" t="s">
        <v>1262</v>
      </c>
      <c r="Y107">
        <v>0</v>
      </c>
      <c r="Z107" t="s">
        <v>1186</v>
      </c>
      <c r="AA107" t="s">
        <v>1177</v>
      </c>
      <c r="AB107" t="s">
        <v>1276</v>
      </c>
      <c r="AC107" t="s">
        <v>1277</v>
      </c>
      <c r="AD107" t="s">
        <v>1278</v>
      </c>
      <c r="AE107" t="s">
        <v>1703</v>
      </c>
      <c r="AF107" t="s">
        <v>1178</v>
      </c>
      <c r="AG107" t="s">
        <v>1190</v>
      </c>
      <c r="AH107" t="s">
        <v>1178</v>
      </c>
      <c r="AI107" t="s">
        <v>1349</v>
      </c>
      <c r="AJ107" t="s">
        <v>1190</v>
      </c>
      <c r="AK107">
        <v>0</v>
      </c>
      <c r="AL107" t="s">
        <v>1262</v>
      </c>
      <c r="AM107">
        <v>45779</v>
      </c>
      <c r="AN107">
        <v>46409</v>
      </c>
      <c r="AO107">
        <v>46160</v>
      </c>
      <c r="AP107">
        <v>46162</v>
      </c>
      <c r="AQ107">
        <v>46162</v>
      </c>
      <c r="AR107">
        <v>46164</v>
      </c>
      <c r="AS107">
        <v>46168</v>
      </c>
      <c r="AT107" t="s">
        <v>1281</v>
      </c>
      <c r="AU107" t="s">
        <v>1177</v>
      </c>
      <c r="AV107" t="s">
        <v>1192</v>
      </c>
      <c r="AW107" t="s">
        <v>1177</v>
      </c>
      <c r="AX107">
        <v>33</v>
      </c>
      <c r="AY107">
        <v>2</v>
      </c>
      <c r="AZ107" t="s">
        <v>1177</v>
      </c>
      <c r="BA107">
        <v>0</v>
      </c>
      <c r="BB107" t="s">
        <v>1262</v>
      </c>
      <c r="BC107" t="e">
        <v>#N/A</v>
      </c>
      <c r="BD107" t="e">
        <v>#N/A</v>
      </c>
      <c r="BE107" t="e">
        <v>#N/A</v>
      </c>
      <c r="BF107" t="e">
        <v>#N/A</v>
      </c>
      <c r="BG107" t="s">
        <v>1651</v>
      </c>
      <c r="BH107" t="s">
        <v>1194</v>
      </c>
      <c r="BI107" t="s">
        <v>1704</v>
      </c>
    </row>
    <row r="108" spans="1:61" x14ac:dyDescent="0.35">
      <c r="A108" s="7" t="str">
        <f t="shared" si="2"/>
        <v>461594300008841</v>
      </c>
      <c r="B108" s="7" t="str">
        <f t="shared" si="3"/>
        <v>GP386042B865</v>
      </c>
      <c r="C108" t="s">
        <v>1177</v>
      </c>
      <c r="D108" t="s">
        <v>1178</v>
      </c>
      <c r="E108" t="s">
        <v>1705</v>
      </c>
      <c r="F108" t="s">
        <v>1363</v>
      </c>
      <c r="G108" t="s">
        <v>1363</v>
      </c>
      <c r="H108" t="s">
        <v>1271</v>
      </c>
      <c r="I108">
        <v>46159</v>
      </c>
      <c r="J108" t="s">
        <v>1706</v>
      </c>
      <c r="K108" t="s">
        <v>1182</v>
      </c>
      <c r="L108" t="s">
        <v>1177</v>
      </c>
      <c r="M108" t="s">
        <v>1274</v>
      </c>
      <c r="N108" t="s">
        <v>1079</v>
      </c>
      <c r="O108" t="s">
        <v>1275</v>
      </c>
      <c r="P108">
        <v>46159</v>
      </c>
      <c r="Q108" t="s">
        <v>1177</v>
      </c>
      <c r="R108" t="s">
        <v>7</v>
      </c>
      <c r="S108" t="s">
        <v>1040</v>
      </c>
      <c r="T108" t="s">
        <v>987</v>
      </c>
      <c r="U108" t="s">
        <v>988</v>
      </c>
      <c r="V108">
        <v>1</v>
      </c>
      <c r="W108" t="s">
        <v>1262</v>
      </c>
      <c r="X108" t="s">
        <v>1262</v>
      </c>
      <c r="Y108">
        <v>0</v>
      </c>
      <c r="Z108" t="s">
        <v>1186</v>
      </c>
      <c r="AA108" t="s">
        <v>1177</v>
      </c>
      <c r="AB108" t="s">
        <v>1276</v>
      </c>
      <c r="AC108" t="s">
        <v>1277</v>
      </c>
      <c r="AD108" t="s">
        <v>1278</v>
      </c>
      <c r="AE108" t="s">
        <v>1565</v>
      </c>
      <c r="AF108" t="s">
        <v>1178</v>
      </c>
      <c r="AG108" t="s">
        <v>1190</v>
      </c>
      <c r="AH108" t="s">
        <v>1178</v>
      </c>
      <c r="AI108" t="s">
        <v>1349</v>
      </c>
      <c r="AJ108" t="s">
        <v>1190</v>
      </c>
      <c r="AK108">
        <v>0</v>
      </c>
      <c r="AL108" t="s">
        <v>1262</v>
      </c>
      <c r="AM108">
        <v>45803</v>
      </c>
      <c r="AN108">
        <v>46160</v>
      </c>
      <c r="AO108">
        <v>46160</v>
      </c>
      <c r="AP108">
        <v>46162</v>
      </c>
      <c r="AQ108">
        <v>46162</v>
      </c>
      <c r="AR108">
        <v>46164</v>
      </c>
      <c r="AS108">
        <v>46168</v>
      </c>
      <c r="AT108" t="s">
        <v>1281</v>
      </c>
      <c r="AU108" t="s">
        <v>1177</v>
      </c>
      <c r="AV108" t="s">
        <v>1192</v>
      </c>
      <c r="AW108" t="s">
        <v>1177</v>
      </c>
      <c r="AX108">
        <v>33</v>
      </c>
      <c r="AY108">
        <v>2</v>
      </c>
      <c r="AZ108" t="s">
        <v>1177</v>
      </c>
      <c r="BA108">
        <v>0</v>
      </c>
      <c r="BB108" t="s">
        <v>1262</v>
      </c>
      <c r="BC108" t="s">
        <v>1683</v>
      </c>
      <c r="BD108">
        <v>2</v>
      </c>
      <c r="BE108">
        <v>46188</v>
      </c>
      <c r="BF108" t="s">
        <v>1165</v>
      </c>
      <c r="BG108" t="s">
        <v>126</v>
      </c>
      <c r="BH108" t="s">
        <v>1194</v>
      </c>
      <c r="BI108" t="s">
        <v>126</v>
      </c>
    </row>
    <row r="109" spans="1:61" x14ac:dyDescent="0.35">
      <c r="A109" s="7" t="str">
        <f t="shared" si="2"/>
        <v>461594300008842</v>
      </c>
      <c r="B109" s="7" t="str">
        <f t="shared" si="3"/>
        <v>GP460970B865</v>
      </c>
      <c r="C109" t="s">
        <v>1177</v>
      </c>
      <c r="D109" t="s">
        <v>1178</v>
      </c>
      <c r="E109" t="s">
        <v>1709</v>
      </c>
      <c r="F109" t="s">
        <v>1363</v>
      </c>
      <c r="G109" t="s">
        <v>1363</v>
      </c>
      <c r="H109" t="s">
        <v>1271</v>
      </c>
      <c r="I109">
        <v>46159</v>
      </c>
      <c r="J109" t="s">
        <v>1710</v>
      </c>
      <c r="K109" t="s">
        <v>1488</v>
      </c>
      <c r="L109" t="s">
        <v>1177</v>
      </c>
      <c r="M109" t="s">
        <v>1274</v>
      </c>
      <c r="N109" t="s">
        <v>1079</v>
      </c>
      <c r="O109" t="s">
        <v>1275</v>
      </c>
      <c r="P109">
        <v>46159</v>
      </c>
      <c r="Q109" t="s">
        <v>1177</v>
      </c>
      <c r="R109" t="s">
        <v>7</v>
      </c>
      <c r="S109" t="s">
        <v>1040</v>
      </c>
      <c r="T109" t="s">
        <v>836</v>
      </c>
      <c r="U109" t="s">
        <v>837</v>
      </c>
      <c r="V109">
        <v>2</v>
      </c>
      <c r="W109" t="s">
        <v>1262</v>
      </c>
      <c r="X109" t="s">
        <v>1262</v>
      </c>
      <c r="Y109">
        <v>0</v>
      </c>
      <c r="Z109" t="s">
        <v>1186</v>
      </c>
      <c r="AA109" t="s">
        <v>1177</v>
      </c>
      <c r="AB109" t="s">
        <v>1286</v>
      </c>
      <c r="AC109" t="s">
        <v>1277</v>
      </c>
      <c r="AD109" t="s">
        <v>1278</v>
      </c>
      <c r="AE109" t="s">
        <v>1657</v>
      </c>
      <c r="AF109" t="s">
        <v>1178</v>
      </c>
      <c r="AG109" t="s">
        <v>1178</v>
      </c>
      <c r="AH109" t="s">
        <v>1178</v>
      </c>
      <c r="AI109" t="s">
        <v>1349</v>
      </c>
      <c r="AJ109" t="s">
        <v>1190</v>
      </c>
      <c r="AK109">
        <v>0</v>
      </c>
      <c r="AL109" t="s">
        <v>1262</v>
      </c>
      <c r="AM109">
        <v>45771</v>
      </c>
      <c r="AN109">
        <v>46252</v>
      </c>
      <c r="AO109">
        <v>46160</v>
      </c>
      <c r="AP109">
        <v>46162</v>
      </c>
      <c r="AQ109">
        <v>46162</v>
      </c>
      <c r="AR109">
        <v>46164</v>
      </c>
      <c r="AS109">
        <v>46168</v>
      </c>
      <c r="AT109" t="s">
        <v>1281</v>
      </c>
      <c r="AU109" t="s">
        <v>1177</v>
      </c>
      <c r="AV109" t="s">
        <v>1192</v>
      </c>
      <c r="AW109" t="s">
        <v>1177</v>
      </c>
      <c r="AX109">
        <v>33</v>
      </c>
      <c r="AY109">
        <v>2</v>
      </c>
      <c r="AZ109" t="s">
        <v>1177</v>
      </c>
      <c r="BA109">
        <v>0</v>
      </c>
      <c r="BB109" t="s">
        <v>1262</v>
      </c>
      <c r="BC109" t="e">
        <v>#N/A</v>
      </c>
      <c r="BD109" t="e">
        <v>#N/A</v>
      </c>
      <c r="BE109" t="e">
        <v>#N/A</v>
      </c>
      <c r="BF109" t="e">
        <v>#N/A</v>
      </c>
      <c r="BG109" t="s">
        <v>126</v>
      </c>
      <c r="BH109" t="s">
        <v>1194</v>
      </c>
      <c r="BI109" t="s">
        <v>126</v>
      </c>
    </row>
    <row r="110" spans="1:61" x14ac:dyDescent="0.35">
      <c r="A110" s="7" t="str">
        <f t="shared" si="2"/>
        <v>461594300008845</v>
      </c>
      <c r="B110" s="7" t="str">
        <f t="shared" si="3"/>
        <v>GP004262B867</v>
      </c>
      <c r="C110" t="s">
        <v>1177</v>
      </c>
      <c r="D110" t="s">
        <v>1178</v>
      </c>
      <c r="E110" t="s">
        <v>1711</v>
      </c>
      <c r="F110" t="s">
        <v>1363</v>
      </c>
      <c r="G110" t="s">
        <v>1363</v>
      </c>
      <c r="H110" t="s">
        <v>1271</v>
      </c>
      <c r="I110">
        <v>46159</v>
      </c>
      <c r="J110" t="s">
        <v>1712</v>
      </c>
      <c r="K110" t="s">
        <v>1713</v>
      </c>
      <c r="L110" t="s">
        <v>1177</v>
      </c>
      <c r="M110" t="s">
        <v>1274</v>
      </c>
      <c r="N110" t="s">
        <v>1079</v>
      </c>
      <c r="O110" t="s">
        <v>1275</v>
      </c>
      <c r="P110">
        <v>46159</v>
      </c>
      <c r="Q110" t="s">
        <v>1177</v>
      </c>
      <c r="R110" t="s">
        <v>25</v>
      </c>
      <c r="S110" t="s">
        <v>1060</v>
      </c>
      <c r="T110" t="s">
        <v>308</v>
      </c>
      <c r="U110" t="s">
        <v>1676</v>
      </c>
      <c r="V110">
        <v>2</v>
      </c>
      <c r="W110" t="s">
        <v>1262</v>
      </c>
      <c r="X110" t="s">
        <v>1262</v>
      </c>
      <c r="Y110">
        <v>0</v>
      </c>
      <c r="Z110" t="s">
        <v>1186</v>
      </c>
      <c r="AA110" t="s">
        <v>1177</v>
      </c>
      <c r="AB110" t="s">
        <v>1276</v>
      </c>
      <c r="AC110" t="s">
        <v>1277</v>
      </c>
      <c r="AD110" t="s">
        <v>1278</v>
      </c>
      <c r="AE110" t="s">
        <v>1677</v>
      </c>
      <c r="AF110" t="s">
        <v>1178</v>
      </c>
      <c r="AG110" t="s">
        <v>1190</v>
      </c>
      <c r="AH110" t="s">
        <v>1178</v>
      </c>
      <c r="AI110" t="s">
        <v>1280</v>
      </c>
      <c r="AJ110" t="s">
        <v>1190</v>
      </c>
      <c r="AK110">
        <v>0</v>
      </c>
      <c r="AL110" t="s">
        <v>1262</v>
      </c>
      <c r="AM110">
        <v>45810</v>
      </c>
      <c r="AN110">
        <v>46182</v>
      </c>
      <c r="AO110">
        <v>46163</v>
      </c>
      <c r="AP110">
        <v>46167</v>
      </c>
      <c r="AQ110">
        <v>46167</v>
      </c>
      <c r="AR110">
        <v>46169</v>
      </c>
      <c r="AS110">
        <v>46171</v>
      </c>
      <c r="AT110" t="s">
        <v>1281</v>
      </c>
      <c r="AU110" t="s">
        <v>1177</v>
      </c>
      <c r="AV110" t="s">
        <v>1192</v>
      </c>
      <c r="AW110" t="s">
        <v>1177</v>
      </c>
      <c r="AX110">
        <v>55</v>
      </c>
      <c r="AY110">
        <v>2</v>
      </c>
      <c r="AZ110" t="s">
        <v>1177</v>
      </c>
      <c r="BA110">
        <v>0</v>
      </c>
      <c r="BB110" t="s">
        <v>1262</v>
      </c>
      <c r="BC110" t="e">
        <v>#N/A</v>
      </c>
      <c r="BD110" t="e">
        <v>#N/A</v>
      </c>
      <c r="BE110" t="e">
        <v>#N/A</v>
      </c>
      <c r="BF110" t="e">
        <v>#N/A</v>
      </c>
      <c r="BG110" t="s">
        <v>126</v>
      </c>
      <c r="BH110" t="s">
        <v>1194</v>
      </c>
      <c r="BI110" t="s">
        <v>126</v>
      </c>
    </row>
    <row r="111" spans="1:61" x14ac:dyDescent="0.35">
      <c r="A111" s="7" t="str">
        <f t="shared" si="2"/>
        <v>461594300008848</v>
      </c>
      <c r="B111" s="7" t="str">
        <f t="shared" si="3"/>
        <v>GP018876B864</v>
      </c>
      <c r="C111" t="s">
        <v>1177</v>
      </c>
      <c r="D111" t="s">
        <v>1178</v>
      </c>
      <c r="E111" t="s">
        <v>1716</v>
      </c>
      <c r="F111" t="s">
        <v>1363</v>
      </c>
      <c r="G111" t="s">
        <v>1363</v>
      </c>
      <c r="H111" t="s">
        <v>1271</v>
      </c>
      <c r="I111">
        <v>46159</v>
      </c>
      <c r="J111" t="s">
        <v>1717</v>
      </c>
      <c r="K111" t="s">
        <v>1429</v>
      </c>
      <c r="L111" t="s">
        <v>1177</v>
      </c>
      <c r="M111" t="s">
        <v>1274</v>
      </c>
      <c r="N111" t="s">
        <v>1079</v>
      </c>
      <c r="O111" t="s">
        <v>1275</v>
      </c>
      <c r="P111">
        <v>46159</v>
      </c>
      <c r="Q111" t="s">
        <v>1177</v>
      </c>
      <c r="R111" t="s">
        <v>10</v>
      </c>
      <c r="S111" t="s">
        <v>1011</v>
      </c>
      <c r="T111" t="s">
        <v>233</v>
      </c>
      <c r="U111" t="s">
        <v>1622</v>
      </c>
      <c r="V111">
        <v>1</v>
      </c>
      <c r="W111" t="s">
        <v>1262</v>
      </c>
      <c r="X111" t="s">
        <v>1262</v>
      </c>
      <c r="Y111">
        <v>0</v>
      </c>
      <c r="Z111" t="s">
        <v>1186</v>
      </c>
      <c r="AA111" t="s">
        <v>1177</v>
      </c>
      <c r="AB111" t="s">
        <v>1276</v>
      </c>
      <c r="AC111" t="s">
        <v>1277</v>
      </c>
      <c r="AD111" t="s">
        <v>1278</v>
      </c>
      <c r="AE111" t="s">
        <v>1623</v>
      </c>
      <c r="AF111" t="s">
        <v>1178</v>
      </c>
      <c r="AG111" t="s">
        <v>1190</v>
      </c>
      <c r="AH111" t="s">
        <v>1178</v>
      </c>
      <c r="AI111" t="s">
        <v>1280</v>
      </c>
      <c r="AJ111" t="s">
        <v>1190</v>
      </c>
      <c r="AK111">
        <v>0</v>
      </c>
      <c r="AL111" t="s">
        <v>1262</v>
      </c>
      <c r="AM111">
        <v>45896</v>
      </c>
      <c r="AN111">
        <v>46163</v>
      </c>
      <c r="AO111">
        <v>46163</v>
      </c>
      <c r="AP111">
        <v>46167</v>
      </c>
      <c r="AQ111">
        <v>46167</v>
      </c>
      <c r="AR111">
        <v>46169</v>
      </c>
      <c r="AS111">
        <v>46171</v>
      </c>
      <c r="AT111" t="s">
        <v>1281</v>
      </c>
      <c r="AU111" t="s">
        <v>1177</v>
      </c>
      <c r="AV111" t="s">
        <v>1192</v>
      </c>
      <c r="AW111" t="s">
        <v>1177</v>
      </c>
      <c r="AX111">
        <v>62</v>
      </c>
      <c r="AY111">
        <v>2</v>
      </c>
      <c r="AZ111" t="s">
        <v>1177</v>
      </c>
      <c r="BA111">
        <v>1</v>
      </c>
      <c r="BB111" t="s">
        <v>1262</v>
      </c>
      <c r="BC111" t="s">
        <v>1718</v>
      </c>
      <c r="BD111">
        <v>1</v>
      </c>
      <c r="BE111">
        <v>46191</v>
      </c>
      <c r="BF111" t="s">
        <v>1165</v>
      </c>
      <c r="BG111" t="s">
        <v>126</v>
      </c>
      <c r="BH111" t="s">
        <v>1194</v>
      </c>
      <c r="BI111" t="s">
        <v>126</v>
      </c>
    </row>
    <row r="112" spans="1:61" x14ac:dyDescent="0.35">
      <c r="A112" s="7" t="str">
        <f t="shared" si="2"/>
        <v>461594300008852</v>
      </c>
      <c r="B112" s="7" t="str">
        <f t="shared" si="3"/>
        <v>GP460970B856</v>
      </c>
      <c r="C112" t="s">
        <v>1177</v>
      </c>
      <c r="D112" t="s">
        <v>1178</v>
      </c>
      <c r="E112" t="s">
        <v>1720</v>
      </c>
      <c r="F112" t="s">
        <v>1363</v>
      </c>
      <c r="G112" t="s">
        <v>1363</v>
      </c>
      <c r="H112" t="s">
        <v>1271</v>
      </c>
      <c r="I112">
        <v>46159</v>
      </c>
      <c r="J112" t="s">
        <v>1721</v>
      </c>
      <c r="K112" t="s">
        <v>1426</v>
      </c>
      <c r="L112" t="s">
        <v>1177</v>
      </c>
      <c r="M112" t="s">
        <v>1274</v>
      </c>
      <c r="N112" t="s">
        <v>1079</v>
      </c>
      <c r="O112" t="s">
        <v>1275</v>
      </c>
      <c r="P112">
        <v>46159</v>
      </c>
      <c r="Q112" t="s">
        <v>1177</v>
      </c>
      <c r="R112" t="s">
        <v>21</v>
      </c>
      <c r="S112" t="s">
        <v>853</v>
      </c>
      <c r="T112" t="s">
        <v>836</v>
      </c>
      <c r="U112" t="s">
        <v>837</v>
      </c>
      <c r="V112">
        <v>2</v>
      </c>
      <c r="W112" t="s">
        <v>1262</v>
      </c>
      <c r="X112" t="s">
        <v>1262</v>
      </c>
      <c r="Y112">
        <v>0</v>
      </c>
      <c r="Z112" t="s">
        <v>1186</v>
      </c>
      <c r="AA112" t="s">
        <v>1177</v>
      </c>
      <c r="AB112" t="s">
        <v>1286</v>
      </c>
      <c r="AC112" t="s">
        <v>1277</v>
      </c>
      <c r="AD112" t="s">
        <v>1278</v>
      </c>
      <c r="AE112" t="s">
        <v>1657</v>
      </c>
      <c r="AF112" t="s">
        <v>1178</v>
      </c>
      <c r="AG112" t="s">
        <v>1178</v>
      </c>
      <c r="AH112" t="s">
        <v>1178</v>
      </c>
      <c r="AI112" t="s">
        <v>1280</v>
      </c>
      <c r="AJ112" t="s">
        <v>1190</v>
      </c>
      <c r="AK112">
        <v>0</v>
      </c>
      <c r="AL112" t="s">
        <v>1262</v>
      </c>
      <c r="AM112">
        <v>45779</v>
      </c>
      <c r="AN112">
        <v>46252</v>
      </c>
      <c r="AO112">
        <v>46163</v>
      </c>
      <c r="AP112">
        <v>46167</v>
      </c>
      <c r="AQ112">
        <v>46167</v>
      </c>
      <c r="AR112">
        <v>46169</v>
      </c>
      <c r="AS112">
        <v>46171</v>
      </c>
      <c r="AT112" t="s">
        <v>1281</v>
      </c>
      <c r="AU112" t="s">
        <v>1177</v>
      </c>
      <c r="AV112" t="s">
        <v>1192</v>
      </c>
      <c r="AW112" t="s">
        <v>1177</v>
      </c>
      <c r="AX112">
        <v>33</v>
      </c>
      <c r="AY112">
        <v>2</v>
      </c>
      <c r="AZ112" t="s">
        <v>1177</v>
      </c>
      <c r="BA112">
        <v>0</v>
      </c>
      <c r="BB112" t="s">
        <v>1262</v>
      </c>
      <c r="BC112" t="e">
        <v>#N/A</v>
      </c>
      <c r="BD112" t="e">
        <v>#N/A</v>
      </c>
      <c r="BE112" t="e">
        <v>#N/A</v>
      </c>
      <c r="BF112" t="e">
        <v>#N/A</v>
      </c>
      <c r="BG112" t="s">
        <v>126</v>
      </c>
      <c r="BH112" t="s">
        <v>1194</v>
      </c>
      <c r="BI112" t="s">
        <v>126</v>
      </c>
    </row>
    <row r="113" spans="1:61" x14ac:dyDescent="0.35">
      <c r="A113" s="7" t="str">
        <f t="shared" si="2"/>
        <v>461594300008855</v>
      </c>
      <c r="B113" s="7" t="str">
        <f t="shared" si="3"/>
        <v>GP311012B838</v>
      </c>
      <c r="C113" t="s">
        <v>1177</v>
      </c>
      <c r="D113" t="s">
        <v>1178</v>
      </c>
      <c r="E113" t="s">
        <v>1722</v>
      </c>
      <c r="F113" t="s">
        <v>1363</v>
      </c>
      <c r="G113" t="s">
        <v>1363</v>
      </c>
      <c r="H113" t="s">
        <v>1271</v>
      </c>
      <c r="I113">
        <v>46159</v>
      </c>
      <c r="J113" t="s">
        <v>1723</v>
      </c>
      <c r="K113" t="s">
        <v>1295</v>
      </c>
      <c r="L113" t="s">
        <v>1177</v>
      </c>
      <c r="M113" t="s">
        <v>1274</v>
      </c>
      <c r="N113" t="s">
        <v>1079</v>
      </c>
      <c r="O113" t="s">
        <v>1275</v>
      </c>
      <c r="P113">
        <v>46159</v>
      </c>
      <c r="Q113" t="s">
        <v>1177</v>
      </c>
      <c r="R113" t="s">
        <v>48</v>
      </c>
      <c r="S113" t="s">
        <v>745</v>
      </c>
      <c r="T113" t="s">
        <v>761</v>
      </c>
      <c r="U113" t="s">
        <v>762</v>
      </c>
      <c r="V113">
        <v>1</v>
      </c>
      <c r="W113" t="s">
        <v>1262</v>
      </c>
      <c r="X113" t="s">
        <v>1262</v>
      </c>
      <c r="Y113">
        <v>0</v>
      </c>
      <c r="Z113" t="s">
        <v>1186</v>
      </c>
      <c r="AA113" t="s">
        <v>1177</v>
      </c>
      <c r="AB113" t="s">
        <v>1276</v>
      </c>
      <c r="AC113" t="s">
        <v>1277</v>
      </c>
      <c r="AD113" t="s">
        <v>1278</v>
      </c>
      <c r="AE113" t="s">
        <v>1724</v>
      </c>
      <c r="AF113" t="s">
        <v>1178</v>
      </c>
      <c r="AG113" t="s">
        <v>1190</v>
      </c>
      <c r="AH113" t="s">
        <v>1178</v>
      </c>
      <c r="AI113" t="s">
        <v>1280</v>
      </c>
      <c r="AJ113" t="s">
        <v>1190</v>
      </c>
      <c r="AK113">
        <v>0</v>
      </c>
      <c r="AL113" t="s">
        <v>1262</v>
      </c>
      <c r="AM113">
        <v>45904</v>
      </c>
      <c r="AN113">
        <v>46240</v>
      </c>
      <c r="AO113">
        <v>46163</v>
      </c>
      <c r="AP113">
        <v>46167</v>
      </c>
      <c r="AQ113">
        <v>46167</v>
      </c>
      <c r="AR113">
        <v>46169</v>
      </c>
      <c r="AS113">
        <v>46171</v>
      </c>
      <c r="AT113" t="s">
        <v>1281</v>
      </c>
      <c r="AU113" t="s">
        <v>1177</v>
      </c>
      <c r="AV113" t="s">
        <v>1192</v>
      </c>
      <c r="AW113" t="s">
        <v>1177</v>
      </c>
      <c r="AX113">
        <v>33</v>
      </c>
      <c r="AY113">
        <v>2</v>
      </c>
      <c r="AZ113" t="s">
        <v>1177</v>
      </c>
      <c r="BA113">
        <v>0</v>
      </c>
      <c r="BB113" t="s">
        <v>1262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</row>
    <row r="114" spans="1:61" x14ac:dyDescent="0.35">
      <c r="A114" s="7" t="str">
        <f t="shared" si="2"/>
        <v>461594300008858</v>
      </c>
      <c r="B114" s="7" t="str">
        <f t="shared" si="3"/>
        <v>NOR00058B838</v>
      </c>
      <c r="C114" t="s">
        <v>1177</v>
      </c>
      <c r="D114" t="s">
        <v>1178</v>
      </c>
      <c r="E114" t="s">
        <v>1728</v>
      </c>
      <c r="F114" t="s">
        <v>1363</v>
      </c>
      <c r="G114" t="s">
        <v>1363</v>
      </c>
      <c r="H114" t="s">
        <v>1271</v>
      </c>
      <c r="I114">
        <v>46159</v>
      </c>
      <c r="J114" t="s">
        <v>1729</v>
      </c>
      <c r="K114" t="s">
        <v>1401</v>
      </c>
      <c r="L114" t="s">
        <v>1177</v>
      </c>
      <c r="M114" t="s">
        <v>1274</v>
      </c>
      <c r="N114" t="s">
        <v>1079</v>
      </c>
      <c r="O114" t="s">
        <v>1275</v>
      </c>
      <c r="P114">
        <v>46159</v>
      </c>
      <c r="Q114" t="s">
        <v>1177</v>
      </c>
      <c r="R114" t="s">
        <v>48</v>
      </c>
      <c r="S114" t="s">
        <v>745</v>
      </c>
      <c r="T114" t="s">
        <v>738</v>
      </c>
      <c r="U114" t="s">
        <v>739</v>
      </c>
      <c r="V114">
        <v>2</v>
      </c>
      <c r="W114" t="s">
        <v>1185</v>
      </c>
      <c r="X114" t="s">
        <v>1185</v>
      </c>
      <c r="Y114">
        <v>0</v>
      </c>
      <c r="Z114" t="s">
        <v>1186</v>
      </c>
      <c r="AA114" t="s">
        <v>1177</v>
      </c>
      <c r="AB114" t="s">
        <v>1177</v>
      </c>
      <c r="AC114" t="s">
        <v>1177</v>
      </c>
      <c r="AD114" t="s">
        <v>1313</v>
      </c>
      <c r="AE114" t="s">
        <v>1730</v>
      </c>
      <c r="AF114" t="s">
        <v>1189</v>
      </c>
      <c r="AG114" t="s">
        <v>1190</v>
      </c>
      <c r="AH114" t="s">
        <v>1178</v>
      </c>
      <c r="AI114" t="s">
        <v>1280</v>
      </c>
      <c r="AJ114" t="s">
        <v>1190</v>
      </c>
      <c r="AK114">
        <v>0</v>
      </c>
      <c r="AL114" t="s">
        <v>1185</v>
      </c>
      <c r="AM114">
        <v>45779</v>
      </c>
      <c r="AN114">
        <v>46259</v>
      </c>
      <c r="AO114">
        <v>46163</v>
      </c>
      <c r="AP114">
        <v>46167</v>
      </c>
      <c r="AQ114">
        <v>46167</v>
      </c>
      <c r="AR114">
        <v>46169</v>
      </c>
      <c r="AS114">
        <v>46171</v>
      </c>
      <c r="AT114" t="s">
        <v>1281</v>
      </c>
      <c r="AU114" t="s">
        <v>1177</v>
      </c>
      <c r="AV114" t="s">
        <v>1192</v>
      </c>
      <c r="AW114" t="s">
        <v>1177</v>
      </c>
      <c r="AX114">
        <v>33</v>
      </c>
      <c r="AY114">
        <v>2</v>
      </c>
      <c r="AZ114" t="s">
        <v>1177</v>
      </c>
      <c r="BA114">
        <v>0</v>
      </c>
      <c r="BB114" t="s">
        <v>1185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e">
        <v>#N/A</v>
      </c>
      <c r="BI114" t="e">
        <v>#N/A</v>
      </c>
    </row>
    <row r="115" spans="1:61" x14ac:dyDescent="0.35">
      <c r="A115" s="7" t="str">
        <f t="shared" si="2"/>
        <v>461594300008865</v>
      </c>
      <c r="B115" s="7" t="str">
        <f t="shared" si="3"/>
        <v>GP119052B832</v>
      </c>
      <c r="C115" t="s">
        <v>1177</v>
      </c>
      <c r="D115" t="s">
        <v>1178</v>
      </c>
      <c r="E115" t="s">
        <v>1731</v>
      </c>
      <c r="F115" t="s">
        <v>1363</v>
      </c>
      <c r="G115" t="s">
        <v>1363</v>
      </c>
      <c r="H115" t="s">
        <v>1271</v>
      </c>
      <c r="I115">
        <v>46159</v>
      </c>
      <c r="J115" t="s">
        <v>1732</v>
      </c>
      <c r="K115" t="s">
        <v>1198</v>
      </c>
      <c r="L115" t="s">
        <v>1177</v>
      </c>
      <c r="M115" t="s">
        <v>1274</v>
      </c>
      <c r="N115" t="s">
        <v>1079</v>
      </c>
      <c r="O115" t="s">
        <v>1275</v>
      </c>
      <c r="P115">
        <v>46281</v>
      </c>
      <c r="Q115" t="s">
        <v>1177</v>
      </c>
      <c r="R115" t="s">
        <v>19</v>
      </c>
      <c r="S115" t="s">
        <v>654</v>
      </c>
      <c r="T115" t="s">
        <v>175</v>
      </c>
      <c r="U115" t="s">
        <v>1733</v>
      </c>
      <c r="V115">
        <v>2</v>
      </c>
      <c r="W115" t="s">
        <v>1262</v>
      </c>
      <c r="X115" t="s">
        <v>1262</v>
      </c>
      <c r="Y115">
        <v>0</v>
      </c>
      <c r="Z115" t="s">
        <v>1186</v>
      </c>
      <c r="AA115" t="s">
        <v>1177</v>
      </c>
      <c r="AB115" t="s">
        <v>1286</v>
      </c>
      <c r="AC115" t="s">
        <v>1277</v>
      </c>
      <c r="AD115" t="s">
        <v>1278</v>
      </c>
      <c r="AE115" t="s">
        <v>1734</v>
      </c>
      <c r="AF115" t="s">
        <v>1178</v>
      </c>
      <c r="AG115" t="s">
        <v>1178</v>
      </c>
      <c r="AH115" t="s">
        <v>1178</v>
      </c>
      <c r="AI115" t="s">
        <v>1349</v>
      </c>
      <c r="AJ115" t="s">
        <v>1189</v>
      </c>
      <c r="AK115">
        <v>1</v>
      </c>
      <c r="AL115" t="s">
        <v>1262</v>
      </c>
      <c r="AM115">
        <v>46164</v>
      </c>
      <c r="AN115">
        <v>46160</v>
      </c>
      <c r="AO115">
        <v>46160</v>
      </c>
      <c r="AP115">
        <v>46162</v>
      </c>
      <c r="AQ115">
        <v>46162</v>
      </c>
      <c r="AR115">
        <v>46164</v>
      </c>
      <c r="AS115">
        <v>46168</v>
      </c>
      <c r="AT115" t="s">
        <v>1281</v>
      </c>
      <c r="AU115" t="s">
        <v>1177</v>
      </c>
      <c r="AV115" t="s">
        <v>1192</v>
      </c>
      <c r="AW115" t="s">
        <v>1177</v>
      </c>
      <c r="AX115">
        <v>33</v>
      </c>
      <c r="AY115">
        <v>2</v>
      </c>
      <c r="AZ115" t="s">
        <v>1177</v>
      </c>
      <c r="BA115">
        <v>1</v>
      </c>
      <c r="BB115" t="s">
        <v>1262</v>
      </c>
      <c r="BC115" t="s">
        <v>1520</v>
      </c>
      <c r="BD115">
        <v>1</v>
      </c>
      <c r="BE115">
        <v>46230</v>
      </c>
      <c r="BF115" t="s">
        <v>1165</v>
      </c>
      <c r="BG115" t="s">
        <v>126</v>
      </c>
      <c r="BH115" t="s">
        <v>1194</v>
      </c>
      <c r="BI115" t="s">
        <v>126</v>
      </c>
    </row>
    <row r="116" spans="1:61" x14ac:dyDescent="0.35">
      <c r="A116" s="7" t="str">
        <f t="shared" si="2"/>
        <v>461594300008866</v>
      </c>
      <c r="B116" s="7" t="str">
        <f t="shared" si="3"/>
        <v>GP023877B832</v>
      </c>
      <c r="C116" t="s">
        <v>1177</v>
      </c>
      <c r="D116" t="s">
        <v>1178</v>
      </c>
      <c r="E116" t="s">
        <v>1735</v>
      </c>
      <c r="F116" t="s">
        <v>1363</v>
      </c>
      <c r="G116" t="s">
        <v>1363</v>
      </c>
      <c r="H116" t="s">
        <v>1271</v>
      </c>
      <c r="I116">
        <v>46159</v>
      </c>
      <c r="J116" t="s">
        <v>1736</v>
      </c>
      <c r="K116" t="s">
        <v>1283</v>
      </c>
      <c r="L116" t="s">
        <v>1177</v>
      </c>
      <c r="M116" t="s">
        <v>1274</v>
      </c>
      <c r="N116" t="s">
        <v>1079</v>
      </c>
      <c r="O116" t="s">
        <v>1275</v>
      </c>
      <c r="P116">
        <v>46159</v>
      </c>
      <c r="Q116" t="s">
        <v>1177</v>
      </c>
      <c r="R116" t="s">
        <v>19</v>
      </c>
      <c r="S116" t="s">
        <v>654</v>
      </c>
      <c r="T116" t="s">
        <v>733</v>
      </c>
      <c r="U116" t="s">
        <v>1737</v>
      </c>
      <c r="V116">
        <v>1</v>
      </c>
      <c r="W116" t="s">
        <v>1262</v>
      </c>
      <c r="X116" t="s">
        <v>1262</v>
      </c>
      <c r="Y116">
        <v>0</v>
      </c>
      <c r="Z116" t="s">
        <v>1186</v>
      </c>
      <c r="AA116" t="s">
        <v>1177</v>
      </c>
      <c r="AB116" t="s">
        <v>1276</v>
      </c>
      <c r="AC116" t="s">
        <v>1277</v>
      </c>
      <c r="AD116" t="s">
        <v>1278</v>
      </c>
      <c r="AE116" t="s">
        <v>1724</v>
      </c>
      <c r="AF116" t="s">
        <v>1178</v>
      </c>
      <c r="AG116" t="s">
        <v>1190</v>
      </c>
      <c r="AH116" t="s">
        <v>1178</v>
      </c>
      <c r="AI116" t="s">
        <v>1349</v>
      </c>
      <c r="AJ116" t="s">
        <v>1190</v>
      </c>
      <c r="AK116">
        <v>0</v>
      </c>
      <c r="AL116" t="s">
        <v>1262</v>
      </c>
      <c r="AM116">
        <v>45961</v>
      </c>
      <c r="AN116">
        <v>46283</v>
      </c>
      <c r="AO116">
        <v>46160</v>
      </c>
      <c r="AP116">
        <v>46162</v>
      </c>
      <c r="AQ116">
        <v>46162</v>
      </c>
      <c r="AR116">
        <v>46164</v>
      </c>
      <c r="AS116">
        <v>46168</v>
      </c>
      <c r="AT116" t="s">
        <v>1281</v>
      </c>
      <c r="AU116" t="s">
        <v>1177</v>
      </c>
      <c r="AV116" t="s">
        <v>1192</v>
      </c>
      <c r="AW116" t="s">
        <v>1177</v>
      </c>
      <c r="AX116">
        <v>153</v>
      </c>
      <c r="AY116">
        <v>2</v>
      </c>
      <c r="AZ116" t="s">
        <v>1177</v>
      </c>
      <c r="BA116">
        <v>0</v>
      </c>
      <c r="BB116" t="s">
        <v>1262</v>
      </c>
      <c r="BC116" t="e">
        <v>#N/A</v>
      </c>
      <c r="BD116" t="e">
        <v>#N/A</v>
      </c>
      <c r="BE116" t="e">
        <v>#N/A</v>
      </c>
      <c r="BF116" t="e">
        <v>#N/A</v>
      </c>
      <c r="BG116" t="s">
        <v>126</v>
      </c>
      <c r="BH116" t="s">
        <v>1194</v>
      </c>
      <c r="BI116" t="s">
        <v>126</v>
      </c>
    </row>
    <row r="117" spans="1:61" x14ac:dyDescent="0.35">
      <c r="A117" s="7" t="str">
        <f t="shared" si="2"/>
        <v>461594300008900</v>
      </c>
      <c r="B117" s="7" t="str">
        <f t="shared" si="3"/>
        <v>GP660565B864</v>
      </c>
      <c r="C117" t="s">
        <v>1177</v>
      </c>
      <c r="D117" t="s">
        <v>1178</v>
      </c>
      <c r="E117" t="s">
        <v>1740</v>
      </c>
      <c r="F117" t="s">
        <v>1363</v>
      </c>
      <c r="G117" t="s">
        <v>1363</v>
      </c>
      <c r="H117" t="s">
        <v>1271</v>
      </c>
      <c r="I117">
        <v>46159</v>
      </c>
      <c r="J117" t="s">
        <v>1741</v>
      </c>
      <c r="K117" t="s">
        <v>1199</v>
      </c>
      <c r="L117" t="s">
        <v>1177</v>
      </c>
      <c r="M117" t="s">
        <v>1274</v>
      </c>
      <c r="N117" t="s">
        <v>1079</v>
      </c>
      <c r="O117" t="s">
        <v>1275</v>
      </c>
      <c r="P117">
        <v>46159</v>
      </c>
      <c r="Q117" t="s">
        <v>1177</v>
      </c>
      <c r="R117" t="s">
        <v>10</v>
      </c>
      <c r="S117" t="s">
        <v>1011</v>
      </c>
      <c r="T117" t="s">
        <v>1119</v>
      </c>
      <c r="U117" t="s">
        <v>1120</v>
      </c>
      <c r="V117">
        <v>3</v>
      </c>
      <c r="W117" t="s">
        <v>1262</v>
      </c>
      <c r="X117" t="s">
        <v>1262</v>
      </c>
      <c r="Y117">
        <v>0</v>
      </c>
      <c r="Z117" t="s">
        <v>1186</v>
      </c>
      <c r="AA117" t="s">
        <v>1177</v>
      </c>
      <c r="AB117" t="s">
        <v>1276</v>
      </c>
      <c r="AC117" t="s">
        <v>1277</v>
      </c>
      <c r="AD117" t="s">
        <v>1278</v>
      </c>
      <c r="AE117" t="s">
        <v>1742</v>
      </c>
      <c r="AF117" t="s">
        <v>1178</v>
      </c>
      <c r="AG117" t="s">
        <v>1190</v>
      </c>
      <c r="AH117" t="s">
        <v>1178</v>
      </c>
      <c r="AI117" t="s">
        <v>1280</v>
      </c>
      <c r="AJ117" t="s">
        <v>1190</v>
      </c>
      <c r="AK117">
        <v>0</v>
      </c>
      <c r="AL117" t="s">
        <v>1262</v>
      </c>
      <c r="AM117">
        <v>45927</v>
      </c>
      <c r="AN117">
        <v>46273</v>
      </c>
      <c r="AO117">
        <v>46163</v>
      </c>
      <c r="AP117">
        <v>46167</v>
      </c>
      <c r="AQ117">
        <v>46167</v>
      </c>
      <c r="AR117">
        <v>46169</v>
      </c>
      <c r="AS117">
        <v>46171</v>
      </c>
      <c r="AT117" t="s">
        <v>1281</v>
      </c>
      <c r="AU117" t="s">
        <v>1177</v>
      </c>
      <c r="AV117" t="s">
        <v>1192</v>
      </c>
      <c r="AW117" t="s">
        <v>1177</v>
      </c>
      <c r="AX117">
        <v>297</v>
      </c>
      <c r="AY117">
        <v>2</v>
      </c>
      <c r="AZ117" t="s">
        <v>1177</v>
      </c>
      <c r="BA117">
        <v>2</v>
      </c>
      <c r="BB117" t="s">
        <v>1262</v>
      </c>
      <c r="BC117" t="e">
        <v>#N/A</v>
      </c>
      <c r="BD117" t="e">
        <v>#N/A</v>
      </c>
      <c r="BE117" t="e">
        <v>#N/A</v>
      </c>
      <c r="BF117" t="e">
        <v>#N/A</v>
      </c>
      <c r="BG117" t="s">
        <v>1212</v>
      </c>
      <c r="BH117" t="s">
        <v>1194</v>
      </c>
      <c r="BI117" t="s">
        <v>1213</v>
      </c>
    </row>
    <row r="118" spans="1:61" x14ac:dyDescent="0.35">
      <c r="A118" s="7" t="str">
        <f t="shared" si="2"/>
        <v>461594300008914</v>
      </c>
      <c r="B118" s="7" t="str">
        <f t="shared" si="3"/>
        <v>GP091027B832</v>
      </c>
      <c r="C118" t="s">
        <v>1177</v>
      </c>
      <c r="D118" t="s">
        <v>1178</v>
      </c>
      <c r="E118" t="s">
        <v>1744</v>
      </c>
      <c r="F118" t="s">
        <v>1363</v>
      </c>
      <c r="G118" t="s">
        <v>1363</v>
      </c>
      <c r="H118" t="s">
        <v>1271</v>
      </c>
      <c r="I118">
        <v>46159</v>
      </c>
      <c r="J118" t="s">
        <v>1745</v>
      </c>
      <c r="K118" t="s">
        <v>1295</v>
      </c>
      <c r="L118" t="s">
        <v>1177</v>
      </c>
      <c r="M118" t="s">
        <v>1274</v>
      </c>
      <c r="N118" t="s">
        <v>1079</v>
      </c>
      <c r="O118" t="s">
        <v>1275</v>
      </c>
      <c r="P118">
        <v>46159</v>
      </c>
      <c r="Q118" t="s">
        <v>1177</v>
      </c>
      <c r="R118" t="s">
        <v>19</v>
      </c>
      <c r="S118" t="s">
        <v>654</v>
      </c>
      <c r="T118" t="s">
        <v>165</v>
      </c>
      <c r="U118" t="s">
        <v>1746</v>
      </c>
      <c r="V118">
        <v>1</v>
      </c>
      <c r="W118" t="s">
        <v>1262</v>
      </c>
      <c r="X118" t="s">
        <v>1262</v>
      </c>
      <c r="Y118">
        <v>0</v>
      </c>
      <c r="Z118" t="s">
        <v>1186</v>
      </c>
      <c r="AA118" t="s">
        <v>1177</v>
      </c>
      <c r="AB118" t="s">
        <v>1276</v>
      </c>
      <c r="AC118" t="s">
        <v>1277</v>
      </c>
      <c r="AD118" t="s">
        <v>1278</v>
      </c>
      <c r="AE118" t="s">
        <v>1747</v>
      </c>
      <c r="AF118" t="s">
        <v>1178</v>
      </c>
      <c r="AG118" t="s">
        <v>1190</v>
      </c>
      <c r="AH118" t="s">
        <v>1178</v>
      </c>
      <c r="AI118" t="s">
        <v>1349</v>
      </c>
      <c r="AJ118" t="s">
        <v>1190</v>
      </c>
      <c r="AK118">
        <v>0</v>
      </c>
      <c r="AL118" t="s">
        <v>1262</v>
      </c>
      <c r="AM118">
        <v>45908</v>
      </c>
      <c r="AN118">
        <v>46366</v>
      </c>
      <c r="AO118">
        <v>46160</v>
      </c>
      <c r="AP118">
        <v>46162</v>
      </c>
      <c r="AQ118">
        <v>46162</v>
      </c>
      <c r="AR118">
        <v>46164</v>
      </c>
      <c r="AS118">
        <v>46168</v>
      </c>
      <c r="AT118" t="s">
        <v>1281</v>
      </c>
      <c r="AU118" t="s">
        <v>1177</v>
      </c>
      <c r="AV118" t="s">
        <v>1192</v>
      </c>
      <c r="AW118" t="s">
        <v>1177</v>
      </c>
      <c r="AX118">
        <v>33</v>
      </c>
      <c r="AY118">
        <v>2</v>
      </c>
      <c r="AZ118" t="s">
        <v>1177</v>
      </c>
      <c r="BA118">
        <v>0</v>
      </c>
      <c r="BB118" t="s">
        <v>1262</v>
      </c>
      <c r="BC118" t="e">
        <v>#N/A</v>
      </c>
      <c r="BD118" t="e">
        <v>#N/A</v>
      </c>
      <c r="BE118" t="e">
        <v>#N/A</v>
      </c>
      <c r="BF118" t="e">
        <v>#N/A</v>
      </c>
      <c r="BG118" t="s">
        <v>126</v>
      </c>
      <c r="BH118" t="s">
        <v>1194</v>
      </c>
      <c r="BI118" t="s">
        <v>126</v>
      </c>
    </row>
    <row r="119" spans="1:61" x14ac:dyDescent="0.35">
      <c r="A119" s="7" t="str">
        <f t="shared" si="2"/>
        <v>461594300008918</v>
      </c>
      <c r="B119" s="7" t="str">
        <f t="shared" si="3"/>
        <v>GP486500B867</v>
      </c>
      <c r="C119" t="s">
        <v>1177</v>
      </c>
      <c r="D119" t="s">
        <v>1178</v>
      </c>
      <c r="E119" t="s">
        <v>1748</v>
      </c>
      <c r="F119" t="s">
        <v>1363</v>
      </c>
      <c r="G119" t="s">
        <v>1363</v>
      </c>
      <c r="H119" t="s">
        <v>1271</v>
      </c>
      <c r="I119">
        <v>46159</v>
      </c>
      <c r="J119" t="s">
        <v>1749</v>
      </c>
      <c r="K119" t="s">
        <v>1199</v>
      </c>
      <c r="L119" t="s">
        <v>1177</v>
      </c>
      <c r="M119" t="s">
        <v>1274</v>
      </c>
      <c r="N119" t="s">
        <v>1079</v>
      </c>
      <c r="O119" t="s">
        <v>1275</v>
      </c>
      <c r="P119">
        <v>46159</v>
      </c>
      <c r="Q119" t="s">
        <v>1177</v>
      </c>
      <c r="R119" t="s">
        <v>25</v>
      </c>
      <c r="S119" t="s">
        <v>1060</v>
      </c>
      <c r="T119" t="s">
        <v>108</v>
      </c>
      <c r="U119" t="s">
        <v>109</v>
      </c>
      <c r="V119">
        <v>42</v>
      </c>
      <c r="W119" t="s">
        <v>1262</v>
      </c>
      <c r="X119" t="s">
        <v>1262</v>
      </c>
      <c r="Y119">
        <v>0</v>
      </c>
      <c r="Z119" t="s">
        <v>1186</v>
      </c>
      <c r="AA119" t="s">
        <v>1177</v>
      </c>
      <c r="AB119" t="s">
        <v>1276</v>
      </c>
      <c r="AC119" t="s">
        <v>1277</v>
      </c>
      <c r="AD119" t="s">
        <v>1278</v>
      </c>
      <c r="AE119" t="s">
        <v>1750</v>
      </c>
      <c r="AF119" t="s">
        <v>1178</v>
      </c>
      <c r="AG119" t="s">
        <v>1190</v>
      </c>
      <c r="AH119" t="s">
        <v>1178</v>
      </c>
      <c r="AI119" t="s">
        <v>1280</v>
      </c>
      <c r="AJ119" t="s">
        <v>1675</v>
      </c>
      <c r="AK119">
        <v>41</v>
      </c>
      <c r="AL119" t="s">
        <v>1262</v>
      </c>
      <c r="AM119">
        <v>46204</v>
      </c>
      <c r="AN119">
        <v>46196</v>
      </c>
      <c r="AO119">
        <v>46198</v>
      </c>
      <c r="AP119">
        <v>46202</v>
      </c>
      <c r="AQ119">
        <v>46202</v>
      </c>
      <c r="AR119">
        <v>46204</v>
      </c>
      <c r="AS119">
        <v>46206</v>
      </c>
      <c r="AT119" t="s">
        <v>1281</v>
      </c>
      <c r="AU119" t="s">
        <v>1177</v>
      </c>
      <c r="AV119" t="s">
        <v>1192</v>
      </c>
      <c r="AW119" t="s">
        <v>1177</v>
      </c>
      <c r="AX119">
        <v>33</v>
      </c>
      <c r="AY119">
        <v>2</v>
      </c>
      <c r="AZ119" t="s">
        <v>1177</v>
      </c>
      <c r="BA119">
        <v>0</v>
      </c>
      <c r="BB119" t="s">
        <v>1262</v>
      </c>
      <c r="BC119" t="e">
        <v>#N/A</v>
      </c>
      <c r="BD119" t="e">
        <v>#N/A</v>
      </c>
      <c r="BE119" t="e">
        <v>#N/A</v>
      </c>
      <c r="BF119" t="e">
        <v>#N/A</v>
      </c>
      <c r="BG119" t="s">
        <v>1212</v>
      </c>
      <c r="BH119" t="s">
        <v>1194</v>
      </c>
      <c r="BI119" t="s">
        <v>1212</v>
      </c>
    </row>
    <row r="120" spans="1:61" x14ac:dyDescent="0.35">
      <c r="A120" s="7" t="str">
        <f t="shared" si="2"/>
        <v>461594300008919</v>
      </c>
      <c r="B120" s="7" t="str">
        <f t="shared" si="3"/>
        <v>GP571519B856</v>
      </c>
      <c r="C120" t="s">
        <v>1177</v>
      </c>
      <c r="D120" t="s">
        <v>1178</v>
      </c>
      <c r="E120" t="s">
        <v>1751</v>
      </c>
      <c r="F120" t="s">
        <v>1363</v>
      </c>
      <c r="G120" t="s">
        <v>1363</v>
      </c>
      <c r="H120" t="s">
        <v>1271</v>
      </c>
      <c r="I120">
        <v>46159</v>
      </c>
      <c r="J120" t="s">
        <v>1752</v>
      </c>
      <c r="K120" t="s">
        <v>1285</v>
      </c>
      <c r="L120" t="s">
        <v>1177</v>
      </c>
      <c r="M120" t="s">
        <v>1274</v>
      </c>
      <c r="N120" t="s">
        <v>1079</v>
      </c>
      <c r="O120" t="s">
        <v>1275</v>
      </c>
      <c r="P120">
        <v>46159</v>
      </c>
      <c r="Q120" t="s">
        <v>1177</v>
      </c>
      <c r="R120" t="s">
        <v>21</v>
      </c>
      <c r="S120" t="s">
        <v>853</v>
      </c>
      <c r="T120" t="s">
        <v>849</v>
      </c>
      <c r="U120" t="s">
        <v>850</v>
      </c>
      <c r="V120">
        <v>6</v>
      </c>
      <c r="W120" t="s">
        <v>1262</v>
      </c>
      <c r="X120" t="s">
        <v>1262</v>
      </c>
      <c r="Y120">
        <v>0</v>
      </c>
      <c r="Z120" t="s">
        <v>1186</v>
      </c>
      <c r="AA120" t="s">
        <v>1177</v>
      </c>
      <c r="AB120" t="s">
        <v>1286</v>
      </c>
      <c r="AC120" t="s">
        <v>1277</v>
      </c>
      <c r="AD120" t="s">
        <v>1278</v>
      </c>
      <c r="AE120" t="s">
        <v>1753</v>
      </c>
      <c r="AF120" t="s">
        <v>1178</v>
      </c>
      <c r="AG120" t="s">
        <v>1226</v>
      </c>
      <c r="AH120" t="s">
        <v>1178</v>
      </c>
      <c r="AI120" t="s">
        <v>1280</v>
      </c>
      <c r="AJ120" t="s">
        <v>1190</v>
      </c>
      <c r="AK120">
        <v>0</v>
      </c>
      <c r="AL120" t="s">
        <v>1262</v>
      </c>
      <c r="AM120">
        <v>45811</v>
      </c>
      <c r="AN120">
        <v>46261</v>
      </c>
      <c r="AO120">
        <v>46163</v>
      </c>
      <c r="AP120">
        <v>46167</v>
      </c>
      <c r="AQ120">
        <v>46167</v>
      </c>
      <c r="AR120">
        <v>46169</v>
      </c>
      <c r="AS120">
        <v>46171</v>
      </c>
      <c r="AT120" t="s">
        <v>1281</v>
      </c>
      <c r="AU120" t="s">
        <v>1177</v>
      </c>
      <c r="AV120" t="s">
        <v>1192</v>
      </c>
      <c r="AW120" t="s">
        <v>1177</v>
      </c>
      <c r="AX120">
        <v>131</v>
      </c>
      <c r="AY120">
        <v>2</v>
      </c>
      <c r="AZ120" t="s">
        <v>1177</v>
      </c>
      <c r="BA120">
        <v>0</v>
      </c>
      <c r="BB120" t="s">
        <v>1262</v>
      </c>
      <c r="BC120" t="e">
        <v>#N/A</v>
      </c>
      <c r="BD120" t="e">
        <v>#N/A</v>
      </c>
      <c r="BE120" t="e">
        <v>#N/A</v>
      </c>
      <c r="BF120" t="e">
        <v>#N/A</v>
      </c>
      <c r="BG120" t="s">
        <v>1212</v>
      </c>
      <c r="BH120" t="s">
        <v>1194</v>
      </c>
      <c r="BI120" t="s">
        <v>1212</v>
      </c>
    </row>
    <row r="121" spans="1:61" x14ac:dyDescent="0.35">
      <c r="A121" s="7" t="str">
        <f t="shared" si="2"/>
        <v>461594300008927</v>
      </c>
      <c r="B121" s="7" t="str">
        <f t="shared" si="3"/>
        <v>GP486500B857</v>
      </c>
      <c r="C121" t="s">
        <v>1177</v>
      </c>
      <c r="D121" t="s">
        <v>1178</v>
      </c>
      <c r="E121" t="s">
        <v>1754</v>
      </c>
      <c r="F121" t="s">
        <v>1363</v>
      </c>
      <c r="G121" t="s">
        <v>1363</v>
      </c>
      <c r="H121" t="s">
        <v>1271</v>
      </c>
      <c r="I121">
        <v>46159</v>
      </c>
      <c r="J121" t="s">
        <v>1755</v>
      </c>
      <c r="K121" t="s">
        <v>1199</v>
      </c>
      <c r="L121" t="s">
        <v>1177</v>
      </c>
      <c r="M121" t="s">
        <v>1274</v>
      </c>
      <c r="N121" t="s">
        <v>1079</v>
      </c>
      <c r="O121" t="s">
        <v>1275</v>
      </c>
      <c r="P121">
        <v>46159</v>
      </c>
      <c r="Q121" t="s">
        <v>1177</v>
      </c>
      <c r="R121" t="s">
        <v>23</v>
      </c>
      <c r="S121" t="s">
        <v>959</v>
      </c>
      <c r="T121" t="s">
        <v>108</v>
      </c>
      <c r="U121" t="s">
        <v>109</v>
      </c>
      <c r="V121">
        <v>40</v>
      </c>
      <c r="W121" t="s">
        <v>1262</v>
      </c>
      <c r="X121" t="s">
        <v>1262</v>
      </c>
      <c r="Y121">
        <v>0</v>
      </c>
      <c r="Z121" t="s">
        <v>1186</v>
      </c>
      <c r="AA121" t="s">
        <v>1177</v>
      </c>
      <c r="AB121" t="s">
        <v>1276</v>
      </c>
      <c r="AC121" t="s">
        <v>1277</v>
      </c>
      <c r="AD121" t="s">
        <v>1278</v>
      </c>
      <c r="AE121" t="s">
        <v>1750</v>
      </c>
      <c r="AF121" t="s">
        <v>1178</v>
      </c>
      <c r="AG121" t="s">
        <v>1190</v>
      </c>
      <c r="AH121" t="s">
        <v>1178</v>
      </c>
      <c r="AI121" t="s">
        <v>1280</v>
      </c>
      <c r="AJ121" t="s">
        <v>1190</v>
      </c>
      <c r="AK121">
        <v>0</v>
      </c>
      <c r="AL121" t="s">
        <v>1262</v>
      </c>
      <c r="AM121">
        <v>45804</v>
      </c>
      <c r="AN121">
        <v>46196</v>
      </c>
      <c r="AO121">
        <v>46163</v>
      </c>
      <c r="AP121">
        <v>46167</v>
      </c>
      <c r="AQ121">
        <v>46167</v>
      </c>
      <c r="AR121">
        <v>46169</v>
      </c>
      <c r="AS121">
        <v>46171</v>
      </c>
      <c r="AT121" t="s">
        <v>1281</v>
      </c>
      <c r="AU121" t="s">
        <v>1177</v>
      </c>
      <c r="AV121" t="s">
        <v>1192</v>
      </c>
      <c r="AW121" t="s">
        <v>1177</v>
      </c>
      <c r="AX121">
        <v>33</v>
      </c>
      <c r="AY121">
        <v>2</v>
      </c>
      <c r="AZ121" t="s">
        <v>1177</v>
      </c>
      <c r="BA121">
        <v>0</v>
      </c>
      <c r="BB121" t="s">
        <v>1262</v>
      </c>
      <c r="BC121" t="e">
        <v>#N/A</v>
      </c>
      <c r="BD121" t="e">
        <v>#N/A</v>
      </c>
      <c r="BE121" t="e">
        <v>#N/A</v>
      </c>
      <c r="BF121" t="e">
        <v>#N/A</v>
      </c>
      <c r="BG121" t="s">
        <v>1212</v>
      </c>
      <c r="BH121" t="s">
        <v>1206</v>
      </c>
      <c r="BI121" t="s">
        <v>1756</v>
      </c>
    </row>
    <row r="122" spans="1:61" x14ac:dyDescent="0.35">
      <c r="A122" s="7" t="str">
        <f t="shared" si="2"/>
        <v>461594300008932</v>
      </c>
      <c r="B122" s="7" t="str">
        <f t="shared" si="3"/>
        <v>GP270285B825</v>
      </c>
      <c r="C122" t="s">
        <v>1177</v>
      </c>
      <c r="D122" t="s">
        <v>1178</v>
      </c>
      <c r="E122" t="s">
        <v>1757</v>
      </c>
      <c r="F122" t="s">
        <v>1363</v>
      </c>
      <c r="G122" t="s">
        <v>1363</v>
      </c>
      <c r="H122" t="s">
        <v>1271</v>
      </c>
      <c r="I122">
        <v>46159</v>
      </c>
      <c r="J122" t="s">
        <v>1758</v>
      </c>
      <c r="K122" t="s">
        <v>1423</v>
      </c>
      <c r="L122" t="s">
        <v>1177</v>
      </c>
      <c r="M122" t="s">
        <v>1274</v>
      </c>
      <c r="N122" t="s">
        <v>1079</v>
      </c>
      <c r="O122" t="s">
        <v>1275</v>
      </c>
      <c r="P122">
        <v>46159</v>
      </c>
      <c r="Q122" t="s">
        <v>1177</v>
      </c>
      <c r="R122" t="s">
        <v>16</v>
      </c>
      <c r="S122" t="s">
        <v>512</v>
      </c>
      <c r="T122" t="s">
        <v>1759</v>
      </c>
      <c r="U122" t="s">
        <v>1760</v>
      </c>
      <c r="V122">
        <v>2</v>
      </c>
      <c r="W122" t="s">
        <v>1262</v>
      </c>
      <c r="X122" t="s">
        <v>1262</v>
      </c>
      <c r="Y122">
        <v>0</v>
      </c>
      <c r="Z122" t="s">
        <v>1186</v>
      </c>
      <c r="AA122" t="s">
        <v>1177</v>
      </c>
      <c r="AB122" t="s">
        <v>1276</v>
      </c>
      <c r="AC122" t="s">
        <v>1277</v>
      </c>
      <c r="AD122" t="s">
        <v>1278</v>
      </c>
      <c r="AE122" t="s">
        <v>1478</v>
      </c>
      <c r="AF122" t="s">
        <v>1178</v>
      </c>
      <c r="AG122" t="s">
        <v>1190</v>
      </c>
      <c r="AH122" t="s">
        <v>1178</v>
      </c>
      <c r="AI122" t="s">
        <v>1349</v>
      </c>
      <c r="AJ122" t="s">
        <v>1190</v>
      </c>
      <c r="AK122">
        <v>0</v>
      </c>
      <c r="AL122" t="s">
        <v>1262</v>
      </c>
      <c r="AM122">
        <v>46279</v>
      </c>
      <c r="AN122">
        <v>46339</v>
      </c>
      <c r="AO122">
        <v>46269</v>
      </c>
      <c r="AP122">
        <v>46274</v>
      </c>
      <c r="AQ122">
        <v>46274</v>
      </c>
      <c r="AR122">
        <v>46276</v>
      </c>
      <c r="AS122">
        <v>46280</v>
      </c>
      <c r="AT122" t="s">
        <v>1281</v>
      </c>
      <c r="AU122" t="s">
        <v>1177</v>
      </c>
      <c r="AV122" t="s">
        <v>1192</v>
      </c>
      <c r="AW122" t="s">
        <v>1177</v>
      </c>
      <c r="AX122">
        <v>33</v>
      </c>
      <c r="AY122">
        <v>2</v>
      </c>
      <c r="AZ122" t="s">
        <v>1177</v>
      </c>
      <c r="BA122">
        <v>0</v>
      </c>
      <c r="BB122" t="s">
        <v>1262</v>
      </c>
      <c r="BC122" t="e">
        <v>#N/A</v>
      </c>
      <c r="BD122" t="e">
        <v>#N/A</v>
      </c>
      <c r="BE122" t="e">
        <v>#N/A</v>
      </c>
      <c r="BF122" t="e">
        <v>#N/A</v>
      </c>
      <c r="BG122" t="s">
        <v>126</v>
      </c>
      <c r="BH122" t="s">
        <v>1567</v>
      </c>
      <c r="BI122" t="s">
        <v>126</v>
      </c>
    </row>
    <row r="123" spans="1:61" x14ac:dyDescent="0.35">
      <c r="A123" s="7" t="str">
        <f t="shared" si="2"/>
        <v>461594300008935</v>
      </c>
      <c r="B123" s="7" t="str">
        <f t="shared" si="3"/>
        <v>GP328003B856</v>
      </c>
      <c r="C123" t="s">
        <v>1177</v>
      </c>
      <c r="D123" t="s">
        <v>1178</v>
      </c>
      <c r="E123" t="s">
        <v>1761</v>
      </c>
      <c r="F123" t="s">
        <v>1363</v>
      </c>
      <c r="G123" t="s">
        <v>1363</v>
      </c>
      <c r="H123" t="s">
        <v>1271</v>
      </c>
      <c r="I123">
        <v>46159</v>
      </c>
      <c r="J123" t="s">
        <v>1762</v>
      </c>
      <c r="K123" t="s">
        <v>1273</v>
      </c>
      <c r="L123" t="s">
        <v>1177</v>
      </c>
      <c r="M123" t="s">
        <v>1274</v>
      </c>
      <c r="N123" t="s">
        <v>1079</v>
      </c>
      <c r="O123" t="s">
        <v>1275</v>
      </c>
      <c r="P123">
        <v>46159</v>
      </c>
      <c r="Q123" t="s">
        <v>1177</v>
      </c>
      <c r="R123" t="s">
        <v>21</v>
      </c>
      <c r="S123" t="s">
        <v>853</v>
      </c>
      <c r="T123" t="s">
        <v>1102</v>
      </c>
      <c r="U123" t="s">
        <v>1103</v>
      </c>
      <c r="V123">
        <v>4</v>
      </c>
      <c r="W123" t="s">
        <v>1262</v>
      </c>
      <c r="X123" t="s">
        <v>1262</v>
      </c>
      <c r="Y123">
        <v>0</v>
      </c>
      <c r="Z123" t="s">
        <v>1186</v>
      </c>
      <c r="AA123" t="s">
        <v>1177</v>
      </c>
      <c r="AB123" t="s">
        <v>1276</v>
      </c>
      <c r="AC123" t="s">
        <v>1277</v>
      </c>
      <c r="AD123" t="s">
        <v>1278</v>
      </c>
      <c r="AE123" t="s">
        <v>1292</v>
      </c>
      <c r="AF123" t="s">
        <v>1178</v>
      </c>
      <c r="AG123" t="s">
        <v>1190</v>
      </c>
      <c r="AH123" t="s">
        <v>1178</v>
      </c>
      <c r="AI123" t="s">
        <v>1280</v>
      </c>
      <c r="AJ123" t="s">
        <v>1190</v>
      </c>
      <c r="AK123">
        <v>0</v>
      </c>
      <c r="AL123" t="s">
        <v>1262</v>
      </c>
      <c r="AM123">
        <v>45814</v>
      </c>
      <c r="AN123">
        <v>46163</v>
      </c>
      <c r="AO123">
        <v>46163</v>
      </c>
      <c r="AP123">
        <v>46167</v>
      </c>
      <c r="AQ123">
        <v>46167</v>
      </c>
      <c r="AR123">
        <v>46169</v>
      </c>
      <c r="AS123">
        <v>46171</v>
      </c>
      <c r="AT123" t="s">
        <v>1281</v>
      </c>
      <c r="AU123" t="s">
        <v>1177</v>
      </c>
      <c r="AV123" t="s">
        <v>1192</v>
      </c>
      <c r="AW123" t="s">
        <v>1177</v>
      </c>
      <c r="AX123">
        <v>266</v>
      </c>
      <c r="AY123">
        <v>2</v>
      </c>
      <c r="AZ123" t="s">
        <v>1177</v>
      </c>
      <c r="BA123">
        <v>0</v>
      </c>
      <c r="BB123" t="s">
        <v>1262</v>
      </c>
      <c r="BC123" t="e">
        <v>#N/A</v>
      </c>
      <c r="BD123" t="e">
        <v>#N/A</v>
      </c>
      <c r="BE123" t="e">
        <v>#N/A</v>
      </c>
      <c r="BF123" t="e">
        <v>#N/A</v>
      </c>
      <c r="BG123" t="s">
        <v>1458</v>
      </c>
      <c r="BH123" t="s">
        <v>1763</v>
      </c>
      <c r="BI123" t="s">
        <v>1764</v>
      </c>
    </row>
    <row r="124" spans="1:61" x14ac:dyDescent="0.35">
      <c r="A124" s="7" t="str">
        <f t="shared" si="2"/>
        <v>461594300008938</v>
      </c>
      <c r="B124" s="7" t="str">
        <f t="shared" si="3"/>
        <v>GP034661B825</v>
      </c>
      <c r="C124" t="s">
        <v>1177</v>
      </c>
      <c r="D124" t="s">
        <v>1178</v>
      </c>
      <c r="E124" t="s">
        <v>1767</v>
      </c>
      <c r="F124" t="s">
        <v>1363</v>
      </c>
      <c r="G124" t="s">
        <v>1363</v>
      </c>
      <c r="H124" t="s">
        <v>1271</v>
      </c>
      <c r="I124">
        <v>46159</v>
      </c>
      <c r="J124" t="s">
        <v>1768</v>
      </c>
      <c r="K124" t="s">
        <v>1198</v>
      </c>
      <c r="L124" t="s">
        <v>1177</v>
      </c>
      <c r="M124" t="s">
        <v>1274</v>
      </c>
      <c r="N124" t="s">
        <v>1079</v>
      </c>
      <c r="O124" t="s">
        <v>1275</v>
      </c>
      <c r="P124">
        <v>46159</v>
      </c>
      <c r="Q124" t="s">
        <v>1177</v>
      </c>
      <c r="R124" t="s">
        <v>16</v>
      </c>
      <c r="S124" t="s">
        <v>512</v>
      </c>
      <c r="T124" t="s">
        <v>1769</v>
      </c>
      <c r="U124" t="s">
        <v>1770</v>
      </c>
      <c r="V124">
        <v>13</v>
      </c>
      <c r="W124" t="s">
        <v>1262</v>
      </c>
      <c r="X124" t="s">
        <v>1262</v>
      </c>
      <c r="Y124">
        <v>0</v>
      </c>
      <c r="Z124" t="s">
        <v>1186</v>
      </c>
      <c r="AA124" t="s">
        <v>1177</v>
      </c>
      <c r="AB124" t="s">
        <v>1276</v>
      </c>
      <c r="AC124" t="s">
        <v>1277</v>
      </c>
      <c r="AD124" t="s">
        <v>1278</v>
      </c>
      <c r="AE124" t="s">
        <v>1358</v>
      </c>
      <c r="AF124" t="s">
        <v>1178</v>
      </c>
      <c r="AG124" t="s">
        <v>1190</v>
      </c>
      <c r="AH124" t="s">
        <v>1178</v>
      </c>
      <c r="AI124" t="s">
        <v>1349</v>
      </c>
      <c r="AJ124" t="s">
        <v>1675</v>
      </c>
      <c r="AK124">
        <v>10</v>
      </c>
      <c r="AL124" t="s">
        <v>1262</v>
      </c>
      <c r="AM124">
        <v>46346</v>
      </c>
      <c r="AN124">
        <v>46339</v>
      </c>
      <c r="AO124">
        <v>46342</v>
      </c>
      <c r="AP124">
        <v>46344</v>
      </c>
      <c r="AQ124">
        <v>46344</v>
      </c>
      <c r="AR124">
        <v>46346</v>
      </c>
      <c r="AS124">
        <v>46350</v>
      </c>
      <c r="AT124" t="s">
        <v>1281</v>
      </c>
      <c r="AU124" t="s">
        <v>1177</v>
      </c>
      <c r="AV124" t="s">
        <v>1192</v>
      </c>
      <c r="AW124" t="s">
        <v>1177</v>
      </c>
      <c r="AX124">
        <v>163</v>
      </c>
      <c r="AY124">
        <v>2</v>
      </c>
      <c r="AZ124" t="s">
        <v>1177</v>
      </c>
      <c r="BA124">
        <v>0</v>
      </c>
      <c r="BB124" t="s">
        <v>1262</v>
      </c>
      <c r="BC124" t="s">
        <v>1738</v>
      </c>
      <c r="BD124">
        <v>3</v>
      </c>
      <c r="BE124">
        <v>46188</v>
      </c>
      <c r="BF124" t="s">
        <v>1165</v>
      </c>
      <c r="BG124" t="s">
        <v>1651</v>
      </c>
      <c r="BH124" t="s">
        <v>1206</v>
      </c>
      <c r="BI124" t="s">
        <v>1771</v>
      </c>
    </row>
    <row r="125" spans="1:61" x14ac:dyDescent="0.35">
      <c r="A125" s="7" t="str">
        <f t="shared" si="2"/>
        <v>461594300008941</v>
      </c>
      <c r="B125" s="7" t="str">
        <f t="shared" si="3"/>
        <v>GP016533B838</v>
      </c>
      <c r="C125" t="s">
        <v>1177</v>
      </c>
      <c r="D125" t="s">
        <v>1178</v>
      </c>
      <c r="E125" t="s">
        <v>1772</v>
      </c>
      <c r="F125" t="s">
        <v>1363</v>
      </c>
      <c r="G125" t="s">
        <v>1363</v>
      </c>
      <c r="H125" t="s">
        <v>1271</v>
      </c>
      <c r="I125">
        <v>46159</v>
      </c>
      <c r="J125" t="s">
        <v>1773</v>
      </c>
      <c r="K125" t="s">
        <v>1199</v>
      </c>
      <c r="L125" t="s">
        <v>1177</v>
      </c>
      <c r="M125" t="s">
        <v>1274</v>
      </c>
      <c r="N125" t="s">
        <v>1079</v>
      </c>
      <c r="O125" t="s">
        <v>1275</v>
      </c>
      <c r="P125">
        <v>46159</v>
      </c>
      <c r="Q125" t="s">
        <v>1177</v>
      </c>
      <c r="R125" t="s">
        <v>48</v>
      </c>
      <c r="S125" t="s">
        <v>745</v>
      </c>
      <c r="T125" t="s">
        <v>365</v>
      </c>
      <c r="U125" t="s">
        <v>1774</v>
      </c>
      <c r="V125">
        <v>9</v>
      </c>
      <c r="W125" t="s">
        <v>1262</v>
      </c>
      <c r="X125" t="s">
        <v>1262</v>
      </c>
      <c r="Y125">
        <v>0</v>
      </c>
      <c r="Z125" t="s">
        <v>1186</v>
      </c>
      <c r="AA125" t="s">
        <v>1177</v>
      </c>
      <c r="AB125" t="s">
        <v>1276</v>
      </c>
      <c r="AC125" t="s">
        <v>1277</v>
      </c>
      <c r="AD125" t="s">
        <v>1278</v>
      </c>
      <c r="AE125" t="s">
        <v>1775</v>
      </c>
      <c r="AF125" t="s">
        <v>1178</v>
      </c>
      <c r="AG125" t="s">
        <v>1190</v>
      </c>
      <c r="AH125" t="s">
        <v>1178</v>
      </c>
      <c r="AI125" t="s">
        <v>1280</v>
      </c>
      <c r="AJ125" t="s">
        <v>1190</v>
      </c>
      <c r="AK125">
        <v>0</v>
      </c>
      <c r="AL125" t="s">
        <v>1262</v>
      </c>
      <c r="AM125">
        <v>45824</v>
      </c>
      <c r="AN125">
        <v>46380</v>
      </c>
      <c r="AO125">
        <v>46163</v>
      </c>
      <c r="AP125">
        <v>46167</v>
      </c>
      <c r="AQ125">
        <v>46167</v>
      </c>
      <c r="AR125">
        <v>46169</v>
      </c>
      <c r="AS125">
        <v>46171</v>
      </c>
      <c r="AT125" t="s">
        <v>1281</v>
      </c>
      <c r="AU125" t="s">
        <v>1177</v>
      </c>
      <c r="AV125" t="s">
        <v>1192</v>
      </c>
      <c r="AW125" t="s">
        <v>1177</v>
      </c>
      <c r="AX125">
        <v>237</v>
      </c>
      <c r="AY125">
        <v>2</v>
      </c>
      <c r="AZ125" t="s">
        <v>1177</v>
      </c>
      <c r="BA125">
        <v>0</v>
      </c>
      <c r="BB125" t="s">
        <v>1262</v>
      </c>
      <c r="BC125" t="e">
        <v>#N/A</v>
      </c>
      <c r="BD125" t="e">
        <v>#N/A</v>
      </c>
      <c r="BE125" t="e">
        <v>#N/A</v>
      </c>
      <c r="BF125" t="e">
        <v>#N/A</v>
      </c>
      <c r="BG125" t="e">
        <v>#N/A</v>
      </c>
      <c r="BH125" t="e">
        <v>#N/A</v>
      </c>
      <c r="BI125" t="e">
        <v>#N/A</v>
      </c>
    </row>
    <row r="126" spans="1:61" x14ac:dyDescent="0.35">
      <c r="A126" s="7" t="str">
        <f t="shared" si="2"/>
        <v>461594300008947</v>
      </c>
      <c r="B126" s="7" t="str">
        <f t="shared" si="3"/>
        <v>GP328005B856</v>
      </c>
      <c r="C126" t="s">
        <v>1177</v>
      </c>
      <c r="D126" t="s">
        <v>1178</v>
      </c>
      <c r="E126" t="s">
        <v>1778</v>
      </c>
      <c r="F126" t="s">
        <v>1363</v>
      </c>
      <c r="G126" t="s">
        <v>1363</v>
      </c>
      <c r="H126" t="s">
        <v>1271</v>
      </c>
      <c r="I126">
        <v>46159</v>
      </c>
      <c r="J126" t="s">
        <v>1779</v>
      </c>
      <c r="K126" t="s">
        <v>1273</v>
      </c>
      <c r="L126" t="s">
        <v>1177</v>
      </c>
      <c r="M126" t="s">
        <v>1274</v>
      </c>
      <c r="N126" t="s">
        <v>1079</v>
      </c>
      <c r="O126" t="s">
        <v>1275</v>
      </c>
      <c r="P126">
        <v>46159</v>
      </c>
      <c r="Q126" t="s">
        <v>1177</v>
      </c>
      <c r="R126" t="s">
        <v>21</v>
      </c>
      <c r="S126" t="s">
        <v>853</v>
      </c>
      <c r="T126" t="s">
        <v>1021</v>
      </c>
      <c r="U126" t="s">
        <v>1022</v>
      </c>
      <c r="V126">
        <v>14</v>
      </c>
      <c r="W126" t="s">
        <v>1262</v>
      </c>
      <c r="X126" t="s">
        <v>1262</v>
      </c>
      <c r="Y126">
        <v>0</v>
      </c>
      <c r="Z126" t="s">
        <v>1186</v>
      </c>
      <c r="AA126" t="s">
        <v>1177</v>
      </c>
      <c r="AB126" t="s">
        <v>1276</v>
      </c>
      <c r="AC126" t="s">
        <v>1277</v>
      </c>
      <c r="AD126" t="s">
        <v>1278</v>
      </c>
      <c r="AE126" t="s">
        <v>1354</v>
      </c>
      <c r="AF126" t="s">
        <v>1178</v>
      </c>
      <c r="AG126" t="s">
        <v>1190</v>
      </c>
      <c r="AH126" t="s">
        <v>1178</v>
      </c>
      <c r="AI126" t="s">
        <v>1280</v>
      </c>
      <c r="AJ126" t="s">
        <v>1190</v>
      </c>
      <c r="AK126">
        <v>0</v>
      </c>
      <c r="AL126" t="s">
        <v>1262</v>
      </c>
      <c r="AM126">
        <v>45814</v>
      </c>
      <c r="AN126">
        <v>46163</v>
      </c>
      <c r="AO126">
        <v>46163</v>
      </c>
      <c r="AP126">
        <v>46167</v>
      </c>
      <c r="AQ126">
        <v>46167</v>
      </c>
      <c r="AR126">
        <v>46169</v>
      </c>
      <c r="AS126">
        <v>46171</v>
      </c>
      <c r="AT126" t="s">
        <v>1281</v>
      </c>
      <c r="AU126" t="s">
        <v>1177</v>
      </c>
      <c r="AV126" t="s">
        <v>1192</v>
      </c>
      <c r="AW126" t="s">
        <v>1177</v>
      </c>
      <c r="AX126">
        <v>163</v>
      </c>
      <c r="AY126">
        <v>2</v>
      </c>
      <c r="AZ126" t="s">
        <v>1177</v>
      </c>
      <c r="BA126">
        <v>0</v>
      </c>
      <c r="BB126" t="s">
        <v>1262</v>
      </c>
      <c r="BC126" t="e">
        <v>#N/A</v>
      </c>
      <c r="BD126" t="e">
        <v>#N/A</v>
      </c>
      <c r="BE126" t="e">
        <v>#N/A</v>
      </c>
      <c r="BF126" t="e">
        <v>#N/A</v>
      </c>
      <c r="BG126" t="s">
        <v>1458</v>
      </c>
      <c r="BH126" t="s">
        <v>1763</v>
      </c>
      <c r="BI126" t="s">
        <v>1458</v>
      </c>
    </row>
    <row r="127" spans="1:61" x14ac:dyDescent="0.35">
      <c r="A127" s="7" t="str">
        <f t="shared" si="2"/>
        <v>461594300008949</v>
      </c>
      <c r="B127" s="7" t="str">
        <f t="shared" si="3"/>
        <v>GP014169B825</v>
      </c>
      <c r="C127" t="s">
        <v>1177</v>
      </c>
      <c r="D127" t="s">
        <v>1178</v>
      </c>
      <c r="E127" t="s">
        <v>1780</v>
      </c>
      <c r="F127" t="s">
        <v>1363</v>
      </c>
      <c r="G127" t="s">
        <v>1363</v>
      </c>
      <c r="H127" t="s">
        <v>1271</v>
      </c>
      <c r="I127">
        <v>46159</v>
      </c>
      <c r="J127" t="s">
        <v>1781</v>
      </c>
      <c r="K127" t="s">
        <v>1199</v>
      </c>
      <c r="L127" t="s">
        <v>1177</v>
      </c>
      <c r="M127" t="s">
        <v>1274</v>
      </c>
      <c r="N127" t="s">
        <v>1079</v>
      </c>
      <c r="O127" t="s">
        <v>1275</v>
      </c>
      <c r="P127">
        <v>46245</v>
      </c>
      <c r="Q127" t="s">
        <v>1177</v>
      </c>
      <c r="R127" t="s">
        <v>16</v>
      </c>
      <c r="S127" t="s">
        <v>512</v>
      </c>
      <c r="T127" t="s">
        <v>524</v>
      </c>
      <c r="U127" t="s">
        <v>1783</v>
      </c>
      <c r="V127">
        <v>2</v>
      </c>
      <c r="W127" t="s">
        <v>1262</v>
      </c>
      <c r="X127" t="s">
        <v>1262</v>
      </c>
      <c r="Y127">
        <v>0</v>
      </c>
      <c r="Z127" t="s">
        <v>1186</v>
      </c>
      <c r="AA127" t="s">
        <v>1177</v>
      </c>
      <c r="AB127" t="s">
        <v>1276</v>
      </c>
      <c r="AC127" t="s">
        <v>1277</v>
      </c>
      <c r="AD127" t="s">
        <v>1278</v>
      </c>
      <c r="AE127" t="s">
        <v>1557</v>
      </c>
      <c r="AF127" t="s">
        <v>1178</v>
      </c>
      <c r="AG127" t="s">
        <v>1190</v>
      </c>
      <c r="AH127" t="s">
        <v>1178</v>
      </c>
      <c r="AI127" t="s">
        <v>1349</v>
      </c>
      <c r="AJ127" t="s">
        <v>1190</v>
      </c>
      <c r="AK127">
        <v>0</v>
      </c>
      <c r="AL127" t="s">
        <v>1262</v>
      </c>
      <c r="AM127">
        <v>46282</v>
      </c>
      <c r="AN127">
        <v>46269</v>
      </c>
      <c r="AO127">
        <v>46269</v>
      </c>
      <c r="AP127">
        <v>46274</v>
      </c>
      <c r="AQ127">
        <v>46274</v>
      </c>
      <c r="AR127">
        <v>46276</v>
      </c>
      <c r="AS127">
        <v>46280</v>
      </c>
      <c r="AT127" t="s">
        <v>1281</v>
      </c>
      <c r="AU127" t="s">
        <v>1177</v>
      </c>
      <c r="AV127" t="s">
        <v>1192</v>
      </c>
      <c r="AW127" t="s">
        <v>1177</v>
      </c>
      <c r="AX127">
        <v>33</v>
      </c>
      <c r="AY127">
        <v>2</v>
      </c>
      <c r="AZ127" t="s">
        <v>1177</v>
      </c>
      <c r="BA127">
        <v>2</v>
      </c>
      <c r="BB127" t="s">
        <v>1262</v>
      </c>
      <c r="BC127" t="s">
        <v>1782</v>
      </c>
      <c r="BD127">
        <v>1</v>
      </c>
      <c r="BE127">
        <v>46223</v>
      </c>
      <c r="BF127" t="s">
        <v>1165</v>
      </c>
      <c r="BG127" t="s">
        <v>126</v>
      </c>
      <c r="BH127" t="s">
        <v>1194</v>
      </c>
      <c r="BI127" t="s">
        <v>126</v>
      </c>
    </row>
    <row r="128" spans="1:61" x14ac:dyDescent="0.35">
      <c r="A128" s="7" t="str">
        <f t="shared" si="2"/>
        <v>461594300008964</v>
      </c>
      <c r="B128" s="7" t="str">
        <f t="shared" si="3"/>
        <v>GP328005B867</v>
      </c>
      <c r="C128" t="s">
        <v>1177</v>
      </c>
      <c r="D128" t="s">
        <v>1178</v>
      </c>
      <c r="E128" t="s">
        <v>1784</v>
      </c>
      <c r="F128" t="s">
        <v>1363</v>
      </c>
      <c r="G128" t="s">
        <v>1363</v>
      </c>
      <c r="H128" t="s">
        <v>1271</v>
      </c>
      <c r="I128">
        <v>46159</v>
      </c>
      <c r="J128" t="s">
        <v>1785</v>
      </c>
      <c r="K128" t="s">
        <v>1488</v>
      </c>
      <c r="L128" t="s">
        <v>1177</v>
      </c>
      <c r="M128" t="s">
        <v>1274</v>
      </c>
      <c r="N128" t="s">
        <v>1079</v>
      </c>
      <c r="O128" t="s">
        <v>1275</v>
      </c>
      <c r="P128">
        <v>46159</v>
      </c>
      <c r="Q128" t="s">
        <v>1177</v>
      </c>
      <c r="R128" t="s">
        <v>25</v>
      </c>
      <c r="S128" t="s">
        <v>1060</v>
      </c>
      <c r="T128" t="s">
        <v>1021</v>
      </c>
      <c r="U128" t="s">
        <v>1022</v>
      </c>
      <c r="V128">
        <v>14</v>
      </c>
      <c r="W128" t="s">
        <v>1262</v>
      </c>
      <c r="X128" t="s">
        <v>1262</v>
      </c>
      <c r="Y128">
        <v>0</v>
      </c>
      <c r="Z128" t="s">
        <v>1186</v>
      </c>
      <c r="AA128" t="s">
        <v>1177</v>
      </c>
      <c r="AB128" t="s">
        <v>1276</v>
      </c>
      <c r="AC128" t="s">
        <v>1277</v>
      </c>
      <c r="AD128" t="s">
        <v>1278</v>
      </c>
      <c r="AE128" t="s">
        <v>1354</v>
      </c>
      <c r="AF128" t="s">
        <v>1178</v>
      </c>
      <c r="AG128" t="s">
        <v>1190</v>
      </c>
      <c r="AH128" t="s">
        <v>1178</v>
      </c>
      <c r="AI128" t="s">
        <v>1280</v>
      </c>
      <c r="AJ128" t="s">
        <v>1190</v>
      </c>
      <c r="AK128">
        <v>0</v>
      </c>
      <c r="AL128" t="s">
        <v>1262</v>
      </c>
      <c r="AM128">
        <v>45832</v>
      </c>
      <c r="AN128">
        <v>46163</v>
      </c>
      <c r="AO128">
        <v>46163</v>
      </c>
      <c r="AP128">
        <v>46167</v>
      </c>
      <c r="AQ128">
        <v>46167</v>
      </c>
      <c r="AR128">
        <v>46169</v>
      </c>
      <c r="AS128">
        <v>46169</v>
      </c>
      <c r="AT128" t="s">
        <v>1281</v>
      </c>
      <c r="AU128" t="s">
        <v>1177</v>
      </c>
      <c r="AV128" t="s">
        <v>1192</v>
      </c>
      <c r="AW128" t="s">
        <v>1177</v>
      </c>
      <c r="AX128">
        <v>0</v>
      </c>
      <c r="AY128">
        <v>0</v>
      </c>
      <c r="AZ128" t="s">
        <v>1177</v>
      </c>
      <c r="BA128">
        <v>0</v>
      </c>
      <c r="BB128" t="s">
        <v>1262</v>
      </c>
      <c r="BC128" t="e">
        <v>#N/A</v>
      </c>
      <c r="BD128" t="e">
        <v>#N/A</v>
      </c>
      <c r="BE128" t="e">
        <v>#N/A</v>
      </c>
      <c r="BF128" t="e">
        <v>#N/A</v>
      </c>
      <c r="BG128" t="s">
        <v>1458</v>
      </c>
      <c r="BH128" t="s">
        <v>1763</v>
      </c>
      <c r="BI128" t="s">
        <v>1786</v>
      </c>
    </row>
    <row r="129" spans="1:61" x14ac:dyDescent="0.35">
      <c r="A129" s="7" t="str">
        <f t="shared" si="2"/>
        <v>461594300008966</v>
      </c>
      <c r="B129" s="7" t="str">
        <f t="shared" si="3"/>
        <v>GP349199B856</v>
      </c>
      <c r="C129" t="s">
        <v>1177</v>
      </c>
      <c r="D129" t="s">
        <v>1178</v>
      </c>
      <c r="E129" t="s">
        <v>1788</v>
      </c>
      <c r="F129" t="s">
        <v>1363</v>
      </c>
      <c r="G129" t="s">
        <v>1363</v>
      </c>
      <c r="H129" t="s">
        <v>1271</v>
      </c>
      <c r="I129">
        <v>46159</v>
      </c>
      <c r="J129" t="s">
        <v>1789</v>
      </c>
      <c r="K129" t="s">
        <v>1199</v>
      </c>
      <c r="L129" t="s">
        <v>1177</v>
      </c>
      <c r="M129" t="s">
        <v>1274</v>
      </c>
      <c r="N129" t="s">
        <v>1079</v>
      </c>
      <c r="O129" t="s">
        <v>1275</v>
      </c>
      <c r="P129">
        <v>46159</v>
      </c>
      <c r="Q129" t="s">
        <v>1177</v>
      </c>
      <c r="R129" t="s">
        <v>21</v>
      </c>
      <c r="S129" t="s">
        <v>853</v>
      </c>
      <c r="T129" t="s">
        <v>1790</v>
      </c>
      <c r="U129" t="s">
        <v>1791</v>
      </c>
      <c r="V129">
        <v>20</v>
      </c>
      <c r="W129" t="s">
        <v>1262</v>
      </c>
      <c r="X129" t="s">
        <v>1262</v>
      </c>
      <c r="Y129">
        <v>0</v>
      </c>
      <c r="Z129" t="s">
        <v>1186</v>
      </c>
      <c r="AA129" t="s">
        <v>1177</v>
      </c>
      <c r="AB129" t="s">
        <v>1177</v>
      </c>
      <c r="AC129" t="s">
        <v>1177</v>
      </c>
      <c r="AD129" t="s">
        <v>1204</v>
      </c>
      <c r="AE129" t="s">
        <v>1792</v>
      </c>
      <c r="AF129" t="s">
        <v>1189</v>
      </c>
      <c r="AG129" t="s">
        <v>1190</v>
      </c>
      <c r="AH129" t="s">
        <v>1178</v>
      </c>
      <c r="AI129" t="s">
        <v>1280</v>
      </c>
      <c r="AJ129" t="s">
        <v>1189</v>
      </c>
      <c r="AK129">
        <v>20</v>
      </c>
      <c r="AL129" t="s">
        <v>1262</v>
      </c>
      <c r="AM129">
        <v>46260</v>
      </c>
      <c r="AN129">
        <v>46254</v>
      </c>
      <c r="AO129">
        <v>46254</v>
      </c>
      <c r="AP129">
        <v>46258</v>
      </c>
      <c r="AQ129">
        <v>46258</v>
      </c>
      <c r="AR129">
        <v>46260</v>
      </c>
      <c r="AS129">
        <v>46260</v>
      </c>
      <c r="AT129" t="s">
        <v>1281</v>
      </c>
      <c r="AU129" t="s">
        <v>1177</v>
      </c>
      <c r="AV129" t="s">
        <v>1192</v>
      </c>
      <c r="AW129" t="s">
        <v>1177</v>
      </c>
      <c r="AX129">
        <v>0</v>
      </c>
      <c r="AY129">
        <v>0</v>
      </c>
      <c r="AZ129" t="s">
        <v>1177</v>
      </c>
      <c r="BA129">
        <v>0</v>
      </c>
      <c r="BB129" t="s">
        <v>1262</v>
      </c>
      <c r="BC129" t="e">
        <v>#N/A</v>
      </c>
      <c r="BD129" t="e">
        <v>#N/A</v>
      </c>
      <c r="BE129" t="e">
        <v>#N/A</v>
      </c>
      <c r="BF129" t="e">
        <v>#N/A</v>
      </c>
      <c r="BG129" t="s">
        <v>1372</v>
      </c>
      <c r="BH129" t="s">
        <v>1373</v>
      </c>
      <c r="BI129" t="s">
        <v>1551</v>
      </c>
    </row>
    <row r="130" spans="1:61" x14ac:dyDescent="0.35">
      <c r="A130" s="7" t="str">
        <f t="shared" ref="A130:A193" si="4">I130&amp;J130</f>
        <v>461594300008968</v>
      </c>
      <c r="B130" s="7" t="str">
        <f t="shared" ref="B130:B193" si="5">_xlfn.CONCAT(T130,R130)</f>
        <v>GP349199B867</v>
      </c>
      <c r="C130" t="s">
        <v>1177</v>
      </c>
      <c r="D130" t="s">
        <v>1178</v>
      </c>
      <c r="E130" t="s">
        <v>1793</v>
      </c>
      <c r="F130" t="s">
        <v>1363</v>
      </c>
      <c r="G130" t="s">
        <v>1363</v>
      </c>
      <c r="H130" t="s">
        <v>1271</v>
      </c>
      <c r="I130">
        <v>46159</v>
      </c>
      <c r="J130" t="s">
        <v>1794</v>
      </c>
      <c r="K130" t="s">
        <v>1199</v>
      </c>
      <c r="L130" t="s">
        <v>1177</v>
      </c>
      <c r="M130" t="s">
        <v>1274</v>
      </c>
      <c r="N130" t="s">
        <v>1079</v>
      </c>
      <c r="O130" t="s">
        <v>1275</v>
      </c>
      <c r="P130">
        <v>46159</v>
      </c>
      <c r="Q130" t="s">
        <v>1177</v>
      </c>
      <c r="R130" t="s">
        <v>25</v>
      </c>
      <c r="S130" t="s">
        <v>1060</v>
      </c>
      <c r="T130" t="s">
        <v>1790</v>
      </c>
      <c r="U130" t="s">
        <v>1791</v>
      </c>
      <c r="V130">
        <v>44</v>
      </c>
      <c r="W130" t="s">
        <v>1262</v>
      </c>
      <c r="X130" t="s">
        <v>1262</v>
      </c>
      <c r="Y130">
        <v>0</v>
      </c>
      <c r="Z130" t="s">
        <v>1186</v>
      </c>
      <c r="AA130" t="s">
        <v>1177</v>
      </c>
      <c r="AB130" t="s">
        <v>1177</v>
      </c>
      <c r="AC130" t="s">
        <v>1177</v>
      </c>
      <c r="AD130" t="s">
        <v>1204</v>
      </c>
      <c r="AE130" t="s">
        <v>1792</v>
      </c>
      <c r="AF130" t="s">
        <v>1189</v>
      </c>
      <c r="AG130" t="s">
        <v>1190</v>
      </c>
      <c r="AH130" t="s">
        <v>1178</v>
      </c>
      <c r="AI130" t="s">
        <v>1280</v>
      </c>
      <c r="AJ130" t="s">
        <v>1190</v>
      </c>
      <c r="AK130">
        <v>0</v>
      </c>
      <c r="AL130" t="s">
        <v>1262</v>
      </c>
      <c r="AM130">
        <v>45887</v>
      </c>
      <c r="AN130">
        <v>46163</v>
      </c>
      <c r="AO130">
        <v>46163</v>
      </c>
      <c r="AP130">
        <v>46167</v>
      </c>
      <c r="AQ130">
        <v>46167</v>
      </c>
      <c r="AR130">
        <v>46169</v>
      </c>
      <c r="AS130">
        <v>46171</v>
      </c>
      <c r="AT130" t="s">
        <v>1281</v>
      </c>
      <c r="AU130" t="s">
        <v>1177</v>
      </c>
      <c r="AV130" t="s">
        <v>1192</v>
      </c>
      <c r="AW130" t="s">
        <v>1177</v>
      </c>
      <c r="AX130">
        <v>176</v>
      </c>
      <c r="AY130">
        <v>2</v>
      </c>
      <c r="AZ130" t="s">
        <v>1177</v>
      </c>
      <c r="BA130">
        <v>44</v>
      </c>
      <c r="BB130" t="s">
        <v>1262</v>
      </c>
      <c r="BC130" t="s">
        <v>1795</v>
      </c>
      <c r="BD130">
        <v>44</v>
      </c>
      <c r="BE130">
        <v>46219</v>
      </c>
      <c r="BF130" t="s">
        <v>1165</v>
      </c>
      <c r="BG130" t="s">
        <v>1372</v>
      </c>
      <c r="BH130" t="s">
        <v>1373</v>
      </c>
      <c r="BI130" t="s">
        <v>1551</v>
      </c>
    </row>
    <row r="131" spans="1:61" x14ac:dyDescent="0.35">
      <c r="A131" s="7" t="str">
        <f t="shared" si="4"/>
        <v>461594300008969</v>
      </c>
      <c r="B131" s="7" t="str">
        <f t="shared" si="5"/>
        <v>GP349199B857</v>
      </c>
      <c r="C131" t="s">
        <v>1177</v>
      </c>
      <c r="D131" t="s">
        <v>1178</v>
      </c>
      <c r="E131" t="s">
        <v>1796</v>
      </c>
      <c r="F131" t="s">
        <v>1363</v>
      </c>
      <c r="G131" t="s">
        <v>1363</v>
      </c>
      <c r="H131" t="s">
        <v>1271</v>
      </c>
      <c r="I131">
        <v>46159</v>
      </c>
      <c r="J131" t="s">
        <v>1797</v>
      </c>
      <c r="K131" t="s">
        <v>1199</v>
      </c>
      <c r="L131" t="s">
        <v>1177</v>
      </c>
      <c r="M131" t="s">
        <v>1274</v>
      </c>
      <c r="N131" t="s">
        <v>1079</v>
      </c>
      <c r="O131" t="s">
        <v>1275</v>
      </c>
      <c r="P131">
        <v>46159</v>
      </c>
      <c r="Q131" t="s">
        <v>1177</v>
      </c>
      <c r="R131" t="s">
        <v>23</v>
      </c>
      <c r="S131" t="s">
        <v>959</v>
      </c>
      <c r="T131" t="s">
        <v>1790</v>
      </c>
      <c r="U131" t="s">
        <v>1791</v>
      </c>
      <c r="V131">
        <v>36</v>
      </c>
      <c r="W131" t="s">
        <v>1262</v>
      </c>
      <c r="X131" t="s">
        <v>1262</v>
      </c>
      <c r="Y131">
        <v>0</v>
      </c>
      <c r="Z131" t="s">
        <v>1186</v>
      </c>
      <c r="AA131" t="s">
        <v>1177</v>
      </c>
      <c r="AB131" t="s">
        <v>1177</v>
      </c>
      <c r="AC131" t="s">
        <v>1177</v>
      </c>
      <c r="AD131" t="s">
        <v>1204</v>
      </c>
      <c r="AE131" t="s">
        <v>1792</v>
      </c>
      <c r="AF131" t="s">
        <v>1189</v>
      </c>
      <c r="AG131" t="s">
        <v>1190</v>
      </c>
      <c r="AH131" t="s">
        <v>1178</v>
      </c>
      <c r="AI131" t="s">
        <v>1280</v>
      </c>
      <c r="AJ131" t="s">
        <v>1190</v>
      </c>
      <c r="AK131">
        <v>0</v>
      </c>
      <c r="AL131" t="s">
        <v>1262</v>
      </c>
      <c r="AM131">
        <v>46265</v>
      </c>
      <c r="AN131">
        <v>46254</v>
      </c>
      <c r="AO131">
        <v>46254</v>
      </c>
      <c r="AP131">
        <v>46258</v>
      </c>
      <c r="AQ131">
        <v>46258</v>
      </c>
      <c r="AR131">
        <v>46260</v>
      </c>
      <c r="AS131">
        <v>46260</v>
      </c>
      <c r="AT131" t="s">
        <v>1281</v>
      </c>
      <c r="AU131" t="s">
        <v>1177</v>
      </c>
      <c r="AV131" t="s">
        <v>1192</v>
      </c>
      <c r="AW131" t="s">
        <v>1177</v>
      </c>
      <c r="AX131">
        <v>0</v>
      </c>
      <c r="AY131">
        <v>0</v>
      </c>
      <c r="AZ131" t="s">
        <v>1177</v>
      </c>
      <c r="BA131">
        <v>36</v>
      </c>
      <c r="BB131" t="s">
        <v>1262</v>
      </c>
      <c r="BC131" t="s">
        <v>1603</v>
      </c>
      <c r="BD131">
        <v>36</v>
      </c>
      <c r="BE131">
        <v>46219</v>
      </c>
      <c r="BF131" t="s">
        <v>1165</v>
      </c>
      <c r="BG131" t="s">
        <v>1372</v>
      </c>
      <c r="BH131" t="s">
        <v>1373</v>
      </c>
      <c r="BI131" t="s">
        <v>1551</v>
      </c>
    </row>
    <row r="132" spans="1:61" x14ac:dyDescent="0.35">
      <c r="A132" s="7" t="str">
        <f t="shared" si="4"/>
        <v>461594300008991</v>
      </c>
      <c r="B132" s="7" t="str">
        <f t="shared" si="5"/>
        <v>GP017053B832</v>
      </c>
      <c r="C132" t="s">
        <v>1177</v>
      </c>
      <c r="D132" t="s">
        <v>1178</v>
      </c>
      <c r="E132" t="s">
        <v>1798</v>
      </c>
      <c r="F132" t="s">
        <v>1363</v>
      </c>
      <c r="G132" t="s">
        <v>1363</v>
      </c>
      <c r="H132" t="s">
        <v>1271</v>
      </c>
      <c r="I132">
        <v>46159</v>
      </c>
      <c r="J132" t="s">
        <v>1799</v>
      </c>
      <c r="K132" t="s">
        <v>1182</v>
      </c>
      <c r="L132" t="s">
        <v>1177</v>
      </c>
      <c r="M132" t="s">
        <v>1274</v>
      </c>
      <c r="N132" t="s">
        <v>1079</v>
      </c>
      <c r="O132" t="s">
        <v>1275</v>
      </c>
      <c r="P132">
        <v>46159</v>
      </c>
      <c r="Q132" t="s">
        <v>1177</v>
      </c>
      <c r="R132" t="s">
        <v>19</v>
      </c>
      <c r="S132" t="s">
        <v>654</v>
      </c>
      <c r="T132" t="s">
        <v>1800</v>
      </c>
      <c r="U132" t="s">
        <v>1801</v>
      </c>
      <c r="V132">
        <v>9</v>
      </c>
      <c r="W132" t="s">
        <v>1262</v>
      </c>
      <c r="X132" t="s">
        <v>1262</v>
      </c>
      <c r="Y132">
        <v>0</v>
      </c>
      <c r="Z132" t="s">
        <v>1186</v>
      </c>
      <c r="AA132" t="s">
        <v>1177</v>
      </c>
      <c r="AB132" t="s">
        <v>1276</v>
      </c>
      <c r="AC132" t="s">
        <v>1277</v>
      </c>
      <c r="AD132" t="s">
        <v>1278</v>
      </c>
      <c r="AE132" t="s">
        <v>1802</v>
      </c>
      <c r="AF132" t="s">
        <v>1178</v>
      </c>
      <c r="AG132" t="s">
        <v>1190</v>
      </c>
      <c r="AH132" t="s">
        <v>1178</v>
      </c>
      <c r="AI132" t="s">
        <v>1349</v>
      </c>
      <c r="AJ132" t="s">
        <v>1190</v>
      </c>
      <c r="AK132">
        <v>0</v>
      </c>
      <c r="AL132" t="s">
        <v>1262</v>
      </c>
      <c r="AM132">
        <v>45976</v>
      </c>
      <c r="AN132">
        <v>46339</v>
      </c>
      <c r="AO132">
        <v>46160</v>
      </c>
      <c r="AP132">
        <v>46162</v>
      </c>
      <c r="AQ132">
        <v>46162</v>
      </c>
      <c r="AR132">
        <v>46164</v>
      </c>
      <c r="AS132">
        <v>46168</v>
      </c>
      <c r="AT132" t="s">
        <v>1281</v>
      </c>
      <c r="AU132" t="s">
        <v>1177</v>
      </c>
      <c r="AV132" t="s">
        <v>1192</v>
      </c>
      <c r="AW132" t="s">
        <v>1177</v>
      </c>
      <c r="AX132">
        <v>163</v>
      </c>
      <c r="AY132">
        <v>2</v>
      </c>
      <c r="AZ132" t="s">
        <v>1177</v>
      </c>
      <c r="BA132">
        <v>0</v>
      </c>
      <c r="BB132" t="s">
        <v>1262</v>
      </c>
      <c r="BC132" t="s">
        <v>1803</v>
      </c>
      <c r="BD132">
        <v>8</v>
      </c>
      <c r="BE132">
        <v>46288</v>
      </c>
      <c r="BF132" t="s">
        <v>1165</v>
      </c>
      <c r="BG132" t="s">
        <v>1651</v>
      </c>
      <c r="BH132" t="s">
        <v>1567</v>
      </c>
      <c r="BI132" t="s">
        <v>1804</v>
      </c>
    </row>
    <row r="133" spans="1:61" x14ac:dyDescent="0.35">
      <c r="A133" s="7" t="str">
        <f t="shared" si="4"/>
        <v>461594300008992</v>
      </c>
      <c r="B133" s="7" t="str">
        <f t="shared" si="5"/>
        <v>GP092948B857</v>
      </c>
      <c r="C133" t="s">
        <v>1177</v>
      </c>
      <c r="D133" t="s">
        <v>1178</v>
      </c>
      <c r="E133" t="s">
        <v>1805</v>
      </c>
      <c r="F133" t="s">
        <v>1363</v>
      </c>
      <c r="G133" t="s">
        <v>1363</v>
      </c>
      <c r="H133" t="s">
        <v>1271</v>
      </c>
      <c r="I133">
        <v>46159</v>
      </c>
      <c r="J133" t="s">
        <v>1806</v>
      </c>
      <c r="K133" t="s">
        <v>1488</v>
      </c>
      <c r="L133" t="s">
        <v>1177</v>
      </c>
      <c r="M133" t="s">
        <v>1274</v>
      </c>
      <c r="N133" t="s">
        <v>1079</v>
      </c>
      <c r="O133" t="s">
        <v>1275</v>
      </c>
      <c r="P133">
        <v>46159</v>
      </c>
      <c r="Q133" t="s">
        <v>1177</v>
      </c>
      <c r="R133" t="s">
        <v>23</v>
      </c>
      <c r="S133" t="s">
        <v>959</v>
      </c>
      <c r="T133" t="s">
        <v>1085</v>
      </c>
      <c r="U133" t="s">
        <v>1086</v>
      </c>
      <c r="V133">
        <v>318</v>
      </c>
      <c r="W133" t="s">
        <v>1262</v>
      </c>
      <c r="X133" t="s">
        <v>1262</v>
      </c>
      <c r="Y133">
        <v>0</v>
      </c>
      <c r="Z133" t="s">
        <v>1186</v>
      </c>
      <c r="AA133" t="s">
        <v>1177</v>
      </c>
      <c r="AB133" t="s">
        <v>1286</v>
      </c>
      <c r="AC133" t="s">
        <v>1277</v>
      </c>
      <c r="AD133" t="s">
        <v>1278</v>
      </c>
      <c r="AE133" t="s">
        <v>1383</v>
      </c>
      <c r="AF133" t="s">
        <v>1178</v>
      </c>
      <c r="AG133" t="s">
        <v>1178</v>
      </c>
      <c r="AH133" t="s">
        <v>1178</v>
      </c>
      <c r="AI133" t="s">
        <v>1280</v>
      </c>
      <c r="AJ133" t="s">
        <v>1190</v>
      </c>
      <c r="AK133">
        <v>0</v>
      </c>
      <c r="AL133" t="s">
        <v>1262</v>
      </c>
      <c r="AM133">
        <v>45895</v>
      </c>
      <c r="AN133">
        <v>46231</v>
      </c>
      <c r="AO133">
        <v>46163</v>
      </c>
      <c r="AP133">
        <v>46167</v>
      </c>
      <c r="AQ133">
        <v>46167</v>
      </c>
      <c r="AR133">
        <v>46169</v>
      </c>
      <c r="AS133">
        <v>46191</v>
      </c>
      <c r="AT133" t="s">
        <v>1281</v>
      </c>
      <c r="AU133" t="s">
        <v>1177</v>
      </c>
      <c r="AV133" t="s">
        <v>1192</v>
      </c>
      <c r="AW133" t="s">
        <v>1177</v>
      </c>
      <c r="AX133">
        <v>60</v>
      </c>
      <c r="AY133">
        <v>16</v>
      </c>
      <c r="AZ133" t="s">
        <v>1177</v>
      </c>
      <c r="BA133">
        <v>0</v>
      </c>
      <c r="BB133" t="s">
        <v>1262</v>
      </c>
      <c r="BC133" t="e">
        <v>#N/A</v>
      </c>
      <c r="BD133" t="e">
        <v>#N/A</v>
      </c>
      <c r="BE133" t="e">
        <v>#N/A</v>
      </c>
      <c r="BF133" t="e">
        <v>#N/A</v>
      </c>
      <c r="BG133" t="s">
        <v>1458</v>
      </c>
      <c r="BH133" t="s">
        <v>1763</v>
      </c>
      <c r="BI133" t="s">
        <v>1807</v>
      </c>
    </row>
    <row r="134" spans="1:61" x14ac:dyDescent="0.35">
      <c r="A134" s="7" t="str">
        <f t="shared" si="4"/>
        <v>461594300009027</v>
      </c>
      <c r="B134" s="7" t="str">
        <f t="shared" si="5"/>
        <v>GP238650B833</v>
      </c>
      <c r="C134" t="s">
        <v>1177</v>
      </c>
      <c r="D134" t="s">
        <v>1178</v>
      </c>
      <c r="E134" t="s">
        <v>1813</v>
      </c>
      <c r="F134" t="s">
        <v>1363</v>
      </c>
      <c r="G134" t="s">
        <v>1363</v>
      </c>
      <c r="H134" t="s">
        <v>1271</v>
      </c>
      <c r="I134">
        <v>46159</v>
      </c>
      <c r="J134" t="s">
        <v>1814</v>
      </c>
      <c r="K134" t="s">
        <v>1182</v>
      </c>
      <c r="L134" t="s">
        <v>1177</v>
      </c>
      <c r="M134" t="s">
        <v>1274</v>
      </c>
      <c r="N134" t="s">
        <v>1079</v>
      </c>
      <c r="O134" t="s">
        <v>1275</v>
      </c>
      <c r="P134">
        <v>46159</v>
      </c>
      <c r="Q134" t="s">
        <v>1177</v>
      </c>
      <c r="R134" t="s">
        <v>697</v>
      </c>
      <c r="S134" t="s">
        <v>699</v>
      </c>
      <c r="T134" t="s">
        <v>279</v>
      </c>
      <c r="U134" t="s">
        <v>280</v>
      </c>
      <c r="V134">
        <v>5</v>
      </c>
      <c r="W134" t="s">
        <v>1262</v>
      </c>
      <c r="X134" t="s">
        <v>1262</v>
      </c>
      <c r="Y134">
        <v>0</v>
      </c>
      <c r="Z134" t="s">
        <v>1186</v>
      </c>
      <c r="AA134" t="s">
        <v>1177</v>
      </c>
      <c r="AB134" t="s">
        <v>1276</v>
      </c>
      <c r="AC134" t="s">
        <v>1277</v>
      </c>
      <c r="AD134" t="s">
        <v>1278</v>
      </c>
      <c r="AE134" t="s">
        <v>1815</v>
      </c>
      <c r="AF134" t="s">
        <v>1178</v>
      </c>
      <c r="AG134" t="s">
        <v>1190</v>
      </c>
      <c r="AH134" t="s">
        <v>1178</v>
      </c>
      <c r="AI134" t="s">
        <v>1349</v>
      </c>
      <c r="AJ134" t="s">
        <v>1190</v>
      </c>
      <c r="AK134">
        <v>0</v>
      </c>
      <c r="AL134" t="s">
        <v>1262</v>
      </c>
      <c r="AM134">
        <v>45813</v>
      </c>
      <c r="AN134">
        <v>46339</v>
      </c>
      <c r="AO134">
        <v>46160</v>
      </c>
      <c r="AP134">
        <v>46162</v>
      </c>
      <c r="AQ134">
        <v>46162</v>
      </c>
      <c r="AR134">
        <v>46164</v>
      </c>
      <c r="AS134">
        <v>46168</v>
      </c>
      <c r="AT134" t="s">
        <v>1281</v>
      </c>
      <c r="AU134" t="s">
        <v>1177</v>
      </c>
      <c r="AV134" t="s">
        <v>1192</v>
      </c>
      <c r="AW134" t="s">
        <v>1177</v>
      </c>
      <c r="AX134">
        <v>163</v>
      </c>
      <c r="AY134">
        <v>2</v>
      </c>
      <c r="AZ134" t="s">
        <v>1177</v>
      </c>
      <c r="BA134">
        <v>1</v>
      </c>
      <c r="BB134" t="s">
        <v>1262</v>
      </c>
      <c r="BC134" t="s">
        <v>1816</v>
      </c>
      <c r="BD134">
        <v>1</v>
      </c>
      <c r="BE134">
        <v>46188</v>
      </c>
      <c r="BF134" t="s">
        <v>1165</v>
      </c>
      <c r="BG134" t="s">
        <v>1212</v>
      </c>
      <c r="BH134" t="s">
        <v>1194</v>
      </c>
      <c r="BI134" t="s">
        <v>1213</v>
      </c>
    </row>
    <row r="135" spans="1:61" x14ac:dyDescent="0.35">
      <c r="A135" s="7" t="str">
        <f t="shared" si="4"/>
        <v>461594300009028</v>
      </c>
      <c r="B135" s="7" t="str">
        <f t="shared" si="5"/>
        <v>GP555245B838</v>
      </c>
      <c r="C135" t="s">
        <v>1177</v>
      </c>
      <c r="D135" t="s">
        <v>1178</v>
      </c>
      <c r="E135" t="s">
        <v>1817</v>
      </c>
      <c r="F135" t="s">
        <v>1363</v>
      </c>
      <c r="G135" t="s">
        <v>1363</v>
      </c>
      <c r="H135" t="s">
        <v>1271</v>
      </c>
      <c r="I135">
        <v>46159</v>
      </c>
      <c r="J135" t="s">
        <v>1818</v>
      </c>
      <c r="K135" t="s">
        <v>1288</v>
      </c>
      <c r="L135" t="s">
        <v>1177</v>
      </c>
      <c r="M135" t="s">
        <v>1274</v>
      </c>
      <c r="N135" t="s">
        <v>1079</v>
      </c>
      <c r="O135" t="s">
        <v>1275</v>
      </c>
      <c r="P135">
        <v>46212</v>
      </c>
      <c r="Q135" t="s">
        <v>1185</v>
      </c>
      <c r="R135" t="s">
        <v>48</v>
      </c>
      <c r="S135" t="s">
        <v>745</v>
      </c>
      <c r="T135" t="s">
        <v>1555</v>
      </c>
      <c r="U135" t="s">
        <v>1556</v>
      </c>
      <c r="V135">
        <v>26</v>
      </c>
      <c r="W135" t="s">
        <v>1262</v>
      </c>
      <c r="X135" t="s">
        <v>1262</v>
      </c>
      <c r="Y135">
        <v>0</v>
      </c>
      <c r="Z135" t="s">
        <v>1186</v>
      </c>
      <c r="AA135" t="s">
        <v>1177</v>
      </c>
      <c r="AB135" t="s">
        <v>1276</v>
      </c>
      <c r="AC135" t="s">
        <v>1277</v>
      </c>
      <c r="AD135" t="s">
        <v>1278</v>
      </c>
      <c r="AE135" t="s">
        <v>1292</v>
      </c>
      <c r="AF135" t="s">
        <v>1178</v>
      </c>
      <c r="AG135" t="s">
        <v>1190</v>
      </c>
      <c r="AH135" t="s">
        <v>1178</v>
      </c>
      <c r="AI135" t="s">
        <v>1280</v>
      </c>
      <c r="AJ135" t="s">
        <v>1190</v>
      </c>
      <c r="AK135">
        <v>0</v>
      </c>
      <c r="AL135" t="s">
        <v>1262</v>
      </c>
      <c r="AM135">
        <v>47177</v>
      </c>
      <c r="AN135">
        <v>47171</v>
      </c>
      <c r="AO135">
        <v>47171</v>
      </c>
      <c r="AP135">
        <v>47175</v>
      </c>
      <c r="AQ135">
        <v>47175</v>
      </c>
      <c r="AR135">
        <v>47177</v>
      </c>
      <c r="AS135">
        <v>47177</v>
      </c>
      <c r="AT135" t="s">
        <v>1281</v>
      </c>
      <c r="AU135" t="s">
        <v>1177</v>
      </c>
      <c r="AV135" t="s">
        <v>1192</v>
      </c>
      <c r="AW135" t="s">
        <v>1177</v>
      </c>
      <c r="AX135">
        <v>0</v>
      </c>
      <c r="AY135">
        <v>0</v>
      </c>
      <c r="AZ135" t="s">
        <v>1177</v>
      </c>
      <c r="BA135">
        <v>0</v>
      </c>
      <c r="BB135" t="s">
        <v>1262</v>
      </c>
      <c r="BC135" t="s">
        <v>1400</v>
      </c>
      <c r="BD135">
        <v>13</v>
      </c>
      <c r="BE135">
        <v>46170</v>
      </c>
      <c r="BF135" t="s">
        <v>1165</v>
      </c>
      <c r="BG135" t="e">
        <v>#N/A</v>
      </c>
      <c r="BH135" t="e">
        <v>#N/A</v>
      </c>
      <c r="BI135" t="e">
        <v>#N/A</v>
      </c>
    </row>
    <row r="136" spans="1:61" x14ac:dyDescent="0.35">
      <c r="A136" s="7" t="str">
        <f t="shared" si="4"/>
        <v>461594300009029</v>
      </c>
      <c r="B136" s="7" t="str">
        <f t="shared" si="5"/>
        <v>GP054196B838</v>
      </c>
      <c r="C136" t="s">
        <v>1177</v>
      </c>
      <c r="D136" t="s">
        <v>1178</v>
      </c>
      <c r="E136" t="s">
        <v>1819</v>
      </c>
      <c r="F136" t="s">
        <v>1363</v>
      </c>
      <c r="G136" t="s">
        <v>1363</v>
      </c>
      <c r="H136" t="s">
        <v>1271</v>
      </c>
      <c r="I136">
        <v>46159</v>
      </c>
      <c r="J136" t="s">
        <v>1820</v>
      </c>
      <c r="K136" t="s">
        <v>1182</v>
      </c>
      <c r="L136" t="s">
        <v>1177</v>
      </c>
      <c r="M136" t="s">
        <v>1274</v>
      </c>
      <c r="N136" t="s">
        <v>1079</v>
      </c>
      <c r="O136" t="s">
        <v>1275</v>
      </c>
      <c r="P136">
        <v>46159</v>
      </c>
      <c r="Q136" t="s">
        <v>1177</v>
      </c>
      <c r="R136" t="s">
        <v>48</v>
      </c>
      <c r="S136" t="s">
        <v>745</v>
      </c>
      <c r="T136" t="s">
        <v>776</v>
      </c>
      <c r="U136" t="s">
        <v>777</v>
      </c>
      <c r="V136">
        <v>13</v>
      </c>
      <c r="W136" t="s">
        <v>1262</v>
      </c>
      <c r="X136" t="s">
        <v>1262</v>
      </c>
      <c r="Y136">
        <v>0</v>
      </c>
      <c r="Z136" t="s">
        <v>1186</v>
      </c>
      <c r="AA136" t="s">
        <v>1177</v>
      </c>
      <c r="AB136" t="s">
        <v>1177</v>
      </c>
      <c r="AC136" t="s">
        <v>1177</v>
      </c>
      <c r="AD136" t="s">
        <v>1313</v>
      </c>
      <c r="AE136" t="s">
        <v>1463</v>
      </c>
      <c r="AF136" t="s">
        <v>1189</v>
      </c>
      <c r="AG136" t="s">
        <v>1189</v>
      </c>
      <c r="AH136" t="s">
        <v>1178</v>
      </c>
      <c r="AI136" t="s">
        <v>1280</v>
      </c>
      <c r="AJ136" t="s">
        <v>1190</v>
      </c>
      <c r="AK136">
        <v>0</v>
      </c>
      <c r="AL136" t="s">
        <v>1262</v>
      </c>
      <c r="AM136">
        <v>46265</v>
      </c>
      <c r="AN136">
        <v>46254</v>
      </c>
      <c r="AO136">
        <v>46254</v>
      </c>
      <c r="AP136">
        <v>46258</v>
      </c>
      <c r="AQ136">
        <v>46258</v>
      </c>
      <c r="AR136">
        <v>46260</v>
      </c>
      <c r="AS136">
        <v>46262</v>
      </c>
      <c r="AT136" t="s">
        <v>1281</v>
      </c>
      <c r="AU136" t="s">
        <v>1177</v>
      </c>
      <c r="AV136" t="s">
        <v>1192</v>
      </c>
      <c r="AW136" t="s">
        <v>1177</v>
      </c>
      <c r="AX136">
        <v>134</v>
      </c>
      <c r="AY136">
        <v>2</v>
      </c>
      <c r="AZ136" t="s">
        <v>1177</v>
      </c>
      <c r="BA136">
        <v>13</v>
      </c>
      <c r="BB136" t="s">
        <v>1262</v>
      </c>
      <c r="BC136" t="s">
        <v>1400</v>
      </c>
      <c r="BD136">
        <v>13</v>
      </c>
      <c r="BE136">
        <v>46170</v>
      </c>
      <c r="BF136" t="s">
        <v>1165</v>
      </c>
      <c r="BG136" t="e">
        <v>#N/A</v>
      </c>
      <c r="BH136" t="e">
        <v>#N/A</v>
      </c>
      <c r="BI136" t="e">
        <v>#N/A</v>
      </c>
    </row>
    <row r="137" spans="1:61" x14ac:dyDescent="0.35">
      <c r="A137" s="7" t="str">
        <f t="shared" si="4"/>
        <v>461594300009037</v>
      </c>
      <c r="B137" s="7" t="str">
        <f t="shared" si="5"/>
        <v>GP000467B833</v>
      </c>
      <c r="C137" t="s">
        <v>1177</v>
      </c>
      <c r="D137" t="s">
        <v>1178</v>
      </c>
      <c r="E137" t="s">
        <v>1825</v>
      </c>
      <c r="F137" t="s">
        <v>1363</v>
      </c>
      <c r="G137" t="s">
        <v>1363</v>
      </c>
      <c r="H137" t="s">
        <v>1271</v>
      </c>
      <c r="I137">
        <v>46159</v>
      </c>
      <c r="J137" t="s">
        <v>1826</v>
      </c>
      <c r="K137" t="s">
        <v>1380</v>
      </c>
      <c r="L137" t="s">
        <v>1177</v>
      </c>
      <c r="M137" t="s">
        <v>1274</v>
      </c>
      <c r="N137" t="s">
        <v>1079</v>
      </c>
      <c r="O137" t="s">
        <v>1275</v>
      </c>
      <c r="P137">
        <v>46159</v>
      </c>
      <c r="Q137" t="s">
        <v>1177</v>
      </c>
      <c r="R137" t="s">
        <v>697</v>
      </c>
      <c r="S137" t="s">
        <v>699</v>
      </c>
      <c r="T137" t="s">
        <v>1827</v>
      </c>
      <c r="U137" t="s">
        <v>1828</v>
      </c>
      <c r="V137">
        <v>2</v>
      </c>
      <c r="W137" t="s">
        <v>1404</v>
      </c>
      <c r="X137" t="s">
        <v>1404</v>
      </c>
      <c r="Y137">
        <v>0</v>
      </c>
      <c r="Z137" t="s">
        <v>1186</v>
      </c>
      <c r="AA137" t="s">
        <v>1177</v>
      </c>
      <c r="AB137" t="s">
        <v>1276</v>
      </c>
      <c r="AC137" t="s">
        <v>1277</v>
      </c>
      <c r="AD137" t="s">
        <v>1278</v>
      </c>
      <c r="AE137" t="s">
        <v>1357</v>
      </c>
      <c r="AF137" t="s">
        <v>1178</v>
      </c>
      <c r="AG137" t="s">
        <v>1190</v>
      </c>
      <c r="AH137" t="s">
        <v>1178</v>
      </c>
      <c r="AI137" t="s">
        <v>1349</v>
      </c>
      <c r="AJ137" t="s">
        <v>1190</v>
      </c>
      <c r="AK137">
        <v>0</v>
      </c>
      <c r="AL137" t="s">
        <v>1404</v>
      </c>
      <c r="AM137">
        <v>45848</v>
      </c>
      <c r="AN137">
        <v>46339</v>
      </c>
      <c r="AO137">
        <v>46160</v>
      </c>
      <c r="AP137">
        <v>46162</v>
      </c>
      <c r="AQ137">
        <v>46162</v>
      </c>
      <c r="AR137">
        <v>46164</v>
      </c>
      <c r="AS137">
        <v>46168</v>
      </c>
      <c r="AT137" t="s">
        <v>1281</v>
      </c>
      <c r="AU137" t="s">
        <v>1177</v>
      </c>
      <c r="AV137" t="s">
        <v>1192</v>
      </c>
      <c r="AW137" t="s">
        <v>1177</v>
      </c>
      <c r="AX137">
        <v>33</v>
      </c>
      <c r="AY137">
        <v>2</v>
      </c>
      <c r="AZ137" t="s">
        <v>1177</v>
      </c>
      <c r="BA137">
        <v>0</v>
      </c>
      <c r="BB137" t="s">
        <v>1404</v>
      </c>
      <c r="BC137" t="s">
        <v>1829</v>
      </c>
      <c r="BD137">
        <v>10</v>
      </c>
      <c r="BE137">
        <v>46188</v>
      </c>
      <c r="BF137" t="s">
        <v>1165</v>
      </c>
      <c r="BG137" t="s">
        <v>126</v>
      </c>
      <c r="BH137" t="s">
        <v>1194</v>
      </c>
      <c r="BI137" t="s">
        <v>126</v>
      </c>
    </row>
    <row r="138" spans="1:61" x14ac:dyDescent="0.35">
      <c r="A138" s="7" t="str">
        <f t="shared" si="4"/>
        <v>461594300009075</v>
      </c>
      <c r="B138" s="7" t="str">
        <f t="shared" si="5"/>
        <v>GP639358B864</v>
      </c>
      <c r="C138" t="s">
        <v>1177</v>
      </c>
      <c r="D138" t="s">
        <v>1178</v>
      </c>
      <c r="E138" t="s">
        <v>1831</v>
      </c>
      <c r="F138" t="s">
        <v>1363</v>
      </c>
      <c r="G138" t="s">
        <v>1363</v>
      </c>
      <c r="H138" t="s">
        <v>1271</v>
      </c>
      <c r="I138">
        <v>46159</v>
      </c>
      <c r="J138" t="s">
        <v>1832</v>
      </c>
      <c r="K138" t="s">
        <v>1834</v>
      </c>
      <c r="L138" t="s">
        <v>1177</v>
      </c>
      <c r="M138" t="s">
        <v>1274</v>
      </c>
      <c r="N138" t="s">
        <v>1079</v>
      </c>
      <c r="O138" t="s">
        <v>1275</v>
      </c>
      <c r="P138">
        <v>46159</v>
      </c>
      <c r="Q138" t="s">
        <v>1177</v>
      </c>
      <c r="R138" t="s">
        <v>10</v>
      </c>
      <c r="S138" t="s">
        <v>1011</v>
      </c>
      <c r="T138" t="s">
        <v>1835</v>
      </c>
      <c r="U138" t="s">
        <v>1836</v>
      </c>
      <c r="V138">
        <v>1</v>
      </c>
      <c r="W138" t="s">
        <v>1262</v>
      </c>
      <c r="X138" t="s">
        <v>1262</v>
      </c>
      <c r="Y138">
        <v>0</v>
      </c>
      <c r="Z138" t="s">
        <v>1186</v>
      </c>
      <c r="AA138" t="s">
        <v>1177</v>
      </c>
      <c r="AB138" t="s">
        <v>1276</v>
      </c>
      <c r="AC138" t="s">
        <v>1277</v>
      </c>
      <c r="AD138" t="s">
        <v>1278</v>
      </c>
      <c r="AE138" t="s">
        <v>1357</v>
      </c>
      <c r="AF138" t="s">
        <v>1178</v>
      </c>
      <c r="AG138" t="s">
        <v>1190</v>
      </c>
      <c r="AH138" t="s">
        <v>1178</v>
      </c>
      <c r="AI138" t="s">
        <v>1280</v>
      </c>
      <c r="AJ138" t="s">
        <v>1190</v>
      </c>
      <c r="AK138">
        <v>0</v>
      </c>
      <c r="AL138" t="s">
        <v>1262</v>
      </c>
      <c r="AM138">
        <v>46265</v>
      </c>
      <c r="AN138">
        <v>46286</v>
      </c>
      <c r="AO138">
        <v>46254</v>
      </c>
      <c r="AP138">
        <v>46258</v>
      </c>
      <c r="AQ138">
        <v>46258</v>
      </c>
      <c r="AR138">
        <v>46260</v>
      </c>
      <c r="AS138">
        <v>46260</v>
      </c>
      <c r="AT138" t="s">
        <v>1281</v>
      </c>
      <c r="AU138" t="s">
        <v>1177</v>
      </c>
      <c r="AV138" t="s">
        <v>1192</v>
      </c>
      <c r="AW138" t="s">
        <v>1177</v>
      </c>
      <c r="AX138">
        <v>0</v>
      </c>
      <c r="AY138">
        <v>0</v>
      </c>
      <c r="AZ138" t="s">
        <v>1177</v>
      </c>
      <c r="BA138">
        <v>0</v>
      </c>
      <c r="BB138" t="s">
        <v>1262</v>
      </c>
      <c r="BC138" t="s">
        <v>1833</v>
      </c>
      <c r="BD138">
        <v>1</v>
      </c>
      <c r="BE138">
        <v>46226</v>
      </c>
      <c r="BF138" t="s">
        <v>1165</v>
      </c>
      <c r="BG138" t="s">
        <v>1372</v>
      </c>
      <c r="BH138" t="s">
        <v>1822</v>
      </c>
      <c r="BI138" t="s">
        <v>1372</v>
      </c>
    </row>
    <row r="139" spans="1:61" x14ac:dyDescent="0.35">
      <c r="A139" s="7" t="str">
        <f t="shared" si="4"/>
        <v>461594300009076</v>
      </c>
      <c r="B139" s="7" t="str">
        <f t="shared" si="5"/>
        <v>GP639357B856</v>
      </c>
      <c r="C139" t="s">
        <v>1177</v>
      </c>
      <c r="D139" t="s">
        <v>1178</v>
      </c>
      <c r="E139" t="s">
        <v>1844</v>
      </c>
      <c r="F139" t="s">
        <v>1363</v>
      </c>
      <c r="G139" t="s">
        <v>1363</v>
      </c>
      <c r="H139" t="s">
        <v>1271</v>
      </c>
      <c r="I139">
        <v>46159</v>
      </c>
      <c r="J139" t="s">
        <v>1845</v>
      </c>
      <c r="K139" t="s">
        <v>1837</v>
      </c>
      <c r="L139" t="s">
        <v>1177</v>
      </c>
      <c r="M139" t="s">
        <v>1274</v>
      </c>
      <c r="N139" t="s">
        <v>1079</v>
      </c>
      <c r="O139" t="s">
        <v>1275</v>
      </c>
      <c r="P139">
        <v>46159</v>
      </c>
      <c r="Q139" t="s">
        <v>1177</v>
      </c>
      <c r="R139" t="s">
        <v>21</v>
      </c>
      <c r="S139" t="s">
        <v>853</v>
      </c>
      <c r="T139" t="s">
        <v>1838</v>
      </c>
      <c r="U139" t="s">
        <v>1839</v>
      </c>
      <c r="V139">
        <v>2</v>
      </c>
      <c r="W139" t="s">
        <v>1262</v>
      </c>
      <c r="X139" t="s">
        <v>1262</v>
      </c>
      <c r="Y139">
        <v>0</v>
      </c>
      <c r="Z139" t="s">
        <v>1186</v>
      </c>
      <c r="AA139" t="s">
        <v>1177</v>
      </c>
      <c r="AB139" t="s">
        <v>1276</v>
      </c>
      <c r="AC139" t="s">
        <v>1277</v>
      </c>
      <c r="AD139" t="s">
        <v>1278</v>
      </c>
      <c r="AE139" t="s">
        <v>1357</v>
      </c>
      <c r="AF139" t="s">
        <v>1178</v>
      </c>
      <c r="AG139" t="s">
        <v>1190</v>
      </c>
      <c r="AH139" t="s">
        <v>1178</v>
      </c>
      <c r="AI139" t="s">
        <v>1280</v>
      </c>
      <c r="AJ139" t="s">
        <v>1190</v>
      </c>
      <c r="AK139">
        <v>0</v>
      </c>
      <c r="AL139" t="s">
        <v>1262</v>
      </c>
      <c r="AM139">
        <v>46265</v>
      </c>
      <c r="AN139">
        <v>46318</v>
      </c>
      <c r="AO139">
        <v>46254</v>
      </c>
      <c r="AP139">
        <v>46258</v>
      </c>
      <c r="AQ139">
        <v>46258</v>
      </c>
      <c r="AR139">
        <v>46260</v>
      </c>
      <c r="AS139">
        <v>46260</v>
      </c>
      <c r="AT139" t="s">
        <v>1281</v>
      </c>
      <c r="AU139" t="s">
        <v>1177</v>
      </c>
      <c r="AV139" t="s">
        <v>1192</v>
      </c>
      <c r="AW139" t="s">
        <v>1177</v>
      </c>
      <c r="AX139">
        <v>0</v>
      </c>
      <c r="AY139">
        <v>0</v>
      </c>
      <c r="AZ139" t="s">
        <v>1177</v>
      </c>
      <c r="BA139">
        <v>0</v>
      </c>
      <c r="BB139" t="s">
        <v>1262</v>
      </c>
      <c r="BC139" t="s">
        <v>1846</v>
      </c>
      <c r="BD139">
        <v>2</v>
      </c>
      <c r="BE139">
        <v>46226</v>
      </c>
      <c r="BF139" t="s">
        <v>1165</v>
      </c>
      <c r="BG139" t="s">
        <v>1372</v>
      </c>
      <c r="BH139" t="s">
        <v>1822</v>
      </c>
      <c r="BI139" t="s">
        <v>1372</v>
      </c>
    </row>
    <row r="140" spans="1:61" x14ac:dyDescent="0.35">
      <c r="A140" s="7" t="str">
        <f t="shared" si="4"/>
        <v>461594300009077</v>
      </c>
      <c r="B140" s="7" t="str">
        <f t="shared" si="5"/>
        <v>GP639358B857</v>
      </c>
      <c r="C140" t="s">
        <v>1177</v>
      </c>
      <c r="D140" t="s">
        <v>1178</v>
      </c>
      <c r="E140" t="s">
        <v>1847</v>
      </c>
      <c r="F140" t="s">
        <v>1363</v>
      </c>
      <c r="G140" t="s">
        <v>1363</v>
      </c>
      <c r="H140" t="s">
        <v>1271</v>
      </c>
      <c r="I140">
        <v>46159</v>
      </c>
      <c r="J140" t="s">
        <v>1848</v>
      </c>
      <c r="K140" t="s">
        <v>1834</v>
      </c>
      <c r="L140" t="s">
        <v>1177</v>
      </c>
      <c r="M140" t="s">
        <v>1274</v>
      </c>
      <c r="N140" t="s">
        <v>1079</v>
      </c>
      <c r="O140" t="s">
        <v>1275</v>
      </c>
      <c r="P140">
        <v>46159</v>
      </c>
      <c r="Q140" t="s">
        <v>1177</v>
      </c>
      <c r="R140" t="s">
        <v>23</v>
      </c>
      <c r="S140" t="s">
        <v>959</v>
      </c>
      <c r="T140" t="s">
        <v>1835</v>
      </c>
      <c r="U140" t="s">
        <v>1836</v>
      </c>
      <c r="V140">
        <v>2</v>
      </c>
      <c r="W140" t="s">
        <v>1262</v>
      </c>
      <c r="X140" t="s">
        <v>1262</v>
      </c>
      <c r="Y140">
        <v>0</v>
      </c>
      <c r="Z140" t="s">
        <v>1186</v>
      </c>
      <c r="AA140" t="s">
        <v>1177</v>
      </c>
      <c r="AB140" t="s">
        <v>1276</v>
      </c>
      <c r="AC140" t="s">
        <v>1277</v>
      </c>
      <c r="AD140" t="s">
        <v>1278</v>
      </c>
      <c r="AE140" t="s">
        <v>1357</v>
      </c>
      <c r="AF140" t="s">
        <v>1178</v>
      </c>
      <c r="AG140" t="s">
        <v>1190</v>
      </c>
      <c r="AH140" t="s">
        <v>1178</v>
      </c>
      <c r="AI140" t="s">
        <v>1280</v>
      </c>
      <c r="AJ140" t="s">
        <v>1190</v>
      </c>
      <c r="AK140">
        <v>0</v>
      </c>
      <c r="AL140" t="s">
        <v>1262</v>
      </c>
      <c r="AM140">
        <v>46265</v>
      </c>
      <c r="AN140">
        <v>46318</v>
      </c>
      <c r="AO140">
        <v>46254</v>
      </c>
      <c r="AP140">
        <v>46258</v>
      </c>
      <c r="AQ140">
        <v>46258</v>
      </c>
      <c r="AR140">
        <v>46260</v>
      </c>
      <c r="AS140">
        <v>46260</v>
      </c>
      <c r="AT140" t="s">
        <v>1281</v>
      </c>
      <c r="AU140" t="s">
        <v>1177</v>
      </c>
      <c r="AV140" t="s">
        <v>1192</v>
      </c>
      <c r="AW140" t="s">
        <v>1177</v>
      </c>
      <c r="AX140">
        <v>0</v>
      </c>
      <c r="AY140">
        <v>0</v>
      </c>
      <c r="AZ140" t="s">
        <v>1177</v>
      </c>
      <c r="BA140">
        <v>0</v>
      </c>
      <c r="BB140" t="s">
        <v>1262</v>
      </c>
      <c r="BC140" t="s">
        <v>1849</v>
      </c>
      <c r="BD140">
        <v>2</v>
      </c>
      <c r="BE140">
        <v>46226</v>
      </c>
      <c r="BF140" t="s">
        <v>1165</v>
      </c>
      <c r="BG140" t="s">
        <v>1372</v>
      </c>
      <c r="BH140" t="s">
        <v>1822</v>
      </c>
      <c r="BI140" t="s">
        <v>1372</v>
      </c>
    </row>
    <row r="141" spans="1:61" x14ac:dyDescent="0.35">
      <c r="A141" s="7" t="str">
        <f t="shared" si="4"/>
        <v>461594300009104</v>
      </c>
      <c r="B141" s="7" t="str">
        <f t="shared" si="5"/>
        <v>GP144559-001B864</v>
      </c>
      <c r="C141" t="s">
        <v>1177</v>
      </c>
      <c r="D141" t="s">
        <v>1178</v>
      </c>
      <c r="E141" t="s">
        <v>1851</v>
      </c>
      <c r="F141" t="s">
        <v>1363</v>
      </c>
      <c r="G141" t="s">
        <v>1363</v>
      </c>
      <c r="H141" t="s">
        <v>1271</v>
      </c>
      <c r="I141">
        <v>46159</v>
      </c>
      <c r="J141" t="s">
        <v>1852</v>
      </c>
      <c r="K141" t="s">
        <v>1182</v>
      </c>
      <c r="L141" t="s">
        <v>1177</v>
      </c>
      <c r="M141" t="s">
        <v>1274</v>
      </c>
      <c r="N141" t="s">
        <v>1079</v>
      </c>
      <c r="O141" t="s">
        <v>1275</v>
      </c>
      <c r="P141">
        <v>46159</v>
      </c>
      <c r="Q141" t="s">
        <v>1177</v>
      </c>
      <c r="R141" t="s">
        <v>10</v>
      </c>
      <c r="S141" t="s">
        <v>1011</v>
      </c>
      <c r="T141" t="s">
        <v>407</v>
      </c>
      <c r="U141" t="s">
        <v>1610</v>
      </c>
      <c r="V141">
        <v>2</v>
      </c>
      <c r="W141" t="s">
        <v>1262</v>
      </c>
      <c r="X141" t="s">
        <v>1262</v>
      </c>
      <c r="Y141">
        <v>0</v>
      </c>
      <c r="Z141" t="s">
        <v>1186</v>
      </c>
      <c r="AA141" t="s">
        <v>1177</v>
      </c>
      <c r="AB141" t="s">
        <v>1177</v>
      </c>
      <c r="AC141" t="s">
        <v>1177</v>
      </c>
      <c r="AD141" t="s">
        <v>1204</v>
      </c>
      <c r="AE141" t="s">
        <v>1188</v>
      </c>
      <c r="AF141" t="s">
        <v>1189</v>
      </c>
      <c r="AG141" t="s">
        <v>1178</v>
      </c>
      <c r="AH141" t="s">
        <v>1178</v>
      </c>
      <c r="AI141" t="s">
        <v>1280</v>
      </c>
      <c r="AJ141" t="s">
        <v>1190</v>
      </c>
      <c r="AK141">
        <v>0</v>
      </c>
      <c r="AL141" t="s">
        <v>1262</v>
      </c>
      <c r="AM141">
        <v>46078</v>
      </c>
      <c r="AN141">
        <v>46199</v>
      </c>
      <c r="AO141">
        <v>46163</v>
      </c>
      <c r="AP141">
        <v>46167</v>
      </c>
      <c r="AQ141">
        <v>46167</v>
      </c>
      <c r="AR141">
        <v>46169</v>
      </c>
      <c r="AS141">
        <v>46171</v>
      </c>
      <c r="AT141" t="s">
        <v>1281</v>
      </c>
      <c r="AU141" t="s">
        <v>1177</v>
      </c>
      <c r="AV141" t="s">
        <v>1192</v>
      </c>
      <c r="AW141" t="s">
        <v>1177</v>
      </c>
      <c r="AX141">
        <v>69</v>
      </c>
      <c r="AY141">
        <v>2</v>
      </c>
      <c r="AZ141" t="s">
        <v>1177</v>
      </c>
      <c r="BA141">
        <v>0</v>
      </c>
      <c r="BB141" t="s">
        <v>1262</v>
      </c>
      <c r="BC141" t="s">
        <v>1683</v>
      </c>
      <c r="BD141">
        <v>2</v>
      </c>
      <c r="BE141">
        <v>46188</v>
      </c>
      <c r="BF141" t="s">
        <v>1165</v>
      </c>
      <c r="BG141" t="s">
        <v>126</v>
      </c>
      <c r="BH141" t="s">
        <v>1194</v>
      </c>
      <c r="BI141" t="s">
        <v>126</v>
      </c>
    </row>
    <row r="142" spans="1:61" x14ac:dyDescent="0.35">
      <c r="A142" s="7" t="str">
        <f t="shared" si="4"/>
        <v>461594300009114</v>
      </c>
      <c r="B142" s="7" t="str">
        <f t="shared" si="5"/>
        <v>GP022119-001B856</v>
      </c>
      <c r="C142" t="s">
        <v>1177</v>
      </c>
      <c r="D142" t="s">
        <v>1178</v>
      </c>
      <c r="E142" t="s">
        <v>1853</v>
      </c>
      <c r="F142" t="s">
        <v>1363</v>
      </c>
      <c r="G142" t="s">
        <v>1363</v>
      </c>
      <c r="H142" t="s">
        <v>1271</v>
      </c>
      <c r="I142">
        <v>46159</v>
      </c>
      <c r="J142" t="s">
        <v>1854</v>
      </c>
      <c r="K142" t="s">
        <v>1855</v>
      </c>
      <c r="L142" t="s">
        <v>1177</v>
      </c>
      <c r="M142" t="s">
        <v>1274</v>
      </c>
      <c r="N142" t="s">
        <v>1079</v>
      </c>
      <c r="O142" t="s">
        <v>1275</v>
      </c>
      <c r="P142">
        <v>46159</v>
      </c>
      <c r="Q142" t="s">
        <v>1177</v>
      </c>
      <c r="R142" t="s">
        <v>21</v>
      </c>
      <c r="S142" t="s">
        <v>853</v>
      </c>
      <c r="T142" t="s">
        <v>236</v>
      </c>
      <c r="U142" t="s">
        <v>237</v>
      </c>
      <c r="V142">
        <v>10</v>
      </c>
      <c r="W142" t="s">
        <v>1262</v>
      </c>
      <c r="X142" t="s">
        <v>1262</v>
      </c>
      <c r="Y142">
        <v>0</v>
      </c>
      <c r="Z142" t="s">
        <v>1186</v>
      </c>
      <c r="AA142" t="s">
        <v>1177</v>
      </c>
      <c r="AB142" t="s">
        <v>1177</v>
      </c>
      <c r="AC142" t="s">
        <v>1177</v>
      </c>
      <c r="AD142" t="s">
        <v>1204</v>
      </c>
      <c r="AE142" t="s">
        <v>1408</v>
      </c>
      <c r="AF142" t="s">
        <v>1189</v>
      </c>
      <c r="AG142" t="s">
        <v>1178</v>
      </c>
      <c r="AH142" t="s">
        <v>1178</v>
      </c>
      <c r="AI142" t="s">
        <v>1280</v>
      </c>
      <c r="AJ142" t="s">
        <v>1190</v>
      </c>
      <c r="AK142">
        <v>0</v>
      </c>
      <c r="AL142" t="s">
        <v>1262</v>
      </c>
      <c r="AM142">
        <v>46042</v>
      </c>
      <c r="AN142">
        <v>46260</v>
      </c>
      <c r="AO142">
        <v>46163</v>
      </c>
      <c r="AP142">
        <v>46167</v>
      </c>
      <c r="AQ142">
        <v>46167</v>
      </c>
      <c r="AR142">
        <v>46169</v>
      </c>
      <c r="AS142">
        <v>46171</v>
      </c>
      <c r="AT142" t="s">
        <v>1281</v>
      </c>
      <c r="AU142" t="s">
        <v>1177</v>
      </c>
      <c r="AV142" t="s">
        <v>1192</v>
      </c>
      <c r="AW142" t="s">
        <v>1177</v>
      </c>
      <c r="AX142">
        <v>134</v>
      </c>
      <c r="AY142">
        <v>2</v>
      </c>
      <c r="AZ142" t="s">
        <v>1177</v>
      </c>
      <c r="BA142">
        <v>0</v>
      </c>
      <c r="BB142" t="s">
        <v>1262</v>
      </c>
      <c r="BC142" t="e">
        <v>#N/A</v>
      </c>
      <c r="BD142" t="e">
        <v>#N/A</v>
      </c>
      <c r="BE142" t="e">
        <v>#N/A</v>
      </c>
      <c r="BF142" t="e">
        <v>#N/A</v>
      </c>
      <c r="BG142" t="s">
        <v>1458</v>
      </c>
      <c r="BH142" t="s">
        <v>1763</v>
      </c>
      <c r="BI142" t="s">
        <v>1458</v>
      </c>
    </row>
    <row r="143" spans="1:61" x14ac:dyDescent="0.35">
      <c r="A143" s="7" t="str">
        <f t="shared" si="4"/>
        <v>461594300009116</v>
      </c>
      <c r="B143" s="7" t="str">
        <f t="shared" si="5"/>
        <v>50235B864</v>
      </c>
      <c r="C143" t="s">
        <v>1177</v>
      </c>
      <c r="D143" t="s">
        <v>1178</v>
      </c>
      <c r="E143" t="s">
        <v>1856</v>
      </c>
      <c r="F143" t="s">
        <v>1363</v>
      </c>
      <c r="G143" t="s">
        <v>1363</v>
      </c>
      <c r="H143" t="s">
        <v>1271</v>
      </c>
      <c r="I143">
        <v>46159</v>
      </c>
      <c r="J143" t="s">
        <v>1857</v>
      </c>
      <c r="K143" t="s">
        <v>1426</v>
      </c>
      <c r="L143" t="s">
        <v>1177</v>
      </c>
      <c r="M143" t="s">
        <v>1274</v>
      </c>
      <c r="N143" t="s">
        <v>1079</v>
      </c>
      <c r="O143" t="s">
        <v>1275</v>
      </c>
      <c r="P143">
        <v>46159</v>
      </c>
      <c r="Q143" t="s">
        <v>1177</v>
      </c>
      <c r="R143" t="s">
        <v>10</v>
      </c>
      <c r="S143" t="s">
        <v>1011</v>
      </c>
      <c r="T143" t="s">
        <v>1680</v>
      </c>
      <c r="U143" t="s">
        <v>1681</v>
      </c>
      <c r="V143">
        <v>1</v>
      </c>
      <c r="W143" t="s">
        <v>1262</v>
      </c>
      <c r="X143" t="s">
        <v>1262</v>
      </c>
      <c r="Y143">
        <v>0</v>
      </c>
      <c r="Z143" t="s">
        <v>1186</v>
      </c>
      <c r="AA143" t="s">
        <v>1177</v>
      </c>
      <c r="AB143" t="s">
        <v>1276</v>
      </c>
      <c r="AC143" t="s">
        <v>1277</v>
      </c>
      <c r="AD143" t="s">
        <v>1278</v>
      </c>
      <c r="AE143" t="s">
        <v>1682</v>
      </c>
      <c r="AF143" t="s">
        <v>1178</v>
      </c>
      <c r="AG143" t="s">
        <v>1190</v>
      </c>
      <c r="AH143" t="s">
        <v>1178</v>
      </c>
      <c r="AI143" t="s">
        <v>1280</v>
      </c>
      <c r="AJ143" t="s">
        <v>1190</v>
      </c>
      <c r="AK143">
        <v>0</v>
      </c>
      <c r="AL143" t="s">
        <v>1262</v>
      </c>
      <c r="AM143">
        <v>45908</v>
      </c>
      <c r="AN143">
        <v>46324</v>
      </c>
      <c r="AO143">
        <v>46163</v>
      </c>
      <c r="AP143">
        <v>46167</v>
      </c>
      <c r="AQ143">
        <v>46167</v>
      </c>
      <c r="AR143">
        <v>46169</v>
      </c>
      <c r="AS143">
        <v>46171</v>
      </c>
      <c r="AT143" t="s">
        <v>1281</v>
      </c>
      <c r="AU143" t="s">
        <v>1177</v>
      </c>
      <c r="AV143" t="s">
        <v>1192</v>
      </c>
      <c r="AW143" t="s">
        <v>1177</v>
      </c>
      <c r="AX143">
        <v>33</v>
      </c>
      <c r="AY143">
        <v>2</v>
      </c>
      <c r="AZ143" t="s">
        <v>1177</v>
      </c>
      <c r="BA143">
        <v>0</v>
      </c>
      <c r="BB143" t="s">
        <v>1262</v>
      </c>
      <c r="BC143" t="e">
        <v>#N/A</v>
      </c>
      <c r="BD143" t="e">
        <v>#N/A</v>
      </c>
      <c r="BE143" t="e">
        <v>#N/A</v>
      </c>
      <c r="BF143" t="e">
        <v>#N/A</v>
      </c>
      <c r="BG143" t="s">
        <v>126</v>
      </c>
      <c r="BH143" t="s">
        <v>1194</v>
      </c>
      <c r="BI143" t="s">
        <v>126</v>
      </c>
    </row>
    <row r="144" spans="1:61" x14ac:dyDescent="0.35">
      <c r="A144" s="7" t="str">
        <f t="shared" si="4"/>
        <v>461594300009152</v>
      </c>
      <c r="B144" s="7" t="str">
        <f t="shared" si="5"/>
        <v>GP486500B833</v>
      </c>
      <c r="C144" t="s">
        <v>1177</v>
      </c>
      <c r="D144" t="s">
        <v>1178</v>
      </c>
      <c r="E144" t="s">
        <v>1858</v>
      </c>
      <c r="F144" t="s">
        <v>1363</v>
      </c>
      <c r="G144" t="s">
        <v>1363</v>
      </c>
      <c r="H144" t="s">
        <v>1271</v>
      </c>
      <c r="I144">
        <v>46159</v>
      </c>
      <c r="J144" t="s">
        <v>1859</v>
      </c>
      <c r="K144" t="s">
        <v>1436</v>
      </c>
      <c r="L144" t="s">
        <v>1177</v>
      </c>
      <c r="M144" t="s">
        <v>1274</v>
      </c>
      <c r="N144" t="s">
        <v>1079</v>
      </c>
      <c r="O144" t="s">
        <v>1275</v>
      </c>
      <c r="P144">
        <v>46159</v>
      </c>
      <c r="Q144" t="s">
        <v>1177</v>
      </c>
      <c r="R144" t="s">
        <v>697</v>
      </c>
      <c r="S144" t="s">
        <v>699</v>
      </c>
      <c r="T144" t="s">
        <v>108</v>
      </c>
      <c r="U144" t="s">
        <v>109</v>
      </c>
      <c r="V144">
        <v>2</v>
      </c>
      <c r="W144" t="s">
        <v>1262</v>
      </c>
      <c r="X144" t="s">
        <v>1262</v>
      </c>
      <c r="Y144">
        <v>0</v>
      </c>
      <c r="Z144" t="s">
        <v>1186</v>
      </c>
      <c r="AA144" t="s">
        <v>1177</v>
      </c>
      <c r="AB144" t="s">
        <v>1276</v>
      </c>
      <c r="AC144" t="s">
        <v>1277</v>
      </c>
      <c r="AD144" t="s">
        <v>1278</v>
      </c>
      <c r="AE144" t="s">
        <v>1750</v>
      </c>
      <c r="AF144" t="s">
        <v>1178</v>
      </c>
      <c r="AG144" t="s">
        <v>1190</v>
      </c>
      <c r="AH144" t="s">
        <v>1178</v>
      </c>
      <c r="AI144" t="s">
        <v>1349</v>
      </c>
      <c r="AJ144" t="s">
        <v>1190</v>
      </c>
      <c r="AK144">
        <v>0</v>
      </c>
      <c r="AL144" t="s">
        <v>1262</v>
      </c>
      <c r="AM144">
        <v>45981</v>
      </c>
      <c r="AN144">
        <v>46196</v>
      </c>
      <c r="AO144">
        <v>46160</v>
      </c>
      <c r="AP144">
        <v>46162</v>
      </c>
      <c r="AQ144">
        <v>46162</v>
      </c>
      <c r="AR144">
        <v>46164</v>
      </c>
      <c r="AS144">
        <v>46168</v>
      </c>
      <c r="AT144" t="s">
        <v>1281</v>
      </c>
      <c r="AU144" t="s">
        <v>1177</v>
      </c>
      <c r="AV144" t="s">
        <v>1192</v>
      </c>
      <c r="AW144" t="s">
        <v>1177</v>
      </c>
      <c r="AX144">
        <v>33</v>
      </c>
      <c r="AY144">
        <v>2</v>
      </c>
      <c r="AZ144" t="s">
        <v>1177</v>
      </c>
      <c r="BA144">
        <v>0</v>
      </c>
      <c r="BB144" t="s">
        <v>1262</v>
      </c>
      <c r="BC144" t="e">
        <v>#N/A</v>
      </c>
      <c r="BD144" t="e">
        <v>#N/A</v>
      </c>
      <c r="BE144" t="e">
        <v>#N/A</v>
      </c>
      <c r="BF144" t="e">
        <v>#N/A</v>
      </c>
      <c r="BG144" t="s">
        <v>126</v>
      </c>
      <c r="BH144" t="s">
        <v>1194</v>
      </c>
      <c r="BI144" t="s">
        <v>126</v>
      </c>
    </row>
    <row r="145" spans="1:61" x14ac:dyDescent="0.35">
      <c r="A145" s="7" t="str">
        <f t="shared" si="4"/>
        <v>461594300009168</v>
      </c>
      <c r="B145" s="7" t="str">
        <f t="shared" si="5"/>
        <v>GP339324B838</v>
      </c>
      <c r="C145" t="s">
        <v>1177</v>
      </c>
      <c r="D145" t="s">
        <v>1178</v>
      </c>
      <c r="E145" t="s">
        <v>1860</v>
      </c>
      <c r="F145" t="s">
        <v>1363</v>
      </c>
      <c r="G145" t="s">
        <v>1363</v>
      </c>
      <c r="H145" t="s">
        <v>1271</v>
      </c>
      <c r="I145">
        <v>46159</v>
      </c>
      <c r="J145" t="s">
        <v>1861</v>
      </c>
      <c r="K145" t="s">
        <v>1182</v>
      </c>
      <c r="L145" t="s">
        <v>1177</v>
      </c>
      <c r="M145" t="s">
        <v>1274</v>
      </c>
      <c r="N145" t="s">
        <v>1079</v>
      </c>
      <c r="O145" t="s">
        <v>1275</v>
      </c>
      <c r="P145">
        <v>46159</v>
      </c>
      <c r="Q145" t="s">
        <v>1177</v>
      </c>
      <c r="R145" t="s">
        <v>48</v>
      </c>
      <c r="S145" t="s">
        <v>745</v>
      </c>
      <c r="T145" t="s">
        <v>1862</v>
      </c>
      <c r="U145" t="s">
        <v>1863</v>
      </c>
      <c r="V145">
        <v>1</v>
      </c>
      <c r="W145" t="s">
        <v>1262</v>
      </c>
      <c r="X145" t="s">
        <v>1262</v>
      </c>
      <c r="Y145">
        <v>0</v>
      </c>
      <c r="Z145" t="s">
        <v>1186</v>
      </c>
      <c r="AA145" t="s">
        <v>1177</v>
      </c>
      <c r="AB145" t="s">
        <v>1276</v>
      </c>
      <c r="AC145" t="s">
        <v>1277</v>
      </c>
      <c r="AD145" t="s">
        <v>1278</v>
      </c>
      <c r="AE145" t="s">
        <v>1478</v>
      </c>
      <c r="AF145" t="s">
        <v>1178</v>
      </c>
      <c r="AG145" t="s">
        <v>1190</v>
      </c>
      <c r="AH145" t="s">
        <v>1178</v>
      </c>
      <c r="AI145" t="s">
        <v>1280</v>
      </c>
      <c r="AJ145" t="s">
        <v>1190</v>
      </c>
      <c r="AK145">
        <v>0</v>
      </c>
      <c r="AL145" t="s">
        <v>1262</v>
      </c>
      <c r="AM145">
        <v>45920</v>
      </c>
      <c r="AN145">
        <v>46331</v>
      </c>
      <c r="AO145">
        <v>46163</v>
      </c>
      <c r="AP145">
        <v>46167</v>
      </c>
      <c r="AQ145">
        <v>46167</v>
      </c>
      <c r="AR145">
        <v>46169</v>
      </c>
      <c r="AS145">
        <v>46171</v>
      </c>
      <c r="AT145" t="s">
        <v>1281</v>
      </c>
      <c r="AU145" t="s">
        <v>1177</v>
      </c>
      <c r="AV145" t="s">
        <v>1192</v>
      </c>
      <c r="AW145" t="s">
        <v>1177</v>
      </c>
      <c r="AX145">
        <v>192</v>
      </c>
      <c r="AY145">
        <v>2</v>
      </c>
      <c r="AZ145" t="s">
        <v>1177</v>
      </c>
      <c r="BA145">
        <v>0</v>
      </c>
      <c r="BB145" t="s">
        <v>1262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</row>
    <row r="146" spans="1:61" x14ac:dyDescent="0.35">
      <c r="A146" s="7" t="str">
        <f t="shared" si="4"/>
        <v>461594300009186</v>
      </c>
      <c r="B146" s="7" t="str">
        <f t="shared" si="5"/>
        <v>GP007339B867</v>
      </c>
      <c r="C146" t="s">
        <v>1177</v>
      </c>
      <c r="D146" t="s">
        <v>1178</v>
      </c>
      <c r="E146" t="s">
        <v>1865</v>
      </c>
      <c r="F146" t="s">
        <v>1363</v>
      </c>
      <c r="G146" t="s">
        <v>1363</v>
      </c>
      <c r="H146" t="s">
        <v>1271</v>
      </c>
      <c r="I146">
        <v>46159</v>
      </c>
      <c r="J146" t="s">
        <v>1866</v>
      </c>
      <c r="K146" t="s">
        <v>1182</v>
      </c>
      <c r="L146" t="s">
        <v>1177</v>
      </c>
      <c r="M146" t="s">
        <v>1274</v>
      </c>
      <c r="N146" t="s">
        <v>1079</v>
      </c>
      <c r="O146" t="s">
        <v>1275</v>
      </c>
      <c r="P146">
        <v>46159</v>
      </c>
      <c r="Q146" t="s">
        <v>1177</v>
      </c>
      <c r="R146" t="s">
        <v>25</v>
      </c>
      <c r="S146" t="s">
        <v>1060</v>
      </c>
      <c r="T146" t="s">
        <v>221</v>
      </c>
      <c r="U146" t="s">
        <v>1672</v>
      </c>
      <c r="V146">
        <v>1</v>
      </c>
      <c r="W146" t="s">
        <v>1262</v>
      </c>
      <c r="X146" t="s">
        <v>1262</v>
      </c>
      <c r="Y146">
        <v>0</v>
      </c>
      <c r="Z146" t="s">
        <v>1186</v>
      </c>
      <c r="AA146" t="s">
        <v>1177</v>
      </c>
      <c r="AB146" t="s">
        <v>1177</v>
      </c>
      <c r="AC146" t="s">
        <v>1177</v>
      </c>
      <c r="AD146" t="s">
        <v>1313</v>
      </c>
      <c r="AE146" t="s">
        <v>1292</v>
      </c>
      <c r="AF146" t="s">
        <v>1189</v>
      </c>
      <c r="AG146" t="s">
        <v>1178</v>
      </c>
      <c r="AH146" t="s">
        <v>1178</v>
      </c>
      <c r="AI146" t="s">
        <v>1280</v>
      </c>
      <c r="AJ146" t="s">
        <v>1190</v>
      </c>
      <c r="AK146">
        <v>0</v>
      </c>
      <c r="AL146" t="s">
        <v>1262</v>
      </c>
      <c r="AM146">
        <v>45953</v>
      </c>
      <c r="AN146">
        <v>46182</v>
      </c>
      <c r="AO146">
        <v>46163</v>
      </c>
      <c r="AP146">
        <v>46167</v>
      </c>
      <c r="AQ146">
        <v>46167</v>
      </c>
      <c r="AR146">
        <v>46169</v>
      </c>
      <c r="AS146">
        <v>46171</v>
      </c>
      <c r="AT146" t="s">
        <v>1281</v>
      </c>
      <c r="AU146" t="s">
        <v>1177</v>
      </c>
      <c r="AV146" t="s">
        <v>1192</v>
      </c>
      <c r="AW146" t="s">
        <v>1177</v>
      </c>
      <c r="AX146">
        <v>54</v>
      </c>
      <c r="AY146">
        <v>2</v>
      </c>
      <c r="AZ146" t="s">
        <v>1177</v>
      </c>
      <c r="BA146">
        <v>0</v>
      </c>
      <c r="BB146" t="s">
        <v>1262</v>
      </c>
      <c r="BC146" t="e">
        <v>#N/A</v>
      </c>
      <c r="BD146" t="e">
        <v>#N/A</v>
      </c>
      <c r="BE146" t="e">
        <v>#N/A</v>
      </c>
      <c r="BF146" t="e">
        <v>#N/A</v>
      </c>
      <c r="BG146" t="s">
        <v>1581</v>
      </c>
      <c r="BH146" t="s">
        <v>1194</v>
      </c>
      <c r="BI146" t="s">
        <v>1867</v>
      </c>
    </row>
    <row r="147" spans="1:61" x14ac:dyDescent="0.35">
      <c r="A147" s="7" t="str">
        <f t="shared" si="4"/>
        <v>461594300009187</v>
      </c>
      <c r="B147" s="7" t="str">
        <f t="shared" si="5"/>
        <v>GP007339B867</v>
      </c>
      <c r="C147" t="s">
        <v>1177</v>
      </c>
      <c r="D147" t="s">
        <v>1178</v>
      </c>
      <c r="E147" t="s">
        <v>1868</v>
      </c>
      <c r="F147" t="s">
        <v>1363</v>
      </c>
      <c r="G147" t="s">
        <v>1363</v>
      </c>
      <c r="H147" t="s">
        <v>1271</v>
      </c>
      <c r="I147">
        <v>46159</v>
      </c>
      <c r="J147" t="s">
        <v>1869</v>
      </c>
      <c r="K147" t="s">
        <v>1182</v>
      </c>
      <c r="L147" t="s">
        <v>1177</v>
      </c>
      <c r="M147" t="s">
        <v>1274</v>
      </c>
      <c r="N147" t="s">
        <v>1079</v>
      </c>
      <c r="O147" t="s">
        <v>1275</v>
      </c>
      <c r="P147">
        <v>46159</v>
      </c>
      <c r="Q147" t="s">
        <v>1177</v>
      </c>
      <c r="R147" t="s">
        <v>25</v>
      </c>
      <c r="S147" t="s">
        <v>1060</v>
      </c>
      <c r="T147" t="s">
        <v>221</v>
      </c>
      <c r="U147" t="s">
        <v>1672</v>
      </c>
      <c r="V147">
        <v>44</v>
      </c>
      <c r="W147" t="s">
        <v>1262</v>
      </c>
      <c r="X147" t="s">
        <v>1262</v>
      </c>
      <c r="Y147">
        <v>0</v>
      </c>
      <c r="Z147" t="s">
        <v>1186</v>
      </c>
      <c r="AA147" t="s">
        <v>1177</v>
      </c>
      <c r="AB147" t="s">
        <v>1177</v>
      </c>
      <c r="AC147" t="s">
        <v>1177</v>
      </c>
      <c r="AD147" t="s">
        <v>1313</v>
      </c>
      <c r="AE147" t="s">
        <v>1292</v>
      </c>
      <c r="AF147" t="s">
        <v>1189</v>
      </c>
      <c r="AG147" t="s">
        <v>1178</v>
      </c>
      <c r="AH147" t="s">
        <v>1178</v>
      </c>
      <c r="AI147" t="s">
        <v>1280</v>
      </c>
      <c r="AJ147" t="s">
        <v>1190</v>
      </c>
      <c r="AK147">
        <v>0</v>
      </c>
      <c r="AL147" t="s">
        <v>1262</v>
      </c>
      <c r="AM147">
        <v>46078</v>
      </c>
      <c r="AN147">
        <v>46182</v>
      </c>
      <c r="AO147">
        <v>46163</v>
      </c>
      <c r="AP147">
        <v>46167</v>
      </c>
      <c r="AQ147">
        <v>46167</v>
      </c>
      <c r="AR147">
        <v>46169</v>
      </c>
      <c r="AS147">
        <v>46171</v>
      </c>
      <c r="AT147" t="s">
        <v>1281</v>
      </c>
      <c r="AU147" t="s">
        <v>1177</v>
      </c>
      <c r="AV147" t="s">
        <v>1192</v>
      </c>
      <c r="AW147" t="s">
        <v>1177</v>
      </c>
      <c r="AX147">
        <v>54</v>
      </c>
      <c r="AY147">
        <v>2</v>
      </c>
      <c r="AZ147" t="s">
        <v>1177</v>
      </c>
      <c r="BA147">
        <v>0</v>
      </c>
      <c r="BB147" t="s">
        <v>1262</v>
      </c>
      <c r="BC147" t="e">
        <v>#N/A</v>
      </c>
      <c r="BD147" t="e">
        <v>#N/A</v>
      </c>
      <c r="BE147" t="e">
        <v>#N/A</v>
      </c>
      <c r="BF147" t="e">
        <v>#N/A</v>
      </c>
      <c r="BG147" t="s">
        <v>1581</v>
      </c>
      <c r="BH147" t="s">
        <v>1194</v>
      </c>
      <c r="BI147" t="s">
        <v>1766</v>
      </c>
    </row>
    <row r="148" spans="1:61" x14ac:dyDescent="0.35">
      <c r="A148" s="7" t="str">
        <f t="shared" si="4"/>
        <v>461594300009188</v>
      </c>
      <c r="B148" s="7" t="str">
        <f t="shared" si="5"/>
        <v>GP520189B865</v>
      </c>
      <c r="C148" t="s">
        <v>1177</v>
      </c>
      <c r="D148" t="s">
        <v>1178</v>
      </c>
      <c r="E148" t="s">
        <v>1870</v>
      </c>
      <c r="F148" t="s">
        <v>1363</v>
      </c>
      <c r="G148" t="s">
        <v>1363</v>
      </c>
      <c r="H148" t="s">
        <v>1271</v>
      </c>
      <c r="I148">
        <v>46159</v>
      </c>
      <c r="J148" t="s">
        <v>1871</v>
      </c>
      <c r="K148" t="s">
        <v>1273</v>
      </c>
      <c r="L148" t="s">
        <v>1177</v>
      </c>
      <c r="M148" t="s">
        <v>1274</v>
      </c>
      <c r="N148" t="s">
        <v>1079</v>
      </c>
      <c r="O148" t="s">
        <v>1275</v>
      </c>
      <c r="P148">
        <v>46159</v>
      </c>
      <c r="Q148" t="s">
        <v>1177</v>
      </c>
      <c r="R148" t="s">
        <v>7</v>
      </c>
      <c r="S148" t="s">
        <v>1040</v>
      </c>
      <c r="T148" t="s">
        <v>196</v>
      </c>
      <c r="U148" t="s">
        <v>197</v>
      </c>
      <c r="V148">
        <v>60</v>
      </c>
      <c r="W148" t="s">
        <v>1185</v>
      </c>
      <c r="X148" t="s">
        <v>1185</v>
      </c>
      <c r="Y148">
        <v>0</v>
      </c>
      <c r="Z148" t="s">
        <v>1186</v>
      </c>
      <c r="AA148" t="s">
        <v>1177</v>
      </c>
      <c r="AB148" t="s">
        <v>1177</v>
      </c>
      <c r="AC148" t="s">
        <v>1177</v>
      </c>
      <c r="AD148" t="s">
        <v>1204</v>
      </c>
      <c r="AE148" t="s">
        <v>1824</v>
      </c>
      <c r="AF148" t="s">
        <v>1189</v>
      </c>
      <c r="AG148" t="s">
        <v>1190</v>
      </c>
      <c r="AH148" t="s">
        <v>1178</v>
      </c>
      <c r="AI148" t="s">
        <v>1349</v>
      </c>
      <c r="AJ148" t="s">
        <v>1190</v>
      </c>
      <c r="AK148">
        <v>0</v>
      </c>
      <c r="AL148" t="s">
        <v>1185</v>
      </c>
      <c r="AM148">
        <v>46184</v>
      </c>
      <c r="AN148">
        <v>46171</v>
      </c>
      <c r="AO148">
        <v>46171</v>
      </c>
      <c r="AP148">
        <v>46175</v>
      </c>
      <c r="AQ148">
        <v>46175</v>
      </c>
      <c r="AR148">
        <v>46178</v>
      </c>
      <c r="AS148">
        <v>46182</v>
      </c>
      <c r="AT148" t="s">
        <v>1281</v>
      </c>
      <c r="AU148" t="s">
        <v>1177</v>
      </c>
      <c r="AV148" t="s">
        <v>1192</v>
      </c>
      <c r="AW148" t="s">
        <v>1177</v>
      </c>
      <c r="AX148">
        <v>163</v>
      </c>
      <c r="AY148">
        <v>2</v>
      </c>
      <c r="AZ148" t="s">
        <v>1177</v>
      </c>
      <c r="BA148">
        <v>52</v>
      </c>
      <c r="BB148" t="s">
        <v>1185</v>
      </c>
      <c r="BC148" t="s">
        <v>1683</v>
      </c>
      <c r="BD148">
        <v>52</v>
      </c>
      <c r="BE148">
        <v>46188</v>
      </c>
      <c r="BF148" t="s">
        <v>1165</v>
      </c>
      <c r="BG148" t="s">
        <v>1581</v>
      </c>
      <c r="BH148" t="s">
        <v>1194</v>
      </c>
      <c r="BI148" t="s">
        <v>1872</v>
      </c>
    </row>
    <row r="149" spans="1:61" x14ac:dyDescent="0.35">
      <c r="A149" s="7" t="str">
        <f t="shared" si="4"/>
        <v>461594300009215</v>
      </c>
      <c r="B149" s="7" t="str">
        <f t="shared" si="5"/>
        <v>GP393135B865</v>
      </c>
      <c r="C149" t="s">
        <v>1177</v>
      </c>
      <c r="D149" t="s">
        <v>1178</v>
      </c>
      <c r="E149" t="s">
        <v>1874</v>
      </c>
      <c r="F149" t="s">
        <v>1363</v>
      </c>
      <c r="G149" t="s">
        <v>1363</v>
      </c>
      <c r="H149" t="s">
        <v>1271</v>
      </c>
      <c r="I149">
        <v>46159</v>
      </c>
      <c r="J149" t="s">
        <v>1875</v>
      </c>
      <c r="K149" t="s">
        <v>1199</v>
      </c>
      <c r="L149" t="s">
        <v>1177</v>
      </c>
      <c r="M149" t="s">
        <v>1274</v>
      </c>
      <c r="N149" t="s">
        <v>1079</v>
      </c>
      <c r="O149" t="s">
        <v>1275</v>
      </c>
      <c r="P149">
        <v>46159</v>
      </c>
      <c r="Q149" t="s">
        <v>1177</v>
      </c>
      <c r="R149" t="s">
        <v>7</v>
      </c>
      <c r="S149" t="s">
        <v>1040</v>
      </c>
      <c r="T149" t="s">
        <v>1027</v>
      </c>
      <c r="U149" t="s">
        <v>1028</v>
      </c>
      <c r="V149">
        <v>1</v>
      </c>
      <c r="W149" t="s">
        <v>1262</v>
      </c>
      <c r="X149" t="s">
        <v>1262</v>
      </c>
      <c r="Y149">
        <v>0</v>
      </c>
      <c r="Z149" t="s">
        <v>1186</v>
      </c>
      <c r="AA149" t="s">
        <v>1177</v>
      </c>
      <c r="AB149" t="s">
        <v>1276</v>
      </c>
      <c r="AC149" t="s">
        <v>1277</v>
      </c>
      <c r="AD149" t="s">
        <v>1278</v>
      </c>
      <c r="AE149" t="s">
        <v>1876</v>
      </c>
      <c r="AF149" t="s">
        <v>1178</v>
      </c>
      <c r="AG149" t="s">
        <v>1190</v>
      </c>
      <c r="AH149" t="s">
        <v>1178</v>
      </c>
      <c r="AI149" t="s">
        <v>1349</v>
      </c>
      <c r="AJ149" t="s">
        <v>1190</v>
      </c>
      <c r="AK149">
        <v>0</v>
      </c>
      <c r="AL149" t="s">
        <v>1262</v>
      </c>
      <c r="AM149">
        <v>45999</v>
      </c>
      <c r="AN149">
        <v>46339</v>
      </c>
      <c r="AO149">
        <v>46160</v>
      </c>
      <c r="AP149">
        <v>46162</v>
      </c>
      <c r="AQ149">
        <v>46162</v>
      </c>
      <c r="AR149">
        <v>46164</v>
      </c>
      <c r="AS149">
        <v>46168</v>
      </c>
      <c r="AT149" t="s">
        <v>1281</v>
      </c>
      <c r="AU149" t="s">
        <v>1177</v>
      </c>
      <c r="AV149" t="s">
        <v>1192</v>
      </c>
      <c r="AW149" t="s">
        <v>1177</v>
      </c>
      <c r="AX149">
        <v>33</v>
      </c>
      <c r="AY149">
        <v>2</v>
      </c>
      <c r="AZ149" t="s">
        <v>1177</v>
      </c>
      <c r="BA149">
        <v>0</v>
      </c>
      <c r="BB149" t="s">
        <v>1262</v>
      </c>
      <c r="BC149" t="e">
        <v>#N/A</v>
      </c>
      <c r="BD149" t="e">
        <v>#N/A</v>
      </c>
      <c r="BE149" t="e">
        <v>#N/A</v>
      </c>
      <c r="BF149" t="e">
        <v>#N/A</v>
      </c>
      <c r="BG149" t="s">
        <v>126</v>
      </c>
      <c r="BH149" t="s">
        <v>1873</v>
      </c>
      <c r="BI149" t="s">
        <v>126</v>
      </c>
    </row>
    <row r="150" spans="1:61" x14ac:dyDescent="0.35">
      <c r="A150" s="7" t="str">
        <f t="shared" si="4"/>
        <v>461594300009226</v>
      </c>
      <c r="B150" s="7" t="str">
        <f t="shared" si="5"/>
        <v>GP123319-002B857</v>
      </c>
      <c r="C150" t="s">
        <v>1177</v>
      </c>
      <c r="D150" t="s">
        <v>1178</v>
      </c>
      <c r="E150" t="s">
        <v>1877</v>
      </c>
      <c r="F150" t="s">
        <v>1363</v>
      </c>
      <c r="G150" t="s">
        <v>1363</v>
      </c>
      <c r="H150" t="s">
        <v>1271</v>
      </c>
      <c r="I150">
        <v>46159</v>
      </c>
      <c r="J150" t="s">
        <v>1878</v>
      </c>
      <c r="K150" t="s">
        <v>1645</v>
      </c>
      <c r="L150" t="s">
        <v>1177</v>
      </c>
      <c r="M150" t="s">
        <v>1274</v>
      </c>
      <c r="N150" t="s">
        <v>1079</v>
      </c>
      <c r="O150" t="s">
        <v>1275</v>
      </c>
      <c r="P150">
        <v>46159</v>
      </c>
      <c r="Q150" t="s">
        <v>1177</v>
      </c>
      <c r="R150" t="s">
        <v>23</v>
      </c>
      <c r="S150" t="s">
        <v>959</v>
      </c>
      <c r="T150" t="s">
        <v>403</v>
      </c>
      <c r="U150" t="s">
        <v>1811</v>
      </c>
      <c r="V150">
        <v>3</v>
      </c>
      <c r="W150" t="s">
        <v>1262</v>
      </c>
      <c r="X150" t="s">
        <v>1262</v>
      </c>
      <c r="Y150">
        <v>0</v>
      </c>
      <c r="Z150" t="s">
        <v>1186</v>
      </c>
      <c r="AA150" t="s">
        <v>1177</v>
      </c>
      <c r="AB150" t="s">
        <v>1177</v>
      </c>
      <c r="AC150" t="s">
        <v>1177</v>
      </c>
      <c r="AD150" t="s">
        <v>1204</v>
      </c>
      <c r="AE150" t="s">
        <v>1284</v>
      </c>
      <c r="AF150" t="s">
        <v>1189</v>
      </c>
      <c r="AG150" t="s">
        <v>1190</v>
      </c>
      <c r="AH150" t="s">
        <v>1178</v>
      </c>
      <c r="AI150" t="s">
        <v>1280</v>
      </c>
      <c r="AJ150" t="s">
        <v>1190</v>
      </c>
      <c r="AK150">
        <v>0</v>
      </c>
      <c r="AL150" t="s">
        <v>1262</v>
      </c>
      <c r="AM150">
        <v>46021</v>
      </c>
      <c r="AN150">
        <v>46163</v>
      </c>
      <c r="AO150">
        <v>46163</v>
      </c>
      <c r="AP150">
        <v>46167</v>
      </c>
      <c r="AQ150">
        <v>46167</v>
      </c>
      <c r="AR150">
        <v>46169</v>
      </c>
      <c r="AS150">
        <v>46171</v>
      </c>
      <c r="AT150" t="s">
        <v>1281</v>
      </c>
      <c r="AU150" t="s">
        <v>1177</v>
      </c>
      <c r="AV150" t="s">
        <v>1192</v>
      </c>
      <c r="AW150" t="s">
        <v>1177</v>
      </c>
      <c r="AX150">
        <v>206</v>
      </c>
      <c r="AY150">
        <v>2</v>
      </c>
      <c r="AZ150" t="s">
        <v>1177</v>
      </c>
      <c r="BA150">
        <v>0</v>
      </c>
      <c r="BB150" t="s">
        <v>1262</v>
      </c>
      <c r="BC150" t="e">
        <v>#N/A</v>
      </c>
      <c r="BD150" t="e">
        <v>#N/A</v>
      </c>
      <c r="BE150" t="e">
        <v>#N/A</v>
      </c>
      <c r="BF150" t="e">
        <v>#N/A</v>
      </c>
      <c r="BG150" t="s">
        <v>1458</v>
      </c>
      <c r="BH150" t="s">
        <v>1763</v>
      </c>
      <c r="BI150" t="s">
        <v>1879</v>
      </c>
    </row>
    <row r="151" spans="1:61" x14ac:dyDescent="0.35">
      <c r="A151" s="7" t="str">
        <f t="shared" si="4"/>
        <v>461594300009246</v>
      </c>
      <c r="B151" s="7" t="str">
        <f t="shared" si="5"/>
        <v>GP091030B825</v>
      </c>
      <c r="C151" t="s">
        <v>1177</v>
      </c>
      <c r="D151" t="s">
        <v>1178</v>
      </c>
      <c r="E151" t="s">
        <v>1880</v>
      </c>
      <c r="F151" t="s">
        <v>1363</v>
      </c>
      <c r="G151" t="s">
        <v>1363</v>
      </c>
      <c r="H151" t="s">
        <v>1271</v>
      </c>
      <c r="I151">
        <v>46159</v>
      </c>
      <c r="J151" t="s">
        <v>1881</v>
      </c>
      <c r="K151" t="s">
        <v>1285</v>
      </c>
      <c r="L151" t="s">
        <v>1177</v>
      </c>
      <c r="M151" t="s">
        <v>1274</v>
      </c>
      <c r="N151" t="s">
        <v>1079</v>
      </c>
      <c r="O151" t="s">
        <v>1275</v>
      </c>
      <c r="P151">
        <v>46159</v>
      </c>
      <c r="Q151" t="s">
        <v>1177</v>
      </c>
      <c r="R151" t="s">
        <v>16</v>
      </c>
      <c r="S151" t="s">
        <v>512</v>
      </c>
      <c r="T151" t="s">
        <v>166</v>
      </c>
      <c r="U151" t="s">
        <v>1882</v>
      </c>
      <c r="V151">
        <v>1</v>
      </c>
      <c r="W151" t="s">
        <v>1262</v>
      </c>
      <c r="X151" t="s">
        <v>1262</v>
      </c>
      <c r="Y151">
        <v>0</v>
      </c>
      <c r="Z151" t="s">
        <v>1186</v>
      </c>
      <c r="AA151" t="s">
        <v>1177</v>
      </c>
      <c r="AB151" t="s">
        <v>1276</v>
      </c>
      <c r="AC151" t="s">
        <v>1277</v>
      </c>
      <c r="AD151" t="s">
        <v>1278</v>
      </c>
      <c r="AE151" t="s">
        <v>1883</v>
      </c>
      <c r="AF151" t="s">
        <v>1178</v>
      </c>
      <c r="AG151" t="s">
        <v>1190</v>
      </c>
      <c r="AH151" t="s">
        <v>1178</v>
      </c>
      <c r="AI151" t="s">
        <v>1349</v>
      </c>
      <c r="AJ151" t="s">
        <v>1190</v>
      </c>
      <c r="AK151">
        <v>0</v>
      </c>
      <c r="AL151" t="s">
        <v>1262</v>
      </c>
      <c r="AM151">
        <v>45943</v>
      </c>
      <c r="AN151">
        <v>46352</v>
      </c>
      <c r="AO151">
        <v>46160</v>
      </c>
      <c r="AP151">
        <v>46162</v>
      </c>
      <c r="AQ151">
        <v>46162</v>
      </c>
      <c r="AR151">
        <v>46164</v>
      </c>
      <c r="AS151">
        <v>46168</v>
      </c>
      <c r="AT151" t="s">
        <v>1281</v>
      </c>
      <c r="AU151" t="s">
        <v>1177</v>
      </c>
      <c r="AV151" t="s">
        <v>1192</v>
      </c>
      <c r="AW151" t="s">
        <v>1177</v>
      </c>
      <c r="AX151">
        <v>33</v>
      </c>
      <c r="AY151">
        <v>2</v>
      </c>
      <c r="AZ151" t="s">
        <v>1177</v>
      </c>
      <c r="BA151">
        <v>0</v>
      </c>
      <c r="BB151" t="s">
        <v>1262</v>
      </c>
      <c r="BC151" t="e">
        <v>#N/A</v>
      </c>
      <c r="BD151" t="e">
        <v>#N/A</v>
      </c>
      <c r="BE151" t="e">
        <v>#N/A</v>
      </c>
      <c r="BF151" t="e">
        <v>#N/A</v>
      </c>
      <c r="BG151" t="s">
        <v>126</v>
      </c>
      <c r="BH151" t="s">
        <v>1567</v>
      </c>
      <c r="BI151" t="s">
        <v>126</v>
      </c>
    </row>
    <row r="152" spans="1:61" x14ac:dyDescent="0.35">
      <c r="A152" s="7" t="str">
        <f t="shared" si="4"/>
        <v>461594300009247</v>
      </c>
      <c r="B152" s="7" t="str">
        <f t="shared" si="5"/>
        <v>GP004261B832</v>
      </c>
      <c r="C152" t="s">
        <v>1177</v>
      </c>
      <c r="D152" t="s">
        <v>1178</v>
      </c>
      <c r="E152" t="s">
        <v>1884</v>
      </c>
      <c r="F152" t="s">
        <v>1363</v>
      </c>
      <c r="G152" t="s">
        <v>1363</v>
      </c>
      <c r="H152" t="s">
        <v>1271</v>
      </c>
      <c r="I152">
        <v>46159</v>
      </c>
      <c r="J152" t="s">
        <v>1885</v>
      </c>
      <c r="K152" t="s">
        <v>1199</v>
      </c>
      <c r="L152" t="s">
        <v>1177</v>
      </c>
      <c r="M152" t="s">
        <v>1274</v>
      </c>
      <c r="N152" t="s">
        <v>1079</v>
      </c>
      <c r="O152" t="s">
        <v>1275</v>
      </c>
      <c r="P152">
        <v>46159</v>
      </c>
      <c r="Q152" t="s">
        <v>1177</v>
      </c>
      <c r="R152" t="s">
        <v>19</v>
      </c>
      <c r="S152" t="s">
        <v>654</v>
      </c>
      <c r="T152" t="s">
        <v>444</v>
      </c>
      <c r="U152" t="s">
        <v>1886</v>
      </c>
      <c r="V152">
        <v>1</v>
      </c>
      <c r="W152" t="s">
        <v>1262</v>
      </c>
      <c r="X152" t="s">
        <v>1262</v>
      </c>
      <c r="Y152">
        <v>0</v>
      </c>
      <c r="Z152" t="s">
        <v>1186</v>
      </c>
      <c r="AA152" t="s">
        <v>1177</v>
      </c>
      <c r="AB152" t="s">
        <v>1276</v>
      </c>
      <c r="AC152" t="s">
        <v>1277</v>
      </c>
      <c r="AD152" t="s">
        <v>1278</v>
      </c>
      <c r="AE152" t="s">
        <v>1887</v>
      </c>
      <c r="AF152" t="s">
        <v>1178</v>
      </c>
      <c r="AG152" t="s">
        <v>1190</v>
      </c>
      <c r="AH152" t="s">
        <v>1178</v>
      </c>
      <c r="AI152" t="s">
        <v>1349</v>
      </c>
      <c r="AJ152" t="s">
        <v>1190</v>
      </c>
      <c r="AK152">
        <v>0</v>
      </c>
      <c r="AL152" t="s">
        <v>1262</v>
      </c>
      <c r="AM152">
        <v>45986</v>
      </c>
      <c r="AN152">
        <v>46196</v>
      </c>
      <c r="AO152">
        <v>46160</v>
      </c>
      <c r="AP152">
        <v>46162</v>
      </c>
      <c r="AQ152">
        <v>46162</v>
      </c>
      <c r="AR152">
        <v>46164</v>
      </c>
      <c r="AS152">
        <v>46168</v>
      </c>
      <c r="AT152" t="s">
        <v>1281</v>
      </c>
      <c r="AU152" t="s">
        <v>1177</v>
      </c>
      <c r="AV152" t="s">
        <v>1192</v>
      </c>
      <c r="AW152" t="s">
        <v>1177</v>
      </c>
      <c r="AX152">
        <v>33</v>
      </c>
      <c r="AY152">
        <v>2</v>
      </c>
      <c r="AZ152" t="s">
        <v>1177</v>
      </c>
      <c r="BA152">
        <v>0</v>
      </c>
      <c r="BB152" t="s">
        <v>1262</v>
      </c>
      <c r="BC152" t="e">
        <v>#N/A</v>
      </c>
      <c r="BD152" t="e">
        <v>#N/A</v>
      </c>
      <c r="BE152" t="e">
        <v>#N/A</v>
      </c>
      <c r="BF152" t="e">
        <v>#N/A</v>
      </c>
      <c r="BG152" t="s">
        <v>126</v>
      </c>
      <c r="BH152" t="s">
        <v>1567</v>
      </c>
      <c r="BI152" t="s">
        <v>126</v>
      </c>
    </row>
    <row r="153" spans="1:61" x14ac:dyDescent="0.35">
      <c r="A153" s="7" t="str">
        <f t="shared" si="4"/>
        <v>461594300009250</v>
      </c>
      <c r="B153" s="7" t="str">
        <f t="shared" si="5"/>
        <v>GP363685B857</v>
      </c>
      <c r="C153" t="s">
        <v>1177</v>
      </c>
      <c r="D153" t="s">
        <v>1178</v>
      </c>
      <c r="E153" t="s">
        <v>1888</v>
      </c>
      <c r="F153" t="s">
        <v>1363</v>
      </c>
      <c r="G153" t="s">
        <v>1363</v>
      </c>
      <c r="H153" t="s">
        <v>1271</v>
      </c>
      <c r="I153">
        <v>46159</v>
      </c>
      <c r="J153" t="s">
        <v>1889</v>
      </c>
      <c r="K153" t="s">
        <v>1423</v>
      </c>
      <c r="L153" t="s">
        <v>1177</v>
      </c>
      <c r="M153" t="s">
        <v>1274</v>
      </c>
      <c r="N153" t="s">
        <v>1079</v>
      </c>
      <c r="O153" t="s">
        <v>1275</v>
      </c>
      <c r="P153">
        <v>46159</v>
      </c>
      <c r="Q153" t="s">
        <v>1177</v>
      </c>
      <c r="R153" t="s">
        <v>23</v>
      </c>
      <c r="S153" t="s">
        <v>959</v>
      </c>
      <c r="T153" t="s">
        <v>908</v>
      </c>
      <c r="U153" t="s">
        <v>909</v>
      </c>
      <c r="V153">
        <v>1</v>
      </c>
      <c r="W153" t="s">
        <v>1262</v>
      </c>
      <c r="X153" t="s">
        <v>1262</v>
      </c>
      <c r="Y153">
        <v>0</v>
      </c>
      <c r="Z153" t="s">
        <v>1186</v>
      </c>
      <c r="AA153" t="s">
        <v>1177</v>
      </c>
      <c r="AB153" t="s">
        <v>1276</v>
      </c>
      <c r="AC153" t="s">
        <v>1277</v>
      </c>
      <c r="AD153" t="s">
        <v>1278</v>
      </c>
      <c r="AE153" t="s">
        <v>1787</v>
      </c>
      <c r="AF153" t="s">
        <v>1178</v>
      </c>
      <c r="AG153" t="s">
        <v>1190</v>
      </c>
      <c r="AH153" t="s">
        <v>1178</v>
      </c>
      <c r="AI153" t="s">
        <v>1280</v>
      </c>
      <c r="AJ153" t="s">
        <v>1190</v>
      </c>
      <c r="AK153">
        <v>0</v>
      </c>
      <c r="AL153" t="s">
        <v>1262</v>
      </c>
      <c r="AM153">
        <v>46013</v>
      </c>
      <c r="AN153">
        <v>46416</v>
      </c>
      <c r="AO153">
        <v>46163</v>
      </c>
      <c r="AP153">
        <v>46167</v>
      </c>
      <c r="AQ153">
        <v>46167</v>
      </c>
      <c r="AR153">
        <v>46169</v>
      </c>
      <c r="AS153">
        <v>46171</v>
      </c>
      <c r="AT153" t="s">
        <v>1281</v>
      </c>
      <c r="AU153" t="s">
        <v>1177</v>
      </c>
      <c r="AV153" t="s">
        <v>1192</v>
      </c>
      <c r="AW153" t="s">
        <v>1177</v>
      </c>
      <c r="AX153">
        <v>33</v>
      </c>
      <c r="AY153">
        <v>2</v>
      </c>
      <c r="AZ153" t="s">
        <v>1177</v>
      </c>
      <c r="BA153">
        <v>0</v>
      </c>
      <c r="BB153" t="s">
        <v>1262</v>
      </c>
      <c r="BC153" t="e">
        <v>#N/A</v>
      </c>
      <c r="BD153" t="e">
        <v>#N/A</v>
      </c>
      <c r="BE153" t="e">
        <v>#N/A</v>
      </c>
      <c r="BF153" t="e">
        <v>#N/A</v>
      </c>
      <c r="BG153" t="s">
        <v>126</v>
      </c>
      <c r="BH153" t="s">
        <v>1567</v>
      </c>
      <c r="BI153" t="s">
        <v>126</v>
      </c>
    </row>
    <row r="154" spans="1:61" x14ac:dyDescent="0.35">
      <c r="A154" s="7" t="str">
        <f t="shared" si="4"/>
        <v>461594300009252</v>
      </c>
      <c r="B154" s="7" t="str">
        <f t="shared" si="5"/>
        <v>GP328005B867</v>
      </c>
      <c r="C154" t="s">
        <v>1177</v>
      </c>
      <c r="D154" t="s">
        <v>1178</v>
      </c>
      <c r="E154" t="s">
        <v>1890</v>
      </c>
      <c r="F154" t="s">
        <v>1363</v>
      </c>
      <c r="G154" t="s">
        <v>1363</v>
      </c>
      <c r="H154" t="s">
        <v>1271</v>
      </c>
      <c r="I154">
        <v>46159</v>
      </c>
      <c r="J154" t="s">
        <v>1891</v>
      </c>
      <c r="K154" t="s">
        <v>1808</v>
      </c>
      <c r="L154" t="s">
        <v>1177</v>
      </c>
      <c r="M154" t="s">
        <v>1274</v>
      </c>
      <c r="N154" t="s">
        <v>1079</v>
      </c>
      <c r="O154" t="s">
        <v>1275</v>
      </c>
      <c r="P154">
        <v>46159</v>
      </c>
      <c r="Q154" t="s">
        <v>1177</v>
      </c>
      <c r="R154" t="s">
        <v>25</v>
      </c>
      <c r="S154" t="s">
        <v>1060</v>
      </c>
      <c r="T154" t="s">
        <v>1021</v>
      </c>
      <c r="U154" t="s">
        <v>1022</v>
      </c>
      <c r="V154">
        <v>14</v>
      </c>
      <c r="W154" t="s">
        <v>1262</v>
      </c>
      <c r="X154" t="s">
        <v>1262</v>
      </c>
      <c r="Y154">
        <v>0</v>
      </c>
      <c r="Z154" t="s">
        <v>1186</v>
      </c>
      <c r="AA154" t="s">
        <v>1177</v>
      </c>
      <c r="AB154" t="s">
        <v>1276</v>
      </c>
      <c r="AC154" t="s">
        <v>1277</v>
      </c>
      <c r="AD154" t="s">
        <v>1278</v>
      </c>
      <c r="AE154" t="s">
        <v>1354</v>
      </c>
      <c r="AF154" t="s">
        <v>1178</v>
      </c>
      <c r="AG154" t="s">
        <v>1190</v>
      </c>
      <c r="AH154" t="s">
        <v>1178</v>
      </c>
      <c r="AI154" t="s">
        <v>1280</v>
      </c>
      <c r="AJ154" t="s">
        <v>1190</v>
      </c>
      <c r="AK154">
        <v>0</v>
      </c>
      <c r="AL154" t="s">
        <v>1262</v>
      </c>
      <c r="AM154">
        <v>45910</v>
      </c>
      <c r="AN154">
        <v>46339</v>
      </c>
      <c r="AO154">
        <v>46163</v>
      </c>
      <c r="AP154">
        <v>46167</v>
      </c>
      <c r="AQ154">
        <v>46167</v>
      </c>
      <c r="AR154">
        <v>46169</v>
      </c>
      <c r="AS154">
        <v>46169</v>
      </c>
      <c r="AT154" t="s">
        <v>1281</v>
      </c>
      <c r="AU154" t="s">
        <v>1177</v>
      </c>
      <c r="AV154" t="s">
        <v>1192</v>
      </c>
      <c r="AW154" t="s">
        <v>1177</v>
      </c>
      <c r="AX154">
        <v>0</v>
      </c>
      <c r="AY154">
        <v>0</v>
      </c>
      <c r="AZ154" t="s">
        <v>1177</v>
      </c>
      <c r="BA154">
        <v>0</v>
      </c>
      <c r="BB154" t="s">
        <v>1262</v>
      </c>
      <c r="BC154" t="e">
        <v>#N/A</v>
      </c>
      <c r="BD154" t="e">
        <v>#N/A</v>
      </c>
      <c r="BE154" t="e">
        <v>#N/A</v>
      </c>
      <c r="BF154" t="e">
        <v>#N/A</v>
      </c>
      <c r="BG154" t="s">
        <v>1458</v>
      </c>
      <c r="BH154" t="s">
        <v>1763</v>
      </c>
      <c r="BI154" t="s">
        <v>1892</v>
      </c>
    </row>
    <row r="155" spans="1:61" x14ac:dyDescent="0.35">
      <c r="A155" s="7" t="str">
        <f t="shared" si="4"/>
        <v>461594300009254</v>
      </c>
      <c r="B155" s="7" t="str">
        <f t="shared" si="5"/>
        <v>GP642913B832</v>
      </c>
      <c r="C155" t="s">
        <v>1177</v>
      </c>
      <c r="D155" t="s">
        <v>1178</v>
      </c>
      <c r="E155" t="s">
        <v>1894</v>
      </c>
      <c r="F155" t="s">
        <v>1363</v>
      </c>
      <c r="G155" t="s">
        <v>1363</v>
      </c>
      <c r="H155" t="s">
        <v>1271</v>
      </c>
      <c r="I155">
        <v>46159</v>
      </c>
      <c r="J155" t="s">
        <v>1895</v>
      </c>
      <c r="K155" t="s">
        <v>1182</v>
      </c>
      <c r="L155" t="s">
        <v>1177</v>
      </c>
      <c r="M155" t="s">
        <v>1274</v>
      </c>
      <c r="N155" t="s">
        <v>1079</v>
      </c>
      <c r="O155" t="s">
        <v>1275</v>
      </c>
      <c r="P155">
        <v>46159</v>
      </c>
      <c r="Q155" t="s">
        <v>1177</v>
      </c>
      <c r="R155" t="s">
        <v>19</v>
      </c>
      <c r="S155" t="s">
        <v>654</v>
      </c>
      <c r="T155" t="s">
        <v>1636</v>
      </c>
      <c r="U155" t="s">
        <v>1637</v>
      </c>
      <c r="V155">
        <v>4</v>
      </c>
      <c r="W155" t="s">
        <v>1262</v>
      </c>
      <c r="X155" t="s">
        <v>1262</v>
      </c>
      <c r="Y155">
        <v>0</v>
      </c>
      <c r="Z155" t="s">
        <v>1186</v>
      </c>
      <c r="AA155" t="s">
        <v>1177</v>
      </c>
      <c r="AB155" t="s">
        <v>1276</v>
      </c>
      <c r="AC155" t="s">
        <v>1277</v>
      </c>
      <c r="AD155" t="s">
        <v>1278</v>
      </c>
      <c r="AE155" t="s">
        <v>1284</v>
      </c>
      <c r="AF155" t="s">
        <v>1178</v>
      </c>
      <c r="AG155" t="s">
        <v>1190</v>
      </c>
      <c r="AH155" t="s">
        <v>1178</v>
      </c>
      <c r="AI155" t="s">
        <v>1349</v>
      </c>
      <c r="AJ155" t="s">
        <v>1190</v>
      </c>
      <c r="AK155">
        <v>0</v>
      </c>
      <c r="AL155" t="s">
        <v>1262</v>
      </c>
      <c r="AM155">
        <v>45945</v>
      </c>
      <c r="AN155">
        <v>46386</v>
      </c>
      <c r="AO155">
        <v>46160</v>
      </c>
      <c r="AP155">
        <v>46162</v>
      </c>
      <c r="AQ155">
        <v>46162</v>
      </c>
      <c r="AR155">
        <v>46164</v>
      </c>
      <c r="AS155">
        <v>46168</v>
      </c>
      <c r="AT155" t="s">
        <v>1281</v>
      </c>
      <c r="AU155" t="s">
        <v>1177</v>
      </c>
      <c r="AV155" t="s">
        <v>1192</v>
      </c>
      <c r="AW155" t="s">
        <v>1177</v>
      </c>
      <c r="AX155">
        <v>238</v>
      </c>
      <c r="AY155">
        <v>2</v>
      </c>
      <c r="AZ155" t="s">
        <v>1177</v>
      </c>
      <c r="BA155">
        <v>0</v>
      </c>
      <c r="BB155" t="s">
        <v>1262</v>
      </c>
      <c r="BC155" t="e">
        <v>#N/A</v>
      </c>
      <c r="BD155" t="e">
        <v>#N/A</v>
      </c>
      <c r="BE155" t="e">
        <v>#N/A</v>
      </c>
      <c r="BF155" t="e">
        <v>#N/A</v>
      </c>
      <c r="BG155" t="s">
        <v>1212</v>
      </c>
      <c r="BH155" t="s">
        <v>1194</v>
      </c>
      <c r="BI155" t="s">
        <v>1896</v>
      </c>
    </row>
    <row r="156" spans="1:61" x14ac:dyDescent="0.35">
      <c r="A156" s="7" t="str">
        <f t="shared" si="4"/>
        <v>461594300009261</v>
      </c>
      <c r="B156" s="7" t="str">
        <f t="shared" si="5"/>
        <v>GP242583B832</v>
      </c>
      <c r="C156" t="s">
        <v>1177</v>
      </c>
      <c r="D156" t="s">
        <v>1178</v>
      </c>
      <c r="E156" t="s">
        <v>1897</v>
      </c>
      <c r="F156" t="s">
        <v>1363</v>
      </c>
      <c r="G156" t="s">
        <v>1363</v>
      </c>
      <c r="H156" t="s">
        <v>1271</v>
      </c>
      <c r="I156">
        <v>46159</v>
      </c>
      <c r="J156" t="s">
        <v>1898</v>
      </c>
      <c r="K156" t="s">
        <v>1182</v>
      </c>
      <c r="L156" t="s">
        <v>1177</v>
      </c>
      <c r="M156" t="s">
        <v>1274</v>
      </c>
      <c r="N156" t="s">
        <v>1079</v>
      </c>
      <c r="O156" t="s">
        <v>1275</v>
      </c>
      <c r="P156">
        <v>46245</v>
      </c>
      <c r="Q156" t="s">
        <v>1177</v>
      </c>
      <c r="R156" t="s">
        <v>19</v>
      </c>
      <c r="S156" t="s">
        <v>654</v>
      </c>
      <c r="T156" t="s">
        <v>644</v>
      </c>
      <c r="U156" t="s">
        <v>645</v>
      </c>
      <c r="V156">
        <v>44</v>
      </c>
      <c r="W156" t="s">
        <v>1262</v>
      </c>
      <c r="X156" t="s">
        <v>1262</v>
      </c>
      <c r="Y156">
        <v>0</v>
      </c>
      <c r="Z156" t="s">
        <v>1186</v>
      </c>
      <c r="AA156" t="s">
        <v>1177</v>
      </c>
      <c r="AB156" t="s">
        <v>1276</v>
      </c>
      <c r="AC156" t="s">
        <v>1277</v>
      </c>
      <c r="AD156" t="s">
        <v>1278</v>
      </c>
      <c r="AE156" t="s">
        <v>1684</v>
      </c>
      <c r="AF156" t="s">
        <v>1178</v>
      </c>
      <c r="AG156" t="s">
        <v>1190</v>
      </c>
      <c r="AH156" t="s">
        <v>1178</v>
      </c>
      <c r="AI156" t="s">
        <v>1349</v>
      </c>
      <c r="AJ156" t="s">
        <v>1190</v>
      </c>
      <c r="AK156">
        <v>0</v>
      </c>
      <c r="AL156" t="s">
        <v>1262</v>
      </c>
      <c r="AM156">
        <v>46282</v>
      </c>
      <c r="AN156">
        <v>46269</v>
      </c>
      <c r="AO156">
        <v>46269</v>
      </c>
      <c r="AP156">
        <v>46274</v>
      </c>
      <c r="AQ156">
        <v>46274</v>
      </c>
      <c r="AR156">
        <v>46276</v>
      </c>
      <c r="AS156">
        <v>46280</v>
      </c>
      <c r="AT156" t="s">
        <v>1281</v>
      </c>
      <c r="AU156" t="s">
        <v>1177</v>
      </c>
      <c r="AV156" t="s">
        <v>1192</v>
      </c>
      <c r="AW156" t="s">
        <v>1177</v>
      </c>
      <c r="AX156">
        <v>237</v>
      </c>
      <c r="AY156">
        <v>2</v>
      </c>
      <c r="AZ156" t="s">
        <v>1177</v>
      </c>
      <c r="BA156">
        <v>42</v>
      </c>
      <c r="BB156" t="s">
        <v>1262</v>
      </c>
      <c r="BC156" t="s">
        <v>1899</v>
      </c>
      <c r="BD156">
        <v>48</v>
      </c>
      <c r="BE156">
        <v>46244</v>
      </c>
      <c r="BF156" t="s">
        <v>1165</v>
      </c>
      <c r="BG156" t="s">
        <v>1212</v>
      </c>
      <c r="BH156" t="s">
        <v>1194</v>
      </c>
      <c r="BI156" t="s">
        <v>1900</v>
      </c>
    </row>
    <row r="157" spans="1:61" x14ac:dyDescent="0.35">
      <c r="A157" s="7" t="str">
        <f t="shared" si="4"/>
        <v>461594300009266</v>
      </c>
      <c r="B157" s="7" t="str">
        <f t="shared" si="5"/>
        <v>GP123319-002B833</v>
      </c>
      <c r="C157" t="s">
        <v>1177</v>
      </c>
      <c r="D157" t="s">
        <v>1178</v>
      </c>
      <c r="E157" t="s">
        <v>1901</v>
      </c>
      <c r="F157" t="s">
        <v>1363</v>
      </c>
      <c r="G157" t="s">
        <v>1363</v>
      </c>
      <c r="H157" t="s">
        <v>1271</v>
      </c>
      <c r="I157">
        <v>46159</v>
      </c>
      <c r="J157" t="s">
        <v>1902</v>
      </c>
      <c r="K157" t="s">
        <v>1182</v>
      </c>
      <c r="L157" t="s">
        <v>1177</v>
      </c>
      <c r="M157" t="s">
        <v>1274</v>
      </c>
      <c r="N157" t="s">
        <v>1079</v>
      </c>
      <c r="O157" t="s">
        <v>1275</v>
      </c>
      <c r="P157">
        <v>46159</v>
      </c>
      <c r="Q157" t="s">
        <v>1177</v>
      </c>
      <c r="R157" t="s">
        <v>697</v>
      </c>
      <c r="S157" t="s">
        <v>699</v>
      </c>
      <c r="T157" t="s">
        <v>403</v>
      </c>
      <c r="U157" t="s">
        <v>1811</v>
      </c>
      <c r="V157">
        <v>23</v>
      </c>
      <c r="W157" t="s">
        <v>1262</v>
      </c>
      <c r="X157" t="s">
        <v>1262</v>
      </c>
      <c r="Y157">
        <v>0</v>
      </c>
      <c r="Z157" t="s">
        <v>1186</v>
      </c>
      <c r="AA157" t="s">
        <v>1177</v>
      </c>
      <c r="AB157" t="s">
        <v>1177</v>
      </c>
      <c r="AC157" t="s">
        <v>1177</v>
      </c>
      <c r="AD157" t="s">
        <v>1204</v>
      </c>
      <c r="AE157" t="s">
        <v>1284</v>
      </c>
      <c r="AF157" t="s">
        <v>1189</v>
      </c>
      <c r="AG157" t="s">
        <v>1190</v>
      </c>
      <c r="AH157" t="s">
        <v>1178</v>
      </c>
      <c r="AI157" t="s">
        <v>1349</v>
      </c>
      <c r="AJ157" t="s">
        <v>1189</v>
      </c>
      <c r="AK157">
        <v>23</v>
      </c>
      <c r="AL157" t="s">
        <v>1262</v>
      </c>
      <c r="AM157">
        <v>46262</v>
      </c>
      <c r="AN157">
        <v>46258</v>
      </c>
      <c r="AO157">
        <v>46258</v>
      </c>
      <c r="AP157">
        <v>46260</v>
      </c>
      <c r="AQ157">
        <v>46260</v>
      </c>
      <c r="AR157">
        <v>46262</v>
      </c>
      <c r="AS157">
        <v>46287</v>
      </c>
      <c r="AT157" t="s">
        <v>1281</v>
      </c>
      <c r="AU157" t="s">
        <v>1177</v>
      </c>
      <c r="AV157" t="s">
        <v>1192</v>
      </c>
      <c r="AW157" t="s">
        <v>1177</v>
      </c>
      <c r="AX157">
        <v>123</v>
      </c>
      <c r="AY157">
        <v>16</v>
      </c>
      <c r="AZ157" t="s">
        <v>1177</v>
      </c>
      <c r="BA157">
        <v>0</v>
      </c>
      <c r="BB157" t="s">
        <v>1262</v>
      </c>
      <c r="BC157" t="e">
        <v>#N/A</v>
      </c>
      <c r="BD157" t="e">
        <v>#N/A</v>
      </c>
      <c r="BE157" t="e">
        <v>#N/A</v>
      </c>
      <c r="BF157" t="e">
        <v>#N/A</v>
      </c>
      <c r="BG157" t="s">
        <v>1372</v>
      </c>
      <c r="BH157" t="s">
        <v>1903</v>
      </c>
      <c r="BI157" t="s">
        <v>1904</v>
      </c>
    </row>
    <row r="158" spans="1:61" x14ac:dyDescent="0.35">
      <c r="A158" s="7" t="str">
        <f t="shared" si="4"/>
        <v>461594300009267</v>
      </c>
      <c r="B158" s="7" t="str">
        <f t="shared" si="5"/>
        <v>GP123319-002B857</v>
      </c>
      <c r="C158" t="s">
        <v>1177</v>
      </c>
      <c r="D158" t="s">
        <v>1178</v>
      </c>
      <c r="E158" t="s">
        <v>1905</v>
      </c>
      <c r="F158" t="s">
        <v>1363</v>
      </c>
      <c r="G158" t="s">
        <v>1363</v>
      </c>
      <c r="H158" t="s">
        <v>1271</v>
      </c>
      <c r="I158">
        <v>46159</v>
      </c>
      <c r="J158" t="s">
        <v>1906</v>
      </c>
      <c r="K158" t="s">
        <v>1199</v>
      </c>
      <c r="L158" t="s">
        <v>1177</v>
      </c>
      <c r="M158" t="s">
        <v>1274</v>
      </c>
      <c r="N158" t="s">
        <v>1079</v>
      </c>
      <c r="O158" t="s">
        <v>1275</v>
      </c>
      <c r="P158">
        <v>46159</v>
      </c>
      <c r="Q158" t="s">
        <v>1177</v>
      </c>
      <c r="R158" t="s">
        <v>23</v>
      </c>
      <c r="S158" t="s">
        <v>959</v>
      </c>
      <c r="T158" t="s">
        <v>403</v>
      </c>
      <c r="U158" t="s">
        <v>1811</v>
      </c>
      <c r="V158">
        <v>36</v>
      </c>
      <c r="W158" t="s">
        <v>1262</v>
      </c>
      <c r="X158" t="s">
        <v>1262</v>
      </c>
      <c r="Y158">
        <v>0</v>
      </c>
      <c r="Z158" t="s">
        <v>1186</v>
      </c>
      <c r="AA158" t="s">
        <v>1177</v>
      </c>
      <c r="AB158" t="s">
        <v>1177</v>
      </c>
      <c r="AC158" t="s">
        <v>1177</v>
      </c>
      <c r="AD158" t="s">
        <v>1204</v>
      </c>
      <c r="AE158" t="s">
        <v>1284</v>
      </c>
      <c r="AF158" t="s">
        <v>1189</v>
      </c>
      <c r="AG158" t="s">
        <v>1190</v>
      </c>
      <c r="AH158" t="s">
        <v>1178</v>
      </c>
      <c r="AI158" t="s">
        <v>1280</v>
      </c>
      <c r="AJ158" t="s">
        <v>1189</v>
      </c>
      <c r="AK158">
        <v>36</v>
      </c>
      <c r="AL158" t="s">
        <v>1262</v>
      </c>
      <c r="AM158">
        <v>46260</v>
      </c>
      <c r="AN158">
        <v>46254</v>
      </c>
      <c r="AO158">
        <v>46254</v>
      </c>
      <c r="AP158">
        <v>46258</v>
      </c>
      <c r="AQ158">
        <v>46258</v>
      </c>
      <c r="AR158">
        <v>46260</v>
      </c>
      <c r="AS158">
        <v>46262</v>
      </c>
      <c r="AT158" t="s">
        <v>1281</v>
      </c>
      <c r="AU158" t="s">
        <v>1177</v>
      </c>
      <c r="AV158" t="s">
        <v>1192</v>
      </c>
      <c r="AW158" t="s">
        <v>1177</v>
      </c>
      <c r="AX158">
        <v>206</v>
      </c>
      <c r="AY158">
        <v>2</v>
      </c>
      <c r="AZ158" t="s">
        <v>1177</v>
      </c>
      <c r="BA158">
        <v>0</v>
      </c>
      <c r="BB158" t="s">
        <v>1262</v>
      </c>
      <c r="BC158" t="e">
        <v>#N/A</v>
      </c>
      <c r="BD158" t="e">
        <v>#N/A</v>
      </c>
      <c r="BE158" t="e">
        <v>#N/A</v>
      </c>
      <c r="BF158" t="e">
        <v>#N/A</v>
      </c>
      <c r="BG158" t="s">
        <v>1372</v>
      </c>
      <c r="BH158" t="s">
        <v>1903</v>
      </c>
      <c r="BI158" t="s">
        <v>1904</v>
      </c>
    </row>
    <row r="159" spans="1:61" x14ac:dyDescent="0.35">
      <c r="A159" s="7" t="str">
        <f t="shared" si="4"/>
        <v>461594300009274</v>
      </c>
      <c r="B159" s="7" t="str">
        <f t="shared" si="5"/>
        <v>GP207359B867</v>
      </c>
      <c r="C159" t="s">
        <v>1177</v>
      </c>
      <c r="D159" t="s">
        <v>1178</v>
      </c>
      <c r="E159" t="s">
        <v>1907</v>
      </c>
      <c r="F159" t="s">
        <v>1363</v>
      </c>
      <c r="G159" t="s">
        <v>1363</v>
      </c>
      <c r="H159" t="s">
        <v>1271</v>
      </c>
      <c r="I159">
        <v>46159</v>
      </c>
      <c r="J159" t="s">
        <v>1908</v>
      </c>
      <c r="K159" t="s">
        <v>1423</v>
      </c>
      <c r="L159" t="s">
        <v>1177</v>
      </c>
      <c r="M159" t="s">
        <v>1274</v>
      </c>
      <c r="N159" t="s">
        <v>1079</v>
      </c>
      <c r="O159" t="s">
        <v>1275</v>
      </c>
      <c r="P159">
        <v>46159</v>
      </c>
      <c r="Q159" t="s">
        <v>1177</v>
      </c>
      <c r="R159" t="s">
        <v>25</v>
      </c>
      <c r="S159" t="s">
        <v>1060</v>
      </c>
      <c r="T159" t="s">
        <v>793</v>
      </c>
      <c r="U159" t="s">
        <v>794</v>
      </c>
      <c r="V159">
        <v>2</v>
      </c>
      <c r="W159" t="s">
        <v>1262</v>
      </c>
      <c r="X159" t="s">
        <v>1262</v>
      </c>
      <c r="Y159">
        <v>0</v>
      </c>
      <c r="Z159" t="s">
        <v>1186</v>
      </c>
      <c r="AA159" t="s">
        <v>1177</v>
      </c>
      <c r="AB159" t="s">
        <v>1286</v>
      </c>
      <c r="AC159" t="s">
        <v>1277</v>
      </c>
      <c r="AD159" t="s">
        <v>1278</v>
      </c>
      <c r="AE159" t="s">
        <v>1883</v>
      </c>
      <c r="AF159" t="s">
        <v>1178</v>
      </c>
      <c r="AG159" t="s">
        <v>1178</v>
      </c>
      <c r="AH159" t="s">
        <v>1178</v>
      </c>
      <c r="AI159" t="s">
        <v>1280</v>
      </c>
      <c r="AJ159" t="s">
        <v>1190</v>
      </c>
      <c r="AK159">
        <v>0</v>
      </c>
      <c r="AL159" t="s">
        <v>1262</v>
      </c>
      <c r="AM159">
        <v>46003</v>
      </c>
      <c r="AN159">
        <v>46163</v>
      </c>
      <c r="AO159">
        <v>46163</v>
      </c>
      <c r="AP159">
        <v>46167</v>
      </c>
      <c r="AQ159">
        <v>46167</v>
      </c>
      <c r="AR159">
        <v>46169</v>
      </c>
      <c r="AS159">
        <v>46171</v>
      </c>
      <c r="AT159" t="s">
        <v>1281</v>
      </c>
      <c r="AU159" t="s">
        <v>1177</v>
      </c>
      <c r="AV159" t="s">
        <v>1192</v>
      </c>
      <c r="AW159" t="s">
        <v>1177</v>
      </c>
      <c r="AX159">
        <v>76</v>
      </c>
      <c r="AY159">
        <v>2</v>
      </c>
      <c r="AZ159" t="s">
        <v>1177</v>
      </c>
      <c r="BA159">
        <v>0</v>
      </c>
      <c r="BB159" t="s">
        <v>1262</v>
      </c>
      <c r="BC159" t="s">
        <v>1621</v>
      </c>
      <c r="BD159">
        <v>4</v>
      </c>
      <c r="BE159">
        <v>46233</v>
      </c>
      <c r="BF159" t="s">
        <v>1165</v>
      </c>
      <c r="BG159" t="s">
        <v>1212</v>
      </c>
      <c r="BH159" t="s">
        <v>1194</v>
      </c>
      <c r="BI159" t="s">
        <v>1909</v>
      </c>
    </row>
    <row r="160" spans="1:61" x14ac:dyDescent="0.35">
      <c r="A160" s="7" t="str">
        <f t="shared" si="4"/>
        <v>461594300009280</v>
      </c>
      <c r="B160" s="7" t="str">
        <f t="shared" si="5"/>
        <v>GP639353B867</v>
      </c>
      <c r="C160" t="s">
        <v>1177</v>
      </c>
      <c r="D160" t="s">
        <v>1178</v>
      </c>
      <c r="E160" t="s">
        <v>1911</v>
      </c>
      <c r="F160" t="s">
        <v>1363</v>
      </c>
      <c r="G160" t="s">
        <v>1363</v>
      </c>
      <c r="H160" t="s">
        <v>1271</v>
      </c>
      <c r="I160">
        <v>46159</v>
      </c>
      <c r="J160" t="s">
        <v>1912</v>
      </c>
      <c r="K160" t="s">
        <v>1841</v>
      </c>
      <c r="L160" t="s">
        <v>1177</v>
      </c>
      <c r="M160" t="s">
        <v>1274</v>
      </c>
      <c r="N160" t="s">
        <v>1079</v>
      </c>
      <c r="O160" t="s">
        <v>1275</v>
      </c>
      <c r="P160">
        <v>46159</v>
      </c>
      <c r="Q160" t="s">
        <v>1177</v>
      </c>
      <c r="R160" t="s">
        <v>25</v>
      </c>
      <c r="S160" t="s">
        <v>1060</v>
      </c>
      <c r="T160" t="s">
        <v>1842</v>
      </c>
      <c r="U160" t="s">
        <v>1843</v>
      </c>
      <c r="V160">
        <v>2</v>
      </c>
      <c r="W160" t="s">
        <v>1262</v>
      </c>
      <c r="X160" t="s">
        <v>1262</v>
      </c>
      <c r="Y160">
        <v>0</v>
      </c>
      <c r="Z160" t="s">
        <v>1186</v>
      </c>
      <c r="AA160" t="s">
        <v>1177</v>
      </c>
      <c r="AB160" t="s">
        <v>1276</v>
      </c>
      <c r="AC160" t="s">
        <v>1277</v>
      </c>
      <c r="AD160" t="s">
        <v>1278</v>
      </c>
      <c r="AE160" t="s">
        <v>1357</v>
      </c>
      <c r="AF160" t="s">
        <v>1178</v>
      </c>
      <c r="AG160" t="s">
        <v>1190</v>
      </c>
      <c r="AH160" t="s">
        <v>1178</v>
      </c>
      <c r="AI160" t="s">
        <v>1280</v>
      </c>
      <c r="AJ160" t="s">
        <v>1190</v>
      </c>
      <c r="AK160">
        <v>0</v>
      </c>
      <c r="AL160" t="s">
        <v>1262</v>
      </c>
      <c r="AM160">
        <v>46265</v>
      </c>
      <c r="AN160">
        <v>46273</v>
      </c>
      <c r="AO160">
        <v>46254</v>
      </c>
      <c r="AP160">
        <v>46258</v>
      </c>
      <c r="AQ160">
        <v>46258</v>
      </c>
      <c r="AR160">
        <v>46260</v>
      </c>
      <c r="AS160">
        <v>46262</v>
      </c>
      <c r="AT160" t="s">
        <v>1281</v>
      </c>
      <c r="AU160" t="s">
        <v>1177</v>
      </c>
      <c r="AV160" t="s">
        <v>1192</v>
      </c>
      <c r="AW160" t="s">
        <v>1177</v>
      </c>
      <c r="AX160">
        <v>274</v>
      </c>
      <c r="AY160">
        <v>2</v>
      </c>
      <c r="AZ160" t="s">
        <v>1177</v>
      </c>
      <c r="BA160">
        <v>2</v>
      </c>
      <c r="BB160" t="s">
        <v>1262</v>
      </c>
      <c r="BC160" t="s">
        <v>1913</v>
      </c>
      <c r="BD160">
        <v>2</v>
      </c>
      <c r="BE160">
        <v>46226</v>
      </c>
      <c r="BF160" t="s">
        <v>1165</v>
      </c>
      <c r="BG160" t="s">
        <v>1372</v>
      </c>
      <c r="BH160" t="s">
        <v>1903</v>
      </c>
      <c r="BI160" t="s">
        <v>1914</v>
      </c>
    </row>
    <row r="161" spans="1:61" x14ac:dyDescent="0.35">
      <c r="A161" s="7" t="str">
        <f t="shared" si="4"/>
        <v>461594300009284</v>
      </c>
      <c r="B161" s="7" t="str">
        <f t="shared" si="5"/>
        <v>GP639436B865</v>
      </c>
      <c r="C161" t="s">
        <v>1177</v>
      </c>
      <c r="D161" t="s">
        <v>1178</v>
      </c>
      <c r="E161" t="s">
        <v>1915</v>
      </c>
      <c r="F161" t="s">
        <v>1363</v>
      </c>
      <c r="G161" t="s">
        <v>1363</v>
      </c>
      <c r="H161" t="s">
        <v>1271</v>
      </c>
      <c r="I161">
        <v>46159</v>
      </c>
      <c r="J161" t="s">
        <v>1916</v>
      </c>
      <c r="K161" t="s">
        <v>1182</v>
      </c>
      <c r="L161" t="s">
        <v>1177</v>
      </c>
      <c r="M161" t="s">
        <v>1274</v>
      </c>
      <c r="N161" t="s">
        <v>1079</v>
      </c>
      <c r="O161" t="s">
        <v>1275</v>
      </c>
      <c r="P161">
        <v>46159</v>
      </c>
      <c r="Q161" t="s">
        <v>1177</v>
      </c>
      <c r="R161" t="s">
        <v>7</v>
      </c>
      <c r="S161" t="s">
        <v>1040</v>
      </c>
      <c r="T161" t="s">
        <v>1917</v>
      </c>
      <c r="U161" t="s">
        <v>1392</v>
      </c>
      <c r="V161">
        <v>16</v>
      </c>
      <c r="W161" t="s">
        <v>1262</v>
      </c>
      <c r="X161" t="s">
        <v>1262</v>
      </c>
      <c r="Y161">
        <v>0</v>
      </c>
      <c r="Z161" t="s">
        <v>1186</v>
      </c>
      <c r="AA161" t="s">
        <v>1177</v>
      </c>
      <c r="AB161" t="s">
        <v>1276</v>
      </c>
      <c r="AC161" t="s">
        <v>1277</v>
      </c>
      <c r="AD161" t="s">
        <v>1278</v>
      </c>
      <c r="AE161" t="s">
        <v>1502</v>
      </c>
      <c r="AF161" t="s">
        <v>1178</v>
      </c>
      <c r="AG161" t="s">
        <v>1190</v>
      </c>
      <c r="AH161" t="s">
        <v>1178</v>
      </c>
      <c r="AI161" t="s">
        <v>1349</v>
      </c>
      <c r="AJ161" t="s">
        <v>1190</v>
      </c>
      <c r="AK161">
        <v>0</v>
      </c>
      <c r="AL161" t="s">
        <v>1262</v>
      </c>
      <c r="AM161">
        <v>46265</v>
      </c>
      <c r="AN161">
        <v>46339</v>
      </c>
      <c r="AO161">
        <v>46258</v>
      </c>
      <c r="AP161">
        <v>46260</v>
      </c>
      <c r="AQ161">
        <v>46260</v>
      </c>
      <c r="AR161">
        <v>46262</v>
      </c>
      <c r="AS161">
        <v>46262</v>
      </c>
      <c r="AT161" t="s">
        <v>1281</v>
      </c>
      <c r="AU161" t="s">
        <v>1177</v>
      </c>
      <c r="AV161" t="s">
        <v>1192</v>
      </c>
      <c r="AW161" t="s">
        <v>1177</v>
      </c>
      <c r="AX161">
        <v>0</v>
      </c>
      <c r="AY161">
        <v>0</v>
      </c>
      <c r="AZ161" t="s">
        <v>1177</v>
      </c>
      <c r="BA161">
        <v>0</v>
      </c>
      <c r="BB161" t="s">
        <v>1262</v>
      </c>
      <c r="BC161" t="e">
        <v>#N/A</v>
      </c>
      <c r="BD161" t="e">
        <v>#N/A</v>
      </c>
      <c r="BE161" t="e">
        <v>#N/A</v>
      </c>
      <c r="BF161" t="e">
        <v>#N/A</v>
      </c>
      <c r="BG161" t="s">
        <v>1372</v>
      </c>
      <c r="BH161" t="s">
        <v>1903</v>
      </c>
      <c r="BI161" t="s">
        <v>1918</v>
      </c>
    </row>
    <row r="162" spans="1:61" x14ac:dyDescent="0.35">
      <c r="A162" s="7" t="str">
        <f t="shared" si="4"/>
        <v>461594300009285</v>
      </c>
      <c r="B162" s="7" t="str">
        <f t="shared" si="5"/>
        <v>GP639436B857</v>
      </c>
      <c r="C162" t="s">
        <v>1177</v>
      </c>
      <c r="D162" t="s">
        <v>1178</v>
      </c>
      <c r="E162" t="s">
        <v>1919</v>
      </c>
      <c r="F162" t="s">
        <v>1363</v>
      </c>
      <c r="G162" t="s">
        <v>1363</v>
      </c>
      <c r="H162" t="s">
        <v>1271</v>
      </c>
      <c r="I162">
        <v>46159</v>
      </c>
      <c r="J162" t="s">
        <v>1920</v>
      </c>
      <c r="K162" t="s">
        <v>1182</v>
      </c>
      <c r="L162" t="s">
        <v>1177</v>
      </c>
      <c r="M162" t="s">
        <v>1274</v>
      </c>
      <c r="N162" t="s">
        <v>1079</v>
      </c>
      <c r="O162" t="s">
        <v>1275</v>
      </c>
      <c r="P162">
        <v>46159</v>
      </c>
      <c r="Q162" t="s">
        <v>1177</v>
      </c>
      <c r="R162" t="s">
        <v>23</v>
      </c>
      <c r="S162" t="s">
        <v>959</v>
      </c>
      <c r="T162" t="s">
        <v>1917</v>
      </c>
      <c r="U162" t="s">
        <v>1392</v>
      </c>
      <c r="V162">
        <v>16</v>
      </c>
      <c r="W162" t="s">
        <v>1262</v>
      </c>
      <c r="X162" t="s">
        <v>1262</v>
      </c>
      <c r="Y162">
        <v>0</v>
      </c>
      <c r="Z162" t="s">
        <v>1186</v>
      </c>
      <c r="AA162" t="s">
        <v>1177</v>
      </c>
      <c r="AB162" t="s">
        <v>1276</v>
      </c>
      <c r="AC162" t="s">
        <v>1277</v>
      </c>
      <c r="AD162" t="s">
        <v>1278</v>
      </c>
      <c r="AE162" t="s">
        <v>1502</v>
      </c>
      <c r="AF162" t="s">
        <v>1178</v>
      </c>
      <c r="AG162" t="s">
        <v>1190</v>
      </c>
      <c r="AH162" t="s">
        <v>1178</v>
      </c>
      <c r="AI162" t="s">
        <v>1280</v>
      </c>
      <c r="AJ162" t="s">
        <v>1190</v>
      </c>
      <c r="AK162">
        <v>0</v>
      </c>
      <c r="AL162" t="s">
        <v>1262</v>
      </c>
      <c r="AM162">
        <v>46265</v>
      </c>
      <c r="AN162">
        <v>46339</v>
      </c>
      <c r="AO162">
        <v>46254</v>
      </c>
      <c r="AP162">
        <v>46258</v>
      </c>
      <c r="AQ162">
        <v>46258</v>
      </c>
      <c r="AR162">
        <v>46260</v>
      </c>
      <c r="AS162">
        <v>46260</v>
      </c>
      <c r="AT162" t="s">
        <v>1281</v>
      </c>
      <c r="AU162" t="s">
        <v>1177</v>
      </c>
      <c r="AV162" t="s">
        <v>1192</v>
      </c>
      <c r="AW162" t="s">
        <v>1177</v>
      </c>
      <c r="AX162">
        <v>0</v>
      </c>
      <c r="AY162">
        <v>0</v>
      </c>
      <c r="AZ162" t="s">
        <v>1177</v>
      </c>
      <c r="BA162">
        <v>0</v>
      </c>
      <c r="BB162" t="s">
        <v>1262</v>
      </c>
      <c r="BC162" t="e">
        <v>#N/A</v>
      </c>
      <c r="BD162" t="e">
        <v>#N/A</v>
      </c>
      <c r="BE162" t="e">
        <v>#N/A</v>
      </c>
      <c r="BF162" t="e">
        <v>#N/A</v>
      </c>
      <c r="BG162" t="s">
        <v>1372</v>
      </c>
      <c r="BH162" t="s">
        <v>1903</v>
      </c>
      <c r="BI162" t="s">
        <v>1918</v>
      </c>
    </row>
    <row r="163" spans="1:61" x14ac:dyDescent="0.35">
      <c r="A163" s="7" t="str">
        <f t="shared" si="4"/>
        <v>461594300009286</v>
      </c>
      <c r="B163" s="7" t="str">
        <f t="shared" si="5"/>
        <v>GP639436B867</v>
      </c>
      <c r="C163" t="s">
        <v>1177</v>
      </c>
      <c r="D163" t="s">
        <v>1178</v>
      </c>
      <c r="E163" t="s">
        <v>1921</v>
      </c>
      <c r="F163" t="s">
        <v>1363</v>
      </c>
      <c r="G163" t="s">
        <v>1363</v>
      </c>
      <c r="H163" t="s">
        <v>1271</v>
      </c>
      <c r="I163">
        <v>46159</v>
      </c>
      <c r="J163" t="s">
        <v>1922</v>
      </c>
      <c r="K163" t="s">
        <v>1182</v>
      </c>
      <c r="L163" t="s">
        <v>1177</v>
      </c>
      <c r="M163" t="s">
        <v>1274</v>
      </c>
      <c r="N163" t="s">
        <v>1079</v>
      </c>
      <c r="O163" t="s">
        <v>1275</v>
      </c>
      <c r="P163">
        <v>46159</v>
      </c>
      <c r="Q163" t="s">
        <v>1177</v>
      </c>
      <c r="R163" t="s">
        <v>25</v>
      </c>
      <c r="S163" t="s">
        <v>1060</v>
      </c>
      <c r="T163" t="s">
        <v>1917</v>
      </c>
      <c r="U163" t="s">
        <v>1392</v>
      </c>
      <c r="V163">
        <v>16</v>
      </c>
      <c r="W163" t="s">
        <v>1262</v>
      </c>
      <c r="X163" t="s">
        <v>1262</v>
      </c>
      <c r="Y163">
        <v>0</v>
      </c>
      <c r="Z163" t="s">
        <v>1186</v>
      </c>
      <c r="AA163" t="s">
        <v>1177</v>
      </c>
      <c r="AB163" t="s">
        <v>1276</v>
      </c>
      <c r="AC163" t="s">
        <v>1277</v>
      </c>
      <c r="AD163" t="s">
        <v>1278</v>
      </c>
      <c r="AE163" t="s">
        <v>1502</v>
      </c>
      <c r="AF163" t="s">
        <v>1178</v>
      </c>
      <c r="AG163" t="s">
        <v>1190</v>
      </c>
      <c r="AH163" t="s">
        <v>1178</v>
      </c>
      <c r="AI163" t="s">
        <v>1280</v>
      </c>
      <c r="AJ163" t="s">
        <v>1190</v>
      </c>
      <c r="AK163">
        <v>0</v>
      </c>
      <c r="AL163" t="s">
        <v>1262</v>
      </c>
      <c r="AM163">
        <v>46265</v>
      </c>
      <c r="AN163">
        <v>46339</v>
      </c>
      <c r="AO163">
        <v>46254</v>
      </c>
      <c r="AP163">
        <v>46258</v>
      </c>
      <c r="AQ163">
        <v>46258</v>
      </c>
      <c r="AR163">
        <v>46260</v>
      </c>
      <c r="AS163">
        <v>46262</v>
      </c>
      <c r="AT163" t="s">
        <v>1281</v>
      </c>
      <c r="AU163" t="s">
        <v>1177</v>
      </c>
      <c r="AV163" t="s">
        <v>1192</v>
      </c>
      <c r="AW163" t="s">
        <v>1177</v>
      </c>
      <c r="AX163">
        <v>163</v>
      </c>
      <c r="AY163">
        <v>2</v>
      </c>
      <c r="AZ163" t="s">
        <v>1177</v>
      </c>
      <c r="BA163">
        <v>0</v>
      </c>
      <c r="BB163" t="s">
        <v>1262</v>
      </c>
      <c r="BC163" t="e">
        <v>#N/A</v>
      </c>
      <c r="BD163" t="e">
        <v>#N/A</v>
      </c>
      <c r="BE163" t="e">
        <v>#N/A</v>
      </c>
      <c r="BF163" t="e">
        <v>#N/A</v>
      </c>
      <c r="BG163" t="s">
        <v>1372</v>
      </c>
      <c r="BH163" t="s">
        <v>1903</v>
      </c>
      <c r="BI163" t="s">
        <v>1918</v>
      </c>
    </row>
    <row r="164" spans="1:61" x14ac:dyDescent="0.35">
      <c r="A164" s="7" t="str">
        <f t="shared" si="4"/>
        <v>461594300009294</v>
      </c>
      <c r="B164" s="7" t="str">
        <f t="shared" si="5"/>
        <v>GP639436B864</v>
      </c>
      <c r="C164" t="s">
        <v>1177</v>
      </c>
      <c r="D164" t="s">
        <v>1178</v>
      </c>
      <c r="E164" t="s">
        <v>1923</v>
      </c>
      <c r="F164" t="s">
        <v>1363</v>
      </c>
      <c r="G164" t="s">
        <v>1363</v>
      </c>
      <c r="H164" t="s">
        <v>1271</v>
      </c>
      <c r="I164">
        <v>46159</v>
      </c>
      <c r="J164" t="s">
        <v>1924</v>
      </c>
      <c r="K164" t="s">
        <v>1182</v>
      </c>
      <c r="L164" t="s">
        <v>1177</v>
      </c>
      <c r="M164" t="s">
        <v>1274</v>
      </c>
      <c r="N164" t="s">
        <v>1079</v>
      </c>
      <c r="O164" t="s">
        <v>1275</v>
      </c>
      <c r="P164">
        <v>46159</v>
      </c>
      <c r="Q164" t="s">
        <v>1177</v>
      </c>
      <c r="R164" t="s">
        <v>10</v>
      </c>
      <c r="S164" t="s">
        <v>1011</v>
      </c>
      <c r="T164" t="s">
        <v>1917</v>
      </c>
      <c r="U164" t="s">
        <v>1392</v>
      </c>
      <c r="V164">
        <v>8</v>
      </c>
      <c r="W164" t="s">
        <v>1262</v>
      </c>
      <c r="X164" t="s">
        <v>1262</v>
      </c>
      <c r="Y164">
        <v>0</v>
      </c>
      <c r="Z164" t="s">
        <v>1186</v>
      </c>
      <c r="AA164" t="s">
        <v>1177</v>
      </c>
      <c r="AB164" t="s">
        <v>1276</v>
      </c>
      <c r="AC164" t="s">
        <v>1277</v>
      </c>
      <c r="AD164" t="s">
        <v>1278</v>
      </c>
      <c r="AE164" t="s">
        <v>1502</v>
      </c>
      <c r="AF164" t="s">
        <v>1178</v>
      </c>
      <c r="AG164" t="s">
        <v>1190</v>
      </c>
      <c r="AH164" t="s">
        <v>1178</v>
      </c>
      <c r="AI164" t="s">
        <v>1280</v>
      </c>
      <c r="AJ164" t="s">
        <v>1190</v>
      </c>
      <c r="AK164">
        <v>0</v>
      </c>
      <c r="AL164" t="s">
        <v>1262</v>
      </c>
      <c r="AM164">
        <v>46265</v>
      </c>
      <c r="AN164">
        <v>46339</v>
      </c>
      <c r="AO164">
        <v>46254</v>
      </c>
      <c r="AP164">
        <v>46258</v>
      </c>
      <c r="AQ164">
        <v>46258</v>
      </c>
      <c r="AR164">
        <v>46260</v>
      </c>
      <c r="AS164">
        <v>46260</v>
      </c>
      <c r="AT164" t="s">
        <v>1281</v>
      </c>
      <c r="AU164" t="s">
        <v>1177</v>
      </c>
      <c r="AV164" t="s">
        <v>1192</v>
      </c>
      <c r="AW164" t="s">
        <v>1177</v>
      </c>
      <c r="AX164">
        <v>0</v>
      </c>
      <c r="AY164">
        <v>0</v>
      </c>
      <c r="AZ164" t="s">
        <v>1177</v>
      </c>
      <c r="BA164">
        <v>0</v>
      </c>
      <c r="BB164" t="s">
        <v>1262</v>
      </c>
      <c r="BC164" t="e">
        <v>#N/A</v>
      </c>
      <c r="BD164" t="e">
        <v>#N/A</v>
      </c>
      <c r="BE164" t="e">
        <v>#N/A</v>
      </c>
      <c r="BF164" t="e">
        <v>#N/A</v>
      </c>
      <c r="BG164" t="s">
        <v>1372</v>
      </c>
      <c r="BH164" t="s">
        <v>1903</v>
      </c>
      <c r="BI164" t="s">
        <v>1918</v>
      </c>
    </row>
    <row r="165" spans="1:61" x14ac:dyDescent="0.35">
      <c r="A165" s="7" t="str">
        <f t="shared" si="4"/>
        <v>461594300009295</v>
      </c>
      <c r="B165" s="7" t="str">
        <f t="shared" si="5"/>
        <v>GP639436B856</v>
      </c>
      <c r="C165" t="s">
        <v>1177</v>
      </c>
      <c r="D165" t="s">
        <v>1178</v>
      </c>
      <c r="E165" t="s">
        <v>1925</v>
      </c>
      <c r="F165" t="s">
        <v>1363</v>
      </c>
      <c r="G165" t="s">
        <v>1363</v>
      </c>
      <c r="H165" t="s">
        <v>1271</v>
      </c>
      <c r="I165">
        <v>46159</v>
      </c>
      <c r="J165" t="s">
        <v>1926</v>
      </c>
      <c r="K165" t="s">
        <v>1182</v>
      </c>
      <c r="L165" t="s">
        <v>1177</v>
      </c>
      <c r="M165" t="s">
        <v>1274</v>
      </c>
      <c r="N165" t="s">
        <v>1079</v>
      </c>
      <c r="O165" t="s">
        <v>1275</v>
      </c>
      <c r="P165">
        <v>46159</v>
      </c>
      <c r="Q165" t="s">
        <v>1177</v>
      </c>
      <c r="R165" t="s">
        <v>21</v>
      </c>
      <c r="S165" t="s">
        <v>853</v>
      </c>
      <c r="T165" t="s">
        <v>1917</v>
      </c>
      <c r="U165" t="s">
        <v>1392</v>
      </c>
      <c r="V165">
        <v>16</v>
      </c>
      <c r="W165" t="s">
        <v>1262</v>
      </c>
      <c r="X165" t="s">
        <v>1262</v>
      </c>
      <c r="Y165">
        <v>0</v>
      </c>
      <c r="Z165" t="s">
        <v>1186</v>
      </c>
      <c r="AA165" t="s">
        <v>1177</v>
      </c>
      <c r="AB165" t="s">
        <v>1276</v>
      </c>
      <c r="AC165" t="s">
        <v>1277</v>
      </c>
      <c r="AD165" t="s">
        <v>1278</v>
      </c>
      <c r="AE165" t="s">
        <v>1502</v>
      </c>
      <c r="AF165" t="s">
        <v>1178</v>
      </c>
      <c r="AG165" t="s">
        <v>1190</v>
      </c>
      <c r="AH165" t="s">
        <v>1178</v>
      </c>
      <c r="AI165" t="s">
        <v>1280</v>
      </c>
      <c r="AJ165" t="s">
        <v>1190</v>
      </c>
      <c r="AK165">
        <v>0</v>
      </c>
      <c r="AL165" t="s">
        <v>1262</v>
      </c>
      <c r="AM165">
        <v>46265</v>
      </c>
      <c r="AN165">
        <v>46339</v>
      </c>
      <c r="AO165">
        <v>46254</v>
      </c>
      <c r="AP165">
        <v>46258</v>
      </c>
      <c r="AQ165">
        <v>46258</v>
      </c>
      <c r="AR165">
        <v>46260</v>
      </c>
      <c r="AS165">
        <v>46260</v>
      </c>
      <c r="AT165" t="s">
        <v>1281</v>
      </c>
      <c r="AU165" t="s">
        <v>1177</v>
      </c>
      <c r="AV165" t="s">
        <v>1192</v>
      </c>
      <c r="AW165" t="s">
        <v>1177</v>
      </c>
      <c r="AX165">
        <v>0</v>
      </c>
      <c r="AY165">
        <v>0</v>
      </c>
      <c r="AZ165" t="s">
        <v>1177</v>
      </c>
      <c r="BA165">
        <v>0</v>
      </c>
      <c r="BB165" t="s">
        <v>1262</v>
      </c>
      <c r="BC165" t="e">
        <v>#N/A</v>
      </c>
      <c r="BD165" t="e">
        <v>#N/A</v>
      </c>
      <c r="BE165" t="e">
        <v>#N/A</v>
      </c>
      <c r="BF165" t="e">
        <v>#N/A</v>
      </c>
      <c r="BG165" t="s">
        <v>1372</v>
      </c>
      <c r="BH165" t="s">
        <v>1903</v>
      </c>
      <c r="BI165" t="s">
        <v>1918</v>
      </c>
    </row>
    <row r="166" spans="1:61" x14ac:dyDescent="0.35">
      <c r="A166" s="7" t="str">
        <f t="shared" si="4"/>
        <v>461594300009318</v>
      </c>
      <c r="B166" s="7" t="str">
        <f t="shared" si="5"/>
        <v>GP007339B865</v>
      </c>
      <c r="C166" t="s">
        <v>1177</v>
      </c>
      <c r="D166" t="s">
        <v>1178</v>
      </c>
      <c r="E166" t="s">
        <v>1927</v>
      </c>
      <c r="F166" t="s">
        <v>1363</v>
      </c>
      <c r="G166" t="s">
        <v>1363</v>
      </c>
      <c r="H166" t="s">
        <v>1271</v>
      </c>
      <c r="I166">
        <v>46159</v>
      </c>
      <c r="J166" t="s">
        <v>1928</v>
      </c>
      <c r="K166" t="s">
        <v>1182</v>
      </c>
      <c r="L166" t="s">
        <v>1177</v>
      </c>
      <c r="M166" t="s">
        <v>1274</v>
      </c>
      <c r="N166" t="s">
        <v>1079</v>
      </c>
      <c r="O166" t="s">
        <v>1275</v>
      </c>
      <c r="P166">
        <v>46159</v>
      </c>
      <c r="Q166" t="s">
        <v>1177</v>
      </c>
      <c r="R166" t="s">
        <v>7</v>
      </c>
      <c r="S166" t="s">
        <v>1040</v>
      </c>
      <c r="T166" t="s">
        <v>221</v>
      </c>
      <c r="U166" t="s">
        <v>1672</v>
      </c>
      <c r="V166">
        <v>17</v>
      </c>
      <c r="W166" t="s">
        <v>1262</v>
      </c>
      <c r="X166" t="s">
        <v>1262</v>
      </c>
      <c r="Y166">
        <v>0</v>
      </c>
      <c r="Z166" t="s">
        <v>1186</v>
      </c>
      <c r="AA166" t="s">
        <v>1177</v>
      </c>
      <c r="AB166" t="s">
        <v>1177</v>
      </c>
      <c r="AC166" t="s">
        <v>1177</v>
      </c>
      <c r="AD166" t="s">
        <v>1313</v>
      </c>
      <c r="AE166" t="s">
        <v>1292</v>
      </c>
      <c r="AF166" t="s">
        <v>1189</v>
      </c>
      <c r="AG166" t="s">
        <v>1178</v>
      </c>
      <c r="AH166" t="s">
        <v>1178</v>
      </c>
      <c r="AI166" t="s">
        <v>1349</v>
      </c>
      <c r="AJ166" t="s">
        <v>1190</v>
      </c>
      <c r="AK166">
        <v>0</v>
      </c>
      <c r="AL166" t="s">
        <v>1262</v>
      </c>
      <c r="AM166">
        <v>46170</v>
      </c>
      <c r="AN166">
        <v>46182</v>
      </c>
      <c r="AO166">
        <v>46160</v>
      </c>
      <c r="AP166">
        <v>46162</v>
      </c>
      <c r="AQ166">
        <v>46162</v>
      </c>
      <c r="AR166">
        <v>46164</v>
      </c>
      <c r="AS166">
        <v>46168</v>
      </c>
      <c r="AT166" t="s">
        <v>1281</v>
      </c>
      <c r="AU166" t="s">
        <v>1177</v>
      </c>
      <c r="AV166" t="s">
        <v>1192</v>
      </c>
      <c r="AW166" t="s">
        <v>1177</v>
      </c>
      <c r="AX166">
        <v>54</v>
      </c>
      <c r="AY166">
        <v>2</v>
      </c>
      <c r="AZ166" t="s">
        <v>1177</v>
      </c>
      <c r="BA166">
        <v>0</v>
      </c>
      <c r="BB166" t="s">
        <v>1262</v>
      </c>
      <c r="BC166" t="e">
        <v>#N/A</v>
      </c>
      <c r="BD166" t="e">
        <v>#N/A</v>
      </c>
      <c r="BE166" t="e">
        <v>#N/A</v>
      </c>
      <c r="BF166" t="e">
        <v>#N/A</v>
      </c>
      <c r="BG166" t="s">
        <v>126</v>
      </c>
      <c r="BH166" t="s">
        <v>1873</v>
      </c>
      <c r="BI166" t="s">
        <v>126</v>
      </c>
    </row>
    <row r="167" spans="1:61" x14ac:dyDescent="0.35">
      <c r="A167" s="7" t="str">
        <f t="shared" si="4"/>
        <v>461594300009333</v>
      </c>
      <c r="B167" s="7" t="str">
        <f t="shared" si="5"/>
        <v>GP328007B864</v>
      </c>
      <c r="C167" t="s">
        <v>1177</v>
      </c>
      <c r="D167" t="s">
        <v>1178</v>
      </c>
      <c r="E167" t="s">
        <v>1929</v>
      </c>
      <c r="F167" t="s">
        <v>1363</v>
      </c>
      <c r="G167" t="s">
        <v>1363</v>
      </c>
      <c r="H167" t="s">
        <v>1271</v>
      </c>
      <c r="I167">
        <v>46159</v>
      </c>
      <c r="J167" t="s">
        <v>1930</v>
      </c>
      <c r="K167" t="s">
        <v>1841</v>
      </c>
      <c r="L167" t="s">
        <v>1177</v>
      </c>
      <c r="M167" t="s">
        <v>1274</v>
      </c>
      <c r="N167" t="s">
        <v>1079</v>
      </c>
      <c r="O167" t="s">
        <v>1275</v>
      </c>
      <c r="P167">
        <v>46159</v>
      </c>
      <c r="Q167" t="s">
        <v>1177</v>
      </c>
      <c r="R167" t="s">
        <v>10</v>
      </c>
      <c r="S167" t="s">
        <v>1011</v>
      </c>
      <c r="T167" t="s">
        <v>1024</v>
      </c>
      <c r="U167" t="s">
        <v>1025</v>
      </c>
      <c r="V167">
        <v>4</v>
      </c>
      <c r="W167" t="s">
        <v>1262</v>
      </c>
      <c r="X167" t="s">
        <v>1262</v>
      </c>
      <c r="Y167">
        <v>0</v>
      </c>
      <c r="Z167" t="s">
        <v>1186</v>
      </c>
      <c r="AA167" t="s">
        <v>1177</v>
      </c>
      <c r="AB167" t="s">
        <v>1276</v>
      </c>
      <c r="AC167" t="s">
        <v>1277</v>
      </c>
      <c r="AD167" t="s">
        <v>1278</v>
      </c>
      <c r="AE167" t="s">
        <v>1354</v>
      </c>
      <c r="AF167" t="s">
        <v>1178</v>
      </c>
      <c r="AG167" t="s">
        <v>1190</v>
      </c>
      <c r="AH167" t="s">
        <v>1178</v>
      </c>
      <c r="AI167" t="s">
        <v>1280</v>
      </c>
      <c r="AJ167" t="s">
        <v>1190</v>
      </c>
      <c r="AK167">
        <v>0</v>
      </c>
      <c r="AL167" t="s">
        <v>1262</v>
      </c>
      <c r="AM167">
        <v>45909</v>
      </c>
      <c r="AN167">
        <v>46163</v>
      </c>
      <c r="AO167">
        <v>46163</v>
      </c>
      <c r="AP167">
        <v>46167</v>
      </c>
      <c r="AQ167">
        <v>46167</v>
      </c>
      <c r="AR167">
        <v>46169</v>
      </c>
      <c r="AS167">
        <v>46171</v>
      </c>
      <c r="AT167" t="s">
        <v>1281</v>
      </c>
      <c r="AU167" t="s">
        <v>1177</v>
      </c>
      <c r="AV167" t="s">
        <v>1192</v>
      </c>
      <c r="AW167" t="s">
        <v>1177</v>
      </c>
      <c r="AX167">
        <v>33</v>
      </c>
      <c r="AY167">
        <v>2</v>
      </c>
      <c r="AZ167" t="s">
        <v>1177</v>
      </c>
      <c r="BA167">
        <v>0</v>
      </c>
      <c r="BB167" t="s">
        <v>1262</v>
      </c>
      <c r="BC167" t="e">
        <v>#N/A</v>
      </c>
      <c r="BD167" t="e">
        <v>#N/A</v>
      </c>
      <c r="BE167" t="e">
        <v>#N/A</v>
      </c>
      <c r="BF167" t="e">
        <v>#N/A</v>
      </c>
      <c r="BG167" t="s">
        <v>1458</v>
      </c>
      <c r="BH167" t="s">
        <v>1763</v>
      </c>
      <c r="BI167" t="s">
        <v>1177</v>
      </c>
    </row>
    <row r="168" spans="1:61" x14ac:dyDescent="0.35">
      <c r="A168" s="7" t="str">
        <f t="shared" si="4"/>
        <v>461594300009348</v>
      </c>
      <c r="B168" s="7" t="str">
        <f t="shared" si="5"/>
        <v>GP328003B865</v>
      </c>
      <c r="C168" t="s">
        <v>1177</v>
      </c>
      <c r="D168" t="s">
        <v>1178</v>
      </c>
      <c r="E168" t="s">
        <v>1931</v>
      </c>
      <c r="F168" t="s">
        <v>1363</v>
      </c>
      <c r="G168" t="s">
        <v>1363</v>
      </c>
      <c r="H168" t="s">
        <v>1271</v>
      </c>
      <c r="I168">
        <v>46159</v>
      </c>
      <c r="J168" t="s">
        <v>1932</v>
      </c>
      <c r="K168" t="s">
        <v>1687</v>
      </c>
      <c r="L168" t="s">
        <v>1177</v>
      </c>
      <c r="M168" t="s">
        <v>1274</v>
      </c>
      <c r="N168" t="s">
        <v>1079</v>
      </c>
      <c r="O168" t="s">
        <v>1275</v>
      </c>
      <c r="P168">
        <v>46159</v>
      </c>
      <c r="Q168" t="s">
        <v>1177</v>
      </c>
      <c r="R168" t="s">
        <v>7</v>
      </c>
      <c r="S168" t="s">
        <v>1040</v>
      </c>
      <c r="T168" t="s">
        <v>1102</v>
      </c>
      <c r="U168" t="s">
        <v>1103</v>
      </c>
      <c r="V168">
        <v>4</v>
      </c>
      <c r="W168" t="s">
        <v>1262</v>
      </c>
      <c r="X168" t="s">
        <v>1262</v>
      </c>
      <c r="Y168">
        <v>0</v>
      </c>
      <c r="Z168" t="s">
        <v>1186</v>
      </c>
      <c r="AA168" t="s">
        <v>1177</v>
      </c>
      <c r="AB168" t="s">
        <v>1276</v>
      </c>
      <c r="AC168" t="s">
        <v>1277</v>
      </c>
      <c r="AD168" t="s">
        <v>1278</v>
      </c>
      <c r="AE168" t="s">
        <v>1292</v>
      </c>
      <c r="AF168" t="s">
        <v>1178</v>
      </c>
      <c r="AG168" t="s">
        <v>1190</v>
      </c>
      <c r="AH168" t="s">
        <v>1178</v>
      </c>
      <c r="AI168" t="s">
        <v>1349</v>
      </c>
      <c r="AJ168" t="s">
        <v>1190</v>
      </c>
      <c r="AK168">
        <v>0</v>
      </c>
      <c r="AL168" t="s">
        <v>1262</v>
      </c>
      <c r="AM168">
        <v>45910</v>
      </c>
      <c r="AN168">
        <v>46160</v>
      </c>
      <c r="AO168">
        <v>46160</v>
      </c>
      <c r="AP168">
        <v>46162</v>
      </c>
      <c r="AQ168">
        <v>46162</v>
      </c>
      <c r="AR168">
        <v>46164</v>
      </c>
      <c r="AS168">
        <v>46164</v>
      </c>
      <c r="AT168" t="s">
        <v>1281</v>
      </c>
      <c r="AU168" t="s">
        <v>1177</v>
      </c>
      <c r="AV168" t="s">
        <v>1192</v>
      </c>
      <c r="AW168" t="s">
        <v>1177</v>
      </c>
      <c r="AX168">
        <v>0</v>
      </c>
      <c r="AY168">
        <v>0</v>
      </c>
      <c r="AZ168" t="s">
        <v>1177</v>
      </c>
      <c r="BA168">
        <v>0</v>
      </c>
      <c r="BB168" t="s">
        <v>1262</v>
      </c>
      <c r="BC168" t="e">
        <v>#N/A</v>
      </c>
      <c r="BD168" t="e">
        <v>#N/A</v>
      </c>
      <c r="BE168" t="e">
        <v>#N/A</v>
      </c>
      <c r="BF168" t="e">
        <v>#N/A</v>
      </c>
      <c r="BG168" t="s">
        <v>1458</v>
      </c>
      <c r="BH168" t="s">
        <v>1763</v>
      </c>
      <c r="BI168" t="s">
        <v>1933</v>
      </c>
    </row>
    <row r="169" spans="1:61" x14ac:dyDescent="0.35">
      <c r="A169" s="7" t="str">
        <f t="shared" si="4"/>
        <v>461594300009349</v>
      </c>
      <c r="B169" s="7" t="str">
        <f t="shared" si="5"/>
        <v>GP108981B864</v>
      </c>
      <c r="C169" t="s">
        <v>1177</v>
      </c>
      <c r="D169" t="s">
        <v>1178</v>
      </c>
      <c r="E169" t="s">
        <v>1934</v>
      </c>
      <c r="F169" t="s">
        <v>1363</v>
      </c>
      <c r="G169" t="s">
        <v>1363</v>
      </c>
      <c r="H169" t="s">
        <v>1271</v>
      </c>
      <c r="I169">
        <v>46159</v>
      </c>
      <c r="J169" t="s">
        <v>1935</v>
      </c>
      <c r="K169" t="s">
        <v>1407</v>
      </c>
      <c r="L169" t="s">
        <v>1177</v>
      </c>
      <c r="M169" t="s">
        <v>1274</v>
      </c>
      <c r="N169" t="s">
        <v>1079</v>
      </c>
      <c r="O169" t="s">
        <v>1275</v>
      </c>
      <c r="P169">
        <v>46159</v>
      </c>
      <c r="Q169" t="s">
        <v>1177</v>
      </c>
      <c r="R169" t="s">
        <v>10</v>
      </c>
      <c r="S169" t="s">
        <v>1011</v>
      </c>
      <c r="T169" t="s">
        <v>637</v>
      </c>
      <c r="U169" t="s">
        <v>638</v>
      </c>
      <c r="V169">
        <v>1</v>
      </c>
      <c r="W169" t="s">
        <v>1262</v>
      </c>
      <c r="X169" t="s">
        <v>1262</v>
      </c>
      <c r="Y169">
        <v>0</v>
      </c>
      <c r="Z169" t="s">
        <v>1186</v>
      </c>
      <c r="AA169" t="s">
        <v>1177</v>
      </c>
      <c r="AB169" t="s">
        <v>1177</v>
      </c>
      <c r="AC169" t="s">
        <v>1177</v>
      </c>
      <c r="AD169" t="s">
        <v>1204</v>
      </c>
      <c r="AE169" t="s">
        <v>1188</v>
      </c>
      <c r="AF169" t="s">
        <v>1189</v>
      </c>
      <c r="AG169" t="s">
        <v>1178</v>
      </c>
      <c r="AH169" t="s">
        <v>1178</v>
      </c>
      <c r="AI169" t="s">
        <v>1280</v>
      </c>
      <c r="AJ169" t="s">
        <v>1190</v>
      </c>
      <c r="AK169">
        <v>0</v>
      </c>
      <c r="AL169" t="s">
        <v>1262</v>
      </c>
      <c r="AM169">
        <v>46002</v>
      </c>
      <c r="AN169">
        <v>46218</v>
      </c>
      <c r="AO169">
        <v>46163</v>
      </c>
      <c r="AP169">
        <v>46167</v>
      </c>
      <c r="AQ169">
        <v>46167</v>
      </c>
      <c r="AR169">
        <v>46169</v>
      </c>
      <c r="AS169">
        <v>46171</v>
      </c>
      <c r="AT169" t="s">
        <v>1281</v>
      </c>
      <c r="AU169" t="s">
        <v>1177</v>
      </c>
      <c r="AV169" t="s">
        <v>1192</v>
      </c>
      <c r="AW169" t="s">
        <v>1177</v>
      </c>
      <c r="AX169">
        <v>80</v>
      </c>
      <c r="AY169">
        <v>2</v>
      </c>
      <c r="AZ169" t="s">
        <v>1177</v>
      </c>
      <c r="BA169">
        <v>0</v>
      </c>
      <c r="BB169" t="s">
        <v>1262</v>
      </c>
      <c r="BC169" t="e">
        <v>#N/A</v>
      </c>
      <c r="BD169" t="e">
        <v>#N/A</v>
      </c>
      <c r="BE169" t="e">
        <v>#N/A</v>
      </c>
      <c r="BF169" t="e">
        <v>#N/A</v>
      </c>
      <c r="BG169" t="s">
        <v>1458</v>
      </c>
      <c r="BH169" t="s">
        <v>1763</v>
      </c>
      <c r="BI169" t="s">
        <v>1936</v>
      </c>
    </row>
    <row r="170" spans="1:61" x14ac:dyDescent="0.35">
      <c r="A170" s="7" t="str">
        <f t="shared" si="4"/>
        <v>461594300009356</v>
      </c>
      <c r="B170" s="7" t="str">
        <f t="shared" si="5"/>
        <v>GP022119B867</v>
      </c>
      <c r="C170" t="s">
        <v>1177</v>
      </c>
      <c r="D170" t="s">
        <v>1178</v>
      </c>
      <c r="E170" t="s">
        <v>1937</v>
      </c>
      <c r="F170" t="s">
        <v>1363</v>
      </c>
      <c r="G170" t="s">
        <v>1363</v>
      </c>
      <c r="H170" t="s">
        <v>1271</v>
      </c>
      <c r="I170">
        <v>46159</v>
      </c>
      <c r="J170" t="s">
        <v>1938</v>
      </c>
      <c r="K170" t="s">
        <v>1401</v>
      </c>
      <c r="L170" t="s">
        <v>1177</v>
      </c>
      <c r="M170" t="s">
        <v>1274</v>
      </c>
      <c r="N170" t="s">
        <v>1079</v>
      </c>
      <c r="O170" t="s">
        <v>1275</v>
      </c>
      <c r="P170">
        <v>46159</v>
      </c>
      <c r="Q170" t="s">
        <v>1177</v>
      </c>
      <c r="R170" t="s">
        <v>25</v>
      </c>
      <c r="S170" t="s">
        <v>1060</v>
      </c>
      <c r="T170" t="s">
        <v>156</v>
      </c>
      <c r="U170" t="s">
        <v>1939</v>
      </c>
      <c r="V170">
        <v>20</v>
      </c>
      <c r="W170" t="s">
        <v>1202</v>
      </c>
      <c r="X170" t="s">
        <v>1202</v>
      </c>
      <c r="Y170">
        <v>0</v>
      </c>
      <c r="Z170" t="s">
        <v>1186</v>
      </c>
      <c r="AA170" t="s">
        <v>1177</v>
      </c>
      <c r="AB170" t="s">
        <v>1177</v>
      </c>
      <c r="AC170" t="s">
        <v>1177</v>
      </c>
      <c r="AD170" t="s">
        <v>1204</v>
      </c>
      <c r="AE170" t="s">
        <v>1463</v>
      </c>
      <c r="AF170" t="s">
        <v>1189</v>
      </c>
      <c r="AG170" t="s">
        <v>1190</v>
      </c>
      <c r="AH170" t="s">
        <v>1178</v>
      </c>
      <c r="AI170" t="s">
        <v>1280</v>
      </c>
      <c r="AJ170" t="s">
        <v>1190</v>
      </c>
      <c r="AK170">
        <v>0</v>
      </c>
      <c r="AL170" t="s">
        <v>1202</v>
      </c>
      <c r="AM170">
        <v>45078</v>
      </c>
      <c r="AN170">
        <v>46181</v>
      </c>
      <c r="AO170">
        <v>46163</v>
      </c>
      <c r="AP170">
        <v>46167</v>
      </c>
      <c r="AQ170">
        <v>46167</v>
      </c>
      <c r="AR170">
        <v>46169</v>
      </c>
      <c r="AS170">
        <v>46171</v>
      </c>
      <c r="AT170" t="s">
        <v>1281</v>
      </c>
      <c r="AU170" t="s">
        <v>1177</v>
      </c>
      <c r="AV170" t="s">
        <v>1192</v>
      </c>
      <c r="AW170" t="s">
        <v>1177</v>
      </c>
      <c r="AX170">
        <v>51</v>
      </c>
      <c r="AY170">
        <v>2</v>
      </c>
      <c r="AZ170" t="s">
        <v>1177</v>
      </c>
      <c r="BA170">
        <v>0</v>
      </c>
      <c r="BB170" t="s">
        <v>1202</v>
      </c>
      <c r="BC170" t="e">
        <v>#N/A</v>
      </c>
      <c r="BD170" t="e">
        <v>#N/A</v>
      </c>
      <c r="BE170" t="e">
        <v>#N/A</v>
      </c>
      <c r="BF170" t="e">
        <v>#N/A</v>
      </c>
      <c r="BG170" t="s">
        <v>1458</v>
      </c>
      <c r="BH170" t="s">
        <v>1763</v>
      </c>
      <c r="BI170" t="s">
        <v>1940</v>
      </c>
    </row>
    <row r="171" spans="1:61" x14ac:dyDescent="0.35">
      <c r="A171" s="7" t="str">
        <f t="shared" si="4"/>
        <v>461594300009357</v>
      </c>
      <c r="B171" s="7" t="str">
        <f t="shared" si="5"/>
        <v>GP328007B857</v>
      </c>
      <c r="C171" t="s">
        <v>1177</v>
      </c>
      <c r="D171" t="s">
        <v>1178</v>
      </c>
      <c r="E171" t="s">
        <v>1941</v>
      </c>
      <c r="F171" t="s">
        <v>1363</v>
      </c>
      <c r="G171" t="s">
        <v>1363</v>
      </c>
      <c r="H171" t="s">
        <v>1271</v>
      </c>
      <c r="I171">
        <v>46159</v>
      </c>
      <c r="J171" t="s">
        <v>1942</v>
      </c>
      <c r="K171" t="s">
        <v>1841</v>
      </c>
      <c r="L171" t="s">
        <v>1177</v>
      </c>
      <c r="M171" t="s">
        <v>1274</v>
      </c>
      <c r="N171" t="s">
        <v>1079</v>
      </c>
      <c r="O171" t="s">
        <v>1275</v>
      </c>
      <c r="P171">
        <v>46159</v>
      </c>
      <c r="Q171" t="s">
        <v>1177</v>
      </c>
      <c r="R171" t="s">
        <v>23</v>
      </c>
      <c r="S171" t="s">
        <v>959</v>
      </c>
      <c r="T171" t="s">
        <v>1024</v>
      </c>
      <c r="U171" t="s">
        <v>1025</v>
      </c>
      <c r="V171">
        <v>4</v>
      </c>
      <c r="W171" t="s">
        <v>1262</v>
      </c>
      <c r="X171" t="s">
        <v>1262</v>
      </c>
      <c r="Y171">
        <v>0</v>
      </c>
      <c r="Z171" t="s">
        <v>1186</v>
      </c>
      <c r="AA171" t="s">
        <v>1177</v>
      </c>
      <c r="AB171" t="s">
        <v>1276</v>
      </c>
      <c r="AC171" t="s">
        <v>1277</v>
      </c>
      <c r="AD171" t="s">
        <v>1278</v>
      </c>
      <c r="AE171" t="s">
        <v>1354</v>
      </c>
      <c r="AF171" t="s">
        <v>1178</v>
      </c>
      <c r="AG171" t="s">
        <v>1190</v>
      </c>
      <c r="AH171" t="s">
        <v>1178</v>
      </c>
      <c r="AI171" t="s">
        <v>1280</v>
      </c>
      <c r="AJ171" t="s">
        <v>1190</v>
      </c>
      <c r="AK171">
        <v>0</v>
      </c>
      <c r="AL171" t="s">
        <v>1262</v>
      </c>
      <c r="AM171">
        <v>45578</v>
      </c>
      <c r="AN171">
        <v>46163</v>
      </c>
      <c r="AO171">
        <v>46163</v>
      </c>
      <c r="AP171">
        <v>46167</v>
      </c>
      <c r="AQ171">
        <v>46167</v>
      </c>
      <c r="AR171">
        <v>46169</v>
      </c>
      <c r="AS171">
        <v>46171</v>
      </c>
      <c r="AT171" t="s">
        <v>1281</v>
      </c>
      <c r="AU171" t="s">
        <v>1177</v>
      </c>
      <c r="AV171" t="s">
        <v>1192</v>
      </c>
      <c r="AW171" t="s">
        <v>1177</v>
      </c>
      <c r="AX171">
        <v>163</v>
      </c>
      <c r="AY171">
        <v>2</v>
      </c>
      <c r="AZ171" t="s">
        <v>1177</v>
      </c>
      <c r="BA171">
        <v>0</v>
      </c>
      <c r="BB171" t="s">
        <v>1262</v>
      </c>
      <c r="BC171" t="e">
        <v>#N/A</v>
      </c>
      <c r="BD171" t="e">
        <v>#N/A</v>
      </c>
      <c r="BE171" t="e">
        <v>#N/A</v>
      </c>
      <c r="BF171" t="e">
        <v>#N/A</v>
      </c>
      <c r="BG171" t="s">
        <v>1458</v>
      </c>
      <c r="BH171" t="s">
        <v>1763</v>
      </c>
      <c r="BI171" t="s">
        <v>1943</v>
      </c>
    </row>
    <row r="172" spans="1:61" x14ac:dyDescent="0.35">
      <c r="A172" s="7" t="str">
        <f t="shared" si="4"/>
        <v>461594300009378</v>
      </c>
      <c r="B172" s="7" t="str">
        <f t="shared" si="5"/>
        <v>GP440220B867</v>
      </c>
      <c r="C172" t="s">
        <v>1177</v>
      </c>
      <c r="D172" t="s">
        <v>1178</v>
      </c>
      <c r="E172" t="s">
        <v>1947</v>
      </c>
      <c r="F172" t="s">
        <v>1363</v>
      </c>
      <c r="G172" t="s">
        <v>1363</v>
      </c>
      <c r="H172" t="s">
        <v>1271</v>
      </c>
      <c r="I172">
        <v>46159</v>
      </c>
      <c r="J172" t="s">
        <v>1948</v>
      </c>
      <c r="K172" t="s">
        <v>1198</v>
      </c>
      <c r="L172" t="s">
        <v>1177</v>
      </c>
      <c r="M172" t="s">
        <v>1274</v>
      </c>
      <c r="N172" t="s">
        <v>1079</v>
      </c>
      <c r="O172" t="s">
        <v>1275</v>
      </c>
      <c r="P172">
        <v>46159</v>
      </c>
      <c r="Q172" t="s">
        <v>1177</v>
      </c>
      <c r="R172" t="s">
        <v>25</v>
      </c>
      <c r="S172" t="s">
        <v>1060</v>
      </c>
      <c r="T172" t="s">
        <v>1056</v>
      </c>
      <c r="U172" t="s">
        <v>1057</v>
      </c>
      <c r="V172">
        <v>6</v>
      </c>
      <c r="W172" t="s">
        <v>1262</v>
      </c>
      <c r="X172" t="s">
        <v>1262</v>
      </c>
      <c r="Y172">
        <v>0</v>
      </c>
      <c r="Z172" t="s">
        <v>1186</v>
      </c>
      <c r="AA172" t="s">
        <v>1177</v>
      </c>
      <c r="AB172" t="s">
        <v>1276</v>
      </c>
      <c r="AC172" t="s">
        <v>1277</v>
      </c>
      <c r="AD172" t="s">
        <v>1278</v>
      </c>
      <c r="AE172" t="s">
        <v>1284</v>
      </c>
      <c r="AF172" t="s">
        <v>1178</v>
      </c>
      <c r="AG172" t="s">
        <v>1190</v>
      </c>
      <c r="AH172" t="s">
        <v>1178</v>
      </c>
      <c r="AI172" t="s">
        <v>1280</v>
      </c>
      <c r="AJ172" t="s">
        <v>1675</v>
      </c>
      <c r="AK172">
        <v>2</v>
      </c>
      <c r="AL172" t="s">
        <v>1262</v>
      </c>
      <c r="AM172">
        <v>46267</v>
      </c>
      <c r="AN172">
        <v>46259</v>
      </c>
      <c r="AO172">
        <v>46261</v>
      </c>
      <c r="AP172">
        <v>46265</v>
      </c>
      <c r="AQ172">
        <v>46265</v>
      </c>
      <c r="AR172">
        <v>46267</v>
      </c>
      <c r="AS172">
        <v>46269</v>
      </c>
      <c r="AT172" t="s">
        <v>1281</v>
      </c>
      <c r="AU172" t="s">
        <v>1177</v>
      </c>
      <c r="AV172" t="s">
        <v>1192</v>
      </c>
      <c r="AW172" t="s">
        <v>1177</v>
      </c>
      <c r="AX172">
        <v>163</v>
      </c>
      <c r="AY172">
        <v>2</v>
      </c>
      <c r="AZ172" t="s">
        <v>1177</v>
      </c>
      <c r="BA172">
        <v>0</v>
      </c>
      <c r="BB172" t="s">
        <v>1262</v>
      </c>
      <c r="BC172" t="s">
        <v>1621</v>
      </c>
      <c r="BD172">
        <v>4</v>
      </c>
      <c r="BE172">
        <v>46233</v>
      </c>
      <c r="BF172" t="s">
        <v>1165</v>
      </c>
      <c r="BG172" t="s">
        <v>1212</v>
      </c>
      <c r="BH172" t="s">
        <v>1194</v>
      </c>
      <c r="BI172" t="s">
        <v>1212</v>
      </c>
    </row>
    <row r="173" spans="1:61" x14ac:dyDescent="0.35">
      <c r="A173" s="7" t="str">
        <f t="shared" si="4"/>
        <v>461594300009414</v>
      </c>
      <c r="B173" s="7" t="str">
        <f t="shared" si="5"/>
        <v>GP307243B838</v>
      </c>
      <c r="C173" t="s">
        <v>1177</v>
      </c>
      <c r="D173" t="s">
        <v>1178</v>
      </c>
      <c r="E173" t="s">
        <v>1949</v>
      </c>
      <c r="F173" t="s">
        <v>1363</v>
      </c>
      <c r="G173" t="s">
        <v>1363</v>
      </c>
      <c r="H173" t="s">
        <v>1271</v>
      </c>
      <c r="I173">
        <v>46159</v>
      </c>
      <c r="J173" t="s">
        <v>1950</v>
      </c>
      <c r="K173" t="s">
        <v>1182</v>
      </c>
      <c r="L173" t="s">
        <v>1177</v>
      </c>
      <c r="M173" t="s">
        <v>1274</v>
      </c>
      <c r="N173" t="s">
        <v>1079</v>
      </c>
      <c r="O173" t="s">
        <v>1275</v>
      </c>
      <c r="P173">
        <v>46159</v>
      </c>
      <c r="Q173" t="s">
        <v>1177</v>
      </c>
      <c r="R173" t="s">
        <v>48</v>
      </c>
      <c r="S173" t="s">
        <v>745</v>
      </c>
      <c r="T173" t="s">
        <v>759</v>
      </c>
      <c r="U173" t="s">
        <v>760</v>
      </c>
      <c r="V173">
        <v>1</v>
      </c>
      <c r="W173" t="s">
        <v>1262</v>
      </c>
      <c r="X173" t="s">
        <v>1262</v>
      </c>
      <c r="Y173">
        <v>0</v>
      </c>
      <c r="Z173" t="s">
        <v>1186</v>
      </c>
      <c r="AA173" t="s">
        <v>1177</v>
      </c>
      <c r="AB173" t="s">
        <v>1276</v>
      </c>
      <c r="AC173" t="s">
        <v>1277</v>
      </c>
      <c r="AD173" t="s">
        <v>1278</v>
      </c>
      <c r="AE173" t="s">
        <v>1618</v>
      </c>
      <c r="AF173" t="s">
        <v>1178</v>
      </c>
      <c r="AG173" t="s">
        <v>1190</v>
      </c>
      <c r="AH173" t="s">
        <v>1178</v>
      </c>
      <c r="AI173" t="s">
        <v>1280</v>
      </c>
      <c r="AJ173" t="s">
        <v>1190</v>
      </c>
      <c r="AK173">
        <v>0</v>
      </c>
      <c r="AL173" t="s">
        <v>1262</v>
      </c>
      <c r="AM173">
        <v>45985</v>
      </c>
      <c r="AN173">
        <v>46311</v>
      </c>
      <c r="AO173">
        <v>46163</v>
      </c>
      <c r="AP173">
        <v>46167</v>
      </c>
      <c r="AQ173">
        <v>46167</v>
      </c>
      <c r="AR173">
        <v>46169</v>
      </c>
      <c r="AS173">
        <v>46171</v>
      </c>
      <c r="AT173" t="s">
        <v>1281</v>
      </c>
      <c r="AU173" t="s">
        <v>1177</v>
      </c>
      <c r="AV173" t="s">
        <v>1192</v>
      </c>
      <c r="AW173" t="s">
        <v>1177</v>
      </c>
      <c r="AX173">
        <v>33</v>
      </c>
      <c r="AY173">
        <v>2</v>
      </c>
      <c r="AZ173" t="s">
        <v>1177</v>
      </c>
      <c r="BA173">
        <v>0</v>
      </c>
      <c r="BB173" t="s">
        <v>1262</v>
      </c>
      <c r="BC173" t="e">
        <v>#N/A</v>
      </c>
      <c r="BD173" t="e">
        <v>#N/A</v>
      </c>
      <c r="BE173" t="e">
        <v>#N/A</v>
      </c>
      <c r="BF173" t="e">
        <v>#N/A</v>
      </c>
      <c r="BG173" t="e">
        <v>#N/A</v>
      </c>
      <c r="BH173" t="e">
        <v>#N/A</v>
      </c>
      <c r="BI173" t="e">
        <v>#N/A</v>
      </c>
    </row>
    <row r="174" spans="1:61" x14ac:dyDescent="0.35">
      <c r="A174" s="7" t="str">
        <f t="shared" si="4"/>
        <v>461594300009419</v>
      </c>
      <c r="B174" s="7" t="str">
        <f t="shared" si="5"/>
        <v>GP018876B864</v>
      </c>
      <c r="C174" t="s">
        <v>1177</v>
      </c>
      <c r="D174" t="s">
        <v>1178</v>
      </c>
      <c r="E174" t="s">
        <v>1951</v>
      </c>
      <c r="F174" t="s">
        <v>1363</v>
      </c>
      <c r="G174" t="s">
        <v>1363</v>
      </c>
      <c r="H174" t="s">
        <v>1271</v>
      </c>
      <c r="I174">
        <v>46159</v>
      </c>
      <c r="J174" t="s">
        <v>1952</v>
      </c>
      <c r="K174" t="s">
        <v>1199</v>
      </c>
      <c r="L174" t="s">
        <v>1177</v>
      </c>
      <c r="M174" t="s">
        <v>1274</v>
      </c>
      <c r="N174" t="s">
        <v>1079</v>
      </c>
      <c r="O174" t="s">
        <v>1275</v>
      </c>
      <c r="P174">
        <v>46159</v>
      </c>
      <c r="Q174" t="s">
        <v>1177</v>
      </c>
      <c r="R174" t="s">
        <v>10</v>
      </c>
      <c r="S174" t="s">
        <v>1011</v>
      </c>
      <c r="T174" t="s">
        <v>233</v>
      </c>
      <c r="U174" t="s">
        <v>1622</v>
      </c>
      <c r="V174">
        <v>52</v>
      </c>
      <c r="W174" t="s">
        <v>1262</v>
      </c>
      <c r="X174" t="s">
        <v>1262</v>
      </c>
      <c r="Y174">
        <v>0</v>
      </c>
      <c r="Z174" t="s">
        <v>1186</v>
      </c>
      <c r="AA174" t="s">
        <v>1177</v>
      </c>
      <c r="AB174" t="s">
        <v>1276</v>
      </c>
      <c r="AC174" t="s">
        <v>1277</v>
      </c>
      <c r="AD174" t="s">
        <v>1278</v>
      </c>
      <c r="AE174" t="s">
        <v>1623</v>
      </c>
      <c r="AF174" t="s">
        <v>1178</v>
      </c>
      <c r="AG174" t="s">
        <v>1190</v>
      </c>
      <c r="AH174" t="s">
        <v>1178</v>
      </c>
      <c r="AI174" t="s">
        <v>1280</v>
      </c>
      <c r="AJ174" t="s">
        <v>1189</v>
      </c>
      <c r="AK174">
        <v>52</v>
      </c>
      <c r="AL174" t="s">
        <v>1262</v>
      </c>
      <c r="AM174">
        <v>46288</v>
      </c>
      <c r="AN174">
        <v>46282</v>
      </c>
      <c r="AO174">
        <v>46282</v>
      </c>
      <c r="AP174">
        <v>46286</v>
      </c>
      <c r="AQ174">
        <v>46286</v>
      </c>
      <c r="AR174">
        <v>46288</v>
      </c>
      <c r="AS174">
        <v>46290</v>
      </c>
      <c r="AT174" t="s">
        <v>1281</v>
      </c>
      <c r="AU174" t="s">
        <v>1177</v>
      </c>
      <c r="AV174" t="s">
        <v>1192</v>
      </c>
      <c r="AW174" t="s">
        <v>1177</v>
      </c>
      <c r="AX174">
        <v>62</v>
      </c>
      <c r="AY174">
        <v>2</v>
      </c>
      <c r="AZ174" t="s">
        <v>1177</v>
      </c>
      <c r="BA174">
        <v>0</v>
      </c>
      <c r="BB174" t="s">
        <v>1262</v>
      </c>
      <c r="BC174" t="s">
        <v>1777</v>
      </c>
      <c r="BD174">
        <v>3</v>
      </c>
      <c r="BE174">
        <v>46233</v>
      </c>
      <c r="BF174" t="s">
        <v>1165</v>
      </c>
      <c r="BG174" t="s">
        <v>126</v>
      </c>
      <c r="BH174" t="s">
        <v>1873</v>
      </c>
      <c r="BI174" t="s">
        <v>126</v>
      </c>
    </row>
    <row r="175" spans="1:61" x14ac:dyDescent="0.35">
      <c r="A175" s="7" t="str">
        <f t="shared" si="4"/>
        <v>461594300009420</v>
      </c>
      <c r="B175" s="7" t="str">
        <f t="shared" si="5"/>
        <v>GP412186B867</v>
      </c>
      <c r="C175" t="s">
        <v>1177</v>
      </c>
      <c r="D175" t="s">
        <v>1178</v>
      </c>
      <c r="E175" t="s">
        <v>1953</v>
      </c>
      <c r="F175" t="s">
        <v>1363</v>
      </c>
      <c r="G175" t="s">
        <v>1363</v>
      </c>
      <c r="H175" t="s">
        <v>1271</v>
      </c>
      <c r="I175">
        <v>46159</v>
      </c>
      <c r="J175" t="s">
        <v>1954</v>
      </c>
      <c r="K175" t="s">
        <v>1182</v>
      </c>
      <c r="L175" t="s">
        <v>1177</v>
      </c>
      <c r="M175" t="s">
        <v>1274</v>
      </c>
      <c r="N175" t="s">
        <v>1079</v>
      </c>
      <c r="O175" t="s">
        <v>1275</v>
      </c>
      <c r="P175">
        <v>46159</v>
      </c>
      <c r="Q175" t="s">
        <v>1177</v>
      </c>
      <c r="R175" t="s">
        <v>25</v>
      </c>
      <c r="S175" t="s">
        <v>1060</v>
      </c>
      <c r="T175" t="s">
        <v>1073</v>
      </c>
      <c r="U175" t="s">
        <v>1955</v>
      </c>
      <c r="V175">
        <v>158</v>
      </c>
      <c r="W175" t="s">
        <v>1262</v>
      </c>
      <c r="X175" t="s">
        <v>1262</v>
      </c>
      <c r="Y175">
        <v>0</v>
      </c>
      <c r="Z175" t="s">
        <v>1186</v>
      </c>
      <c r="AA175" t="s">
        <v>1177</v>
      </c>
      <c r="AB175" t="s">
        <v>1276</v>
      </c>
      <c r="AC175" t="s">
        <v>1277</v>
      </c>
      <c r="AD175" t="s">
        <v>1278</v>
      </c>
      <c r="AE175" t="s">
        <v>1595</v>
      </c>
      <c r="AF175" t="s">
        <v>1178</v>
      </c>
      <c r="AG175" t="s">
        <v>1190</v>
      </c>
      <c r="AH175" t="s">
        <v>1178</v>
      </c>
      <c r="AI175" t="s">
        <v>1280</v>
      </c>
      <c r="AJ175" t="s">
        <v>1189</v>
      </c>
      <c r="AK175">
        <v>158</v>
      </c>
      <c r="AL175" t="s">
        <v>1262</v>
      </c>
      <c r="AM175">
        <v>46288</v>
      </c>
      <c r="AN175">
        <v>46282</v>
      </c>
      <c r="AO175">
        <v>46282</v>
      </c>
      <c r="AP175">
        <v>46286</v>
      </c>
      <c r="AQ175">
        <v>46286</v>
      </c>
      <c r="AR175">
        <v>46288</v>
      </c>
      <c r="AS175">
        <v>46290</v>
      </c>
      <c r="AT175" t="s">
        <v>1281</v>
      </c>
      <c r="AU175" t="s">
        <v>1177</v>
      </c>
      <c r="AV175" t="s">
        <v>1192</v>
      </c>
      <c r="AW175" t="s">
        <v>1177</v>
      </c>
      <c r="AX175">
        <v>191</v>
      </c>
      <c r="AY175">
        <v>2</v>
      </c>
      <c r="AZ175" t="s">
        <v>1177</v>
      </c>
      <c r="BA175">
        <v>0</v>
      </c>
      <c r="BB175" t="s">
        <v>1262</v>
      </c>
      <c r="BC175" t="e">
        <v>#N/A</v>
      </c>
      <c r="BD175" t="e">
        <v>#N/A</v>
      </c>
      <c r="BE175" t="e">
        <v>#N/A</v>
      </c>
      <c r="BF175" t="e">
        <v>#N/A</v>
      </c>
      <c r="BG175" t="s">
        <v>126</v>
      </c>
      <c r="BH175" t="s">
        <v>1873</v>
      </c>
      <c r="BI175" t="s">
        <v>126</v>
      </c>
    </row>
    <row r="176" spans="1:61" x14ac:dyDescent="0.35">
      <c r="A176" s="7" t="str">
        <f t="shared" si="4"/>
        <v>461594300009422</v>
      </c>
      <c r="B176" s="7" t="str">
        <f t="shared" si="5"/>
        <v>GP593215B856</v>
      </c>
      <c r="C176" t="s">
        <v>1177</v>
      </c>
      <c r="D176" t="s">
        <v>1178</v>
      </c>
      <c r="E176" t="s">
        <v>1956</v>
      </c>
      <c r="F176" t="s">
        <v>1363</v>
      </c>
      <c r="G176" t="s">
        <v>1363</v>
      </c>
      <c r="H176" t="s">
        <v>1271</v>
      </c>
      <c r="I176">
        <v>46159</v>
      </c>
      <c r="J176" t="s">
        <v>1957</v>
      </c>
      <c r="K176" t="s">
        <v>1429</v>
      </c>
      <c r="L176" t="s">
        <v>1177</v>
      </c>
      <c r="M176" t="s">
        <v>1274</v>
      </c>
      <c r="N176" t="s">
        <v>1079</v>
      </c>
      <c r="O176" t="s">
        <v>1275</v>
      </c>
      <c r="P176">
        <v>46213</v>
      </c>
      <c r="Q176" t="s">
        <v>1177</v>
      </c>
      <c r="R176" t="s">
        <v>21</v>
      </c>
      <c r="S176" t="s">
        <v>853</v>
      </c>
      <c r="T176" t="s">
        <v>1958</v>
      </c>
      <c r="U176" t="s">
        <v>1959</v>
      </c>
      <c r="V176">
        <v>61</v>
      </c>
      <c r="W176" t="s">
        <v>1262</v>
      </c>
      <c r="X176" t="s">
        <v>1262</v>
      </c>
      <c r="Y176">
        <v>0</v>
      </c>
      <c r="Z176" t="s">
        <v>1186</v>
      </c>
      <c r="AA176" t="s">
        <v>1177</v>
      </c>
      <c r="AB176" t="s">
        <v>1286</v>
      </c>
      <c r="AC176" t="s">
        <v>1277</v>
      </c>
      <c r="AD176" t="s">
        <v>1278</v>
      </c>
      <c r="AE176" t="s">
        <v>1960</v>
      </c>
      <c r="AF176" t="s">
        <v>1177</v>
      </c>
      <c r="AG176" t="s">
        <v>1178</v>
      </c>
      <c r="AH176" t="s">
        <v>1178</v>
      </c>
      <c r="AI176" t="s">
        <v>1280</v>
      </c>
      <c r="AJ176" t="s">
        <v>1190</v>
      </c>
      <c r="AK176">
        <v>0</v>
      </c>
      <c r="AL176" t="s">
        <v>1262</v>
      </c>
      <c r="AM176">
        <v>46265</v>
      </c>
      <c r="AN176">
        <v>46254</v>
      </c>
      <c r="AO176">
        <v>46254</v>
      </c>
      <c r="AP176">
        <v>46258</v>
      </c>
      <c r="AQ176">
        <v>46258</v>
      </c>
      <c r="AR176">
        <v>46260</v>
      </c>
      <c r="AS176">
        <v>46260</v>
      </c>
      <c r="AT176" t="s">
        <v>1281</v>
      </c>
      <c r="AU176" t="s">
        <v>1177</v>
      </c>
      <c r="AV176" t="s">
        <v>1192</v>
      </c>
      <c r="AW176" t="s">
        <v>1177</v>
      </c>
      <c r="AX176">
        <v>0</v>
      </c>
      <c r="AY176">
        <v>0</v>
      </c>
      <c r="AZ176" t="s">
        <v>1177</v>
      </c>
      <c r="BA176">
        <v>0</v>
      </c>
      <c r="BB176" t="s">
        <v>1262</v>
      </c>
      <c r="BC176" t="e">
        <v>#N/A</v>
      </c>
      <c r="BD176" t="e">
        <v>#N/A</v>
      </c>
      <c r="BE176" t="e">
        <v>#N/A</v>
      </c>
      <c r="BF176" t="e">
        <v>#N/A</v>
      </c>
      <c r="BG176" t="s">
        <v>1372</v>
      </c>
      <c r="BH176" t="s">
        <v>1903</v>
      </c>
      <c r="BI176" t="s">
        <v>1961</v>
      </c>
    </row>
    <row r="177" spans="1:61" x14ac:dyDescent="0.35">
      <c r="A177" s="7" t="str">
        <f t="shared" si="4"/>
        <v>461594300009442</v>
      </c>
      <c r="B177" s="7" t="str">
        <f t="shared" si="5"/>
        <v>GP003399B864</v>
      </c>
      <c r="C177" t="s">
        <v>1177</v>
      </c>
      <c r="D177" t="s">
        <v>1178</v>
      </c>
      <c r="E177" t="s">
        <v>1962</v>
      </c>
      <c r="F177" t="s">
        <v>1363</v>
      </c>
      <c r="G177" t="s">
        <v>1363</v>
      </c>
      <c r="H177" t="s">
        <v>1271</v>
      </c>
      <c r="I177">
        <v>46159</v>
      </c>
      <c r="J177" t="s">
        <v>1963</v>
      </c>
      <c r="K177" t="s">
        <v>1182</v>
      </c>
      <c r="L177" t="s">
        <v>1177</v>
      </c>
      <c r="M177" t="s">
        <v>1274</v>
      </c>
      <c r="N177" t="s">
        <v>1079</v>
      </c>
      <c r="O177" t="s">
        <v>1275</v>
      </c>
      <c r="P177">
        <v>46159</v>
      </c>
      <c r="Q177" t="s">
        <v>1177</v>
      </c>
      <c r="R177" t="s">
        <v>10</v>
      </c>
      <c r="S177" t="s">
        <v>1011</v>
      </c>
      <c r="T177" t="s">
        <v>1964</v>
      </c>
      <c r="U177" t="s">
        <v>1965</v>
      </c>
      <c r="V177">
        <v>227</v>
      </c>
      <c r="W177" t="s">
        <v>1262</v>
      </c>
      <c r="X177" t="s">
        <v>1262</v>
      </c>
      <c r="Y177">
        <v>0</v>
      </c>
      <c r="Z177" t="s">
        <v>1186</v>
      </c>
      <c r="AA177" t="s">
        <v>1177</v>
      </c>
      <c r="AB177" t="s">
        <v>1286</v>
      </c>
      <c r="AC177" t="s">
        <v>1277</v>
      </c>
      <c r="AD177" t="s">
        <v>1278</v>
      </c>
      <c r="AE177" t="s">
        <v>1383</v>
      </c>
      <c r="AF177" t="s">
        <v>1178</v>
      </c>
      <c r="AG177" t="s">
        <v>1178</v>
      </c>
      <c r="AH177" t="s">
        <v>1178</v>
      </c>
      <c r="AI177" t="s">
        <v>1280</v>
      </c>
      <c r="AJ177" t="s">
        <v>1675</v>
      </c>
      <c r="AK177">
        <v>142</v>
      </c>
      <c r="AL177" t="s">
        <v>1262</v>
      </c>
      <c r="AM177">
        <v>46211</v>
      </c>
      <c r="AN177">
        <v>46202</v>
      </c>
      <c r="AO177">
        <v>46205</v>
      </c>
      <c r="AP177">
        <v>46209</v>
      </c>
      <c r="AQ177">
        <v>46209</v>
      </c>
      <c r="AR177">
        <v>46211</v>
      </c>
      <c r="AS177">
        <v>46213</v>
      </c>
      <c r="AT177" t="s">
        <v>1281</v>
      </c>
      <c r="AU177" t="s">
        <v>1177</v>
      </c>
      <c r="AV177" t="s">
        <v>1192</v>
      </c>
      <c r="AW177" t="s">
        <v>1177</v>
      </c>
      <c r="AX177">
        <v>71</v>
      </c>
      <c r="AY177">
        <v>2</v>
      </c>
      <c r="AZ177" t="s">
        <v>1177</v>
      </c>
      <c r="BA177">
        <v>0</v>
      </c>
      <c r="BB177" t="s">
        <v>1262</v>
      </c>
      <c r="BC177" t="s">
        <v>1718</v>
      </c>
      <c r="BD177">
        <v>85</v>
      </c>
      <c r="BE177">
        <v>46191</v>
      </c>
      <c r="BF177" t="s">
        <v>1165</v>
      </c>
      <c r="BG177" t="s">
        <v>1212</v>
      </c>
      <c r="BH177" t="s">
        <v>1194</v>
      </c>
      <c r="BI177" t="s">
        <v>1966</v>
      </c>
    </row>
    <row r="178" spans="1:61" x14ac:dyDescent="0.35">
      <c r="A178" s="7" t="str">
        <f t="shared" si="4"/>
        <v>461594300009444</v>
      </c>
      <c r="B178" s="7" t="str">
        <f t="shared" si="5"/>
        <v>GP001488B867</v>
      </c>
      <c r="C178" t="s">
        <v>1177</v>
      </c>
      <c r="D178" t="s">
        <v>1178</v>
      </c>
      <c r="E178" t="s">
        <v>1967</v>
      </c>
      <c r="F178" t="s">
        <v>1363</v>
      </c>
      <c r="G178" t="s">
        <v>1363</v>
      </c>
      <c r="H178" t="s">
        <v>1271</v>
      </c>
      <c r="I178">
        <v>46159</v>
      </c>
      <c r="J178" t="s">
        <v>1968</v>
      </c>
      <c r="K178" t="s">
        <v>1285</v>
      </c>
      <c r="L178" t="s">
        <v>1177</v>
      </c>
      <c r="M178" t="s">
        <v>1274</v>
      </c>
      <c r="N178" t="s">
        <v>1079</v>
      </c>
      <c r="O178" t="s">
        <v>1275</v>
      </c>
      <c r="P178">
        <v>46159</v>
      </c>
      <c r="Q178" t="s">
        <v>1177</v>
      </c>
      <c r="R178" t="s">
        <v>25</v>
      </c>
      <c r="S178" t="s">
        <v>1060</v>
      </c>
      <c r="T178" t="s">
        <v>1969</v>
      </c>
      <c r="U178" t="s">
        <v>1970</v>
      </c>
      <c r="V178">
        <v>4</v>
      </c>
      <c r="W178" t="s">
        <v>1262</v>
      </c>
      <c r="X178" t="s">
        <v>1262</v>
      </c>
      <c r="Y178">
        <v>0</v>
      </c>
      <c r="Z178" t="s">
        <v>1186</v>
      </c>
      <c r="AA178" t="s">
        <v>1177</v>
      </c>
      <c r="AB178" t="s">
        <v>1276</v>
      </c>
      <c r="AC178" t="s">
        <v>1277</v>
      </c>
      <c r="AD178" t="s">
        <v>1278</v>
      </c>
      <c r="AE178" t="s">
        <v>1378</v>
      </c>
      <c r="AF178" t="s">
        <v>1178</v>
      </c>
      <c r="AG178" t="s">
        <v>1190</v>
      </c>
      <c r="AH178" t="s">
        <v>1178</v>
      </c>
      <c r="AI178" t="s">
        <v>1280</v>
      </c>
      <c r="AJ178" t="s">
        <v>1190</v>
      </c>
      <c r="AK178">
        <v>0</v>
      </c>
      <c r="AL178" t="s">
        <v>1262</v>
      </c>
      <c r="AM178">
        <v>45989</v>
      </c>
      <c r="AN178">
        <v>46408</v>
      </c>
      <c r="AO178">
        <v>46163</v>
      </c>
      <c r="AP178">
        <v>46167</v>
      </c>
      <c r="AQ178">
        <v>46167</v>
      </c>
      <c r="AR178">
        <v>46169</v>
      </c>
      <c r="AS178">
        <v>46171</v>
      </c>
      <c r="AT178" t="s">
        <v>1281</v>
      </c>
      <c r="AU178" t="s">
        <v>1177</v>
      </c>
      <c r="AV178" t="s">
        <v>1192</v>
      </c>
      <c r="AW178" t="s">
        <v>1177</v>
      </c>
      <c r="AX178">
        <v>228</v>
      </c>
      <c r="AY178">
        <v>2</v>
      </c>
      <c r="AZ178" t="s">
        <v>1177</v>
      </c>
      <c r="BA178">
        <v>0</v>
      </c>
      <c r="BB178" t="s">
        <v>1262</v>
      </c>
      <c r="BC178" t="e">
        <v>#N/A</v>
      </c>
      <c r="BD178" t="e">
        <v>#N/A</v>
      </c>
      <c r="BE178" t="e">
        <v>#N/A</v>
      </c>
      <c r="BF178" t="e">
        <v>#N/A</v>
      </c>
      <c r="BG178" t="s">
        <v>1212</v>
      </c>
      <c r="BH178" t="s">
        <v>1194</v>
      </c>
      <c r="BI178" t="s">
        <v>1212</v>
      </c>
    </row>
    <row r="179" spans="1:61" x14ac:dyDescent="0.35">
      <c r="A179" s="7" t="str">
        <f t="shared" si="4"/>
        <v>461594300009446</v>
      </c>
      <c r="B179" s="7" t="str">
        <f t="shared" si="5"/>
        <v>GP644406B832</v>
      </c>
      <c r="C179" t="s">
        <v>1177</v>
      </c>
      <c r="D179" t="s">
        <v>1178</v>
      </c>
      <c r="E179" t="s">
        <v>1971</v>
      </c>
      <c r="F179" t="s">
        <v>1363</v>
      </c>
      <c r="G179" t="s">
        <v>1363</v>
      </c>
      <c r="H179" t="s">
        <v>1271</v>
      </c>
      <c r="I179">
        <v>46159</v>
      </c>
      <c r="J179" t="s">
        <v>1972</v>
      </c>
      <c r="K179" t="s">
        <v>1199</v>
      </c>
      <c r="L179" t="s">
        <v>1177</v>
      </c>
      <c r="M179" t="s">
        <v>1274</v>
      </c>
      <c r="N179" t="s">
        <v>1079</v>
      </c>
      <c r="O179" t="s">
        <v>1275</v>
      </c>
      <c r="P179">
        <v>46281</v>
      </c>
      <c r="Q179" t="s">
        <v>1177</v>
      </c>
      <c r="R179" t="s">
        <v>19</v>
      </c>
      <c r="S179" t="s">
        <v>654</v>
      </c>
      <c r="T179" t="s">
        <v>1973</v>
      </c>
      <c r="U179" t="s">
        <v>1974</v>
      </c>
      <c r="V179">
        <v>2</v>
      </c>
      <c r="W179" t="s">
        <v>1262</v>
      </c>
      <c r="X179" t="s">
        <v>1262</v>
      </c>
      <c r="Y179">
        <v>0</v>
      </c>
      <c r="Z179" t="s">
        <v>1186</v>
      </c>
      <c r="AA179" t="s">
        <v>1177</v>
      </c>
      <c r="AB179" t="s">
        <v>1276</v>
      </c>
      <c r="AC179" t="s">
        <v>1277</v>
      </c>
      <c r="AD179" t="s">
        <v>1278</v>
      </c>
      <c r="AE179" t="s">
        <v>1975</v>
      </c>
      <c r="AF179" t="s">
        <v>1178</v>
      </c>
      <c r="AG179" t="s">
        <v>1190</v>
      </c>
      <c r="AH179" t="s">
        <v>1178</v>
      </c>
      <c r="AI179" t="s">
        <v>1349</v>
      </c>
      <c r="AJ179" t="s">
        <v>1190</v>
      </c>
      <c r="AK179">
        <v>0</v>
      </c>
      <c r="AL179" t="s">
        <v>1262</v>
      </c>
      <c r="AM179">
        <v>46304</v>
      </c>
      <c r="AN179">
        <v>46300</v>
      </c>
      <c r="AO179">
        <v>46300</v>
      </c>
      <c r="AP179">
        <v>46302</v>
      </c>
      <c r="AQ179">
        <v>46302</v>
      </c>
      <c r="AR179">
        <v>46304</v>
      </c>
      <c r="AS179">
        <v>46309</v>
      </c>
      <c r="AT179" t="s">
        <v>1281</v>
      </c>
      <c r="AU179" t="s">
        <v>1177</v>
      </c>
      <c r="AV179" t="s">
        <v>1192</v>
      </c>
      <c r="AW179" t="s">
        <v>1177</v>
      </c>
      <c r="AX179">
        <v>33</v>
      </c>
      <c r="AY179">
        <v>2</v>
      </c>
      <c r="AZ179" t="s">
        <v>1177</v>
      </c>
      <c r="BA179">
        <v>0</v>
      </c>
      <c r="BB179" t="s">
        <v>1262</v>
      </c>
      <c r="BC179" t="e">
        <v>#N/A</v>
      </c>
      <c r="BD179" t="e">
        <v>#N/A</v>
      </c>
      <c r="BE179" t="e">
        <v>#N/A</v>
      </c>
      <c r="BF179" t="e">
        <v>#N/A</v>
      </c>
      <c r="BG179" t="s">
        <v>1212</v>
      </c>
      <c r="BH179" t="s">
        <v>1194</v>
      </c>
      <c r="BI179" t="s">
        <v>1976</v>
      </c>
    </row>
    <row r="180" spans="1:61" x14ac:dyDescent="0.35">
      <c r="A180" s="7" t="str">
        <f t="shared" si="4"/>
        <v>461594300009451</v>
      </c>
      <c r="B180" s="7" t="str">
        <f t="shared" si="5"/>
        <v>GP486500B833</v>
      </c>
      <c r="C180" t="s">
        <v>1177</v>
      </c>
      <c r="D180" t="s">
        <v>1178</v>
      </c>
      <c r="E180" t="s">
        <v>1978</v>
      </c>
      <c r="F180" t="s">
        <v>1363</v>
      </c>
      <c r="G180" t="s">
        <v>1363</v>
      </c>
      <c r="H180" t="s">
        <v>1271</v>
      </c>
      <c r="I180">
        <v>46159</v>
      </c>
      <c r="J180" t="s">
        <v>1979</v>
      </c>
      <c r="K180" t="s">
        <v>1182</v>
      </c>
      <c r="L180" t="s">
        <v>1177</v>
      </c>
      <c r="M180" t="s">
        <v>1274</v>
      </c>
      <c r="N180" t="s">
        <v>1079</v>
      </c>
      <c r="O180" t="s">
        <v>1275</v>
      </c>
      <c r="P180">
        <v>46159</v>
      </c>
      <c r="Q180" t="s">
        <v>1177</v>
      </c>
      <c r="R180" t="s">
        <v>697</v>
      </c>
      <c r="S180" t="s">
        <v>699</v>
      </c>
      <c r="T180" t="s">
        <v>108</v>
      </c>
      <c r="U180" t="s">
        <v>109</v>
      </c>
      <c r="V180">
        <v>2</v>
      </c>
      <c r="W180" t="s">
        <v>1262</v>
      </c>
      <c r="X180" t="s">
        <v>1262</v>
      </c>
      <c r="Y180">
        <v>0</v>
      </c>
      <c r="Z180" t="s">
        <v>1186</v>
      </c>
      <c r="AA180" t="s">
        <v>1177</v>
      </c>
      <c r="AB180" t="s">
        <v>1276</v>
      </c>
      <c r="AC180" t="s">
        <v>1277</v>
      </c>
      <c r="AD180" t="s">
        <v>1278</v>
      </c>
      <c r="AE180" t="s">
        <v>1750</v>
      </c>
      <c r="AF180" t="s">
        <v>1178</v>
      </c>
      <c r="AG180" t="s">
        <v>1190</v>
      </c>
      <c r="AH180" t="s">
        <v>1178</v>
      </c>
      <c r="AI180" t="s">
        <v>1349</v>
      </c>
      <c r="AJ180" t="s">
        <v>1190</v>
      </c>
      <c r="AK180">
        <v>0</v>
      </c>
      <c r="AL180" t="s">
        <v>1262</v>
      </c>
      <c r="AM180">
        <v>46058</v>
      </c>
      <c r="AN180">
        <v>46196</v>
      </c>
      <c r="AO180">
        <v>46160</v>
      </c>
      <c r="AP180">
        <v>46162</v>
      </c>
      <c r="AQ180">
        <v>46162</v>
      </c>
      <c r="AR180">
        <v>46164</v>
      </c>
      <c r="AS180">
        <v>46168</v>
      </c>
      <c r="AT180" t="s">
        <v>1281</v>
      </c>
      <c r="AU180" t="s">
        <v>1177</v>
      </c>
      <c r="AV180" t="s">
        <v>1192</v>
      </c>
      <c r="AW180" t="s">
        <v>1177</v>
      </c>
      <c r="AX180">
        <v>33</v>
      </c>
      <c r="AY180">
        <v>2</v>
      </c>
      <c r="AZ180" t="s">
        <v>1177</v>
      </c>
      <c r="BA180">
        <v>0</v>
      </c>
      <c r="BB180" t="s">
        <v>1262</v>
      </c>
      <c r="BC180" t="e">
        <v>#N/A</v>
      </c>
      <c r="BD180" t="e">
        <v>#N/A</v>
      </c>
      <c r="BE180" t="e">
        <v>#N/A</v>
      </c>
      <c r="BF180" t="e">
        <v>#N/A</v>
      </c>
      <c r="BG180" t="s">
        <v>126</v>
      </c>
      <c r="BH180" t="s">
        <v>1873</v>
      </c>
      <c r="BI180" t="s">
        <v>126</v>
      </c>
    </row>
    <row r="181" spans="1:61" x14ac:dyDescent="0.35">
      <c r="A181" s="7" t="str">
        <f t="shared" si="4"/>
        <v>461594300009456</v>
      </c>
      <c r="B181" s="7" t="str">
        <f t="shared" si="5"/>
        <v>GP479694B864</v>
      </c>
      <c r="C181" t="s">
        <v>1177</v>
      </c>
      <c r="D181" t="s">
        <v>1178</v>
      </c>
      <c r="E181" t="s">
        <v>1980</v>
      </c>
      <c r="F181" t="s">
        <v>1363</v>
      </c>
      <c r="G181" t="s">
        <v>1363</v>
      </c>
      <c r="H181" t="s">
        <v>1271</v>
      </c>
      <c r="I181">
        <v>46159</v>
      </c>
      <c r="J181" t="s">
        <v>1981</v>
      </c>
      <c r="K181" t="s">
        <v>1285</v>
      </c>
      <c r="L181" t="s">
        <v>1177</v>
      </c>
      <c r="M181" t="s">
        <v>1274</v>
      </c>
      <c r="N181" t="s">
        <v>1079</v>
      </c>
      <c r="O181" t="s">
        <v>1275</v>
      </c>
      <c r="P181">
        <v>46159</v>
      </c>
      <c r="Q181" t="s">
        <v>1177</v>
      </c>
      <c r="R181" t="s">
        <v>10</v>
      </c>
      <c r="S181" t="s">
        <v>1011</v>
      </c>
      <c r="T181" t="s">
        <v>842</v>
      </c>
      <c r="U181" t="s">
        <v>843</v>
      </c>
      <c r="V181">
        <v>1</v>
      </c>
      <c r="W181" t="s">
        <v>1262</v>
      </c>
      <c r="X181" t="s">
        <v>1262</v>
      </c>
      <c r="Y181">
        <v>0</v>
      </c>
      <c r="Z181" t="s">
        <v>1186</v>
      </c>
      <c r="AA181" t="s">
        <v>1177</v>
      </c>
      <c r="AB181" t="s">
        <v>1276</v>
      </c>
      <c r="AC181" t="s">
        <v>1277</v>
      </c>
      <c r="AD181" t="s">
        <v>1278</v>
      </c>
      <c r="AE181" t="s">
        <v>1606</v>
      </c>
      <c r="AF181" t="s">
        <v>1178</v>
      </c>
      <c r="AG181" t="s">
        <v>1190</v>
      </c>
      <c r="AH181" t="s">
        <v>1178</v>
      </c>
      <c r="AI181" t="s">
        <v>1280</v>
      </c>
      <c r="AJ181" t="s">
        <v>1190</v>
      </c>
      <c r="AK181">
        <v>0</v>
      </c>
      <c r="AL181" t="s">
        <v>1262</v>
      </c>
      <c r="AM181">
        <v>46294</v>
      </c>
      <c r="AN181">
        <v>46282</v>
      </c>
      <c r="AO181">
        <v>46282</v>
      </c>
      <c r="AP181">
        <v>46286</v>
      </c>
      <c r="AQ181">
        <v>46286</v>
      </c>
      <c r="AR181">
        <v>46288</v>
      </c>
      <c r="AS181">
        <v>46290</v>
      </c>
      <c r="AT181" t="s">
        <v>1281</v>
      </c>
      <c r="AU181" t="s">
        <v>1177</v>
      </c>
      <c r="AV181" t="s">
        <v>1192</v>
      </c>
      <c r="AW181" t="s">
        <v>1177</v>
      </c>
      <c r="AX181">
        <v>163</v>
      </c>
      <c r="AY181">
        <v>2</v>
      </c>
      <c r="AZ181" t="s">
        <v>1177</v>
      </c>
      <c r="BA181">
        <v>1</v>
      </c>
      <c r="BB181" t="s">
        <v>1262</v>
      </c>
      <c r="BC181" t="s">
        <v>1719</v>
      </c>
      <c r="BD181">
        <v>1</v>
      </c>
      <c r="BE181">
        <v>46254</v>
      </c>
      <c r="BF181" t="s">
        <v>1165</v>
      </c>
      <c r="BG181" t="s">
        <v>126</v>
      </c>
      <c r="BH181" t="s">
        <v>1873</v>
      </c>
      <c r="BI181" t="s">
        <v>126</v>
      </c>
    </row>
    <row r="182" spans="1:61" x14ac:dyDescent="0.35">
      <c r="A182" s="7" t="str">
        <f t="shared" si="4"/>
        <v>461594300009458</v>
      </c>
      <c r="B182" s="7" t="str">
        <f t="shared" si="5"/>
        <v>GP412186B867</v>
      </c>
      <c r="C182" t="s">
        <v>1177</v>
      </c>
      <c r="D182" t="s">
        <v>1178</v>
      </c>
      <c r="E182" t="s">
        <v>1982</v>
      </c>
      <c r="F182" t="s">
        <v>1363</v>
      </c>
      <c r="G182" t="s">
        <v>1363</v>
      </c>
      <c r="H182" t="s">
        <v>1271</v>
      </c>
      <c r="I182">
        <v>46159</v>
      </c>
      <c r="J182" t="s">
        <v>1983</v>
      </c>
      <c r="K182" t="s">
        <v>1182</v>
      </c>
      <c r="L182" t="s">
        <v>1177</v>
      </c>
      <c r="M182" t="s">
        <v>1274</v>
      </c>
      <c r="N182" t="s">
        <v>1079</v>
      </c>
      <c r="O182" t="s">
        <v>1275</v>
      </c>
      <c r="P182">
        <v>46159</v>
      </c>
      <c r="Q182" t="s">
        <v>1177</v>
      </c>
      <c r="R182" t="s">
        <v>25</v>
      </c>
      <c r="S182" t="s">
        <v>1060</v>
      </c>
      <c r="T182" t="s">
        <v>1073</v>
      </c>
      <c r="U182" t="s">
        <v>1955</v>
      </c>
      <c r="V182">
        <v>80</v>
      </c>
      <c r="W182" t="s">
        <v>1262</v>
      </c>
      <c r="X182" t="s">
        <v>1262</v>
      </c>
      <c r="Y182">
        <v>0</v>
      </c>
      <c r="Z182" t="s">
        <v>1186</v>
      </c>
      <c r="AA182" t="s">
        <v>1177</v>
      </c>
      <c r="AB182" t="s">
        <v>1276</v>
      </c>
      <c r="AC182" t="s">
        <v>1277</v>
      </c>
      <c r="AD182" t="s">
        <v>1278</v>
      </c>
      <c r="AE182" t="s">
        <v>1595</v>
      </c>
      <c r="AF182" t="s">
        <v>1178</v>
      </c>
      <c r="AG182" t="s">
        <v>1190</v>
      </c>
      <c r="AH182" t="s">
        <v>1178</v>
      </c>
      <c r="AI182" t="s">
        <v>1280</v>
      </c>
      <c r="AJ182" t="s">
        <v>1675</v>
      </c>
      <c r="AK182">
        <v>54</v>
      </c>
      <c r="AL182" t="s">
        <v>1262</v>
      </c>
      <c r="AM182">
        <v>46330</v>
      </c>
      <c r="AN182">
        <v>46321</v>
      </c>
      <c r="AO182">
        <v>46323</v>
      </c>
      <c r="AP182">
        <v>46325</v>
      </c>
      <c r="AQ182">
        <v>46325</v>
      </c>
      <c r="AR182">
        <v>46330</v>
      </c>
      <c r="AS182">
        <v>46332</v>
      </c>
      <c r="AT182" t="s">
        <v>1281</v>
      </c>
      <c r="AU182" t="s">
        <v>1177</v>
      </c>
      <c r="AV182" t="s">
        <v>1192</v>
      </c>
      <c r="AW182" t="s">
        <v>1177</v>
      </c>
      <c r="AX182">
        <v>191</v>
      </c>
      <c r="AY182">
        <v>2</v>
      </c>
      <c r="AZ182" t="s">
        <v>1177</v>
      </c>
      <c r="BA182">
        <v>0</v>
      </c>
      <c r="BB182" t="s">
        <v>1262</v>
      </c>
      <c r="BC182" t="s">
        <v>1621</v>
      </c>
      <c r="BD182">
        <v>26</v>
      </c>
      <c r="BE182">
        <v>46233</v>
      </c>
      <c r="BF182" t="s">
        <v>1165</v>
      </c>
      <c r="BG182" t="s">
        <v>126</v>
      </c>
      <c r="BH182" t="s">
        <v>1873</v>
      </c>
      <c r="BI182" t="s">
        <v>126</v>
      </c>
    </row>
    <row r="183" spans="1:61" x14ac:dyDescent="0.35">
      <c r="A183" s="7" t="str">
        <f t="shared" si="4"/>
        <v>461594300009471</v>
      </c>
      <c r="B183" s="7" t="str">
        <f t="shared" si="5"/>
        <v>GP525860B867</v>
      </c>
      <c r="C183" t="s">
        <v>1177</v>
      </c>
      <c r="D183" t="s">
        <v>1178</v>
      </c>
      <c r="E183" t="s">
        <v>1984</v>
      </c>
      <c r="F183" t="s">
        <v>1363</v>
      </c>
      <c r="G183" t="s">
        <v>1363</v>
      </c>
      <c r="H183" t="s">
        <v>1271</v>
      </c>
      <c r="I183">
        <v>46159</v>
      </c>
      <c r="J183" t="s">
        <v>1985</v>
      </c>
      <c r="K183" t="s">
        <v>1273</v>
      </c>
      <c r="L183" t="s">
        <v>1177</v>
      </c>
      <c r="M183" t="s">
        <v>1274</v>
      </c>
      <c r="N183" t="s">
        <v>1079</v>
      </c>
      <c r="O183" t="s">
        <v>1275</v>
      </c>
      <c r="P183">
        <v>46159</v>
      </c>
      <c r="Q183" t="s">
        <v>1177</v>
      </c>
      <c r="R183" t="s">
        <v>25</v>
      </c>
      <c r="S183" t="s">
        <v>1060</v>
      </c>
      <c r="T183" t="s">
        <v>1297</v>
      </c>
      <c r="U183" t="s">
        <v>1298</v>
      </c>
      <c r="V183">
        <v>14</v>
      </c>
      <c r="W183" t="s">
        <v>1262</v>
      </c>
      <c r="X183" t="s">
        <v>1262</v>
      </c>
      <c r="Y183">
        <v>0</v>
      </c>
      <c r="Z183" t="s">
        <v>1186</v>
      </c>
      <c r="AA183" t="s">
        <v>1177</v>
      </c>
      <c r="AB183" t="s">
        <v>1276</v>
      </c>
      <c r="AC183" t="s">
        <v>1277</v>
      </c>
      <c r="AD183" t="s">
        <v>1278</v>
      </c>
      <c r="AE183" t="s">
        <v>1284</v>
      </c>
      <c r="AF183" t="s">
        <v>1178</v>
      </c>
      <c r="AG183" t="s">
        <v>1190</v>
      </c>
      <c r="AH183" t="s">
        <v>1178</v>
      </c>
      <c r="AI183" t="s">
        <v>1280</v>
      </c>
      <c r="AJ183" t="s">
        <v>1190</v>
      </c>
      <c r="AK183">
        <v>0</v>
      </c>
      <c r="AL183" t="s">
        <v>1262</v>
      </c>
      <c r="AM183">
        <v>45967</v>
      </c>
      <c r="AN183">
        <v>46273</v>
      </c>
      <c r="AO183">
        <v>46163</v>
      </c>
      <c r="AP183">
        <v>46167</v>
      </c>
      <c r="AQ183">
        <v>46167</v>
      </c>
      <c r="AR183">
        <v>46169</v>
      </c>
      <c r="AS183">
        <v>46171</v>
      </c>
      <c r="AT183" t="s">
        <v>1281</v>
      </c>
      <c r="AU183" t="s">
        <v>1177</v>
      </c>
      <c r="AV183" t="s">
        <v>1192</v>
      </c>
      <c r="AW183" t="s">
        <v>1177</v>
      </c>
      <c r="AX183">
        <v>207</v>
      </c>
      <c r="AY183">
        <v>2</v>
      </c>
      <c r="AZ183" t="s">
        <v>1177</v>
      </c>
      <c r="BA183">
        <v>0</v>
      </c>
      <c r="BB183" t="s">
        <v>1262</v>
      </c>
      <c r="BC183" t="s">
        <v>1864</v>
      </c>
      <c r="BD183">
        <v>5</v>
      </c>
      <c r="BE183">
        <v>46233</v>
      </c>
      <c r="BF183" t="s">
        <v>1165</v>
      </c>
      <c r="BG183" t="s">
        <v>1212</v>
      </c>
      <c r="BH183" t="s">
        <v>1194</v>
      </c>
      <c r="BI183" t="s">
        <v>1213</v>
      </c>
    </row>
    <row r="184" spans="1:61" x14ac:dyDescent="0.35">
      <c r="A184" s="7" t="str">
        <f t="shared" si="4"/>
        <v>461594300009482</v>
      </c>
      <c r="B184" s="7" t="str">
        <f t="shared" si="5"/>
        <v>GP412186B867</v>
      </c>
      <c r="C184" t="s">
        <v>1177</v>
      </c>
      <c r="D184" t="s">
        <v>1178</v>
      </c>
      <c r="E184" t="s">
        <v>1986</v>
      </c>
      <c r="F184" t="s">
        <v>1363</v>
      </c>
      <c r="G184" t="s">
        <v>1363</v>
      </c>
      <c r="H184" t="s">
        <v>1271</v>
      </c>
      <c r="I184">
        <v>46159</v>
      </c>
      <c r="J184" t="s">
        <v>1987</v>
      </c>
      <c r="K184" t="s">
        <v>1182</v>
      </c>
      <c r="L184" t="s">
        <v>1177</v>
      </c>
      <c r="M184" t="s">
        <v>1274</v>
      </c>
      <c r="N184" t="s">
        <v>1079</v>
      </c>
      <c r="O184" t="s">
        <v>1275</v>
      </c>
      <c r="P184">
        <v>46159</v>
      </c>
      <c r="Q184" t="s">
        <v>1177</v>
      </c>
      <c r="R184" t="s">
        <v>25</v>
      </c>
      <c r="S184" t="s">
        <v>1060</v>
      </c>
      <c r="T184" t="s">
        <v>1073</v>
      </c>
      <c r="U184" t="s">
        <v>1955</v>
      </c>
      <c r="V184">
        <v>96</v>
      </c>
      <c r="W184" t="s">
        <v>1262</v>
      </c>
      <c r="X184" t="s">
        <v>1262</v>
      </c>
      <c r="Y184">
        <v>0</v>
      </c>
      <c r="Z184" t="s">
        <v>1186</v>
      </c>
      <c r="AA184" t="s">
        <v>1177</v>
      </c>
      <c r="AB184" t="s">
        <v>1276</v>
      </c>
      <c r="AC184" t="s">
        <v>1277</v>
      </c>
      <c r="AD184" t="s">
        <v>1278</v>
      </c>
      <c r="AE184" t="s">
        <v>1595</v>
      </c>
      <c r="AF184" t="s">
        <v>1178</v>
      </c>
      <c r="AG184" t="s">
        <v>1190</v>
      </c>
      <c r="AH184" t="s">
        <v>1178</v>
      </c>
      <c r="AI184" t="s">
        <v>1280</v>
      </c>
      <c r="AJ184" t="s">
        <v>1190</v>
      </c>
      <c r="AK184">
        <v>0</v>
      </c>
      <c r="AL184" t="s">
        <v>1262</v>
      </c>
      <c r="AM184">
        <v>46294</v>
      </c>
      <c r="AN184">
        <v>46321</v>
      </c>
      <c r="AO184">
        <v>46282</v>
      </c>
      <c r="AP184">
        <v>46286</v>
      </c>
      <c r="AQ184">
        <v>46286</v>
      </c>
      <c r="AR184">
        <v>46288</v>
      </c>
      <c r="AS184">
        <v>46290</v>
      </c>
      <c r="AT184" t="s">
        <v>1281</v>
      </c>
      <c r="AU184" t="s">
        <v>1177</v>
      </c>
      <c r="AV184" t="s">
        <v>1192</v>
      </c>
      <c r="AW184" t="s">
        <v>1177</v>
      </c>
      <c r="AX184">
        <v>191</v>
      </c>
      <c r="AY184">
        <v>2</v>
      </c>
      <c r="AZ184" t="s">
        <v>1177</v>
      </c>
      <c r="BA184">
        <v>0</v>
      </c>
      <c r="BB184" t="s">
        <v>1262</v>
      </c>
      <c r="BC184" t="e">
        <v>#N/A</v>
      </c>
      <c r="BD184" t="e">
        <v>#N/A</v>
      </c>
      <c r="BE184" t="e">
        <v>#N/A</v>
      </c>
      <c r="BF184" t="e">
        <v>#N/A</v>
      </c>
      <c r="BG184" t="s">
        <v>126</v>
      </c>
      <c r="BH184" t="s">
        <v>1873</v>
      </c>
      <c r="BI184" t="s">
        <v>126</v>
      </c>
    </row>
    <row r="185" spans="1:61" x14ac:dyDescent="0.35">
      <c r="A185" s="7" t="str">
        <f t="shared" si="4"/>
        <v>461594300009488</v>
      </c>
      <c r="B185" s="7" t="str">
        <f t="shared" si="5"/>
        <v>GP022119-001B867</v>
      </c>
      <c r="C185" t="s">
        <v>1177</v>
      </c>
      <c r="D185" t="s">
        <v>1178</v>
      </c>
      <c r="E185" t="s">
        <v>1988</v>
      </c>
      <c r="F185" t="s">
        <v>1363</v>
      </c>
      <c r="G185" t="s">
        <v>1363</v>
      </c>
      <c r="H185" t="s">
        <v>1271</v>
      </c>
      <c r="I185">
        <v>46159</v>
      </c>
      <c r="J185" t="s">
        <v>1989</v>
      </c>
      <c r="K185" t="s">
        <v>1182</v>
      </c>
      <c r="L185" t="s">
        <v>1177</v>
      </c>
      <c r="M185" t="s">
        <v>1274</v>
      </c>
      <c r="N185" t="s">
        <v>1079</v>
      </c>
      <c r="O185" t="s">
        <v>1275</v>
      </c>
      <c r="P185">
        <v>46159</v>
      </c>
      <c r="Q185" t="s">
        <v>1177</v>
      </c>
      <c r="R185" t="s">
        <v>25</v>
      </c>
      <c r="S185" t="s">
        <v>1060</v>
      </c>
      <c r="T185" t="s">
        <v>236</v>
      </c>
      <c r="U185" t="s">
        <v>237</v>
      </c>
      <c r="V185">
        <v>44</v>
      </c>
      <c r="W185" t="s">
        <v>1262</v>
      </c>
      <c r="X185" t="s">
        <v>1262</v>
      </c>
      <c r="Y185">
        <v>0</v>
      </c>
      <c r="Z185" t="s">
        <v>1186</v>
      </c>
      <c r="AA185" t="s">
        <v>1177</v>
      </c>
      <c r="AB185" t="s">
        <v>1177</v>
      </c>
      <c r="AC185" t="s">
        <v>1177</v>
      </c>
      <c r="AD185" t="s">
        <v>1204</v>
      </c>
      <c r="AE185" t="s">
        <v>1408</v>
      </c>
      <c r="AF185" t="s">
        <v>1189</v>
      </c>
      <c r="AG185" t="s">
        <v>1178</v>
      </c>
      <c r="AH185" t="s">
        <v>1178</v>
      </c>
      <c r="AI185" t="s">
        <v>1280</v>
      </c>
      <c r="AJ185" t="s">
        <v>1190</v>
      </c>
      <c r="AK185">
        <v>0</v>
      </c>
      <c r="AL185" t="s">
        <v>1262</v>
      </c>
      <c r="AM185">
        <v>46265</v>
      </c>
      <c r="AN185">
        <v>46260</v>
      </c>
      <c r="AO185">
        <v>46254</v>
      </c>
      <c r="AP185">
        <v>46258</v>
      </c>
      <c r="AQ185">
        <v>46258</v>
      </c>
      <c r="AR185">
        <v>46260</v>
      </c>
      <c r="AS185">
        <v>46262</v>
      </c>
      <c r="AT185" t="s">
        <v>1281</v>
      </c>
      <c r="AU185" t="s">
        <v>1177</v>
      </c>
      <c r="AV185" t="s">
        <v>1192</v>
      </c>
      <c r="AW185" t="s">
        <v>1177</v>
      </c>
      <c r="AX185">
        <v>134</v>
      </c>
      <c r="AY185">
        <v>2</v>
      </c>
      <c r="AZ185" t="s">
        <v>1177</v>
      </c>
      <c r="BA185">
        <v>0</v>
      </c>
      <c r="BB185" t="s">
        <v>1262</v>
      </c>
      <c r="BC185" t="e">
        <v>#N/A</v>
      </c>
      <c r="BD185" t="e">
        <v>#N/A</v>
      </c>
      <c r="BE185" t="e">
        <v>#N/A</v>
      </c>
      <c r="BF185" t="e">
        <v>#N/A</v>
      </c>
      <c r="BG185" t="s">
        <v>1372</v>
      </c>
      <c r="BH185" t="s">
        <v>1903</v>
      </c>
      <c r="BI185" t="s">
        <v>1904</v>
      </c>
    </row>
    <row r="186" spans="1:61" x14ac:dyDescent="0.35">
      <c r="A186" s="7" t="str">
        <f t="shared" si="4"/>
        <v>461594300009493</v>
      </c>
      <c r="B186" s="7" t="str">
        <f t="shared" si="5"/>
        <v>A9B10067944B857</v>
      </c>
      <c r="C186" t="s">
        <v>1177</v>
      </c>
      <c r="D186" t="s">
        <v>1178</v>
      </c>
      <c r="E186" t="s">
        <v>1990</v>
      </c>
      <c r="F186" t="s">
        <v>1363</v>
      </c>
      <c r="G186" t="s">
        <v>1363</v>
      </c>
      <c r="H186" t="s">
        <v>1271</v>
      </c>
      <c r="I186">
        <v>46159</v>
      </c>
      <c r="J186" t="s">
        <v>1991</v>
      </c>
      <c r="K186" t="s">
        <v>1182</v>
      </c>
      <c r="L186" t="s">
        <v>1177</v>
      </c>
      <c r="M186" t="s">
        <v>1274</v>
      </c>
      <c r="N186" t="s">
        <v>1079</v>
      </c>
      <c r="O186" t="s">
        <v>1275</v>
      </c>
      <c r="P186">
        <v>46247</v>
      </c>
      <c r="Q186" t="s">
        <v>1177</v>
      </c>
      <c r="R186" t="s">
        <v>23</v>
      </c>
      <c r="S186" t="s">
        <v>959</v>
      </c>
      <c r="T186" t="s">
        <v>1008</v>
      </c>
      <c r="U186" t="s">
        <v>1009</v>
      </c>
      <c r="V186">
        <v>524</v>
      </c>
      <c r="W186" t="s">
        <v>1262</v>
      </c>
      <c r="X186" t="s">
        <v>1262</v>
      </c>
      <c r="Y186">
        <v>0</v>
      </c>
      <c r="Z186" t="s">
        <v>1186</v>
      </c>
      <c r="AA186" t="s">
        <v>1177</v>
      </c>
      <c r="AB186" t="s">
        <v>1177</v>
      </c>
      <c r="AC186" t="s">
        <v>1177</v>
      </c>
      <c r="AD186" t="s">
        <v>1204</v>
      </c>
      <c r="AE186" t="s">
        <v>1188</v>
      </c>
      <c r="AF186" t="s">
        <v>1189</v>
      </c>
      <c r="AG186" t="s">
        <v>1189</v>
      </c>
      <c r="AH186" t="s">
        <v>1178</v>
      </c>
      <c r="AI186" t="s">
        <v>1280</v>
      </c>
      <c r="AJ186" t="s">
        <v>1190</v>
      </c>
      <c r="AK186">
        <v>0</v>
      </c>
      <c r="AL186" t="s">
        <v>1262</v>
      </c>
      <c r="AM186">
        <v>46278</v>
      </c>
      <c r="AN186">
        <v>46267</v>
      </c>
      <c r="AO186">
        <v>46267</v>
      </c>
      <c r="AP186">
        <v>46269</v>
      </c>
      <c r="AQ186">
        <v>46269</v>
      </c>
      <c r="AR186">
        <v>46274</v>
      </c>
      <c r="AS186">
        <v>46276</v>
      </c>
      <c r="AT186" t="s">
        <v>1281</v>
      </c>
      <c r="AU186" t="s">
        <v>1177</v>
      </c>
      <c r="AV186" t="s">
        <v>1192</v>
      </c>
      <c r="AW186" t="s">
        <v>1177</v>
      </c>
      <c r="AX186">
        <v>69</v>
      </c>
      <c r="AY186">
        <v>2</v>
      </c>
      <c r="AZ186" t="s">
        <v>1177</v>
      </c>
      <c r="BA186">
        <v>18</v>
      </c>
      <c r="BB186" t="s">
        <v>1262</v>
      </c>
      <c r="BC186" t="s">
        <v>1992</v>
      </c>
      <c r="BD186">
        <v>18</v>
      </c>
      <c r="BE186">
        <v>46254</v>
      </c>
      <c r="BF186" t="s">
        <v>1165</v>
      </c>
      <c r="BG186" t="s">
        <v>1212</v>
      </c>
      <c r="BH186" t="s">
        <v>1194</v>
      </c>
      <c r="BI186" t="s">
        <v>1212</v>
      </c>
    </row>
    <row r="187" spans="1:61" x14ac:dyDescent="0.35">
      <c r="A187" s="7" t="str">
        <f t="shared" si="4"/>
        <v>461594300009498</v>
      </c>
      <c r="B187" s="7" t="str">
        <f t="shared" si="5"/>
        <v>1U5228AF1ABB867</v>
      </c>
      <c r="C187" t="s">
        <v>1177</v>
      </c>
      <c r="D187" t="s">
        <v>1178</v>
      </c>
      <c r="E187" t="s">
        <v>1993</v>
      </c>
      <c r="F187" t="s">
        <v>1177</v>
      </c>
      <c r="G187" t="s">
        <v>1363</v>
      </c>
      <c r="H187" t="s">
        <v>1271</v>
      </c>
      <c r="I187">
        <v>46159</v>
      </c>
      <c r="J187" t="s">
        <v>1994</v>
      </c>
      <c r="K187" t="s">
        <v>1407</v>
      </c>
      <c r="L187" t="s">
        <v>1177</v>
      </c>
      <c r="M187" t="s">
        <v>1274</v>
      </c>
      <c r="N187" t="s">
        <v>1079</v>
      </c>
      <c r="O187" t="s">
        <v>1275</v>
      </c>
      <c r="P187">
        <v>46187</v>
      </c>
      <c r="Q187" t="s">
        <v>1177</v>
      </c>
      <c r="R187" t="s">
        <v>25</v>
      </c>
      <c r="S187" t="s">
        <v>1060</v>
      </c>
      <c r="T187" t="s">
        <v>1995</v>
      </c>
      <c r="U187" t="s">
        <v>1996</v>
      </c>
      <c r="V187">
        <v>8</v>
      </c>
      <c r="W187" t="s">
        <v>1262</v>
      </c>
      <c r="X187" t="s">
        <v>1262</v>
      </c>
      <c r="Y187">
        <v>0</v>
      </c>
      <c r="Z187" t="s">
        <v>1186</v>
      </c>
      <c r="AA187" t="s">
        <v>1177</v>
      </c>
      <c r="AB187" t="s">
        <v>1276</v>
      </c>
      <c r="AC187" t="s">
        <v>1277</v>
      </c>
      <c r="AD187" t="s">
        <v>1278</v>
      </c>
      <c r="AE187" t="s">
        <v>1292</v>
      </c>
      <c r="AF187" t="s">
        <v>1178</v>
      </c>
      <c r="AG187" t="s">
        <v>1190</v>
      </c>
      <c r="AH187" t="s">
        <v>1178</v>
      </c>
      <c r="AI187" t="s">
        <v>1280</v>
      </c>
      <c r="AJ187" t="s">
        <v>1189</v>
      </c>
      <c r="AK187">
        <v>8</v>
      </c>
      <c r="AL187" t="s">
        <v>1262</v>
      </c>
      <c r="AM187">
        <v>46218</v>
      </c>
      <c r="AN187">
        <v>46212</v>
      </c>
      <c r="AO187">
        <v>46212</v>
      </c>
      <c r="AP187">
        <v>46216</v>
      </c>
      <c r="AQ187">
        <v>46216</v>
      </c>
      <c r="AR187">
        <v>46218</v>
      </c>
      <c r="AS187">
        <v>46220</v>
      </c>
      <c r="AT187" t="s">
        <v>1281</v>
      </c>
      <c r="AU187" t="s">
        <v>1177</v>
      </c>
      <c r="AV187" t="s">
        <v>1192</v>
      </c>
      <c r="AW187" t="s">
        <v>1177</v>
      </c>
      <c r="AX187">
        <v>33</v>
      </c>
      <c r="AY187">
        <v>2</v>
      </c>
      <c r="AZ187" t="s">
        <v>1177</v>
      </c>
      <c r="BA187">
        <v>0</v>
      </c>
      <c r="BB187" t="s">
        <v>1262</v>
      </c>
      <c r="BC187" t="e">
        <v>#N/A</v>
      </c>
      <c r="BD187" t="e">
        <v>#N/A</v>
      </c>
      <c r="BE187" t="e">
        <v>#N/A</v>
      </c>
      <c r="BF187" t="e">
        <v>#N/A</v>
      </c>
      <c r="BG187" t="s">
        <v>1212</v>
      </c>
      <c r="BH187" t="s">
        <v>1194</v>
      </c>
      <c r="BI187" t="s">
        <v>1212</v>
      </c>
    </row>
    <row r="188" spans="1:61" x14ac:dyDescent="0.35">
      <c r="A188" s="7" t="str">
        <f t="shared" si="4"/>
        <v>461594300009515</v>
      </c>
      <c r="B188" s="7" t="str">
        <f t="shared" si="5"/>
        <v>GP022119B825</v>
      </c>
      <c r="C188" t="s">
        <v>1177</v>
      </c>
      <c r="D188" t="s">
        <v>1178</v>
      </c>
      <c r="E188" t="s">
        <v>2001</v>
      </c>
      <c r="F188" t="s">
        <v>1363</v>
      </c>
      <c r="G188" t="s">
        <v>1363</v>
      </c>
      <c r="H188" t="s">
        <v>1271</v>
      </c>
      <c r="I188">
        <v>46159</v>
      </c>
      <c r="J188" t="s">
        <v>2002</v>
      </c>
      <c r="K188" t="s">
        <v>1273</v>
      </c>
      <c r="L188" t="s">
        <v>1177</v>
      </c>
      <c r="M188" t="s">
        <v>1274</v>
      </c>
      <c r="N188" t="s">
        <v>1079</v>
      </c>
      <c r="O188" t="s">
        <v>1275</v>
      </c>
      <c r="P188">
        <v>46159</v>
      </c>
      <c r="Q188" t="s">
        <v>1177</v>
      </c>
      <c r="R188" t="s">
        <v>16</v>
      </c>
      <c r="S188" t="s">
        <v>512</v>
      </c>
      <c r="T188" t="s">
        <v>156</v>
      </c>
      <c r="U188" t="s">
        <v>1939</v>
      </c>
      <c r="V188">
        <v>3</v>
      </c>
      <c r="W188" t="s">
        <v>1202</v>
      </c>
      <c r="X188" t="s">
        <v>1202</v>
      </c>
      <c r="Y188">
        <v>0</v>
      </c>
      <c r="Z188" t="s">
        <v>1186</v>
      </c>
      <c r="AA188" t="s">
        <v>1177</v>
      </c>
      <c r="AB188" t="s">
        <v>1177</v>
      </c>
      <c r="AC188" t="s">
        <v>1177</v>
      </c>
      <c r="AD188" t="s">
        <v>1204</v>
      </c>
      <c r="AE188" t="s">
        <v>1463</v>
      </c>
      <c r="AF188" t="s">
        <v>1189</v>
      </c>
      <c r="AG188" t="s">
        <v>1190</v>
      </c>
      <c r="AH188" t="s">
        <v>1178</v>
      </c>
      <c r="AI188" t="s">
        <v>1349</v>
      </c>
      <c r="AJ188" t="s">
        <v>1190</v>
      </c>
      <c r="AK188">
        <v>0</v>
      </c>
      <c r="AL188" t="s">
        <v>1202</v>
      </c>
      <c r="AM188">
        <v>46003</v>
      </c>
      <c r="AN188">
        <v>46181</v>
      </c>
      <c r="AO188">
        <v>46160</v>
      </c>
      <c r="AP188">
        <v>46162</v>
      </c>
      <c r="AQ188">
        <v>46162</v>
      </c>
      <c r="AR188">
        <v>46164</v>
      </c>
      <c r="AS188">
        <v>46168</v>
      </c>
      <c r="AT188" t="s">
        <v>1281</v>
      </c>
      <c r="AU188" t="s">
        <v>1177</v>
      </c>
      <c r="AV188" t="s">
        <v>1192</v>
      </c>
      <c r="AW188" t="s">
        <v>1177</v>
      </c>
      <c r="AX188">
        <v>33</v>
      </c>
      <c r="AY188">
        <v>2</v>
      </c>
      <c r="AZ188" t="s">
        <v>1177</v>
      </c>
      <c r="BA188">
        <v>0</v>
      </c>
      <c r="BB188" t="s">
        <v>1202</v>
      </c>
      <c r="BC188" t="e">
        <v>#N/A</v>
      </c>
      <c r="BD188" t="e">
        <v>#N/A</v>
      </c>
      <c r="BE188" t="e">
        <v>#N/A</v>
      </c>
      <c r="BF188" t="e">
        <v>#N/A</v>
      </c>
      <c r="BG188" t="s">
        <v>1458</v>
      </c>
      <c r="BH188" t="s">
        <v>1763</v>
      </c>
      <c r="BI188" t="s">
        <v>1177</v>
      </c>
    </row>
    <row r="189" spans="1:61" x14ac:dyDescent="0.35">
      <c r="A189" s="7" t="str">
        <f t="shared" si="4"/>
        <v>461594300009516</v>
      </c>
      <c r="B189" s="7" t="str">
        <f t="shared" si="5"/>
        <v>GP231111B825</v>
      </c>
      <c r="C189" t="s">
        <v>1177</v>
      </c>
      <c r="D189" t="s">
        <v>1178</v>
      </c>
      <c r="E189" t="s">
        <v>2003</v>
      </c>
      <c r="F189" t="s">
        <v>1363</v>
      </c>
      <c r="G189" t="s">
        <v>1363</v>
      </c>
      <c r="H189" t="s">
        <v>1271</v>
      </c>
      <c r="I189">
        <v>46159</v>
      </c>
      <c r="J189" t="s">
        <v>2004</v>
      </c>
      <c r="K189" t="s">
        <v>1199</v>
      </c>
      <c r="L189" t="s">
        <v>1177</v>
      </c>
      <c r="M189" t="s">
        <v>1274</v>
      </c>
      <c r="N189" t="s">
        <v>1079</v>
      </c>
      <c r="O189" t="s">
        <v>1275</v>
      </c>
      <c r="P189">
        <v>46159</v>
      </c>
      <c r="Q189" t="s">
        <v>1177</v>
      </c>
      <c r="R189" t="s">
        <v>16</v>
      </c>
      <c r="S189" t="s">
        <v>512</v>
      </c>
      <c r="T189" t="s">
        <v>559</v>
      </c>
      <c r="U189" t="s">
        <v>560</v>
      </c>
      <c r="V189">
        <v>4</v>
      </c>
      <c r="W189" t="s">
        <v>1262</v>
      </c>
      <c r="X189" t="s">
        <v>1262</v>
      </c>
      <c r="Y189">
        <v>0</v>
      </c>
      <c r="Z189" t="s">
        <v>1186</v>
      </c>
      <c r="AA189" t="s">
        <v>1177</v>
      </c>
      <c r="AB189" t="s">
        <v>1276</v>
      </c>
      <c r="AC189" t="s">
        <v>1277</v>
      </c>
      <c r="AD189" t="s">
        <v>1278</v>
      </c>
      <c r="AE189" t="s">
        <v>1378</v>
      </c>
      <c r="AF189" t="s">
        <v>1178</v>
      </c>
      <c r="AG189" t="s">
        <v>1190</v>
      </c>
      <c r="AH189" t="s">
        <v>1178</v>
      </c>
      <c r="AI189" t="s">
        <v>1349</v>
      </c>
      <c r="AJ189" t="s">
        <v>1190</v>
      </c>
      <c r="AK189">
        <v>0</v>
      </c>
      <c r="AL189" t="s">
        <v>1262</v>
      </c>
      <c r="AM189">
        <v>45996</v>
      </c>
      <c r="AN189">
        <v>46237</v>
      </c>
      <c r="AO189">
        <v>46160</v>
      </c>
      <c r="AP189">
        <v>46162</v>
      </c>
      <c r="AQ189">
        <v>46162</v>
      </c>
      <c r="AR189">
        <v>46164</v>
      </c>
      <c r="AS189">
        <v>46168</v>
      </c>
      <c r="AT189" t="s">
        <v>1281</v>
      </c>
      <c r="AU189" t="s">
        <v>1177</v>
      </c>
      <c r="AV189" t="s">
        <v>1192</v>
      </c>
      <c r="AW189" t="s">
        <v>1177</v>
      </c>
      <c r="AX189">
        <v>33</v>
      </c>
      <c r="AY189">
        <v>2</v>
      </c>
      <c r="AZ189" t="s">
        <v>1177</v>
      </c>
      <c r="BA189">
        <v>0</v>
      </c>
      <c r="BB189" t="s">
        <v>1262</v>
      </c>
      <c r="BC189" t="e">
        <v>#N/A</v>
      </c>
      <c r="BD189" t="e">
        <v>#N/A</v>
      </c>
      <c r="BE189" t="e">
        <v>#N/A</v>
      </c>
      <c r="BF189" t="e">
        <v>#N/A</v>
      </c>
      <c r="BG189" t="s">
        <v>1458</v>
      </c>
      <c r="BH189" t="s">
        <v>1763</v>
      </c>
      <c r="BI189" t="s">
        <v>1177</v>
      </c>
    </row>
    <row r="190" spans="1:61" x14ac:dyDescent="0.35">
      <c r="A190" s="7" t="str">
        <f t="shared" si="4"/>
        <v>461594300009517</v>
      </c>
      <c r="B190" s="7" t="str">
        <f t="shared" si="5"/>
        <v>GP328002B867</v>
      </c>
      <c r="C190" t="s">
        <v>1177</v>
      </c>
      <c r="D190" t="s">
        <v>1178</v>
      </c>
      <c r="E190" t="s">
        <v>2008</v>
      </c>
      <c r="F190" t="s">
        <v>1363</v>
      </c>
      <c r="G190" t="s">
        <v>1363</v>
      </c>
      <c r="H190" t="s">
        <v>1271</v>
      </c>
      <c r="I190">
        <v>46159</v>
      </c>
      <c r="J190" t="s">
        <v>2009</v>
      </c>
      <c r="K190" t="s">
        <v>1198</v>
      </c>
      <c r="L190" t="s">
        <v>1177</v>
      </c>
      <c r="M190" t="s">
        <v>1274</v>
      </c>
      <c r="N190" t="s">
        <v>1079</v>
      </c>
      <c r="O190" t="s">
        <v>1275</v>
      </c>
      <c r="P190">
        <v>46159</v>
      </c>
      <c r="Q190" t="s">
        <v>1177</v>
      </c>
      <c r="R190" t="s">
        <v>25</v>
      </c>
      <c r="S190" t="s">
        <v>1060</v>
      </c>
      <c r="T190" t="s">
        <v>1100</v>
      </c>
      <c r="U190" t="s">
        <v>1101</v>
      </c>
      <c r="V190">
        <v>4</v>
      </c>
      <c r="W190" t="s">
        <v>1262</v>
      </c>
      <c r="X190" t="s">
        <v>1262</v>
      </c>
      <c r="Y190">
        <v>0</v>
      </c>
      <c r="Z190" t="s">
        <v>1186</v>
      </c>
      <c r="AA190" t="s">
        <v>1177</v>
      </c>
      <c r="AB190" t="s">
        <v>1286</v>
      </c>
      <c r="AC190" t="s">
        <v>1277</v>
      </c>
      <c r="AD190" t="s">
        <v>1278</v>
      </c>
      <c r="AE190" t="s">
        <v>2010</v>
      </c>
      <c r="AF190" t="s">
        <v>1178</v>
      </c>
      <c r="AG190" t="s">
        <v>1178</v>
      </c>
      <c r="AH190" t="s">
        <v>1178</v>
      </c>
      <c r="AI190" t="s">
        <v>1280</v>
      </c>
      <c r="AJ190" t="s">
        <v>1675</v>
      </c>
      <c r="AK190">
        <v>3</v>
      </c>
      <c r="AL190" t="s">
        <v>1262</v>
      </c>
      <c r="AM190">
        <v>46211</v>
      </c>
      <c r="AN190">
        <v>46202</v>
      </c>
      <c r="AO190">
        <v>46205</v>
      </c>
      <c r="AP190">
        <v>46209</v>
      </c>
      <c r="AQ190">
        <v>46209</v>
      </c>
      <c r="AR190">
        <v>46211</v>
      </c>
      <c r="AS190">
        <v>46213</v>
      </c>
      <c r="AT190" t="s">
        <v>1281</v>
      </c>
      <c r="AU190" t="s">
        <v>1177</v>
      </c>
      <c r="AV190" t="s">
        <v>1192</v>
      </c>
      <c r="AW190" t="s">
        <v>1177</v>
      </c>
      <c r="AX190">
        <v>71</v>
      </c>
      <c r="AY190">
        <v>2</v>
      </c>
      <c r="AZ190" t="s">
        <v>1177</v>
      </c>
      <c r="BA190">
        <v>3</v>
      </c>
      <c r="BB190" t="s">
        <v>1262</v>
      </c>
      <c r="BC190" t="s">
        <v>1999</v>
      </c>
      <c r="BD190">
        <v>1</v>
      </c>
      <c r="BE190">
        <v>46198</v>
      </c>
      <c r="BF190" t="s">
        <v>1165</v>
      </c>
      <c r="BG190" t="s">
        <v>1212</v>
      </c>
      <c r="BH190" t="s">
        <v>1194</v>
      </c>
      <c r="BI190" t="s">
        <v>1212</v>
      </c>
    </row>
    <row r="191" spans="1:61" x14ac:dyDescent="0.35">
      <c r="A191" s="7" t="str">
        <f t="shared" si="4"/>
        <v>461594300009523</v>
      </c>
      <c r="B191" s="7" t="str">
        <f t="shared" si="5"/>
        <v>GP295540B825</v>
      </c>
      <c r="C191" t="s">
        <v>1177</v>
      </c>
      <c r="D191" t="s">
        <v>1178</v>
      </c>
      <c r="E191" t="s">
        <v>2011</v>
      </c>
      <c r="F191" t="s">
        <v>1363</v>
      </c>
      <c r="G191" t="s">
        <v>1363</v>
      </c>
      <c r="H191" t="s">
        <v>1271</v>
      </c>
      <c r="I191">
        <v>46159</v>
      </c>
      <c r="J191" t="s">
        <v>2012</v>
      </c>
      <c r="K191" t="s">
        <v>1182</v>
      </c>
      <c r="L191" t="s">
        <v>1177</v>
      </c>
      <c r="M191" t="s">
        <v>1274</v>
      </c>
      <c r="N191" t="s">
        <v>1079</v>
      </c>
      <c r="O191" t="s">
        <v>1275</v>
      </c>
      <c r="P191">
        <v>46159</v>
      </c>
      <c r="Q191" t="s">
        <v>1177</v>
      </c>
      <c r="R191" t="s">
        <v>16</v>
      </c>
      <c r="S191" t="s">
        <v>512</v>
      </c>
      <c r="T191" t="s">
        <v>2013</v>
      </c>
      <c r="U191" t="s">
        <v>2014</v>
      </c>
      <c r="V191">
        <v>15</v>
      </c>
      <c r="W191" t="s">
        <v>1262</v>
      </c>
      <c r="X191" t="s">
        <v>1262</v>
      </c>
      <c r="Y191">
        <v>0</v>
      </c>
      <c r="Z191" t="s">
        <v>1186</v>
      </c>
      <c r="AA191" t="s">
        <v>1177</v>
      </c>
      <c r="AB191" t="s">
        <v>1276</v>
      </c>
      <c r="AC191" t="s">
        <v>1277</v>
      </c>
      <c r="AD191" t="s">
        <v>1278</v>
      </c>
      <c r="AE191" t="s">
        <v>1726</v>
      </c>
      <c r="AF191" t="s">
        <v>1178</v>
      </c>
      <c r="AG191" t="s">
        <v>1190</v>
      </c>
      <c r="AH191" t="s">
        <v>1178</v>
      </c>
      <c r="AI191" t="s">
        <v>1349</v>
      </c>
      <c r="AJ191" t="s">
        <v>1190</v>
      </c>
      <c r="AK191">
        <v>0</v>
      </c>
      <c r="AL191" t="s">
        <v>1262</v>
      </c>
      <c r="AM191">
        <v>46164</v>
      </c>
      <c r="AN191">
        <v>46441</v>
      </c>
      <c r="AO191">
        <v>46160</v>
      </c>
      <c r="AP191">
        <v>46162</v>
      </c>
      <c r="AQ191">
        <v>46162</v>
      </c>
      <c r="AR191">
        <v>46164</v>
      </c>
      <c r="AS191">
        <v>46168</v>
      </c>
      <c r="AT191" t="s">
        <v>1281</v>
      </c>
      <c r="AU191" t="s">
        <v>1177</v>
      </c>
      <c r="AV191" t="s">
        <v>1192</v>
      </c>
      <c r="AW191" t="s">
        <v>1177</v>
      </c>
      <c r="AX191">
        <v>287</v>
      </c>
      <c r="AY191">
        <v>2</v>
      </c>
      <c r="AZ191" t="s">
        <v>1177</v>
      </c>
      <c r="BA191">
        <v>0</v>
      </c>
      <c r="BB191" t="s">
        <v>1262</v>
      </c>
      <c r="BC191" t="e">
        <v>#N/A</v>
      </c>
      <c r="BD191" t="e">
        <v>#N/A</v>
      </c>
      <c r="BE191" t="e">
        <v>#N/A</v>
      </c>
      <c r="BF191" t="e">
        <v>#N/A</v>
      </c>
      <c r="BG191" t="s">
        <v>1212</v>
      </c>
      <c r="BH191" t="s">
        <v>1194</v>
      </c>
      <c r="BI191" t="s">
        <v>2015</v>
      </c>
    </row>
    <row r="192" spans="1:61" x14ac:dyDescent="0.35">
      <c r="A192" s="7" t="str">
        <f t="shared" si="4"/>
        <v>461594300009524</v>
      </c>
      <c r="B192" s="7" t="str">
        <f t="shared" si="5"/>
        <v>GP295539B832</v>
      </c>
      <c r="C192" t="s">
        <v>1177</v>
      </c>
      <c r="D192" t="s">
        <v>1178</v>
      </c>
      <c r="E192" t="s">
        <v>2018</v>
      </c>
      <c r="F192" t="s">
        <v>1363</v>
      </c>
      <c r="G192" t="s">
        <v>1363</v>
      </c>
      <c r="H192" t="s">
        <v>1271</v>
      </c>
      <c r="I192">
        <v>46159</v>
      </c>
      <c r="J192" t="s">
        <v>2019</v>
      </c>
      <c r="K192" t="s">
        <v>1182</v>
      </c>
      <c r="L192" t="s">
        <v>1177</v>
      </c>
      <c r="M192" t="s">
        <v>1274</v>
      </c>
      <c r="N192" t="s">
        <v>1079</v>
      </c>
      <c r="O192" t="s">
        <v>1275</v>
      </c>
      <c r="P192">
        <v>46159</v>
      </c>
      <c r="Q192" t="s">
        <v>1177</v>
      </c>
      <c r="R192" t="s">
        <v>19</v>
      </c>
      <c r="S192" t="s">
        <v>654</v>
      </c>
      <c r="T192" t="s">
        <v>2016</v>
      </c>
      <c r="U192" t="s">
        <v>2017</v>
      </c>
      <c r="V192">
        <v>10</v>
      </c>
      <c r="W192" t="s">
        <v>1262</v>
      </c>
      <c r="X192" t="s">
        <v>1262</v>
      </c>
      <c r="Y192">
        <v>0</v>
      </c>
      <c r="Z192" t="s">
        <v>1186</v>
      </c>
      <c r="AA192" t="s">
        <v>1177</v>
      </c>
      <c r="AB192" t="s">
        <v>1276</v>
      </c>
      <c r="AC192" t="s">
        <v>1277</v>
      </c>
      <c r="AD192" t="s">
        <v>1278</v>
      </c>
      <c r="AE192" t="s">
        <v>1445</v>
      </c>
      <c r="AF192" t="s">
        <v>1178</v>
      </c>
      <c r="AG192" t="s">
        <v>1190</v>
      </c>
      <c r="AH192" t="s">
        <v>1178</v>
      </c>
      <c r="AI192" t="s">
        <v>1349</v>
      </c>
      <c r="AJ192" t="s">
        <v>1190</v>
      </c>
      <c r="AK192">
        <v>0</v>
      </c>
      <c r="AL192" t="s">
        <v>1262</v>
      </c>
      <c r="AM192">
        <v>46164</v>
      </c>
      <c r="AN192">
        <v>46302</v>
      </c>
      <c r="AO192">
        <v>46160</v>
      </c>
      <c r="AP192">
        <v>46162</v>
      </c>
      <c r="AQ192">
        <v>46162</v>
      </c>
      <c r="AR192">
        <v>46164</v>
      </c>
      <c r="AS192">
        <v>46168</v>
      </c>
      <c r="AT192" t="s">
        <v>1281</v>
      </c>
      <c r="AU192" t="s">
        <v>1177</v>
      </c>
      <c r="AV192" t="s">
        <v>1192</v>
      </c>
      <c r="AW192" t="s">
        <v>1177</v>
      </c>
      <c r="AX192">
        <v>164</v>
      </c>
      <c r="AY192">
        <v>2</v>
      </c>
      <c r="AZ192" t="s">
        <v>1177</v>
      </c>
      <c r="BA192">
        <v>0</v>
      </c>
      <c r="BB192" t="s">
        <v>1262</v>
      </c>
      <c r="BC192" t="e">
        <v>#N/A</v>
      </c>
      <c r="BD192" t="e">
        <v>#N/A</v>
      </c>
      <c r="BE192" t="e">
        <v>#N/A</v>
      </c>
      <c r="BF192" t="e">
        <v>#N/A</v>
      </c>
      <c r="BG192" t="s">
        <v>1212</v>
      </c>
      <c r="BH192" t="s">
        <v>1194</v>
      </c>
      <c r="BI192" t="s">
        <v>2015</v>
      </c>
    </row>
    <row r="193" spans="1:61" x14ac:dyDescent="0.35">
      <c r="A193" s="7" t="str">
        <f t="shared" si="4"/>
        <v>461594300009531</v>
      </c>
      <c r="B193" s="7" t="str">
        <f t="shared" si="5"/>
        <v>GP242943B825</v>
      </c>
      <c r="C193" t="s">
        <v>1177</v>
      </c>
      <c r="D193" t="s">
        <v>1178</v>
      </c>
      <c r="E193" t="s">
        <v>2020</v>
      </c>
      <c r="F193" t="s">
        <v>1363</v>
      </c>
      <c r="G193" t="s">
        <v>1363</v>
      </c>
      <c r="H193" t="s">
        <v>1271</v>
      </c>
      <c r="I193">
        <v>46159</v>
      </c>
      <c r="J193" t="s">
        <v>2021</v>
      </c>
      <c r="K193" t="s">
        <v>1182</v>
      </c>
      <c r="L193" t="s">
        <v>1177</v>
      </c>
      <c r="M193" t="s">
        <v>1274</v>
      </c>
      <c r="N193" t="s">
        <v>1079</v>
      </c>
      <c r="O193" t="s">
        <v>1275</v>
      </c>
      <c r="P193">
        <v>46159</v>
      </c>
      <c r="Q193" t="s">
        <v>1177</v>
      </c>
      <c r="R193" t="s">
        <v>16</v>
      </c>
      <c r="S193" t="s">
        <v>512</v>
      </c>
      <c r="T193" t="s">
        <v>412</v>
      </c>
      <c r="U193" t="s">
        <v>2025</v>
      </c>
      <c r="V193">
        <v>50</v>
      </c>
      <c r="W193" t="s">
        <v>1262</v>
      </c>
      <c r="X193" t="s">
        <v>1262</v>
      </c>
      <c r="Y193">
        <v>0</v>
      </c>
      <c r="Z193" t="s">
        <v>1186</v>
      </c>
      <c r="AA193" t="s">
        <v>1177</v>
      </c>
      <c r="AB193" t="s">
        <v>1276</v>
      </c>
      <c r="AC193" t="s">
        <v>1277</v>
      </c>
      <c r="AD193" t="s">
        <v>1278</v>
      </c>
      <c r="AE193" t="s">
        <v>1284</v>
      </c>
      <c r="AF193" t="s">
        <v>1178</v>
      </c>
      <c r="AG193" t="s">
        <v>1190</v>
      </c>
      <c r="AH193" t="s">
        <v>1178</v>
      </c>
      <c r="AI193" t="s">
        <v>1349</v>
      </c>
      <c r="AJ193" t="s">
        <v>1190</v>
      </c>
      <c r="AK193">
        <v>0</v>
      </c>
      <c r="AL193" t="s">
        <v>1262</v>
      </c>
      <c r="AM193">
        <v>46085</v>
      </c>
      <c r="AN193">
        <v>46416</v>
      </c>
      <c r="AO193">
        <v>46160</v>
      </c>
      <c r="AP193">
        <v>46162</v>
      </c>
      <c r="AQ193">
        <v>46162</v>
      </c>
      <c r="AR193">
        <v>46164</v>
      </c>
      <c r="AS193">
        <v>46168</v>
      </c>
      <c r="AT193" t="s">
        <v>1281</v>
      </c>
      <c r="AU193" t="s">
        <v>1177</v>
      </c>
      <c r="AV193" t="s">
        <v>1192</v>
      </c>
      <c r="AW193" t="s">
        <v>1177</v>
      </c>
      <c r="AX193">
        <v>236</v>
      </c>
      <c r="AY193">
        <v>2</v>
      </c>
      <c r="AZ193" t="s">
        <v>1177</v>
      </c>
      <c r="BA193">
        <v>50</v>
      </c>
      <c r="BB193" t="s">
        <v>1262</v>
      </c>
      <c r="BC193" t="s">
        <v>1453</v>
      </c>
      <c r="BD193">
        <v>50</v>
      </c>
      <c r="BE193">
        <v>46230</v>
      </c>
      <c r="BF193" t="s">
        <v>1165</v>
      </c>
      <c r="BG193" t="s">
        <v>1212</v>
      </c>
      <c r="BH193" t="s">
        <v>1194</v>
      </c>
      <c r="BI193" t="s">
        <v>2024</v>
      </c>
    </row>
    <row r="194" spans="1:61" x14ac:dyDescent="0.35">
      <c r="A194" s="7" t="str">
        <f t="shared" ref="A194:A257" si="6">I194&amp;J194</f>
        <v>461594300009554</v>
      </c>
      <c r="B194" s="7" t="str">
        <f t="shared" ref="B194:B257" si="7">_xlfn.CONCAT(T194,R194)</f>
        <v>GP243455B867</v>
      </c>
      <c r="C194" t="s">
        <v>1177</v>
      </c>
      <c r="D194" t="s">
        <v>1178</v>
      </c>
      <c r="E194" t="s">
        <v>2026</v>
      </c>
      <c r="F194" t="s">
        <v>1363</v>
      </c>
      <c r="G194" t="s">
        <v>1363</v>
      </c>
      <c r="H194" t="s">
        <v>1271</v>
      </c>
      <c r="I194">
        <v>46159</v>
      </c>
      <c r="J194" t="s">
        <v>2027</v>
      </c>
      <c r="K194" t="s">
        <v>1199</v>
      </c>
      <c r="L194" t="s">
        <v>1177</v>
      </c>
      <c r="M194" t="s">
        <v>1274</v>
      </c>
      <c r="N194" t="s">
        <v>1079</v>
      </c>
      <c r="O194" t="s">
        <v>1275</v>
      </c>
      <c r="P194">
        <v>46159</v>
      </c>
      <c r="Q194" t="s">
        <v>1177</v>
      </c>
      <c r="R194" t="s">
        <v>25</v>
      </c>
      <c r="S194" t="s">
        <v>1060</v>
      </c>
      <c r="T194" t="s">
        <v>972</v>
      </c>
      <c r="U194" t="s">
        <v>973</v>
      </c>
      <c r="V194">
        <v>1</v>
      </c>
      <c r="W194" t="s">
        <v>1262</v>
      </c>
      <c r="X194" t="s">
        <v>1262</v>
      </c>
      <c r="Y194">
        <v>0</v>
      </c>
      <c r="Z194" t="s">
        <v>1186</v>
      </c>
      <c r="AA194" t="s">
        <v>1177</v>
      </c>
      <c r="AB194" t="s">
        <v>1276</v>
      </c>
      <c r="AC194" t="s">
        <v>1277</v>
      </c>
      <c r="AD194" t="s">
        <v>1278</v>
      </c>
      <c r="AE194" t="s">
        <v>1618</v>
      </c>
      <c r="AF194" t="s">
        <v>1178</v>
      </c>
      <c r="AG194" t="s">
        <v>1190</v>
      </c>
      <c r="AH194" t="s">
        <v>1178</v>
      </c>
      <c r="AI194" t="s">
        <v>1280</v>
      </c>
      <c r="AJ194" t="s">
        <v>1190</v>
      </c>
      <c r="AK194">
        <v>0</v>
      </c>
      <c r="AL194" t="s">
        <v>1262</v>
      </c>
      <c r="AM194">
        <v>46013</v>
      </c>
      <c r="AN194">
        <v>46196</v>
      </c>
      <c r="AO194">
        <v>46163</v>
      </c>
      <c r="AP194">
        <v>46167</v>
      </c>
      <c r="AQ194">
        <v>46167</v>
      </c>
      <c r="AR194">
        <v>46169</v>
      </c>
      <c r="AS194">
        <v>46171</v>
      </c>
      <c r="AT194" t="s">
        <v>1281</v>
      </c>
      <c r="AU194" t="s">
        <v>1177</v>
      </c>
      <c r="AV194" t="s">
        <v>1192</v>
      </c>
      <c r="AW194" t="s">
        <v>1177</v>
      </c>
      <c r="AX194">
        <v>33</v>
      </c>
      <c r="AY194">
        <v>2</v>
      </c>
      <c r="AZ194" t="s">
        <v>1177</v>
      </c>
      <c r="BA194">
        <v>0</v>
      </c>
      <c r="BB194" t="s">
        <v>1262</v>
      </c>
      <c r="BC194" t="e">
        <v>#N/A</v>
      </c>
      <c r="BD194" t="e">
        <v>#N/A</v>
      </c>
      <c r="BE194" t="e">
        <v>#N/A</v>
      </c>
      <c r="BF194" t="e">
        <v>#N/A</v>
      </c>
      <c r="BG194" t="s">
        <v>126</v>
      </c>
      <c r="BH194" t="s">
        <v>1873</v>
      </c>
      <c r="BI194" t="s">
        <v>126</v>
      </c>
    </row>
    <row r="195" spans="1:61" x14ac:dyDescent="0.35">
      <c r="A195" s="7" t="str">
        <f t="shared" si="6"/>
        <v>461594300009569</v>
      </c>
      <c r="B195" s="7" t="str">
        <f t="shared" si="7"/>
        <v>50973B825</v>
      </c>
      <c r="C195" t="s">
        <v>1177</v>
      </c>
      <c r="D195" t="s">
        <v>1178</v>
      </c>
      <c r="E195" t="s">
        <v>2028</v>
      </c>
      <c r="F195" t="s">
        <v>1363</v>
      </c>
      <c r="G195" t="s">
        <v>1363</v>
      </c>
      <c r="H195" t="s">
        <v>1271</v>
      </c>
      <c r="I195">
        <v>46159</v>
      </c>
      <c r="J195" t="s">
        <v>2029</v>
      </c>
      <c r="K195" t="s">
        <v>1285</v>
      </c>
      <c r="L195" t="s">
        <v>1177</v>
      </c>
      <c r="M195" t="s">
        <v>1274</v>
      </c>
      <c r="N195" t="s">
        <v>1079</v>
      </c>
      <c r="O195" t="s">
        <v>1275</v>
      </c>
      <c r="P195">
        <v>46159</v>
      </c>
      <c r="Q195" t="s">
        <v>1177</v>
      </c>
      <c r="R195" t="s">
        <v>16</v>
      </c>
      <c r="S195" t="s">
        <v>512</v>
      </c>
      <c r="T195" t="s">
        <v>1626</v>
      </c>
      <c r="U195" t="s">
        <v>1627</v>
      </c>
      <c r="V195">
        <v>1</v>
      </c>
      <c r="W195" t="s">
        <v>1262</v>
      </c>
      <c r="X195" t="s">
        <v>1262</v>
      </c>
      <c r="Y195">
        <v>0</v>
      </c>
      <c r="Z195" t="s">
        <v>1186</v>
      </c>
      <c r="AA195" t="s">
        <v>1177</v>
      </c>
      <c r="AB195" t="s">
        <v>1276</v>
      </c>
      <c r="AC195" t="s">
        <v>1277</v>
      </c>
      <c r="AD195" t="s">
        <v>1278</v>
      </c>
      <c r="AE195" t="s">
        <v>1628</v>
      </c>
      <c r="AF195" t="s">
        <v>1178</v>
      </c>
      <c r="AG195" t="s">
        <v>1190</v>
      </c>
      <c r="AH195" t="s">
        <v>1178</v>
      </c>
      <c r="AI195" t="s">
        <v>1349</v>
      </c>
      <c r="AJ195" t="s">
        <v>1190</v>
      </c>
      <c r="AK195">
        <v>0</v>
      </c>
      <c r="AL195" t="s">
        <v>1262</v>
      </c>
      <c r="AM195">
        <v>46020</v>
      </c>
      <c r="AN195">
        <v>46196</v>
      </c>
      <c r="AO195">
        <v>46160</v>
      </c>
      <c r="AP195">
        <v>46162</v>
      </c>
      <c r="AQ195">
        <v>46162</v>
      </c>
      <c r="AR195">
        <v>46164</v>
      </c>
      <c r="AS195">
        <v>46168</v>
      </c>
      <c r="AT195" t="s">
        <v>1281</v>
      </c>
      <c r="AU195" t="s">
        <v>1177</v>
      </c>
      <c r="AV195" t="s">
        <v>1192</v>
      </c>
      <c r="AW195" t="s">
        <v>1177</v>
      </c>
      <c r="AX195">
        <v>33</v>
      </c>
      <c r="AY195">
        <v>2</v>
      </c>
      <c r="AZ195" t="s">
        <v>1177</v>
      </c>
      <c r="BA195">
        <v>0</v>
      </c>
      <c r="BB195" t="s">
        <v>1262</v>
      </c>
      <c r="BC195" t="e">
        <v>#N/A</v>
      </c>
      <c r="BD195" t="e">
        <v>#N/A</v>
      </c>
      <c r="BE195" t="e">
        <v>#N/A</v>
      </c>
      <c r="BF195" t="e">
        <v>#N/A</v>
      </c>
      <c r="BG195" t="s">
        <v>126</v>
      </c>
      <c r="BH195" t="s">
        <v>1873</v>
      </c>
      <c r="BI195" t="s">
        <v>126</v>
      </c>
    </row>
    <row r="196" spans="1:61" x14ac:dyDescent="0.35">
      <c r="A196" s="7" t="str">
        <f t="shared" si="6"/>
        <v>461594300009574</v>
      </c>
      <c r="B196" s="7" t="str">
        <f t="shared" si="7"/>
        <v>GP243455B867</v>
      </c>
      <c r="C196" t="s">
        <v>1177</v>
      </c>
      <c r="D196" t="s">
        <v>1178</v>
      </c>
      <c r="E196" t="s">
        <v>2031</v>
      </c>
      <c r="F196" t="s">
        <v>1363</v>
      </c>
      <c r="G196" t="s">
        <v>1363</v>
      </c>
      <c r="H196" t="s">
        <v>1271</v>
      </c>
      <c r="I196">
        <v>46159</v>
      </c>
      <c r="J196" t="s">
        <v>2032</v>
      </c>
      <c r="K196" t="s">
        <v>1285</v>
      </c>
      <c r="L196" t="s">
        <v>1177</v>
      </c>
      <c r="M196" t="s">
        <v>1274</v>
      </c>
      <c r="N196" t="s">
        <v>1079</v>
      </c>
      <c r="O196" t="s">
        <v>1275</v>
      </c>
      <c r="P196">
        <v>46159</v>
      </c>
      <c r="Q196" t="s">
        <v>1177</v>
      </c>
      <c r="R196" t="s">
        <v>25</v>
      </c>
      <c r="S196" t="s">
        <v>1060</v>
      </c>
      <c r="T196" t="s">
        <v>972</v>
      </c>
      <c r="U196" t="s">
        <v>973</v>
      </c>
      <c r="V196">
        <v>1</v>
      </c>
      <c r="W196" t="s">
        <v>1262</v>
      </c>
      <c r="X196" t="s">
        <v>1262</v>
      </c>
      <c r="Y196">
        <v>0</v>
      </c>
      <c r="Z196" t="s">
        <v>1186</v>
      </c>
      <c r="AA196" t="s">
        <v>1177</v>
      </c>
      <c r="AB196" t="s">
        <v>1276</v>
      </c>
      <c r="AC196" t="s">
        <v>1277</v>
      </c>
      <c r="AD196" t="s">
        <v>1278</v>
      </c>
      <c r="AE196" t="s">
        <v>1618</v>
      </c>
      <c r="AF196" t="s">
        <v>1178</v>
      </c>
      <c r="AG196" t="s">
        <v>1190</v>
      </c>
      <c r="AH196" t="s">
        <v>1178</v>
      </c>
      <c r="AI196" t="s">
        <v>1280</v>
      </c>
      <c r="AJ196" t="s">
        <v>1190</v>
      </c>
      <c r="AK196">
        <v>0</v>
      </c>
      <c r="AL196" t="s">
        <v>1262</v>
      </c>
      <c r="AM196">
        <v>46020</v>
      </c>
      <c r="AN196">
        <v>46163</v>
      </c>
      <c r="AO196">
        <v>46163</v>
      </c>
      <c r="AP196">
        <v>46167</v>
      </c>
      <c r="AQ196">
        <v>46167</v>
      </c>
      <c r="AR196">
        <v>46169</v>
      </c>
      <c r="AS196">
        <v>46171</v>
      </c>
      <c r="AT196" t="s">
        <v>1281</v>
      </c>
      <c r="AU196" t="s">
        <v>1177</v>
      </c>
      <c r="AV196" t="s">
        <v>1192</v>
      </c>
      <c r="AW196" t="s">
        <v>1177</v>
      </c>
      <c r="AX196">
        <v>33</v>
      </c>
      <c r="AY196">
        <v>2</v>
      </c>
      <c r="AZ196" t="s">
        <v>1177</v>
      </c>
      <c r="BA196">
        <v>0</v>
      </c>
      <c r="BB196" t="s">
        <v>1262</v>
      </c>
      <c r="BC196" t="s">
        <v>1621</v>
      </c>
      <c r="BD196">
        <v>22</v>
      </c>
      <c r="BE196">
        <v>46233</v>
      </c>
      <c r="BF196" t="s">
        <v>1165</v>
      </c>
      <c r="BG196" t="s">
        <v>126</v>
      </c>
      <c r="BH196" t="s">
        <v>1873</v>
      </c>
      <c r="BI196" t="s">
        <v>126</v>
      </c>
    </row>
    <row r="197" spans="1:61" x14ac:dyDescent="0.35">
      <c r="A197" s="7" t="str">
        <f t="shared" si="6"/>
        <v>461594300009578</v>
      </c>
      <c r="B197" s="7" t="str">
        <f t="shared" si="7"/>
        <v>GP081007B865</v>
      </c>
      <c r="C197" t="s">
        <v>1177</v>
      </c>
      <c r="D197" t="s">
        <v>1178</v>
      </c>
      <c r="E197" t="s">
        <v>2033</v>
      </c>
      <c r="F197" t="s">
        <v>1363</v>
      </c>
      <c r="G197" t="s">
        <v>1363</v>
      </c>
      <c r="H197" t="s">
        <v>1271</v>
      </c>
      <c r="I197">
        <v>46159</v>
      </c>
      <c r="J197" t="s">
        <v>2034</v>
      </c>
      <c r="K197" t="s">
        <v>1198</v>
      </c>
      <c r="L197" t="s">
        <v>1177</v>
      </c>
      <c r="M197" t="s">
        <v>1274</v>
      </c>
      <c r="N197" t="s">
        <v>1079</v>
      </c>
      <c r="O197" t="s">
        <v>1275</v>
      </c>
      <c r="P197">
        <v>46159</v>
      </c>
      <c r="Q197" t="s">
        <v>1177</v>
      </c>
      <c r="R197" t="s">
        <v>7</v>
      </c>
      <c r="S197" t="s">
        <v>1040</v>
      </c>
      <c r="T197" t="s">
        <v>392</v>
      </c>
      <c r="U197" t="s">
        <v>393</v>
      </c>
      <c r="V197">
        <v>60</v>
      </c>
      <c r="W197" t="s">
        <v>1262</v>
      </c>
      <c r="X197" t="s">
        <v>1262</v>
      </c>
      <c r="Y197">
        <v>0</v>
      </c>
      <c r="Z197" t="s">
        <v>1186</v>
      </c>
      <c r="AA197" t="s">
        <v>1177</v>
      </c>
      <c r="AB197" t="s">
        <v>1286</v>
      </c>
      <c r="AC197" t="s">
        <v>1277</v>
      </c>
      <c r="AD197" t="s">
        <v>1278</v>
      </c>
      <c r="AE197" t="s">
        <v>1472</v>
      </c>
      <c r="AF197" t="s">
        <v>1178</v>
      </c>
      <c r="AG197" t="s">
        <v>1178</v>
      </c>
      <c r="AH197" t="s">
        <v>1178</v>
      </c>
      <c r="AI197" t="s">
        <v>1349</v>
      </c>
      <c r="AJ197" t="s">
        <v>1190</v>
      </c>
      <c r="AK197">
        <v>0</v>
      </c>
      <c r="AL197" t="s">
        <v>1262</v>
      </c>
      <c r="AM197">
        <v>46083</v>
      </c>
      <c r="AN197">
        <v>46191</v>
      </c>
      <c r="AO197">
        <v>46160</v>
      </c>
      <c r="AP197">
        <v>46162</v>
      </c>
      <c r="AQ197">
        <v>46162</v>
      </c>
      <c r="AR197">
        <v>46164</v>
      </c>
      <c r="AS197">
        <v>46168</v>
      </c>
      <c r="AT197" t="s">
        <v>1281</v>
      </c>
      <c r="AU197" t="s">
        <v>1177</v>
      </c>
      <c r="AV197" t="s">
        <v>1192</v>
      </c>
      <c r="AW197" t="s">
        <v>1177</v>
      </c>
      <c r="AX197">
        <v>62</v>
      </c>
      <c r="AY197">
        <v>2</v>
      </c>
      <c r="AZ197" t="s">
        <v>1177</v>
      </c>
      <c r="BA197">
        <v>0</v>
      </c>
      <c r="BB197" t="s">
        <v>1262</v>
      </c>
      <c r="BC197" t="e">
        <v>#N/A</v>
      </c>
      <c r="BD197" t="e">
        <v>#N/A</v>
      </c>
      <c r="BE197" t="e">
        <v>#N/A</v>
      </c>
      <c r="BF197" t="e">
        <v>#N/A</v>
      </c>
      <c r="BG197" t="s">
        <v>1212</v>
      </c>
      <c r="BH197" t="s">
        <v>1194</v>
      </c>
      <c r="BI197" t="s">
        <v>2035</v>
      </c>
    </row>
    <row r="198" spans="1:61" x14ac:dyDescent="0.35">
      <c r="A198" s="7" t="str">
        <f t="shared" si="6"/>
        <v>461594300009579</v>
      </c>
      <c r="B198" s="7" t="str">
        <f t="shared" si="7"/>
        <v>GP486500B864</v>
      </c>
      <c r="C198" t="s">
        <v>1177</v>
      </c>
      <c r="D198" t="s">
        <v>1178</v>
      </c>
      <c r="E198" t="s">
        <v>2036</v>
      </c>
      <c r="F198" t="s">
        <v>1363</v>
      </c>
      <c r="G198" t="s">
        <v>1363</v>
      </c>
      <c r="H198" t="s">
        <v>1271</v>
      </c>
      <c r="I198">
        <v>46159</v>
      </c>
      <c r="J198" t="s">
        <v>2037</v>
      </c>
      <c r="K198" t="s">
        <v>1182</v>
      </c>
      <c r="L198" t="s">
        <v>1177</v>
      </c>
      <c r="M198" t="s">
        <v>1274</v>
      </c>
      <c r="N198" t="s">
        <v>1079</v>
      </c>
      <c r="O198" t="s">
        <v>1275</v>
      </c>
      <c r="P198">
        <v>46159</v>
      </c>
      <c r="Q198" t="s">
        <v>1177</v>
      </c>
      <c r="R198" t="s">
        <v>10</v>
      </c>
      <c r="S198" t="s">
        <v>1011</v>
      </c>
      <c r="T198" t="s">
        <v>108</v>
      </c>
      <c r="U198" t="s">
        <v>109</v>
      </c>
      <c r="V198">
        <v>60</v>
      </c>
      <c r="W198" t="s">
        <v>1262</v>
      </c>
      <c r="X198" t="s">
        <v>1262</v>
      </c>
      <c r="Y198">
        <v>0</v>
      </c>
      <c r="Z198" t="s">
        <v>1186</v>
      </c>
      <c r="AA198" t="s">
        <v>1177</v>
      </c>
      <c r="AB198" t="s">
        <v>1276</v>
      </c>
      <c r="AC198" t="s">
        <v>1277</v>
      </c>
      <c r="AD198" t="s">
        <v>1278</v>
      </c>
      <c r="AE198" t="s">
        <v>1750</v>
      </c>
      <c r="AF198" t="s">
        <v>1178</v>
      </c>
      <c r="AG198" t="s">
        <v>1190</v>
      </c>
      <c r="AH198" t="s">
        <v>1178</v>
      </c>
      <c r="AI198" t="s">
        <v>1280</v>
      </c>
      <c r="AJ198" t="s">
        <v>1190</v>
      </c>
      <c r="AK198">
        <v>0</v>
      </c>
      <c r="AL198" t="s">
        <v>1262</v>
      </c>
      <c r="AM198">
        <v>46083</v>
      </c>
      <c r="AN198">
        <v>46196</v>
      </c>
      <c r="AO198">
        <v>46163</v>
      </c>
      <c r="AP198">
        <v>46167</v>
      </c>
      <c r="AQ198">
        <v>46167</v>
      </c>
      <c r="AR198">
        <v>46169</v>
      </c>
      <c r="AS198">
        <v>46171</v>
      </c>
      <c r="AT198" t="s">
        <v>1281</v>
      </c>
      <c r="AU198" t="s">
        <v>1177</v>
      </c>
      <c r="AV198" t="s">
        <v>1192</v>
      </c>
      <c r="AW198" t="s">
        <v>1177</v>
      </c>
      <c r="AX198">
        <v>33</v>
      </c>
      <c r="AY198">
        <v>2</v>
      </c>
      <c r="AZ198" t="s">
        <v>1177</v>
      </c>
      <c r="BA198">
        <v>0</v>
      </c>
      <c r="BB198" t="s">
        <v>1262</v>
      </c>
      <c r="BC198" t="e">
        <v>#N/A</v>
      </c>
      <c r="BD198" t="e">
        <v>#N/A</v>
      </c>
      <c r="BE198" t="e">
        <v>#N/A</v>
      </c>
      <c r="BF198" t="e">
        <v>#N/A</v>
      </c>
      <c r="BG198" t="s">
        <v>1212</v>
      </c>
      <c r="BH198" t="s">
        <v>1194</v>
      </c>
      <c r="BI198" t="s">
        <v>2035</v>
      </c>
    </row>
    <row r="199" spans="1:61" x14ac:dyDescent="0.35">
      <c r="A199" s="7" t="str">
        <f t="shared" si="6"/>
        <v>461594300009590</v>
      </c>
      <c r="B199" s="7" t="str">
        <f t="shared" si="7"/>
        <v>GP672890B857</v>
      </c>
      <c r="C199" t="s">
        <v>1177</v>
      </c>
      <c r="D199" t="s">
        <v>1178</v>
      </c>
      <c r="E199" t="s">
        <v>2038</v>
      </c>
      <c r="F199" t="s">
        <v>1363</v>
      </c>
      <c r="G199" t="s">
        <v>1363</v>
      </c>
      <c r="H199" t="s">
        <v>1271</v>
      </c>
      <c r="I199">
        <v>46159</v>
      </c>
      <c r="J199" t="s">
        <v>2039</v>
      </c>
      <c r="K199" t="s">
        <v>1182</v>
      </c>
      <c r="L199" t="s">
        <v>1177</v>
      </c>
      <c r="M199" t="s">
        <v>1274</v>
      </c>
      <c r="N199" t="s">
        <v>1079</v>
      </c>
      <c r="O199" t="s">
        <v>1275</v>
      </c>
      <c r="P199">
        <v>46159</v>
      </c>
      <c r="Q199" t="s">
        <v>1177</v>
      </c>
      <c r="R199" t="s">
        <v>23</v>
      </c>
      <c r="S199" t="s">
        <v>959</v>
      </c>
      <c r="T199" t="s">
        <v>2040</v>
      </c>
      <c r="U199" t="s">
        <v>2041</v>
      </c>
      <c r="V199">
        <v>18</v>
      </c>
      <c r="W199" t="s">
        <v>1262</v>
      </c>
      <c r="X199" t="s">
        <v>1262</v>
      </c>
      <c r="Y199">
        <v>0</v>
      </c>
      <c r="Z199" t="s">
        <v>1186</v>
      </c>
      <c r="AA199" t="s">
        <v>1177</v>
      </c>
      <c r="AB199" t="s">
        <v>1276</v>
      </c>
      <c r="AC199" t="s">
        <v>1277</v>
      </c>
      <c r="AD199" t="s">
        <v>1278</v>
      </c>
      <c r="AE199" t="s">
        <v>2042</v>
      </c>
      <c r="AF199" t="s">
        <v>1178</v>
      </c>
      <c r="AG199" t="s">
        <v>1476</v>
      </c>
      <c r="AH199" t="s">
        <v>1178</v>
      </c>
      <c r="AI199" t="s">
        <v>1280</v>
      </c>
      <c r="AJ199" t="s">
        <v>1189</v>
      </c>
      <c r="AK199">
        <v>18</v>
      </c>
      <c r="AL199" t="s">
        <v>1262</v>
      </c>
      <c r="AM199">
        <v>46232</v>
      </c>
      <c r="AN199">
        <v>46226</v>
      </c>
      <c r="AO199">
        <v>46226</v>
      </c>
      <c r="AP199">
        <v>46230</v>
      </c>
      <c r="AQ199">
        <v>46230</v>
      </c>
      <c r="AR199">
        <v>46232</v>
      </c>
      <c r="AS199">
        <v>46232</v>
      </c>
      <c r="AT199" t="s">
        <v>1281</v>
      </c>
      <c r="AU199" t="s">
        <v>1177</v>
      </c>
      <c r="AV199" t="s">
        <v>1192</v>
      </c>
      <c r="AW199" t="s">
        <v>1177</v>
      </c>
      <c r="AX199">
        <v>0</v>
      </c>
      <c r="AY199">
        <v>0</v>
      </c>
      <c r="AZ199" t="s">
        <v>1177</v>
      </c>
      <c r="BA199">
        <v>0</v>
      </c>
      <c r="BB199" t="s">
        <v>1262</v>
      </c>
      <c r="BC199" t="e">
        <v>#N/A</v>
      </c>
      <c r="BD199" t="e">
        <v>#N/A</v>
      </c>
      <c r="BE199" t="e">
        <v>#N/A</v>
      </c>
      <c r="BF199" t="e">
        <v>#N/A</v>
      </c>
      <c r="BG199" t="s">
        <v>1372</v>
      </c>
      <c r="BH199" t="s">
        <v>1903</v>
      </c>
      <c r="BI199" t="s">
        <v>2043</v>
      </c>
    </row>
    <row r="200" spans="1:61" x14ac:dyDescent="0.35">
      <c r="A200" s="7" t="str">
        <f t="shared" si="6"/>
        <v>461594300009591</v>
      </c>
      <c r="B200" s="7" t="str">
        <f t="shared" si="7"/>
        <v>GP672890B856</v>
      </c>
      <c r="C200" t="s">
        <v>1177</v>
      </c>
      <c r="D200" t="s">
        <v>1178</v>
      </c>
      <c r="E200" t="s">
        <v>2044</v>
      </c>
      <c r="F200" t="s">
        <v>1363</v>
      </c>
      <c r="G200" t="s">
        <v>1363</v>
      </c>
      <c r="H200" t="s">
        <v>1271</v>
      </c>
      <c r="I200">
        <v>46159</v>
      </c>
      <c r="J200" t="s">
        <v>2045</v>
      </c>
      <c r="K200" t="s">
        <v>1182</v>
      </c>
      <c r="L200" t="s">
        <v>1177</v>
      </c>
      <c r="M200" t="s">
        <v>1274</v>
      </c>
      <c r="N200" t="s">
        <v>1079</v>
      </c>
      <c r="O200" t="s">
        <v>1275</v>
      </c>
      <c r="P200">
        <v>46159</v>
      </c>
      <c r="Q200" t="s">
        <v>1177</v>
      </c>
      <c r="R200" t="s">
        <v>21</v>
      </c>
      <c r="S200" t="s">
        <v>853</v>
      </c>
      <c r="T200" t="s">
        <v>2040</v>
      </c>
      <c r="U200" t="s">
        <v>2041</v>
      </c>
      <c r="V200">
        <v>24</v>
      </c>
      <c r="W200" t="s">
        <v>1262</v>
      </c>
      <c r="X200" t="s">
        <v>1262</v>
      </c>
      <c r="Y200">
        <v>0</v>
      </c>
      <c r="Z200" t="s">
        <v>1186</v>
      </c>
      <c r="AA200" t="s">
        <v>1177</v>
      </c>
      <c r="AB200" t="s">
        <v>1276</v>
      </c>
      <c r="AC200" t="s">
        <v>1277</v>
      </c>
      <c r="AD200" t="s">
        <v>1278</v>
      </c>
      <c r="AE200" t="s">
        <v>2042</v>
      </c>
      <c r="AF200" t="s">
        <v>1178</v>
      </c>
      <c r="AG200" t="s">
        <v>1476</v>
      </c>
      <c r="AH200" t="s">
        <v>1178</v>
      </c>
      <c r="AI200" t="s">
        <v>1280</v>
      </c>
      <c r="AJ200" t="s">
        <v>1189</v>
      </c>
      <c r="AK200">
        <v>24</v>
      </c>
      <c r="AL200" t="s">
        <v>1262</v>
      </c>
      <c r="AM200">
        <v>46232</v>
      </c>
      <c r="AN200">
        <v>46226</v>
      </c>
      <c r="AO200">
        <v>46226</v>
      </c>
      <c r="AP200">
        <v>46230</v>
      </c>
      <c r="AQ200">
        <v>46230</v>
      </c>
      <c r="AR200">
        <v>46232</v>
      </c>
      <c r="AS200">
        <v>46232</v>
      </c>
      <c r="AT200" t="s">
        <v>1281</v>
      </c>
      <c r="AU200" t="s">
        <v>1177</v>
      </c>
      <c r="AV200" t="s">
        <v>1192</v>
      </c>
      <c r="AW200" t="s">
        <v>1177</v>
      </c>
      <c r="AX200">
        <v>0</v>
      </c>
      <c r="AY200">
        <v>0</v>
      </c>
      <c r="AZ200" t="s">
        <v>1177</v>
      </c>
      <c r="BA200">
        <v>0</v>
      </c>
      <c r="BB200" t="s">
        <v>1262</v>
      </c>
      <c r="BC200" t="e">
        <v>#N/A</v>
      </c>
      <c r="BD200" t="e">
        <v>#N/A</v>
      </c>
      <c r="BE200" t="e">
        <v>#N/A</v>
      </c>
      <c r="BF200" t="e">
        <v>#N/A</v>
      </c>
      <c r="BG200" t="s">
        <v>1372</v>
      </c>
      <c r="BH200" t="s">
        <v>1903</v>
      </c>
      <c r="BI200" t="s">
        <v>2043</v>
      </c>
    </row>
    <row r="201" spans="1:61" x14ac:dyDescent="0.35">
      <c r="A201" s="7" t="str">
        <f t="shared" si="6"/>
        <v>461594300009592</v>
      </c>
      <c r="B201" s="7" t="str">
        <f t="shared" si="7"/>
        <v>GP578264B838</v>
      </c>
      <c r="C201" t="s">
        <v>1177</v>
      </c>
      <c r="D201" t="s">
        <v>1178</v>
      </c>
      <c r="E201" t="s">
        <v>2046</v>
      </c>
      <c r="F201" t="s">
        <v>1363</v>
      </c>
      <c r="G201" t="s">
        <v>1363</v>
      </c>
      <c r="H201" t="s">
        <v>1271</v>
      </c>
      <c r="I201">
        <v>46159</v>
      </c>
      <c r="J201" t="s">
        <v>2047</v>
      </c>
      <c r="K201" t="s">
        <v>1182</v>
      </c>
      <c r="L201" t="s">
        <v>1177</v>
      </c>
      <c r="M201" t="s">
        <v>1274</v>
      </c>
      <c r="N201" t="s">
        <v>1079</v>
      </c>
      <c r="O201" t="s">
        <v>1275</v>
      </c>
      <c r="P201">
        <v>46159</v>
      </c>
      <c r="Q201" t="s">
        <v>1177</v>
      </c>
      <c r="R201" t="s">
        <v>48</v>
      </c>
      <c r="S201" t="s">
        <v>745</v>
      </c>
      <c r="T201" t="s">
        <v>2048</v>
      </c>
      <c r="U201" t="s">
        <v>2049</v>
      </c>
      <c r="V201">
        <v>13</v>
      </c>
      <c r="W201" t="s">
        <v>1262</v>
      </c>
      <c r="X201" t="s">
        <v>1262</v>
      </c>
      <c r="Y201">
        <v>0</v>
      </c>
      <c r="Z201" t="s">
        <v>1186</v>
      </c>
      <c r="AA201" t="s">
        <v>1177</v>
      </c>
      <c r="AB201" t="s">
        <v>1177</v>
      </c>
      <c r="AC201" t="s">
        <v>1177</v>
      </c>
      <c r="AD201" t="s">
        <v>1204</v>
      </c>
      <c r="AE201" t="s">
        <v>1399</v>
      </c>
      <c r="AF201" t="s">
        <v>1189</v>
      </c>
      <c r="AG201" t="s">
        <v>1190</v>
      </c>
      <c r="AH201" t="s">
        <v>1178</v>
      </c>
      <c r="AI201" t="s">
        <v>1280</v>
      </c>
      <c r="AJ201" t="s">
        <v>1190</v>
      </c>
      <c r="AK201">
        <v>0</v>
      </c>
      <c r="AL201" t="s">
        <v>1262</v>
      </c>
      <c r="AM201">
        <v>46265</v>
      </c>
      <c r="AN201">
        <v>46258</v>
      </c>
      <c r="AO201">
        <v>46254</v>
      </c>
      <c r="AP201">
        <v>46258</v>
      </c>
      <c r="AQ201">
        <v>46258</v>
      </c>
      <c r="AR201">
        <v>46260</v>
      </c>
      <c r="AS201">
        <v>46260</v>
      </c>
      <c r="AT201" t="s">
        <v>1281</v>
      </c>
      <c r="AU201" t="s">
        <v>1177</v>
      </c>
      <c r="AV201" t="s">
        <v>1192</v>
      </c>
      <c r="AW201" t="s">
        <v>1177</v>
      </c>
      <c r="AX201">
        <v>0</v>
      </c>
      <c r="AY201">
        <v>0</v>
      </c>
      <c r="AZ201" t="s">
        <v>1177</v>
      </c>
      <c r="BA201">
        <v>0</v>
      </c>
      <c r="BB201" t="s">
        <v>1262</v>
      </c>
      <c r="BC201" t="s">
        <v>2050</v>
      </c>
      <c r="BD201">
        <v>60</v>
      </c>
      <c r="BE201">
        <v>46293</v>
      </c>
      <c r="BF201" t="s">
        <v>1165</v>
      </c>
      <c r="BG201" t="e">
        <v>#N/A</v>
      </c>
      <c r="BH201" t="e">
        <v>#N/A</v>
      </c>
      <c r="BI201" t="e">
        <v>#N/A</v>
      </c>
    </row>
    <row r="202" spans="1:61" x14ac:dyDescent="0.35">
      <c r="A202" s="7" t="str">
        <f t="shared" si="6"/>
        <v>461594300009602</v>
      </c>
      <c r="B202" s="7" t="str">
        <f t="shared" si="7"/>
        <v>GP249817B865</v>
      </c>
      <c r="C202" t="s">
        <v>1177</v>
      </c>
      <c r="D202" t="s">
        <v>1178</v>
      </c>
      <c r="E202" t="s">
        <v>2051</v>
      </c>
      <c r="F202" t="s">
        <v>1363</v>
      </c>
      <c r="G202" t="s">
        <v>1363</v>
      </c>
      <c r="H202" t="s">
        <v>1271</v>
      </c>
      <c r="I202">
        <v>46159</v>
      </c>
      <c r="J202" t="s">
        <v>2052</v>
      </c>
      <c r="K202" t="s">
        <v>1182</v>
      </c>
      <c r="L202" t="s">
        <v>1177</v>
      </c>
      <c r="M202" t="s">
        <v>1274</v>
      </c>
      <c r="N202" t="s">
        <v>1079</v>
      </c>
      <c r="O202" t="s">
        <v>1275</v>
      </c>
      <c r="P202">
        <v>46159</v>
      </c>
      <c r="Q202" t="s">
        <v>1177</v>
      </c>
      <c r="R202" t="s">
        <v>7</v>
      </c>
      <c r="S202" t="s">
        <v>1040</v>
      </c>
      <c r="T202" t="s">
        <v>72</v>
      </c>
      <c r="U202" t="s">
        <v>73</v>
      </c>
      <c r="V202">
        <v>20</v>
      </c>
      <c r="W202" t="s">
        <v>1262</v>
      </c>
      <c r="X202" t="s">
        <v>1262</v>
      </c>
      <c r="Y202">
        <v>0</v>
      </c>
      <c r="Z202" t="s">
        <v>1186</v>
      </c>
      <c r="AA202" t="s">
        <v>1177</v>
      </c>
      <c r="AB202" t="s">
        <v>1276</v>
      </c>
      <c r="AC202" t="s">
        <v>1277</v>
      </c>
      <c r="AD202" t="s">
        <v>1278</v>
      </c>
      <c r="AE202" t="s">
        <v>1478</v>
      </c>
      <c r="AF202" t="s">
        <v>1178</v>
      </c>
      <c r="AG202" t="s">
        <v>1476</v>
      </c>
      <c r="AH202" t="s">
        <v>1178</v>
      </c>
      <c r="AI202" t="s">
        <v>1349</v>
      </c>
      <c r="AJ202" t="s">
        <v>1190</v>
      </c>
      <c r="AK202">
        <v>0</v>
      </c>
      <c r="AL202" t="s">
        <v>1262</v>
      </c>
      <c r="AM202">
        <v>46104</v>
      </c>
      <c r="AN202">
        <v>46280</v>
      </c>
      <c r="AO202">
        <v>46160</v>
      </c>
      <c r="AP202">
        <v>46162</v>
      </c>
      <c r="AQ202">
        <v>46162</v>
      </c>
      <c r="AR202">
        <v>46164</v>
      </c>
      <c r="AS202">
        <v>46168</v>
      </c>
      <c r="AT202" t="s">
        <v>1281</v>
      </c>
      <c r="AU202" t="s">
        <v>1177</v>
      </c>
      <c r="AV202" t="s">
        <v>1192</v>
      </c>
      <c r="AW202" t="s">
        <v>1177</v>
      </c>
      <c r="AX202">
        <v>33</v>
      </c>
      <c r="AY202">
        <v>2</v>
      </c>
      <c r="AZ202" t="s">
        <v>1177</v>
      </c>
      <c r="BA202">
        <v>0</v>
      </c>
      <c r="BB202" t="s">
        <v>1262</v>
      </c>
      <c r="BC202" t="e">
        <v>#N/A</v>
      </c>
      <c r="BD202" t="e">
        <v>#N/A</v>
      </c>
      <c r="BE202" t="e">
        <v>#N/A</v>
      </c>
      <c r="BF202" t="e">
        <v>#N/A</v>
      </c>
      <c r="BG202" t="s">
        <v>1212</v>
      </c>
      <c r="BH202" t="s">
        <v>1194</v>
      </c>
      <c r="BI202" t="s">
        <v>1212</v>
      </c>
    </row>
    <row r="203" spans="1:61" x14ac:dyDescent="0.35">
      <c r="A203" s="7" t="str">
        <f t="shared" si="6"/>
        <v>461594300009604</v>
      </c>
      <c r="B203" s="7" t="str">
        <f t="shared" si="7"/>
        <v>GP249287B867</v>
      </c>
      <c r="C203" t="s">
        <v>1177</v>
      </c>
      <c r="D203" t="s">
        <v>1178</v>
      </c>
      <c r="E203" t="s">
        <v>2053</v>
      </c>
      <c r="F203" t="s">
        <v>1363</v>
      </c>
      <c r="G203" t="s">
        <v>1363</v>
      </c>
      <c r="H203" t="s">
        <v>1271</v>
      </c>
      <c r="I203">
        <v>46159</v>
      </c>
      <c r="J203" t="s">
        <v>2054</v>
      </c>
      <c r="K203" t="s">
        <v>1283</v>
      </c>
      <c r="L203" t="s">
        <v>1177</v>
      </c>
      <c r="M203" t="s">
        <v>1274</v>
      </c>
      <c r="N203" t="s">
        <v>1079</v>
      </c>
      <c r="O203" t="s">
        <v>1275</v>
      </c>
      <c r="P203">
        <v>46159</v>
      </c>
      <c r="Q203" t="s">
        <v>1177</v>
      </c>
      <c r="R203" t="s">
        <v>25</v>
      </c>
      <c r="S203" t="s">
        <v>1060</v>
      </c>
      <c r="T203" t="s">
        <v>734</v>
      </c>
      <c r="U203" t="s">
        <v>735</v>
      </c>
      <c r="V203">
        <v>2</v>
      </c>
      <c r="W203" t="s">
        <v>1262</v>
      </c>
      <c r="X203" t="s">
        <v>1262</v>
      </c>
      <c r="Y203">
        <v>0</v>
      </c>
      <c r="Z203" t="s">
        <v>1186</v>
      </c>
      <c r="AA203" t="s">
        <v>1177</v>
      </c>
      <c r="AB203" t="s">
        <v>1286</v>
      </c>
      <c r="AC203" t="s">
        <v>1277</v>
      </c>
      <c r="AD203" t="s">
        <v>1278</v>
      </c>
      <c r="AE203" t="s">
        <v>1883</v>
      </c>
      <c r="AF203" t="s">
        <v>1178</v>
      </c>
      <c r="AG203" t="s">
        <v>1178</v>
      </c>
      <c r="AH203" t="s">
        <v>1178</v>
      </c>
      <c r="AI203" t="s">
        <v>1280</v>
      </c>
      <c r="AJ203" t="s">
        <v>1190</v>
      </c>
      <c r="AK203">
        <v>0</v>
      </c>
      <c r="AL203" t="s">
        <v>1262</v>
      </c>
      <c r="AM203">
        <v>46020</v>
      </c>
      <c r="AN203">
        <v>46280</v>
      </c>
      <c r="AO203">
        <v>46163</v>
      </c>
      <c r="AP203">
        <v>46167</v>
      </c>
      <c r="AQ203">
        <v>46167</v>
      </c>
      <c r="AR203">
        <v>46169</v>
      </c>
      <c r="AS203">
        <v>46171</v>
      </c>
      <c r="AT203" t="s">
        <v>1281</v>
      </c>
      <c r="AU203" t="s">
        <v>1177</v>
      </c>
      <c r="AV203" t="s">
        <v>1192</v>
      </c>
      <c r="AW203" t="s">
        <v>1177</v>
      </c>
      <c r="AX203">
        <v>33</v>
      </c>
      <c r="AY203">
        <v>2</v>
      </c>
      <c r="AZ203" t="s">
        <v>1177</v>
      </c>
      <c r="BA203">
        <v>0</v>
      </c>
      <c r="BB203" t="s">
        <v>1262</v>
      </c>
      <c r="BC203" t="e">
        <v>#N/A</v>
      </c>
      <c r="BD203" t="e">
        <v>#N/A</v>
      </c>
      <c r="BE203" t="e">
        <v>#N/A</v>
      </c>
      <c r="BF203" t="e">
        <v>#N/A</v>
      </c>
      <c r="BG203" t="s">
        <v>1212</v>
      </c>
      <c r="BH203" t="s">
        <v>1194</v>
      </c>
      <c r="BI203" t="s">
        <v>2055</v>
      </c>
    </row>
    <row r="204" spans="1:61" x14ac:dyDescent="0.35">
      <c r="A204" s="7" t="str">
        <f t="shared" si="6"/>
        <v>461594300009605</v>
      </c>
      <c r="B204" s="7" t="str">
        <f t="shared" si="7"/>
        <v>GP457974B867</v>
      </c>
      <c r="C204" t="s">
        <v>1177</v>
      </c>
      <c r="D204" t="s">
        <v>1178</v>
      </c>
      <c r="E204" t="s">
        <v>2059</v>
      </c>
      <c r="F204" t="s">
        <v>1363</v>
      </c>
      <c r="G204" t="s">
        <v>1363</v>
      </c>
      <c r="H204" t="s">
        <v>1271</v>
      </c>
      <c r="I204">
        <v>46159</v>
      </c>
      <c r="J204" t="s">
        <v>2060</v>
      </c>
      <c r="K204" t="s">
        <v>1285</v>
      </c>
      <c r="L204" t="s">
        <v>1177</v>
      </c>
      <c r="M204" t="s">
        <v>1274</v>
      </c>
      <c r="N204" t="s">
        <v>1079</v>
      </c>
      <c r="O204" t="s">
        <v>1275</v>
      </c>
      <c r="P204">
        <v>46159</v>
      </c>
      <c r="Q204" t="s">
        <v>1177</v>
      </c>
      <c r="R204" t="s">
        <v>25</v>
      </c>
      <c r="S204" t="s">
        <v>1060</v>
      </c>
      <c r="T204" t="s">
        <v>2061</v>
      </c>
      <c r="U204" t="s">
        <v>2062</v>
      </c>
      <c r="V204">
        <v>1</v>
      </c>
      <c r="W204" t="s">
        <v>1262</v>
      </c>
      <c r="X204" t="s">
        <v>1262</v>
      </c>
      <c r="Y204">
        <v>0</v>
      </c>
      <c r="Z204" t="s">
        <v>1186</v>
      </c>
      <c r="AA204" t="s">
        <v>1177</v>
      </c>
      <c r="AB204" t="s">
        <v>1286</v>
      </c>
      <c r="AC204" t="s">
        <v>1277</v>
      </c>
      <c r="AD204" t="s">
        <v>1278</v>
      </c>
      <c r="AE204" t="s">
        <v>2063</v>
      </c>
      <c r="AF204" t="s">
        <v>1178</v>
      </c>
      <c r="AG204" t="s">
        <v>1178</v>
      </c>
      <c r="AH204" t="s">
        <v>1178</v>
      </c>
      <c r="AI204" t="s">
        <v>1280</v>
      </c>
      <c r="AJ204" t="s">
        <v>1190</v>
      </c>
      <c r="AK204">
        <v>0</v>
      </c>
      <c r="AL204" t="s">
        <v>1262</v>
      </c>
      <c r="AM204">
        <v>46164</v>
      </c>
      <c r="AN204">
        <v>46323</v>
      </c>
      <c r="AO204">
        <v>46163</v>
      </c>
      <c r="AP204">
        <v>46167</v>
      </c>
      <c r="AQ204">
        <v>46167</v>
      </c>
      <c r="AR204">
        <v>46169</v>
      </c>
      <c r="AS204">
        <v>46171</v>
      </c>
      <c r="AT204" t="s">
        <v>1281</v>
      </c>
      <c r="AU204" t="s">
        <v>1177</v>
      </c>
      <c r="AV204" t="s">
        <v>1192</v>
      </c>
      <c r="AW204" t="s">
        <v>1177</v>
      </c>
      <c r="AX204">
        <v>185</v>
      </c>
      <c r="AY204">
        <v>2</v>
      </c>
      <c r="AZ204" t="s">
        <v>1177</v>
      </c>
      <c r="BA204">
        <v>0</v>
      </c>
      <c r="BB204" t="s">
        <v>1262</v>
      </c>
      <c r="BC204" t="e">
        <v>#N/A</v>
      </c>
      <c r="BD204" t="e">
        <v>#N/A</v>
      </c>
      <c r="BE204" t="e">
        <v>#N/A</v>
      </c>
      <c r="BF204" t="e">
        <v>#N/A</v>
      </c>
      <c r="BG204" t="s">
        <v>1212</v>
      </c>
      <c r="BH204" t="s">
        <v>1194</v>
      </c>
      <c r="BI204" t="s">
        <v>2055</v>
      </c>
    </row>
    <row r="205" spans="1:61" x14ac:dyDescent="0.35">
      <c r="A205" s="7" t="str">
        <f t="shared" si="6"/>
        <v>461594300009607</v>
      </c>
      <c r="B205" s="7" t="str">
        <f t="shared" si="7"/>
        <v>GP457974B857</v>
      </c>
      <c r="C205" t="s">
        <v>1177</v>
      </c>
      <c r="D205" t="s">
        <v>1178</v>
      </c>
      <c r="E205" t="s">
        <v>2064</v>
      </c>
      <c r="F205" t="s">
        <v>1363</v>
      </c>
      <c r="G205" t="s">
        <v>1363</v>
      </c>
      <c r="H205" t="s">
        <v>1271</v>
      </c>
      <c r="I205">
        <v>46159</v>
      </c>
      <c r="J205" t="s">
        <v>2065</v>
      </c>
      <c r="K205" t="s">
        <v>1199</v>
      </c>
      <c r="L205" t="s">
        <v>1177</v>
      </c>
      <c r="M205" t="s">
        <v>1274</v>
      </c>
      <c r="N205" t="s">
        <v>1079</v>
      </c>
      <c r="O205" t="s">
        <v>1275</v>
      </c>
      <c r="P205">
        <v>46159</v>
      </c>
      <c r="Q205" t="s">
        <v>1177</v>
      </c>
      <c r="R205" t="s">
        <v>23</v>
      </c>
      <c r="S205" t="s">
        <v>959</v>
      </c>
      <c r="T205" t="s">
        <v>2061</v>
      </c>
      <c r="U205" t="s">
        <v>2062</v>
      </c>
      <c r="V205">
        <v>1</v>
      </c>
      <c r="W205" t="s">
        <v>1262</v>
      </c>
      <c r="X205" t="s">
        <v>1262</v>
      </c>
      <c r="Y205">
        <v>0</v>
      </c>
      <c r="Z205" t="s">
        <v>1186</v>
      </c>
      <c r="AA205" t="s">
        <v>1177</v>
      </c>
      <c r="AB205" t="s">
        <v>1286</v>
      </c>
      <c r="AC205" t="s">
        <v>1277</v>
      </c>
      <c r="AD205" t="s">
        <v>1278</v>
      </c>
      <c r="AE205" t="s">
        <v>2063</v>
      </c>
      <c r="AF205" t="s">
        <v>1178</v>
      </c>
      <c r="AG205" t="s">
        <v>1178</v>
      </c>
      <c r="AH205" t="s">
        <v>1178</v>
      </c>
      <c r="AI205" t="s">
        <v>1280</v>
      </c>
      <c r="AJ205" t="s">
        <v>1190</v>
      </c>
      <c r="AK205">
        <v>0</v>
      </c>
      <c r="AL205" t="s">
        <v>1262</v>
      </c>
      <c r="AM205">
        <v>46164</v>
      </c>
      <c r="AN205">
        <v>46323</v>
      </c>
      <c r="AO205">
        <v>46163</v>
      </c>
      <c r="AP205">
        <v>46167</v>
      </c>
      <c r="AQ205">
        <v>46167</v>
      </c>
      <c r="AR205">
        <v>46169</v>
      </c>
      <c r="AS205">
        <v>46171</v>
      </c>
      <c r="AT205" t="s">
        <v>1281</v>
      </c>
      <c r="AU205" t="s">
        <v>1177</v>
      </c>
      <c r="AV205" t="s">
        <v>1192</v>
      </c>
      <c r="AW205" t="s">
        <v>1177</v>
      </c>
      <c r="AX205">
        <v>185</v>
      </c>
      <c r="AY205">
        <v>2</v>
      </c>
      <c r="AZ205" t="s">
        <v>1177</v>
      </c>
      <c r="BA205">
        <v>0</v>
      </c>
      <c r="BB205" t="s">
        <v>1262</v>
      </c>
      <c r="BC205" t="e">
        <v>#N/A</v>
      </c>
      <c r="BD205" t="e">
        <v>#N/A</v>
      </c>
      <c r="BE205" t="e">
        <v>#N/A</v>
      </c>
      <c r="BF205" t="e">
        <v>#N/A</v>
      </c>
      <c r="BG205" t="s">
        <v>1212</v>
      </c>
      <c r="BH205" t="s">
        <v>1194</v>
      </c>
      <c r="BI205" t="s">
        <v>2055</v>
      </c>
    </row>
    <row r="206" spans="1:61" x14ac:dyDescent="0.35">
      <c r="A206" s="7" t="str">
        <f t="shared" si="6"/>
        <v>461594300009614</v>
      </c>
      <c r="B206" s="7" t="str">
        <f t="shared" si="7"/>
        <v>R9B0405P38B825</v>
      </c>
      <c r="C206" t="s">
        <v>1177</v>
      </c>
      <c r="D206" t="s">
        <v>1178</v>
      </c>
      <c r="E206" t="s">
        <v>2066</v>
      </c>
      <c r="F206" t="s">
        <v>1363</v>
      </c>
      <c r="G206" t="s">
        <v>1363</v>
      </c>
      <c r="H206" t="s">
        <v>1271</v>
      </c>
      <c r="I206">
        <v>46159</v>
      </c>
      <c r="J206" t="s">
        <v>2067</v>
      </c>
      <c r="K206" t="s">
        <v>1401</v>
      </c>
      <c r="L206" t="s">
        <v>1177</v>
      </c>
      <c r="M206" t="s">
        <v>1274</v>
      </c>
      <c r="N206" t="s">
        <v>1079</v>
      </c>
      <c r="O206" t="s">
        <v>1275</v>
      </c>
      <c r="P206">
        <v>46159</v>
      </c>
      <c r="Q206" t="s">
        <v>1177</v>
      </c>
      <c r="R206" t="s">
        <v>16</v>
      </c>
      <c r="S206" t="s">
        <v>512</v>
      </c>
      <c r="T206" t="s">
        <v>306</v>
      </c>
      <c r="U206" t="s">
        <v>2068</v>
      </c>
      <c r="V206">
        <v>1</v>
      </c>
      <c r="W206" t="s">
        <v>1262</v>
      </c>
      <c r="X206" t="s">
        <v>1262</v>
      </c>
      <c r="Y206">
        <v>0</v>
      </c>
      <c r="Z206" t="s">
        <v>1186</v>
      </c>
      <c r="AA206" t="s">
        <v>1177</v>
      </c>
      <c r="AB206" t="s">
        <v>1276</v>
      </c>
      <c r="AC206" t="s">
        <v>1277</v>
      </c>
      <c r="AD206" t="s">
        <v>1278</v>
      </c>
      <c r="AE206" t="s">
        <v>1478</v>
      </c>
      <c r="AF206" t="s">
        <v>1178</v>
      </c>
      <c r="AG206" t="s">
        <v>1190</v>
      </c>
      <c r="AH206" t="s">
        <v>1178</v>
      </c>
      <c r="AI206" t="s">
        <v>1349</v>
      </c>
      <c r="AJ206" t="s">
        <v>1190</v>
      </c>
      <c r="AK206">
        <v>0</v>
      </c>
      <c r="AL206" t="s">
        <v>1262</v>
      </c>
      <c r="AM206">
        <v>46027</v>
      </c>
      <c r="AN206">
        <v>46339</v>
      </c>
      <c r="AO206">
        <v>46160</v>
      </c>
      <c r="AP206">
        <v>46162</v>
      </c>
      <c r="AQ206">
        <v>46162</v>
      </c>
      <c r="AR206">
        <v>46164</v>
      </c>
      <c r="AS206">
        <v>46168</v>
      </c>
      <c r="AT206" t="s">
        <v>1281</v>
      </c>
      <c r="AU206" t="s">
        <v>1177</v>
      </c>
      <c r="AV206" t="s">
        <v>1192</v>
      </c>
      <c r="AW206" t="s">
        <v>1177</v>
      </c>
      <c r="AX206">
        <v>33</v>
      </c>
      <c r="AY206">
        <v>2</v>
      </c>
      <c r="AZ206" t="s">
        <v>1177</v>
      </c>
      <c r="BA206">
        <v>0</v>
      </c>
      <c r="BB206" t="s">
        <v>1262</v>
      </c>
      <c r="BC206" t="e">
        <v>#N/A</v>
      </c>
      <c r="BD206" t="e">
        <v>#N/A</v>
      </c>
      <c r="BE206" t="e">
        <v>#N/A</v>
      </c>
      <c r="BF206" t="e">
        <v>#N/A</v>
      </c>
      <c r="BG206" t="s">
        <v>126</v>
      </c>
      <c r="BH206" t="s">
        <v>1873</v>
      </c>
      <c r="BI206" t="s">
        <v>126</v>
      </c>
    </row>
    <row r="207" spans="1:61" x14ac:dyDescent="0.35">
      <c r="A207" s="7" t="str">
        <f t="shared" si="6"/>
        <v>461594300009616</v>
      </c>
      <c r="B207" s="7" t="str">
        <f t="shared" si="7"/>
        <v>GP006039B838</v>
      </c>
      <c r="C207" t="s">
        <v>1177</v>
      </c>
      <c r="D207" t="s">
        <v>1178</v>
      </c>
      <c r="E207" t="s">
        <v>2069</v>
      </c>
      <c r="F207" t="s">
        <v>1363</v>
      </c>
      <c r="G207" t="s">
        <v>1363</v>
      </c>
      <c r="H207" t="s">
        <v>1271</v>
      </c>
      <c r="I207">
        <v>46159</v>
      </c>
      <c r="J207" t="s">
        <v>2070</v>
      </c>
      <c r="K207" t="s">
        <v>1182</v>
      </c>
      <c r="L207" t="s">
        <v>1177</v>
      </c>
      <c r="M207" t="s">
        <v>1274</v>
      </c>
      <c r="N207" t="s">
        <v>1079</v>
      </c>
      <c r="O207" t="s">
        <v>1275</v>
      </c>
      <c r="P207">
        <v>46159</v>
      </c>
      <c r="Q207" t="s">
        <v>1177</v>
      </c>
      <c r="R207" t="s">
        <v>48</v>
      </c>
      <c r="S207" t="s">
        <v>745</v>
      </c>
      <c r="T207" t="s">
        <v>219</v>
      </c>
      <c r="U207" t="s">
        <v>2071</v>
      </c>
      <c r="V207">
        <v>2</v>
      </c>
      <c r="W207" t="s">
        <v>1262</v>
      </c>
      <c r="X207" t="s">
        <v>1262</v>
      </c>
      <c r="Y207">
        <v>0</v>
      </c>
      <c r="Z207" t="s">
        <v>1186</v>
      </c>
      <c r="AA207" t="s">
        <v>1177</v>
      </c>
      <c r="AB207" t="s">
        <v>1177</v>
      </c>
      <c r="AC207" t="s">
        <v>1177</v>
      </c>
      <c r="AD207" t="s">
        <v>1204</v>
      </c>
      <c r="AE207" t="s">
        <v>1623</v>
      </c>
      <c r="AF207" t="s">
        <v>1189</v>
      </c>
      <c r="AG207" t="s">
        <v>1190</v>
      </c>
      <c r="AH207" t="s">
        <v>1178</v>
      </c>
      <c r="AI207" t="s">
        <v>1280</v>
      </c>
      <c r="AJ207" t="s">
        <v>1190</v>
      </c>
      <c r="AK207">
        <v>0</v>
      </c>
      <c r="AL207" t="s">
        <v>1262</v>
      </c>
      <c r="AM207">
        <v>46164</v>
      </c>
      <c r="AN207">
        <v>46353</v>
      </c>
      <c r="AO207">
        <v>46163</v>
      </c>
      <c r="AP207">
        <v>46167</v>
      </c>
      <c r="AQ207">
        <v>46167</v>
      </c>
      <c r="AR207">
        <v>46169</v>
      </c>
      <c r="AS207">
        <v>46171</v>
      </c>
      <c r="AT207" t="s">
        <v>1281</v>
      </c>
      <c r="AU207" t="s">
        <v>1177</v>
      </c>
      <c r="AV207" t="s">
        <v>1192</v>
      </c>
      <c r="AW207" t="s">
        <v>1177</v>
      </c>
      <c r="AX207">
        <v>33</v>
      </c>
      <c r="AY207">
        <v>2</v>
      </c>
      <c r="AZ207" t="s">
        <v>1177</v>
      </c>
      <c r="BA207">
        <v>0</v>
      </c>
      <c r="BB207" t="s">
        <v>1262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e">
        <v>#N/A</v>
      </c>
      <c r="BI207" t="e">
        <v>#N/A</v>
      </c>
    </row>
    <row r="208" spans="1:61" x14ac:dyDescent="0.35">
      <c r="A208" s="7" t="str">
        <f t="shared" si="6"/>
        <v>461594300009623</v>
      </c>
      <c r="B208" s="7" t="str">
        <f t="shared" si="7"/>
        <v>GP634659B832</v>
      </c>
      <c r="C208" t="s">
        <v>1177</v>
      </c>
      <c r="D208" t="s">
        <v>1178</v>
      </c>
      <c r="E208" t="s">
        <v>2072</v>
      </c>
      <c r="F208" t="s">
        <v>1363</v>
      </c>
      <c r="G208" t="s">
        <v>1363</v>
      </c>
      <c r="H208" t="s">
        <v>1271</v>
      </c>
      <c r="I208">
        <v>46159</v>
      </c>
      <c r="J208" t="s">
        <v>2073</v>
      </c>
      <c r="K208" t="s">
        <v>1182</v>
      </c>
      <c r="L208" t="s">
        <v>1177</v>
      </c>
      <c r="M208" t="s">
        <v>1274</v>
      </c>
      <c r="N208" t="s">
        <v>1079</v>
      </c>
      <c r="O208" t="s">
        <v>1275</v>
      </c>
      <c r="P208">
        <v>46159</v>
      </c>
      <c r="Q208" t="s">
        <v>1177</v>
      </c>
      <c r="R208" t="s">
        <v>19</v>
      </c>
      <c r="S208" t="s">
        <v>654</v>
      </c>
      <c r="T208" t="s">
        <v>2074</v>
      </c>
      <c r="U208" t="s">
        <v>2075</v>
      </c>
      <c r="V208">
        <v>2</v>
      </c>
      <c r="W208" t="s">
        <v>1262</v>
      </c>
      <c r="X208" t="s">
        <v>1262</v>
      </c>
      <c r="Y208">
        <v>0</v>
      </c>
      <c r="Z208" t="s">
        <v>1186</v>
      </c>
      <c r="AA208" t="s">
        <v>1177</v>
      </c>
      <c r="AB208" t="s">
        <v>1276</v>
      </c>
      <c r="AC208" t="s">
        <v>1277</v>
      </c>
      <c r="AD208" t="s">
        <v>1278</v>
      </c>
      <c r="AE208" t="s">
        <v>1975</v>
      </c>
      <c r="AF208" t="s">
        <v>1178</v>
      </c>
      <c r="AG208" t="s">
        <v>1190</v>
      </c>
      <c r="AH208" t="s">
        <v>1178</v>
      </c>
      <c r="AI208" t="s">
        <v>1349</v>
      </c>
      <c r="AJ208" t="s">
        <v>1190</v>
      </c>
      <c r="AK208">
        <v>0</v>
      </c>
      <c r="AL208" t="s">
        <v>1262</v>
      </c>
      <c r="AM208">
        <v>46000</v>
      </c>
      <c r="AN208">
        <v>46337</v>
      </c>
      <c r="AO208">
        <v>46160</v>
      </c>
      <c r="AP208">
        <v>46162</v>
      </c>
      <c r="AQ208">
        <v>46162</v>
      </c>
      <c r="AR208">
        <v>46164</v>
      </c>
      <c r="AS208">
        <v>46168</v>
      </c>
      <c r="AT208" t="s">
        <v>1281</v>
      </c>
      <c r="AU208" t="s">
        <v>1177</v>
      </c>
      <c r="AV208" t="s">
        <v>1192</v>
      </c>
      <c r="AW208" t="s">
        <v>1177</v>
      </c>
      <c r="AX208">
        <v>160</v>
      </c>
      <c r="AY208">
        <v>2</v>
      </c>
      <c r="AZ208" t="s">
        <v>1177</v>
      </c>
      <c r="BA208">
        <v>0</v>
      </c>
      <c r="BB208" t="s">
        <v>1262</v>
      </c>
      <c r="BC208" t="e">
        <v>#N/A</v>
      </c>
      <c r="BD208" t="e">
        <v>#N/A</v>
      </c>
      <c r="BE208" t="e">
        <v>#N/A</v>
      </c>
      <c r="BF208" t="e">
        <v>#N/A</v>
      </c>
      <c r="BG208" t="s">
        <v>1212</v>
      </c>
      <c r="BH208" t="s">
        <v>1194</v>
      </c>
      <c r="BI208" t="s">
        <v>2076</v>
      </c>
    </row>
    <row r="209" spans="1:61" x14ac:dyDescent="0.35">
      <c r="A209" s="7" t="str">
        <f t="shared" si="6"/>
        <v>461594300009624</v>
      </c>
      <c r="B209" s="7" t="str">
        <f t="shared" si="7"/>
        <v>GP353605B838</v>
      </c>
      <c r="C209" t="s">
        <v>1177</v>
      </c>
      <c r="D209" t="s">
        <v>1178</v>
      </c>
      <c r="E209" t="s">
        <v>2077</v>
      </c>
      <c r="F209" t="s">
        <v>1363</v>
      </c>
      <c r="G209" t="s">
        <v>1363</v>
      </c>
      <c r="H209" t="s">
        <v>1271</v>
      </c>
      <c r="I209">
        <v>46159</v>
      </c>
      <c r="J209" t="s">
        <v>2078</v>
      </c>
      <c r="K209" t="s">
        <v>1182</v>
      </c>
      <c r="L209" t="s">
        <v>1177</v>
      </c>
      <c r="M209" t="s">
        <v>1274</v>
      </c>
      <c r="N209" t="s">
        <v>1079</v>
      </c>
      <c r="O209" t="s">
        <v>1275</v>
      </c>
      <c r="P209">
        <v>46247</v>
      </c>
      <c r="Q209" t="s">
        <v>1177</v>
      </c>
      <c r="R209" t="s">
        <v>48</v>
      </c>
      <c r="S209" t="s">
        <v>745</v>
      </c>
      <c r="T209" t="s">
        <v>2079</v>
      </c>
      <c r="U209" t="s">
        <v>2080</v>
      </c>
      <c r="V209">
        <v>6</v>
      </c>
      <c r="W209" t="s">
        <v>1262</v>
      </c>
      <c r="X209" t="s">
        <v>1262</v>
      </c>
      <c r="Y209">
        <v>0</v>
      </c>
      <c r="Z209" t="s">
        <v>1186</v>
      </c>
      <c r="AA209" t="s">
        <v>1177</v>
      </c>
      <c r="AB209" t="s">
        <v>1276</v>
      </c>
      <c r="AC209" t="s">
        <v>1277</v>
      </c>
      <c r="AD209" t="s">
        <v>1278</v>
      </c>
      <c r="AE209" t="s">
        <v>1354</v>
      </c>
      <c r="AF209" t="s">
        <v>1178</v>
      </c>
      <c r="AG209" t="s">
        <v>1190</v>
      </c>
      <c r="AH209" t="s">
        <v>1178</v>
      </c>
      <c r="AI209" t="s">
        <v>1280</v>
      </c>
      <c r="AJ209" t="s">
        <v>1190</v>
      </c>
      <c r="AK209">
        <v>0</v>
      </c>
      <c r="AL209" t="s">
        <v>1262</v>
      </c>
      <c r="AM209">
        <v>46278</v>
      </c>
      <c r="AN209">
        <v>46267</v>
      </c>
      <c r="AO209">
        <v>46267</v>
      </c>
      <c r="AP209">
        <v>46269</v>
      </c>
      <c r="AQ209">
        <v>46269</v>
      </c>
      <c r="AR209">
        <v>46274</v>
      </c>
      <c r="AS209">
        <v>46274</v>
      </c>
      <c r="AT209" t="s">
        <v>1281</v>
      </c>
      <c r="AU209" t="s">
        <v>1177</v>
      </c>
      <c r="AV209" t="s">
        <v>1192</v>
      </c>
      <c r="AW209" t="s">
        <v>1177</v>
      </c>
      <c r="AX209">
        <v>0</v>
      </c>
      <c r="AY209">
        <v>0</v>
      </c>
      <c r="AZ209" t="s">
        <v>1177</v>
      </c>
      <c r="BA209">
        <v>5</v>
      </c>
      <c r="BB209" t="s">
        <v>1262</v>
      </c>
      <c r="BC209" t="s">
        <v>2081</v>
      </c>
      <c r="BD209">
        <v>5</v>
      </c>
      <c r="BE209">
        <v>46254</v>
      </c>
      <c r="BF209" t="s">
        <v>1165</v>
      </c>
      <c r="BG209" t="e">
        <v>#N/A</v>
      </c>
      <c r="BH209" t="e">
        <v>#N/A</v>
      </c>
      <c r="BI209" t="e">
        <v>#N/A</v>
      </c>
    </row>
    <row r="210" spans="1:61" x14ac:dyDescent="0.35">
      <c r="A210" s="7" t="str">
        <f t="shared" si="6"/>
        <v>461594300009625</v>
      </c>
      <c r="B210" s="7" t="str">
        <f t="shared" si="7"/>
        <v>GP005204B833</v>
      </c>
      <c r="C210" t="s">
        <v>1177</v>
      </c>
      <c r="D210" t="s">
        <v>1178</v>
      </c>
      <c r="E210" t="s">
        <v>2082</v>
      </c>
      <c r="F210" t="s">
        <v>1363</v>
      </c>
      <c r="G210" t="s">
        <v>1363</v>
      </c>
      <c r="H210" t="s">
        <v>1271</v>
      </c>
      <c r="I210">
        <v>46159</v>
      </c>
      <c r="J210" t="s">
        <v>2083</v>
      </c>
      <c r="K210" t="s">
        <v>1182</v>
      </c>
      <c r="L210" t="s">
        <v>1177</v>
      </c>
      <c r="M210" t="s">
        <v>1274</v>
      </c>
      <c r="N210" t="s">
        <v>1079</v>
      </c>
      <c r="O210" t="s">
        <v>1275</v>
      </c>
      <c r="P210">
        <v>46159</v>
      </c>
      <c r="Q210" t="s">
        <v>1177</v>
      </c>
      <c r="R210" t="s">
        <v>697</v>
      </c>
      <c r="S210" t="s">
        <v>699</v>
      </c>
      <c r="T210" t="s">
        <v>1384</v>
      </c>
      <c r="U210" t="s">
        <v>1385</v>
      </c>
      <c r="V210">
        <v>100</v>
      </c>
      <c r="W210" t="s">
        <v>1262</v>
      </c>
      <c r="X210" t="s">
        <v>1262</v>
      </c>
      <c r="Y210">
        <v>0</v>
      </c>
      <c r="Z210" t="s">
        <v>1186</v>
      </c>
      <c r="AA210" t="s">
        <v>1177</v>
      </c>
      <c r="AB210" t="s">
        <v>1286</v>
      </c>
      <c r="AC210" t="s">
        <v>1277</v>
      </c>
      <c r="AD210" t="s">
        <v>1278</v>
      </c>
      <c r="AE210" t="s">
        <v>1383</v>
      </c>
      <c r="AF210" t="s">
        <v>1178</v>
      </c>
      <c r="AG210" t="s">
        <v>1178</v>
      </c>
      <c r="AH210" t="s">
        <v>1178</v>
      </c>
      <c r="AI210" t="s">
        <v>1349</v>
      </c>
      <c r="AJ210" t="s">
        <v>1189</v>
      </c>
      <c r="AK210">
        <v>100</v>
      </c>
      <c r="AL210" t="s">
        <v>1262</v>
      </c>
      <c r="AM210">
        <v>46262</v>
      </c>
      <c r="AN210">
        <v>46258</v>
      </c>
      <c r="AO210">
        <v>46258</v>
      </c>
      <c r="AP210">
        <v>46260</v>
      </c>
      <c r="AQ210">
        <v>46260</v>
      </c>
      <c r="AR210">
        <v>46262</v>
      </c>
      <c r="AS210">
        <v>46262</v>
      </c>
      <c r="AT210" t="s">
        <v>1281</v>
      </c>
      <c r="AU210" t="s">
        <v>1177</v>
      </c>
      <c r="AV210" t="s">
        <v>1192</v>
      </c>
      <c r="AW210" t="s">
        <v>1177</v>
      </c>
      <c r="AX210">
        <v>0</v>
      </c>
      <c r="AY210">
        <v>0</v>
      </c>
      <c r="AZ210" t="s">
        <v>1177</v>
      </c>
      <c r="BA210">
        <v>0</v>
      </c>
      <c r="BB210" t="s">
        <v>1262</v>
      </c>
      <c r="BC210" t="e">
        <v>#N/A</v>
      </c>
      <c r="BD210" t="e">
        <v>#N/A</v>
      </c>
      <c r="BE210" t="e">
        <v>#N/A</v>
      </c>
      <c r="BF210" t="e">
        <v>#N/A</v>
      </c>
      <c r="BG210" t="s">
        <v>1372</v>
      </c>
      <c r="BH210" t="s">
        <v>1903</v>
      </c>
      <c r="BI210" t="s">
        <v>2084</v>
      </c>
    </row>
    <row r="211" spans="1:61" x14ac:dyDescent="0.35">
      <c r="A211" s="7" t="str">
        <f t="shared" si="6"/>
        <v>461594300009633</v>
      </c>
      <c r="B211" s="7" t="str">
        <f t="shared" si="7"/>
        <v>GP072706B857</v>
      </c>
      <c r="C211" t="s">
        <v>1177</v>
      </c>
      <c r="D211" t="s">
        <v>1178</v>
      </c>
      <c r="E211" t="s">
        <v>2088</v>
      </c>
      <c r="F211" t="s">
        <v>1363</v>
      </c>
      <c r="G211" t="s">
        <v>1363</v>
      </c>
      <c r="H211" t="s">
        <v>1271</v>
      </c>
      <c r="I211">
        <v>46159</v>
      </c>
      <c r="J211" t="s">
        <v>2089</v>
      </c>
      <c r="K211" t="s">
        <v>1380</v>
      </c>
      <c r="L211" t="s">
        <v>1177</v>
      </c>
      <c r="M211" t="s">
        <v>1274</v>
      </c>
      <c r="N211" t="s">
        <v>1079</v>
      </c>
      <c r="O211" t="s">
        <v>1275</v>
      </c>
      <c r="P211">
        <v>46247</v>
      </c>
      <c r="Q211" t="s">
        <v>1177</v>
      </c>
      <c r="R211" t="s">
        <v>23</v>
      </c>
      <c r="S211" t="s">
        <v>959</v>
      </c>
      <c r="T211" t="s">
        <v>316</v>
      </c>
      <c r="U211" t="s">
        <v>317</v>
      </c>
      <c r="V211">
        <v>10.8</v>
      </c>
      <c r="W211" t="s">
        <v>1202</v>
      </c>
      <c r="X211" t="s">
        <v>1202</v>
      </c>
      <c r="Y211">
        <v>0</v>
      </c>
      <c r="Z211" t="s">
        <v>1186</v>
      </c>
      <c r="AA211" t="s">
        <v>1177</v>
      </c>
      <c r="AB211" t="s">
        <v>1177</v>
      </c>
      <c r="AC211" t="s">
        <v>1177</v>
      </c>
      <c r="AD211" t="s">
        <v>1204</v>
      </c>
      <c r="AE211" t="s">
        <v>1850</v>
      </c>
      <c r="AF211" t="s">
        <v>1189</v>
      </c>
      <c r="AG211" t="s">
        <v>1178</v>
      </c>
      <c r="AH211" t="s">
        <v>1178</v>
      </c>
      <c r="AI211" t="s">
        <v>1280</v>
      </c>
      <c r="AJ211" t="s">
        <v>1190</v>
      </c>
      <c r="AK211">
        <v>0</v>
      </c>
      <c r="AL211" t="s">
        <v>1202</v>
      </c>
      <c r="AM211">
        <v>46278</v>
      </c>
      <c r="AN211">
        <v>46281</v>
      </c>
      <c r="AO211">
        <v>46267</v>
      </c>
      <c r="AP211">
        <v>46269</v>
      </c>
      <c r="AQ211">
        <v>46269</v>
      </c>
      <c r="AR211">
        <v>46274</v>
      </c>
      <c r="AS211">
        <v>46276</v>
      </c>
      <c r="AT211" t="s">
        <v>1281</v>
      </c>
      <c r="AU211" t="s">
        <v>1177</v>
      </c>
      <c r="AV211" t="s">
        <v>1192</v>
      </c>
      <c r="AW211" t="s">
        <v>1177</v>
      </c>
      <c r="AX211">
        <v>62</v>
      </c>
      <c r="AY211">
        <v>2</v>
      </c>
      <c r="AZ211" t="s">
        <v>1177</v>
      </c>
      <c r="BA211">
        <v>0</v>
      </c>
      <c r="BB211" t="s">
        <v>1202</v>
      </c>
      <c r="BC211" t="e">
        <v>#N/A</v>
      </c>
      <c r="BD211" t="e">
        <v>#N/A</v>
      </c>
      <c r="BE211" t="e">
        <v>#N/A</v>
      </c>
      <c r="BF211" t="e">
        <v>#N/A</v>
      </c>
      <c r="BG211" t="s">
        <v>1581</v>
      </c>
      <c r="BH211" t="s">
        <v>1194</v>
      </c>
      <c r="BI211" t="s">
        <v>1581</v>
      </c>
    </row>
    <row r="212" spans="1:61" x14ac:dyDescent="0.35">
      <c r="A212" s="7" t="str">
        <f t="shared" si="6"/>
        <v>461594300009649</v>
      </c>
      <c r="B212" s="7" t="str">
        <f t="shared" si="7"/>
        <v>GP123319-002B857</v>
      </c>
      <c r="C212" t="s">
        <v>1177</v>
      </c>
      <c r="D212" t="s">
        <v>1178</v>
      </c>
      <c r="E212" t="s">
        <v>2090</v>
      </c>
      <c r="F212" t="s">
        <v>1363</v>
      </c>
      <c r="G212" t="s">
        <v>1363</v>
      </c>
      <c r="H212" t="s">
        <v>1271</v>
      </c>
      <c r="I212">
        <v>46159</v>
      </c>
      <c r="J212" t="s">
        <v>2091</v>
      </c>
      <c r="K212" t="s">
        <v>1199</v>
      </c>
      <c r="L212" t="s">
        <v>1177</v>
      </c>
      <c r="M212" t="s">
        <v>1274</v>
      </c>
      <c r="N212" t="s">
        <v>1079</v>
      </c>
      <c r="O212" t="s">
        <v>1275</v>
      </c>
      <c r="P212">
        <v>46159</v>
      </c>
      <c r="Q212" t="s">
        <v>1177</v>
      </c>
      <c r="R212" t="s">
        <v>23</v>
      </c>
      <c r="S212" t="s">
        <v>959</v>
      </c>
      <c r="T212" t="s">
        <v>403</v>
      </c>
      <c r="U212" t="s">
        <v>1811</v>
      </c>
      <c r="V212">
        <v>160</v>
      </c>
      <c r="W212" t="s">
        <v>1262</v>
      </c>
      <c r="X212" t="s">
        <v>1262</v>
      </c>
      <c r="Y212">
        <v>0</v>
      </c>
      <c r="Z212" t="s">
        <v>1186</v>
      </c>
      <c r="AA212" t="s">
        <v>1177</v>
      </c>
      <c r="AB212" t="s">
        <v>1177</v>
      </c>
      <c r="AC212" t="s">
        <v>1177</v>
      </c>
      <c r="AD212" t="s">
        <v>1204</v>
      </c>
      <c r="AE212" t="s">
        <v>1284</v>
      </c>
      <c r="AF212" t="s">
        <v>1189</v>
      </c>
      <c r="AG212" t="s">
        <v>1190</v>
      </c>
      <c r="AH212" t="s">
        <v>1178</v>
      </c>
      <c r="AI212" t="s">
        <v>1280</v>
      </c>
      <c r="AJ212" t="s">
        <v>1190</v>
      </c>
      <c r="AK212">
        <v>0</v>
      </c>
      <c r="AL212" t="s">
        <v>1262</v>
      </c>
      <c r="AM212">
        <v>46265</v>
      </c>
      <c r="AN212">
        <v>46254</v>
      </c>
      <c r="AO212">
        <v>46254</v>
      </c>
      <c r="AP212">
        <v>46258</v>
      </c>
      <c r="AQ212">
        <v>46258</v>
      </c>
      <c r="AR212">
        <v>46260</v>
      </c>
      <c r="AS212">
        <v>46262</v>
      </c>
      <c r="AT212" t="s">
        <v>1281</v>
      </c>
      <c r="AU212" t="s">
        <v>1177</v>
      </c>
      <c r="AV212" t="s">
        <v>1192</v>
      </c>
      <c r="AW212" t="s">
        <v>1177</v>
      </c>
      <c r="AX212">
        <v>206</v>
      </c>
      <c r="AY212">
        <v>2</v>
      </c>
      <c r="AZ212" t="s">
        <v>1177</v>
      </c>
      <c r="BA212">
        <v>0</v>
      </c>
      <c r="BB212" t="s">
        <v>1262</v>
      </c>
      <c r="BC212" t="e">
        <v>#N/A</v>
      </c>
      <c r="BD212" t="e">
        <v>#N/A</v>
      </c>
      <c r="BE212" t="e">
        <v>#N/A</v>
      </c>
      <c r="BF212" t="e">
        <v>#N/A</v>
      </c>
      <c r="BG212" t="s">
        <v>1372</v>
      </c>
      <c r="BH212" t="s">
        <v>1903</v>
      </c>
      <c r="BI212" t="s">
        <v>1177</v>
      </c>
    </row>
    <row r="213" spans="1:61" x14ac:dyDescent="0.35">
      <c r="A213" s="7" t="str">
        <f t="shared" si="6"/>
        <v>461594300009651</v>
      </c>
      <c r="B213" s="7" t="str">
        <f t="shared" si="7"/>
        <v>181922B865</v>
      </c>
      <c r="C213" t="s">
        <v>1177</v>
      </c>
      <c r="D213" t="s">
        <v>1178</v>
      </c>
      <c r="E213" t="s">
        <v>2092</v>
      </c>
      <c r="F213" t="s">
        <v>1363</v>
      </c>
      <c r="G213" t="s">
        <v>1363</v>
      </c>
      <c r="H213" t="s">
        <v>1271</v>
      </c>
      <c r="I213">
        <v>46159</v>
      </c>
      <c r="J213" t="s">
        <v>2093</v>
      </c>
      <c r="K213" t="s">
        <v>1739</v>
      </c>
      <c r="L213" t="s">
        <v>1177</v>
      </c>
      <c r="M213" t="s">
        <v>1274</v>
      </c>
      <c r="N213" t="s">
        <v>1079</v>
      </c>
      <c r="O213" t="s">
        <v>1275</v>
      </c>
      <c r="P213">
        <v>46159</v>
      </c>
      <c r="Q213" t="s">
        <v>1177</v>
      </c>
      <c r="R213" t="s">
        <v>7</v>
      </c>
      <c r="S213" t="s">
        <v>1040</v>
      </c>
      <c r="T213" t="s">
        <v>2095</v>
      </c>
      <c r="U213" t="s">
        <v>456</v>
      </c>
      <c r="V213">
        <v>20</v>
      </c>
      <c r="W213" t="s">
        <v>1262</v>
      </c>
      <c r="X213" t="s">
        <v>1262</v>
      </c>
      <c r="Y213">
        <v>0</v>
      </c>
      <c r="Z213" t="s">
        <v>1186</v>
      </c>
      <c r="AA213" t="s">
        <v>1177</v>
      </c>
      <c r="AB213" t="s">
        <v>1177</v>
      </c>
      <c r="AC213" t="s">
        <v>1177</v>
      </c>
      <c r="AD213" t="s">
        <v>1313</v>
      </c>
      <c r="AE213" t="s">
        <v>1292</v>
      </c>
      <c r="AF213" t="s">
        <v>1189</v>
      </c>
      <c r="AG213" t="s">
        <v>1190</v>
      </c>
      <c r="AH213" t="s">
        <v>1178</v>
      </c>
      <c r="AI213" t="s">
        <v>1349</v>
      </c>
      <c r="AJ213" t="s">
        <v>1190</v>
      </c>
      <c r="AK213">
        <v>0</v>
      </c>
      <c r="AL213" t="s">
        <v>1262</v>
      </c>
      <c r="AM213">
        <v>46184</v>
      </c>
      <c r="AN213">
        <v>46171</v>
      </c>
      <c r="AO213">
        <v>46171</v>
      </c>
      <c r="AP213">
        <v>46175</v>
      </c>
      <c r="AQ213">
        <v>46175</v>
      </c>
      <c r="AR213">
        <v>46178</v>
      </c>
      <c r="AS213">
        <v>46182</v>
      </c>
      <c r="AT213" t="s">
        <v>1281</v>
      </c>
      <c r="AU213" t="s">
        <v>1177</v>
      </c>
      <c r="AV213" t="s">
        <v>1192</v>
      </c>
      <c r="AW213" t="s">
        <v>1177</v>
      </c>
      <c r="AX213">
        <v>62</v>
      </c>
      <c r="AY213">
        <v>2</v>
      </c>
      <c r="AZ213" t="s">
        <v>1177</v>
      </c>
      <c r="BA213">
        <v>77</v>
      </c>
      <c r="BB213" t="s">
        <v>1262</v>
      </c>
      <c r="BC213" t="e">
        <v>#N/A</v>
      </c>
      <c r="BD213" t="e">
        <v>#N/A</v>
      </c>
      <c r="BE213" t="e">
        <v>#N/A</v>
      </c>
      <c r="BF213" t="e">
        <v>#N/A</v>
      </c>
      <c r="BG213" t="s">
        <v>1581</v>
      </c>
      <c r="BH213" t="s">
        <v>1194</v>
      </c>
      <c r="BI213" t="s">
        <v>2094</v>
      </c>
    </row>
    <row r="214" spans="1:61" x14ac:dyDescent="0.35">
      <c r="A214" s="7" t="str">
        <f t="shared" si="6"/>
        <v>461594300009655</v>
      </c>
      <c r="B214" s="7" t="str">
        <f t="shared" si="7"/>
        <v>GP672890B867</v>
      </c>
      <c r="C214" t="s">
        <v>1177</v>
      </c>
      <c r="D214" t="s">
        <v>1178</v>
      </c>
      <c r="E214" t="s">
        <v>2097</v>
      </c>
      <c r="F214" t="s">
        <v>1363</v>
      </c>
      <c r="G214" t="s">
        <v>1363</v>
      </c>
      <c r="H214" t="s">
        <v>1271</v>
      </c>
      <c r="I214">
        <v>46159</v>
      </c>
      <c r="J214" t="s">
        <v>2098</v>
      </c>
      <c r="K214" t="s">
        <v>1182</v>
      </c>
      <c r="L214" t="s">
        <v>1177</v>
      </c>
      <c r="M214" t="s">
        <v>1274</v>
      </c>
      <c r="N214" t="s">
        <v>1079</v>
      </c>
      <c r="O214" t="s">
        <v>1275</v>
      </c>
      <c r="P214">
        <v>46159</v>
      </c>
      <c r="Q214" t="s">
        <v>1177</v>
      </c>
      <c r="R214" t="s">
        <v>25</v>
      </c>
      <c r="S214" t="s">
        <v>1060</v>
      </c>
      <c r="T214" t="s">
        <v>2040</v>
      </c>
      <c r="U214" t="s">
        <v>2041</v>
      </c>
      <c r="V214">
        <v>22</v>
      </c>
      <c r="W214" t="s">
        <v>1262</v>
      </c>
      <c r="X214" t="s">
        <v>1262</v>
      </c>
      <c r="Y214">
        <v>0</v>
      </c>
      <c r="Z214" t="s">
        <v>1186</v>
      </c>
      <c r="AA214" t="s">
        <v>1177</v>
      </c>
      <c r="AB214" t="s">
        <v>1276</v>
      </c>
      <c r="AC214" t="s">
        <v>1277</v>
      </c>
      <c r="AD214" t="s">
        <v>1278</v>
      </c>
      <c r="AE214" t="s">
        <v>2042</v>
      </c>
      <c r="AF214" t="s">
        <v>1178</v>
      </c>
      <c r="AG214" t="s">
        <v>1476</v>
      </c>
      <c r="AH214" t="s">
        <v>1178</v>
      </c>
      <c r="AI214" t="s">
        <v>1280</v>
      </c>
      <c r="AJ214" t="s">
        <v>1189</v>
      </c>
      <c r="AK214">
        <v>22</v>
      </c>
      <c r="AL214" t="s">
        <v>1262</v>
      </c>
      <c r="AM214">
        <v>46232</v>
      </c>
      <c r="AN214">
        <v>46226</v>
      </c>
      <c r="AO214">
        <v>46226</v>
      </c>
      <c r="AP214">
        <v>46230</v>
      </c>
      <c r="AQ214">
        <v>46230</v>
      </c>
      <c r="AR214">
        <v>46232</v>
      </c>
      <c r="AS214">
        <v>46232</v>
      </c>
      <c r="AT214" t="s">
        <v>1281</v>
      </c>
      <c r="AU214" t="s">
        <v>1177</v>
      </c>
      <c r="AV214" t="s">
        <v>1192</v>
      </c>
      <c r="AW214" t="s">
        <v>1177</v>
      </c>
      <c r="AX214">
        <v>0</v>
      </c>
      <c r="AY214">
        <v>0</v>
      </c>
      <c r="AZ214" t="s">
        <v>1177</v>
      </c>
      <c r="BA214">
        <v>0</v>
      </c>
      <c r="BB214" t="s">
        <v>1262</v>
      </c>
      <c r="BC214" t="e">
        <v>#N/A</v>
      </c>
      <c r="BD214" t="e">
        <v>#N/A</v>
      </c>
      <c r="BE214" t="e">
        <v>#N/A</v>
      </c>
      <c r="BF214" t="e">
        <v>#N/A</v>
      </c>
      <c r="BG214" t="s">
        <v>1372</v>
      </c>
      <c r="BH214" t="s">
        <v>1903</v>
      </c>
      <c r="BI214" t="s">
        <v>2043</v>
      </c>
    </row>
    <row r="215" spans="1:61" x14ac:dyDescent="0.35">
      <c r="A215" s="7" t="str">
        <f t="shared" si="6"/>
        <v>461594300009657</v>
      </c>
      <c r="B215" s="7" t="str">
        <f t="shared" si="7"/>
        <v>GP520932B838</v>
      </c>
      <c r="C215" t="s">
        <v>1177</v>
      </c>
      <c r="D215" t="s">
        <v>1178</v>
      </c>
      <c r="E215" t="s">
        <v>2099</v>
      </c>
      <c r="F215" t="s">
        <v>1363</v>
      </c>
      <c r="G215" t="s">
        <v>1363</v>
      </c>
      <c r="H215" t="s">
        <v>1271</v>
      </c>
      <c r="I215">
        <v>46159</v>
      </c>
      <c r="J215" t="s">
        <v>2100</v>
      </c>
      <c r="K215" t="s">
        <v>1199</v>
      </c>
      <c r="L215" t="s">
        <v>1177</v>
      </c>
      <c r="M215" t="s">
        <v>1274</v>
      </c>
      <c r="N215" t="s">
        <v>1079</v>
      </c>
      <c r="O215" t="s">
        <v>1275</v>
      </c>
      <c r="P215">
        <v>46159</v>
      </c>
      <c r="Q215" t="s">
        <v>1177</v>
      </c>
      <c r="R215" t="s">
        <v>48</v>
      </c>
      <c r="S215" t="s">
        <v>745</v>
      </c>
      <c r="T215" t="s">
        <v>2101</v>
      </c>
      <c r="U215" t="s">
        <v>2102</v>
      </c>
      <c r="V215">
        <v>2</v>
      </c>
      <c r="W215" t="s">
        <v>1262</v>
      </c>
      <c r="X215" t="s">
        <v>1262</v>
      </c>
      <c r="Y215">
        <v>0</v>
      </c>
      <c r="Z215" t="s">
        <v>1186</v>
      </c>
      <c r="AA215" t="s">
        <v>1177</v>
      </c>
      <c r="AB215" t="s">
        <v>1276</v>
      </c>
      <c r="AC215" t="s">
        <v>1277</v>
      </c>
      <c r="AD215" t="s">
        <v>1278</v>
      </c>
      <c r="AE215" t="s">
        <v>1975</v>
      </c>
      <c r="AF215" t="s">
        <v>1178</v>
      </c>
      <c r="AG215" t="s">
        <v>1190</v>
      </c>
      <c r="AH215" t="s">
        <v>1178</v>
      </c>
      <c r="AI215" t="s">
        <v>1280</v>
      </c>
      <c r="AJ215" t="s">
        <v>1190</v>
      </c>
      <c r="AK215">
        <v>0</v>
      </c>
      <c r="AL215" t="s">
        <v>1262</v>
      </c>
      <c r="AM215">
        <v>46062</v>
      </c>
      <c r="AN215">
        <v>46220</v>
      </c>
      <c r="AO215">
        <v>46163</v>
      </c>
      <c r="AP215">
        <v>46167</v>
      </c>
      <c r="AQ215">
        <v>46167</v>
      </c>
      <c r="AR215">
        <v>46169</v>
      </c>
      <c r="AS215">
        <v>46169</v>
      </c>
      <c r="AT215" t="s">
        <v>1281</v>
      </c>
      <c r="AU215" t="s">
        <v>1177</v>
      </c>
      <c r="AV215" t="s">
        <v>1192</v>
      </c>
      <c r="AW215" t="s">
        <v>1177</v>
      </c>
      <c r="AX215">
        <v>0</v>
      </c>
      <c r="AY215">
        <v>0</v>
      </c>
      <c r="AZ215" t="s">
        <v>1177</v>
      </c>
      <c r="BA215">
        <v>0</v>
      </c>
      <c r="BB215" t="s">
        <v>1262</v>
      </c>
      <c r="BC215" t="e">
        <v>#N/A</v>
      </c>
      <c r="BD215" t="e">
        <v>#N/A</v>
      </c>
      <c r="BE215" t="e">
        <v>#N/A</v>
      </c>
      <c r="BF215" t="e">
        <v>#N/A</v>
      </c>
      <c r="BG215" t="e">
        <v>#N/A</v>
      </c>
      <c r="BH215" t="e">
        <v>#N/A</v>
      </c>
      <c r="BI215" t="e">
        <v>#N/A</v>
      </c>
    </row>
    <row r="216" spans="1:61" x14ac:dyDescent="0.35">
      <c r="A216" s="7" t="str">
        <f t="shared" si="6"/>
        <v>461594300009666</v>
      </c>
      <c r="B216" s="7" t="str">
        <f t="shared" si="7"/>
        <v>GP328003B865</v>
      </c>
      <c r="C216" t="s">
        <v>1177</v>
      </c>
      <c r="D216" t="s">
        <v>1178</v>
      </c>
      <c r="E216" t="s">
        <v>2103</v>
      </c>
      <c r="F216" t="s">
        <v>1363</v>
      </c>
      <c r="G216" t="s">
        <v>1363</v>
      </c>
      <c r="H216" t="s">
        <v>1271</v>
      </c>
      <c r="I216">
        <v>46159</v>
      </c>
      <c r="J216" t="s">
        <v>2104</v>
      </c>
      <c r="K216" t="s">
        <v>1808</v>
      </c>
      <c r="L216" t="s">
        <v>1177</v>
      </c>
      <c r="M216" t="s">
        <v>1274</v>
      </c>
      <c r="N216" t="s">
        <v>1079</v>
      </c>
      <c r="O216" t="s">
        <v>1275</v>
      </c>
      <c r="P216">
        <v>46159</v>
      </c>
      <c r="Q216" t="s">
        <v>1177</v>
      </c>
      <c r="R216" t="s">
        <v>7</v>
      </c>
      <c r="S216" t="s">
        <v>1040</v>
      </c>
      <c r="T216" t="s">
        <v>1102</v>
      </c>
      <c r="U216" t="s">
        <v>1103</v>
      </c>
      <c r="V216">
        <v>4</v>
      </c>
      <c r="W216" t="s">
        <v>1262</v>
      </c>
      <c r="X216" t="s">
        <v>1262</v>
      </c>
      <c r="Y216">
        <v>0</v>
      </c>
      <c r="Z216" t="s">
        <v>1186</v>
      </c>
      <c r="AA216" t="s">
        <v>1177</v>
      </c>
      <c r="AB216" t="s">
        <v>1276</v>
      </c>
      <c r="AC216" t="s">
        <v>1277</v>
      </c>
      <c r="AD216" t="s">
        <v>1278</v>
      </c>
      <c r="AE216" t="s">
        <v>1292</v>
      </c>
      <c r="AF216" t="s">
        <v>1178</v>
      </c>
      <c r="AG216" t="s">
        <v>1190</v>
      </c>
      <c r="AH216" t="s">
        <v>1178</v>
      </c>
      <c r="AI216" t="s">
        <v>1349</v>
      </c>
      <c r="AJ216" t="s">
        <v>1190</v>
      </c>
      <c r="AK216">
        <v>0</v>
      </c>
      <c r="AL216" t="s">
        <v>1262</v>
      </c>
      <c r="AM216">
        <v>46000</v>
      </c>
      <c r="AN216">
        <v>46447</v>
      </c>
      <c r="AO216">
        <v>46160</v>
      </c>
      <c r="AP216">
        <v>46162</v>
      </c>
      <c r="AQ216">
        <v>46162</v>
      </c>
      <c r="AR216">
        <v>46164</v>
      </c>
      <c r="AS216">
        <v>46164</v>
      </c>
      <c r="AT216" t="s">
        <v>1281</v>
      </c>
      <c r="AU216" t="s">
        <v>1177</v>
      </c>
      <c r="AV216" t="s">
        <v>1192</v>
      </c>
      <c r="AW216" t="s">
        <v>1177</v>
      </c>
      <c r="AX216">
        <v>0</v>
      </c>
      <c r="AY216">
        <v>0</v>
      </c>
      <c r="AZ216" t="s">
        <v>1177</v>
      </c>
      <c r="BA216">
        <v>0</v>
      </c>
      <c r="BB216" t="s">
        <v>1262</v>
      </c>
      <c r="BC216" t="e">
        <v>#N/A</v>
      </c>
      <c r="BD216" t="e">
        <v>#N/A</v>
      </c>
      <c r="BE216" t="e">
        <v>#N/A</v>
      </c>
      <c r="BF216" t="e">
        <v>#N/A</v>
      </c>
      <c r="BG216" t="s">
        <v>1458</v>
      </c>
      <c r="BH216" t="s">
        <v>1763</v>
      </c>
      <c r="BI216" t="s">
        <v>1458</v>
      </c>
    </row>
    <row r="217" spans="1:61" x14ac:dyDescent="0.35">
      <c r="A217" s="7" t="str">
        <f t="shared" si="6"/>
        <v>461594300009671</v>
      </c>
      <c r="B217" s="7" t="str">
        <f t="shared" si="7"/>
        <v>GP422280B856</v>
      </c>
      <c r="C217" t="s">
        <v>1177</v>
      </c>
      <c r="D217" t="s">
        <v>1178</v>
      </c>
      <c r="E217" t="s">
        <v>2105</v>
      </c>
      <c r="F217" t="s">
        <v>1363</v>
      </c>
      <c r="G217" t="s">
        <v>1363</v>
      </c>
      <c r="H217" t="s">
        <v>1271</v>
      </c>
      <c r="I217">
        <v>46159</v>
      </c>
      <c r="J217" t="s">
        <v>2106</v>
      </c>
      <c r="K217" t="s">
        <v>1182</v>
      </c>
      <c r="L217" t="s">
        <v>1177</v>
      </c>
      <c r="M217" t="s">
        <v>1274</v>
      </c>
      <c r="N217" t="s">
        <v>1079</v>
      </c>
      <c r="O217" t="s">
        <v>1275</v>
      </c>
      <c r="P217">
        <v>46247</v>
      </c>
      <c r="Q217" t="s">
        <v>1177</v>
      </c>
      <c r="R217" t="s">
        <v>21</v>
      </c>
      <c r="S217" t="s">
        <v>853</v>
      </c>
      <c r="T217" t="s">
        <v>102</v>
      </c>
      <c r="U217" t="s">
        <v>103</v>
      </c>
      <c r="V217">
        <v>2</v>
      </c>
      <c r="W217" t="s">
        <v>1262</v>
      </c>
      <c r="X217" t="s">
        <v>1262</v>
      </c>
      <c r="Y217">
        <v>0</v>
      </c>
      <c r="Z217" t="s">
        <v>1186</v>
      </c>
      <c r="AA217" t="s">
        <v>1177</v>
      </c>
      <c r="AB217" t="s">
        <v>1286</v>
      </c>
      <c r="AC217" t="s">
        <v>1277</v>
      </c>
      <c r="AD217" t="s">
        <v>1278</v>
      </c>
      <c r="AE217" t="s">
        <v>1296</v>
      </c>
      <c r="AF217" t="s">
        <v>1177</v>
      </c>
      <c r="AG217" t="s">
        <v>1178</v>
      </c>
      <c r="AH217" t="s">
        <v>1178</v>
      </c>
      <c r="AI217" t="s">
        <v>1280</v>
      </c>
      <c r="AJ217" t="s">
        <v>1190</v>
      </c>
      <c r="AK217">
        <v>0</v>
      </c>
      <c r="AL217" t="s">
        <v>1262</v>
      </c>
      <c r="AM217">
        <v>46278</v>
      </c>
      <c r="AN217">
        <v>46267</v>
      </c>
      <c r="AO217">
        <v>46267</v>
      </c>
      <c r="AP217">
        <v>46269</v>
      </c>
      <c r="AQ217">
        <v>46269</v>
      </c>
      <c r="AR217">
        <v>46274</v>
      </c>
      <c r="AS217">
        <v>46276</v>
      </c>
      <c r="AT217" t="s">
        <v>1281</v>
      </c>
      <c r="AU217" t="s">
        <v>1177</v>
      </c>
      <c r="AV217" t="s">
        <v>1192</v>
      </c>
      <c r="AW217" t="s">
        <v>1177</v>
      </c>
      <c r="AX217">
        <v>33</v>
      </c>
      <c r="AY217">
        <v>2</v>
      </c>
      <c r="AZ217" t="s">
        <v>1177</v>
      </c>
      <c r="BA217">
        <v>2</v>
      </c>
      <c r="BB217" t="s">
        <v>1262</v>
      </c>
      <c r="BC217" t="s">
        <v>2107</v>
      </c>
      <c r="BD217">
        <v>2</v>
      </c>
      <c r="BE217">
        <v>46254</v>
      </c>
      <c r="BF217" t="s">
        <v>1165</v>
      </c>
      <c r="BG217" t="s">
        <v>126</v>
      </c>
      <c r="BH217" t="s">
        <v>1873</v>
      </c>
      <c r="BI217" t="s">
        <v>126</v>
      </c>
    </row>
    <row r="218" spans="1:61" x14ac:dyDescent="0.35">
      <c r="A218" s="7" t="str">
        <f t="shared" si="6"/>
        <v>461594300009677</v>
      </c>
      <c r="B218" s="7" t="str">
        <f t="shared" si="7"/>
        <v>GP484754B864</v>
      </c>
      <c r="C218" t="s">
        <v>1177</v>
      </c>
      <c r="D218" t="s">
        <v>1178</v>
      </c>
      <c r="E218" t="s">
        <v>2108</v>
      </c>
      <c r="F218" t="s">
        <v>1363</v>
      </c>
      <c r="G218" t="s">
        <v>1363</v>
      </c>
      <c r="H218" t="s">
        <v>1271</v>
      </c>
      <c r="I218">
        <v>46159</v>
      </c>
      <c r="J218" t="s">
        <v>2109</v>
      </c>
      <c r="K218" t="s">
        <v>1199</v>
      </c>
      <c r="L218" t="s">
        <v>1177</v>
      </c>
      <c r="M218" t="s">
        <v>1274</v>
      </c>
      <c r="N218" t="s">
        <v>1079</v>
      </c>
      <c r="O218" t="s">
        <v>1275</v>
      </c>
      <c r="P218">
        <v>46159</v>
      </c>
      <c r="Q218" t="s">
        <v>1177</v>
      </c>
      <c r="R218" t="s">
        <v>10</v>
      </c>
      <c r="S218" t="s">
        <v>1011</v>
      </c>
      <c r="T218" t="s">
        <v>2110</v>
      </c>
      <c r="U218" t="s">
        <v>2111</v>
      </c>
      <c r="V218">
        <v>3</v>
      </c>
      <c r="W218" t="s">
        <v>1262</v>
      </c>
      <c r="X218" t="s">
        <v>1262</v>
      </c>
      <c r="Y218">
        <v>0</v>
      </c>
      <c r="Z218" t="s">
        <v>1186</v>
      </c>
      <c r="AA218" t="s">
        <v>1177</v>
      </c>
      <c r="AB218" t="s">
        <v>1276</v>
      </c>
      <c r="AC218" t="s">
        <v>1277</v>
      </c>
      <c r="AD218" t="s">
        <v>1278</v>
      </c>
      <c r="AE218" t="s">
        <v>1357</v>
      </c>
      <c r="AF218" t="s">
        <v>1178</v>
      </c>
      <c r="AG218" t="s">
        <v>1190</v>
      </c>
      <c r="AH218" t="s">
        <v>1178</v>
      </c>
      <c r="AI218" t="s">
        <v>1280</v>
      </c>
      <c r="AJ218" t="s">
        <v>1190</v>
      </c>
      <c r="AK218">
        <v>0</v>
      </c>
      <c r="AL218" t="s">
        <v>1262</v>
      </c>
      <c r="AM218">
        <v>45939</v>
      </c>
      <c r="AN218">
        <v>46163</v>
      </c>
      <c r="AO218">
        <v>46163</v>
      </c>
      <c r="AP218">
        <v>46167</v>
      </c>
      <c r="AQ218">
        <v>46167</v>
      </c>
      <c r="AR218">
        <v>46169</v>
      </c>
      <c r="AS218">
        <v>46171</v>
      </c>
      <c r="AT218" t="s">
        <v>1281</v>
      </c>
      <c r="AU218" t="s">
        <v>1177</v>
      </c>
      <c r="AV218" t="s">
        <v>1192</v>
      </c>
      <c r="AW218" t="s">
        <v>1177</v>
      </c>
      <c r="AX218">
        <v>33</v>
      </c>
      <c r="AY218">
        <v>2</v>
      </c>
      <c r="AZ218" t="s">
        <v>1177</v>
      </c>
      <c r="BA218">
        <v>3</v>
      </c>
      <c r="BB218" t="s">
        <v>1262</v>
      </c>
      <c r="BC218" t="s">
        <v>1718</v>
      </c>
      <c r="BD218">
        <v>3</v>
      </c>
      <c r="BE218">
        <v>46191</v>
      </c>
      <c r="BF218" t="s">
        <v>1165</v>
      </c>
      <c r="BG218" t="s">
        <v>1212</v>
      </c>
      <c r="BH218" t="s">
        <v>1194</v>
      </c>
      <c r="BI218" t="s">
        <v>2112</v>
      </c>
    </row>
    <row r="219" spans="1:61" x14ac:dyDescent="0.35">
      <c r="A219" s="7" t="str">
        <f t="shared" si="6"/>
        <v>461594300009679</v>
      </c>
      <c r="B219" s="7" t="str">
        <f t="shared" si="7"/>
        <v>GP312102B857</v>
      </c>
      <c r="C219" t="s">
        <v>1177</v>
      </c>
      <c r="D219" t="s">
        <v>1178</v>
      </c>
      <c r="E219" t="s">
        <v>2113</v>
      </c>
      <c r="F219" t="s">
        <v>1363</v>
      </c>
      <c r="G219" t="s">
        <v>1363</v>
      </c>
      <c r="H219" t="s">
        <v>1271</v>
      </c>
      <c r="I219">
        <v>46159</v>
      </c>
      <c r="J219" t="s">
        <v>2114</v>
      </c>
      <c r="K219" t="s">
        <v>1283</v>
      </c>
      <c r="L219" t="s">
        <v>1177</v>
      </c>
      <c r="M219" t="s">
        <v>1274</v>
      </c>
      <c r="N219" t="s">
        <v>1079</v>
      </c>
      <c r="O219" t="s">
        <v>1275</v>
      </c>
      <c r="P219">
        <v>46159</v>
      </c>
      <c r="Q219" t="s">
        <v>1177</v>
      </c>
      <c r="R219" t="s">
        <v>23</v>
      </c>
      <c r="S219" t="s">
        <v>959</v>
      </c>
      <c r="T219" t="s">
        <v>884</v>
      </c>
      <c r="U219" t="s">
        <v>885</v>
      </c>
      <c r="V219">
        <v>4</v>
      </c>
      <c r="W219" t="s">
        <v>1262</v>
      </c>
      <c r="X219" t="s">
        <v>1262</v>
      </c>
      <c r="Y219">
        <v>0</v>
      </c>
      <c r="Z219" t="s">
        <v>1186</v>
      </c>
      <c r="AA219" t="s">
        <v>1177</v>
      </c>
      <c r="AB219" t="s">
        <v>1276</v>
      </c>
      <c r="AC219" t="s">
        <v>1277</v>
      </c>
      <c r="AD219" t="s">
        <v>1278</v>
      </c>
      <c r="AE219" t="s">
        <v>1558</v>
      </c>
      <c r="AF219" t="s">
        <v>1178</v>
      </c>
      <c r="AG219" t="s">
        <v>1190</v>
      </c>
      <c r="AH219" t="s">
        <v>1178</v>
      </c>
      <c r="AI219" t="s">
        <v>1280</v>
      </c>
      <c r="AJ219" t="s">
        <v>1190</v>
      </c>
      <c r="AK219">
        <v>0</v>
      </c>
      <c r="AL219" t="s">
        <v>1262</v>
      </c>
      <c r="AM219">
        <v>45996</v>
      </c>
      <c r="AN219">
        <v>46261</v>
      </c>
      <c r="AO219">
        <v>46163</v>
      </c>
      <c r="AP219">
        <v>46167</v>
      </c>
      <c r="AQ219">
        <v>46167</v>
      </c>
      <c r="AR219">
        <v>46169</v>
      </c>
      <c r="AS219">
        <v>46171</v>
      </c>
      <c r="AT219" t="s">
        <v>1281</v>
      </c>
      <c r="AU219" t="s">
        <v>1177</v>
      </c>
      <c r="AV219" t="s">
        <v>1192</v>
      </c>
      <c r="AW219" t="s">
        <v>1177</v>
      </c>
      <c r="AX219">
        <v>131</v>
      </c>
      <c r="AY219">
        <v>2</v>
      </c>
      <c r="AZ219" t="s">
        <v>1177</v>
      </c>
      <c r="BA219">
        <v>0</v>
      </c>
      <c r="BB219" t="s">
        <v>1262</v>
      </c>
      <c r="BC219" t="e">
        <v>#N/A</v>
      </c>
      <c r="BD219" t="e">
        <v>#N/A</v>
      </c>
      <c r="BE219" t="e">
        <v>#N/A</v>
      </c>
      <c r="BF219" t="e">
        <v>#N/A</v>
      </c>
      <c r="BG219" t="s">
        <v>1212</v>
      </c>
      <c r="BH219" t="s">
        <v>1194</v>
      </c>
      <c r="BI219" t="s">
        <v>1212</v>
      </c>
    </row>
    <row r="220" spans="1:61" x14ac:dyDescent="0.35">
      <c r="A220" s="7" t="str">
        <f t="shared" si="6"/>
        <v>461594300009680</v>
      </c>
      <c r="B220" s="7" t="str">
        <f t="shared" si="7"/>
        <v>GP001488B857</v>
      </c>
      <c r="C220" t="s">
        <v>1177</v>
      </c>
      <c r="D220" t="s">
        <v>1178</v>
      </c>
      <c r="E220" t="s">
        <v>2115</v>
      </c>
      <c r="F220" t="s">
        <v>1363</v>
      </c>
      <c r="G220" t="s">
        <v>1363</v>
      </c>
      <c r="H220" t="s">
        <v>1271</v>
      </c>
      <c r="I220">
        <v>46159</v>
      </c>
      <c r="J220" t="s">
        <v>2116</v>
      </c>
      <c r="K220" t="s">
        <v>1198</v>
      </c>
      <c r="L220" t="s">
        <v>1177</v>
      </c>
      <c r="M220" t="s">
        <v>1274</v>
      </c>
      <c r="N220" t="s">
        <v>1079</v>
      </c>
      <c r="O220" t="s">
        <v>1275</v>
      </c>
      <c r="P220">
        <v>46159</v>
      </c>
      <c r="Q220" t="s">
        <v>1177</v>
      </c>
      <c r="R220" t="s">
        <v>23</v>
      </c>
      <c r="S220" t="s">
        <v>959</v>
      </c>
      <c r="T220" t="s">
        <v>1969</v>
      </c>
      <c r="U220" t="s">
        <v>1970</v>
      </c>
      <c r="V220">
        <v>2</v>
      </c>
      <c r="W220" t="s">
        <v>1262</v>
      </c>
      <c r="X220" t="s">
        <v>1262</v>
      </c>
      <c r="Y220">
        <v>0</v>
      </c>
      <c r="Z220" t="s">
        <v>1186</v>
      </c>
      <c r="AA220" t="s">
        <v>1177</v>
      </c>
      <c r="AB220" t="s">
        <v>1276</v>
      </c>
      <c r="AC220" t="s">
        <v>1277</v>
      </c>
      <c r="AD220" t="s">
        <v>1278</v>
      </c>
      <c r="AE220" t="s">
        <v>1378</v>
      </c>
      <c r="AF220" t="s">
        <v>1178</v>
      </c>
      <c r="AG220" t="s">
        <v>1190</v>
      </c>
      <c r="AH220" t="s">
        <v>1178</v>
      </c>
      <c r="AI220" t="s">
        <v>1280</v>
      </c>
      <c r="AJ220" t="s">
        <v>1190</v>
      </c>
      <c r="AK220">
        <v>0</v>
      </c>
      <c r="AL220" t="s">
        <v>1262</v>
      </c>
      <c r="AM220">
        <v>45989</v>
      </c>
      <c r="AN220">
        <v>46408</v>
      </c>
      <c r="AO220">
        <v>46163</v>
      </c>
      <c r="AP220">
        <v>46167</v>
      </c>
      <c r="AQ220">
        <v>46167</v>
      </c>
      <c r="AR220">
        <v>46169</v>
      </c>
      <c r="AS220">
        <v>46171</v>
      </c>
      <c r="AT220" t="s">
        <v>1281</v>
      </c>
      <c r="AU220" t="s">
        <v>1177</v>
      </c>
      <c r="AV220" t="s">
        <v>1192</v>
      </c>
      <c r="AW220" t="s">
        <v>1177</v>
      </c>
      <c r="AX220">
        <v>228</v>
      </c>
      <c r="AY220">
        <v>2</v>
      </c>
      <c r="AZ220" t="s">
        <v>1177</v>
      </c>
      <c r="BA220">
        <v>0</v>
      </c>
      <c r="BB220" t="s">
        <v>1262</v>
      </c>
      <c r="BC220" t="e">
        <v>#N/A</v>
      </c>
      <c r="BD220" t="e">
        <v>#N/A</v>
      </c>
      <c r="BE220" t="e">
        <v>#N/A</v>
      </c>
      <c r="BF220" t="e">
        <v>#N/A</v>
      </c>
      <c r="BG220" t="s">
        <v>1212</v>
      </c>
      <c r="BH220" t="s">
        <v>1194</v>
      </c>
      <c r="BI220" t="s">
        <v>1212</v>
      </c>
    </row>
    <row r="221" spans="1:61" x14ac:dyDescent="0.35">
      <c r="A221" s="7" t="str">
        <f t="shared" si="6"/>
        <v>461594300009689</v>
      </c>
      <c r="B221" s="7" t="str">
        <f t="shared" si="7"/>
        <v>GP589018B856</v>
      </c>
      <c r="C221" t="s">
        <v>1177</v>
      </c>
      <c r="D221" t="s">
        <v>1178</v>
      </c>
      <c r="E221" t="s">
        <v>2117</v>
      </c>
      <c r="F221" t="s">
        <v>1363</v>
      </c>
      <c r="G221" t="s">
        <v>1363</v>
      </c>
      <c r="H221" t="s">
        <v>1271</v>
      </c>
      <c r="I221">
        <v>46159</v>
      </c>
      <c r="J221" t="s">
        <v>2118</v>
      </c>
      <c r="K221" t="s">
        <v>1182</v>
      </c>
      <c r="L221" t="s">
        <v>1177</v>
      </c>
      <c r="M221" t="s">
        <v>1274</v>
      </c>
      <c r="N221" t="s">
        <v>1079</v>
      </c>
      <c r="O221" t="s">
        <v>1275</v>
      </c>
      <c r="P221">
        <v>46159</v>
      </c>
      <c r="Q221" t="s">
        <v>1177</v>
      </c>
      <c r="R221" t="s">
        <v>21</v>
      </c>
      <c r="S221" t="s">
        <v>853</v>
      </c>
      <c r="T221" t="s">
        <v>2119</v>
      </c>
      <c r="U221" t="s">
        <v>2120</v>
      </c>
      <c r="V221">
        <v>18</v>
      </c>
      <c r="W221" t="s">
        <v>1262</v>
      </c>
      <c r="X221" t="s">
        <v>1262</v>
      </c>
      <c r="Y221">
        <v>0</v>
      </c>
      <c r="Z221" t="s">
        <v>1186</v>
      </c>
      <c r="AA221" t="s">
        <v>1177</v>
      </c>
      <c r="AB221" t="s">
        <v>1276</v>
      </c>
      <c r="AC221" t="s">
        <v>1277</v>
      </c>
      <c r="AD221" t="s">
        <v>1278</v>
      </c>
      <c r="AE221" t="s">
        <v>1960</v>
      </c>
      <c r="AF221" t="s">
        <v>1178</v>
      </c>
      <c r="AG221" t="s">
        <v>1190</v>
      </c>
      <c r="AH221" t="s">
        <v>1178</v>
      </c>
      <c r="AI221" t="s">
        <v>1280</v>
      </c>
      <c r="AJ221" t="s">
        <v>1189</v>
      </c>
      <c r="AK221">
        <v>18</v>
      </c>
      <c r="AL221" t="s">
        <v>1262</v>
      </c>
      <c r="AM221">
        <v>46260</v>
      </c>
      <c r="AN221">
        <v>46254</v>
      </c>
      <c r="AO221">
        <v>46254</v>
      </c>
      <c r="AP221">
        <v>46258</v>
      </c>
      <c r="AQ221">
        <v>46258</v>
      </c>
      <c r="AR221">
        <v>46260</v>
      </c>
      <c r="AS221">
        <v>46260</v>
      </c>
      <c r="AT221" t="s">
        <v>1281</v>
      </c>
      <c r="AU221" t="s">
        <v>1177</v>
      </c>
      <c r="AV221" t="s">
        <v>1192</v>
      </c>
      <c r="AW221" t="s">
        <v>1177</v>
      </c>
      <c r="AX221">
        <v>0</v>
      </c>
      <c r="AY221">
        <v>0</v>
      </c>
      <c r="AZ221" t="s">
        <v>1177</v>
      </c>
      <c r="BA221">
        <v>0</v>
      </c>
      <c r="BB221" t="s">
        <v>1262</v>
      </c>
      <c r="BC221" t="s">
        <v>2121</v>
      </c>
      <c r="BD221">
        <v>24</v>
      </c>
      <c r="BE221">
        <v>46212</v>
      </c>
      <c r="BF221" t="s">
        <v>1165</v>
      </c>
      <c r="BG221" t="s">
        <v>1372</v>
      </c>
      <c r="BH221" t="s">
        <v>1903</v>
      </c>
      <c r="BI221" t="s">
        <v>1961</v>
      </c>
    </row>
    <row r="222" spans="1:61" x14ac:dyDescent="0.35">
      <c r="A222" s="7" t="str">
        <f t="shared" si="6"/>
        <v>461594300009693</v>
      </c>
      <c r="B222" s="7" t="str">
        <f t="shared" si="7"/>
        <v>GP531859B857</v>
      </c>
      <c r="C222" t="s">
        <v>1177</v>
      </c>
      <c r="D222" t="s">
        <v>1178</v>
      </c>
      <c r="E222" t="s">
        <v>2122</v>
      </c>
      <c r="F222" t="s">
        <v>1363</v>
      </c>
      <c r="G222" t="s">
        <v>1363</v>
      </c>
      <c r="H222" t="s">
        <v>1271</v>
      </c>
      <c r="I222">
        <v>46159</v>
      </c>
      <c r="J222" t="s">
        <v>2123</v>
      </c>
      <c r="K222" t="s">
        <v>1436</v>
      </c>
      <c r="L222" t="s">
        <v>1177</v>
      </c>
      <c r="M222" t="s">
        <v>1274</v>
      </c>
      <c r="N222" t="s">
        <v>1079</v>
      </c>
      <c r="O222" t="s">
        <v>1275</v>
      </c>
      <c r="P222">
        <v>46159</v>
      </c>
      <c r="Q222" t="s">
        <v>1177</v>
      </c>
      <c r="R222" t="s">
        <v>23</v>
      </c>
      <c r="S222" t="s">
        <v>959</v>
      </c>
      <c r="T222" t="s">
        <v>2124</v>
      </c>
      <c r="U222" t="s">
        <v>2125</v>
      </c>
      <c r="V222">
        <v>1</v>
      </c>
      <c r="W222" t="s">
        <v>1262</v>
      </c>
      <c r="X222" t="s">
        <v>1262</v>
      </c>
      <c r="Y222">
        <v>0</v>
      </c>
      <c r="Z222" t="s">
        <v>1186</v>
      </c>
      <c r="AA222" t="s">
        <v>1177</v>
      </c>
      <c r="AB222" t="s">
        <v>1276</v>
      </c>
      <c r="AC222" t="s">
        <v>1277</v>
      </c>
      <c r="AD222" t="s">
        <v>1278</v>
      </c>
      <c r="AE222" t="s">
        <v>1876</v>
      </c>
      <c r="AF222" t="s">
        <v>1178</v>
      </c>
      <c r="AG222" t="s">
        <v>1190</v>
      </c>
      <c r="AH222" t="s">
        <v>1178</v>
      </c>
      <c r="AI222" t="s">
        <v>1177</v>
      </c>
      <c r="AJ222" t="s">
        <v>1190</v>
      </c>
      <c r="AK222">
        <v>0</v>
      </c>
      <c r="AL222" t="s">
        <v>1262</v>
      </c>
      <c r="AM222">
        <v>46198</v>
      </c>
      <c r="AN222">
        <v>46188</v>
      </c>
      <c r="AO222">
        <v>46188</v>
      </c>
      <c r="AP222">
        <v>46190</v>
      </c>
      <c r="AQ222">
        <v>46190</v>
      </c>
      <c r="AR222">
        <v>46191</v>
      </c>
      <c r="AS222">
        <v>46198</v>
      </c>
      <c r="AT222" t="s">
        <v>1281</v>
      </c>
      <c r="AU222" t="s">
        <v>1177</v>
      </c>
      <c r="AV222" t="s">
        <v>1192</v>
      </c>
      <c r="AW222" t="s">
        <v>1177</v>
      </c>
      <c r="AX222">
        <v>0</v>
      </c>
      <c r="AY222">
        <v>0</v>
      </c>
      <c r="AZ222" t="s">
        <v>1177</v>
      </c>
      <c r="BA222">
        <v>0</v>
      </c>
      <c r="BB222" t="s">
        <v>1262</v>
      </c>
      <c r="BC222" t="e">
        <v>#N/A</v>
      </c>
      <c r="BD222" t="e">
        <v>#N/A</v>
      </c>
      <c r="BE222" t="e">
        <v>#N/A</v>
      </c>
      <c r="BF222" t="e">
        <v>#N/A</v>
      </c>
      <c r="BG222" t="s">
        <v>1212</v>
      </c>
      <c r="BH222" t="s">
        <v>1194</v>
      </c>
      <c r="BI222" t="s">
        <v>2055</v>
      </c>
    </row>
    <row r="223" spans="1:61" x14ac:dyDescent="0.35">
      <c r="A223" s="7" t="str">
        <f t="shared" si="6"/>
        <v>461594300009694</v>
      </c>
      <c r="B223" s="7" t="str">
        <f t="shared" si="7"/>
        <v>GP003683B867</v>
      </c>
      <c r="C223" t="s">
        <v>1177</v>
      </c>
      <c r="D223" t="s">
        <v>1178</v>
      </c>
      <c r="E223" t="s">
        <v>2130</v>
      </c>
      <c r="F223" t="s">
        <v>1363</v>
      </c>
      <c r="G223" t="s">
        <v>1363</v>
      </c>
      <c r="H223" t="s">
        <v>1271</v>
      </c>
      <c r="I223">
        <v>46159</v>
      </c>
      <c r="J223" t="s">
        <v>2131</v>
      </c>
      <c r="K223" t="s">
        <v>1285</v>
      </c>
      <c r="L223" t="s">
        <v>1177</v>
      </c>
      <c r="M223" t="s">
        <v>1274</v>
      </c>
      <c r="N223" t="s">
        <v>1079</v>
      </c>
      <c r="O223" t="s">
        <v>1275</v>
      </c>
      <c r="P223">
        <v>46159</v>
      </c>
      <c r="Q223" t="s">
        <v>1177</v>
      </c>
      <c r="R223" t="s">
        <v>25</v>
      </c>
      <c r="S223" t="s">
        <v>1060</v>
      </c>
      <c r="T223" t="s">
        <v>2126</v>
      </c>
      <c r="U223" t="s">
        <v>2127</v>
      </c>
      <c r="V223">
        <v>6</v>
      </c>
      <c r="W223" t="s">
        <v>1262</v>
      </c>
      <c r="X223" t="s">
        <v>1262</v>
      </c>
      <c r="Y223">
        <v>0</v>
      </c>
      <c r="Z223" t="s">
        <v>1186</v>
      </c>
      <c r="AA223" t="s">
        <v>1177</v>
      </c>
      <c r="AB223" t="s">
        <v>1276</v>
      </c>
      <c r="AC223" t="s">
        <v>1277</v>
      </c>
      <c r="AD223" t="s">
        <v>1278</v>
      </c>
      <c r="AE223" t="s">
        <v>1378</v>
      </c>
      <c r="AF223" t="s">
        <v>1178</v>
      </c>
      <c r="AG223" t="s">
        <v>1190</v>
      </c>
      <c r="AH223" t="s">
        <v>1178</v>
      </c>
      <c r="AI223" t="s">
        <v>1280</v>
      </c>
      <c r="AJ223" t="s">
        <v>1190</v>
      </c>
      <c r="AK223">
        <v>0</v>
      </c>
      <c r="AL223" t="s">
        <v>1262</v>
      </c>
      <c r="AM223">
        <v>46069</v>
      </c>
      <c r="AN223">
        <v>46163</v>
      </c>
      <c r="AO223">
        <v>46163</v>
      </c>
      <c r="AP223">
        <v>46167</v>
      </c>
      <c r="AQ223">
        <v>46167</v>
      </c>
      <c r="AR223">
        <v>46169</v>
      </c>
      <c r="AS223">
        <v>46169</v>
      </c>
      <c r="AT223" t="s">
        <v>1281</v>
      </c>
      <c r="AU223" t="s">
        <v>1177</v>
      </c>
      <c r="AV223" t="s">
        <v>1192</v>
      </c>
      <c r="AW223" t="s">
        <v>1177</v>
      </c>
      <c r="AX223">
        <v>0</v>
      </c>
      <c r="AY223">
        <v>0</v>
      </c>
      <c r="AZ223" t="s">
        <v>1177</v>
      </c>
      <c r="BA223">
        <v>0</v>
      </c>
      <c r="BB223" t="s">
        <v>1262</v>
      </c>
      <c r="BC223" t="e">
        <v>#N/A</v>
      </c>
      <c r="BD223" t="e">
        <v>#N/A</v>
      </c>
      <c r="BE223" t="e">
        <v>#N/A</v>
      </c>
      <c r="BF223" t="e">
        <v>#N/A</v>
      </c>
      <c r="BG223" t="s">
        <v>1212</v>
      </c>
      <c r="BH223" t="s">
        <v>1194</v>
      </c>
      <c r="BI223" t="s">
        <v>2055</v>
      </c>
    </row>
    <row r="224" spans="1:61" x14ac:dyDescent="0.35">
      <c r="A224" s="7" t="str">
        <f t="shared" si="6"/>
        <v>461594300009715</v>
      </c>
      <c r="B224" s="7" t="str">
        <f t="shared" si="7"/>
        <v>GP344470B864</v>
      </c>
      <c r="C224" t="s">
        <v>1177</v>
      </c>
      <c r="D224" t="s">
        <v>1178</v>
      </c>
      <c r="E224" t="s">
        <v>2132</v>
      </c>
      <c r="F224" t="s">
        <v>1363</v>
      </c>
      <c r="G224" t="s">
        <v>1363</v>
      </c>
      <c r="H224" t="s">
        <v>1271</v>
      </c>
      <c r="I224">
        <v>46159</v>
      </c>
      <c r="J224" t="s">
        <v>2133</v>
      </c>
      <c r="K224" t="s">
        <v>1182</v>
      </c>
      <c r="L224" t="s">
        <v>1177</v>
      </c>
      <c r="M224" t="s">
        <v>1274</v>
      </c>
      <c r="N224" t="s">
        <v>1079</v>
      </c>
      <c r="O224" t="s">
        <v>1275</v>
      </c>
      <c r="P224">
        <v>46159</v>
      </c>
      <c r="Q224" t="s">
        <v>1177</v>
      </c>
      <c r="R224" t="s">
        <v>10</v>
      </c>
      <c r="S224" t="s">
        <v>1011</v>
      </c>
      <c r="T224" t="s">
        <v>504</v>
      </c>
      <c r="U224" t="s">
        <v>505</v>
      </c>
      <c r="V224">
        <v>1</v>
      </c>
      <c r="W224" t="s">
        <v>1262</v>
      </c>
      <c r="X224" t="s">
        <v>1262</v>
      </c>
      <c r="Y224">
        <v>0</v>
      </c>
      <c r="Z224" t="s">
        <v>1186</v>
      </c>
      <c r="AA224" t="s">
        <v>1177</v>
      </c>
      <c r="AB224" t="s">
        <v>1276</v>
      </c>
      <c r="AC224" t="s">
        <v>1277</v>
      </c>
      <c r="AD224" t="s">
        <v>1278</v>
      </c>
      <c r="AE224" t="s">
        <v>2134</v>
      </c>
      <c r="AF224" t="s">
        <v>1178</v>
      </c>
      <c r="AG224" t="s">
        <v>1190</v>
      </c>
      <c r="AH224" t="s">
        <v>1178</v>
      </c>
      <c r="AI224" t="s">
        <v>1280</v>
      </c>
      <c r="AJ224" t="s">
        <v>1190</v>
      </c>
      <c r="AK224">
        <v>0</v>
      </c>
      <c r="AL224" t="s">
        <v>1262</v>
      </c>
      <c r="AM224">
        <v>46042</v>
      </c>
      <c r="AN224">
        <v>46315</v>
      </c>
      <c r="AO224">
        <v>46163</v>
      </c>
      <c r="AP224">
        <v>46167</v>
      </c>
      <c r="AQ224">
        <v>46167</v>
      </c>
      <c r="AR224">
        <v>46169</v>
      </c>
      <c r="AS224">
        <v>46171</v>
      </c>
      <c r="AT224" t="s">
        <v>1281</v>
      </c>
      <c r="AU224" t="s">
        <v>1177</v>
      </c>
      <c r="AV224" t="s">
        <v>1192</v>
      </c>
      <c r="AW224" t="s">
        <v>1177</v>
      </c>
      <c r="AX224">
        <v>33</v>
      </c>
      <c r="AY224">
        <v>2</v>
      </c>
      <c r="AZ224" t="s">
        <v>1177</v>
      </c>
      <c r="BA224">
        <v>0</v>
      </c>
      <c r="BB224" t="s">
        <v>1262</v>
      </c>
      <c r="BC224" t="e">
        <v>#N/A</v>
      </c>
      <c r="BD224" t="e">
        <v>#N/A</v>
      </c>
      <c r="BE224" t="e">
        <v>#N/A</v>
      </c>
      <c r="BF224" t="e">
        <v>#N/A</v>
      </c>
      <c r="BG224" t="s">
        <v>126</v>
      </c>
      <c r="BH224" t="s">
        <v>1873</v>
      </c>
      <c r="BI224" t="s">
        <v>126</v>
      </c>
    </row>
    <row r="225" spans="1:61" x14ac:dyDescent="0.35">
      <c r="A225" s="7" t="str">
        <f t="shared" si="6"/>
        <v>461594300009720</v>
      </c>
      <c r="B225" s="7" t="str">
        <f t="shared" si="7"/>
        <v>GP243613B857</v>
      </c>
      <c r="C225" t="s">
        <v>1177</v>
      </c>
      <c r="D225" t="s">
        <v>1178</v>
      </c>
      <c r="E225" t="s">
        <v>2135</v>
      </c>
      <c r="F225" t="s">
        <v>1363</v>
      </c>
      <c r="G225" t="s">
        <v>1363</v>
      </c>
      <c r="H225" t="s">
        <v>1271</v>
      </c>
      <c r="I225">
        <v>46159</v>
      </c>
      <c r="J225" t="s">
        <v>2136</v>
      </c>
      <c r="K225" t="s">
        <v>1713</v>
      </c>
      <c r="L225" t="s">
        <v>1177</v>
      </c>
      <c r="M225" t="s">
        <v>1274</v>
      </c>
      <c r="N225" t="s">
        <v>1079</v>
      </c>
      <c r="O225" t="s">
        <v>1275</v>
      </c>
      <c r="P225">
        <v>46159</v>
      </c>
      <c r="Q225" t="s">
        <v>1177</v>
      </c>
      <c r="R225" t="s">
        <v>23</v>
      </c>
      <c r="S225" t="s">
        <v>959</v>
      </c>
      <c r="T225" t="s">
        <v>869</v>
      </c>
      <c r="U225" t="s">
        <v>2137</v>
      </c>
      <c r="V225">
        <v>2</v>
      </c>
      <c r="W225" t="s">
        <v>1262</v>
      </c>
      <c r="X225" t="s">
        <v>1262</v>
      </c>
      <c r="Y225">
        <v>0</v>
      </c>
      <c r="Z225" t="s">
        <v>1186</v>
      </c>
      <c r="AA225" t="s">
        <v>1177</v>
      </c>
      <c r="AB225" t="s">
        <v>1286</v>
      </c>
      <c r="AC225" t="s">
        <v>1277</v>
      </c>
      <c r="AD225" t="s">
        <v>1278</v>
      </c>
      <c r="AE225" t="s">
        <v>1883</v>
      </c>
      <c r="AF225" t="s">
        <v>1178</v>
      </c>
      <c r="AG225" t="s">
        <v>1178</v>
      </c>
      <c r="AH225" t="s">
        <v>1178</v>
      </c>
      <c r="AI225" t="s">
        <v>1280</v>
      </c>
      <c r="AJ225" t="s">
        <v>1190</v>
      </c>
      <c r="AK225">
        <v>0</v>
      </c>
      <c r="AL225" t="s">
        <v>1262</v>
      </c>
      <c r="AM225">
        <v>46043</v>
      </c>
      <c r="AN225">
        <v>46184</v>
      </c>
      <c r="AO225">
        <v>46163</v>
      </c>
      <c r="AP225">
        <v>46167</v>
      </c>
      <c r="AQ225">
        <v>46167</v>
      </c>
      <c r="AR225">
        <v>46169</v>
      </c>
      <c r="AS225">
        <v>46171</v>
      </c>
      <c r="AT225" t="s">
        <v>1281</v>
      </c>
      <c r="AU225" t="s">
        <v>1177</v>
      </c>
      <c r="AV225" t="s">
        <v>1192</v>
      </c>
      <c r="AW225" t="s">
        <v>1177</v>
      </c>
      <c r="AX225">
        <v>33</v>
      </c>
      <c r="AY225">
        <v>2</v>
      </c>
      <c r="AZ225" t="s">
        <v>1177</v>
      </c>
      <c r="BA225">
        <v>0</v>
      </c>
      <c r="BB225" t="s">
        <v>1262</v>
      </c>
      <c r="BC225" t="s">
        <v>1580</v>
      </c>
      <c r="BD225">
        <v>4</v>
      </c>
      <c r="BE225">
        <v>46195</v>
      </c>
      <c r="BF225" t="s">
        <v>1165</v>
      </c>
      <c r="BG225" t="s">
        <v>1212</v>
      </c>
      <c r="BH225" t="s">
        <v>1567</v>
      </c>
      <c r="BI225" t="s">
        <v>1212</v>
      </c>
    </row>
    <row r="226" spans="1:61" x14ac:dyDescent="0.35">
      <c r="A226" s="7" t="str">
        <f t="shared" si="6"/>
        <v>461594300009737</v>
      </c>
      <c r="B226" s="7" t="str">
        <f t="shared" si="7"/>
        <v>GP574309B864</v>
      </c>
      <c r="C226" t="s">
        <v>1177</v>
      </c>
      <c r="D226" t="s">
        <v>1178</v>
      </c>
      <c r="E226" t="s">
        <v>2142</v>
      </c>
      <c r="F226" t="s">
        <v>1363</v>
      </c>
      <c r="G226" t="s">
        <v>1363</v>
      </c>
      <c r="H226" t="s">
        <v>1271</v>
      </c>
      <c r="I226">
        <v>46159</v>
      </c>
      <c r="J226" t="s">
        <v>2143</v>
      </c>
      <c r="K226" t="s">
        <v>1182</v>
      </c>
      <c r="L226" t="s">
        <v>1177</v>
      </c>
      <c r="M226" t="s">
        <v>1274</v>
      </c>
      <c r="N226" t="s">
        <v>1079</v>
      </c>
      <c r="O226" t="s">
        <v>1275</v>
      </c>
      <c r="P226">
        <v>46159</v>
      </c>
      <c r="Q226" t="s">
        <v>1177</v>
      </c>
      <c r="R226" t="s">
        <v>10</v>
      </c>
      <c r="S226" t="s">
        <v>1011</v>
      </c>
      <c r="T226" t="s">
        <v>2144</v>
      </c>
      <c r="U226" t="s">
        <v>2145</v>
      </c>
      <c r="V226">
        <v>19</v>
      </c>
      <c r="W226" t="s">
        <v>1262</v>
      </c>
      <c r="X226" t="s">
        <v>1262</v>
      </c>
      <c r="Y226">
        <v>0</v>
      </c>
      <c r="Z226" t="s">
        <v>1186</v>
      </c>
      <c r="AA226" t="s">
        <v>1177</v>
      </c>
      <c r="AB226" t="s">
        <v>1276</v>
      </c>
      <c r="AC226" t="s">
        <v>1277</v>
      </c>
      <c r="AD226" t="s">
        <v>1278</v>
      </c>
      <c r="AE226" t="s">
        <v>1747</v>
      </c>
      <c r="AF226" t="s">
        <v>1178</v>
      </c>
      <c r="AG226" t="s">
        <v>1190</v>
      </c>
      <c r="AH226" t="s">
        <v>1178</v>
      </c>
      <c r="AI226" t="s">
        <v>1280</v>
      </c>
      <c r="AJ226" t="s">
        <v>1189</v>
      </c>
      <c r="AK226">
        <v>19</v>
      </c>
      <c r="AL226" t="s">
        <v>1262</v>
      </c>
      <c r="AM226">
        <v>46232</v>
      </c>
      <c r="AN226">
        <v>46226</v>
      </c>
      <c r="AO226">
        <v>46226</v>
      </c>
      <c r="AP226">
        <v>46230</v>
      </c>
      <c r="AQ226">
        <v>46230</v>
      </c>
      <c r="AR226">
        <v>46232</v>
      </c>
      <c r="AS226">
        <v>46232</v>
      </c>
      <c r="AT226" t="s">
        <v>1281</v>
      </c>
      <c r="AU226" t="s">
        <v>1177</v>
      </c>
      <c r="AV226" t="s">
        <v>1192</v>
      </c>
      <c r="AW226" t="s">
        <v>1177</v>
      </c>
      <c r="AX226">
        <v>0</v>
      </c>
      <c r="AY226">
        <v>0</v>
      </c>
      <c r="AZ226" t="s">
        <v>1177</v>
      </c>
      <c r="BA226">
        <v>0</v>
      </c>
      <c r="BB226" t="s">
        <v>1262</v>
      </c>
      <c r="BC226" t="s">
        <v>2146</v>
      </c>
      <c r="BD226">
        <v>19</v>
      </c>
      <c r="BE226">
        <v>46293</v>
      </c>
      <c r="BF226" t="s">
        <v>1165</v>
      </c>
      <c r="BG226" t="s">
        <v>1372</v>
      </c>
      <c r="BH226" t="s">
        <v>1903</v>
      </c>
      <c r="BI226" t="s">
        <v>1177</v>
      </c>
    </row>
    <row r="227" spans="1:61" x14ac:dyDescent="0.35">
      <c r="A227" s="7" t="str">
        <f t="shared" si="6"/>
        <v>461594300009738</v>
      </c>
      <c r="B227" s="7" t="str">
        <f t="shared" si="7"/>
        <v>GP502897B865</v>
      </c>
      <c r="C227" t="s">
        <v>1177</v>
      </c>
      <c r="D227" t="s">
        <v>1178</v>
      </c>
      <c r="E227" t="s">
        <v>2149</v>
      </c>
      <c r="F227" t="s">
        <v>1363</v>
      </c>
      <c r="G227" t="s">
        <v>1363</v>
      </c>
      <c r="H227" t="s">
        <v>1271</v>
      </c>
      <c r="I227">
        <v>46159</v>
      </c>
      <c r="J227" t="s">
        <v>2150</v>
      </c>
      <c r="K227" t="s">
        <v>1198</v>
      </c>
      <c r="L227" t="s">
        <v>1177</v>
      </c>
      <c r="M227" t="s">
        <v>1274</v>
      </c>
      <c r="N227" t="s">
        <v>1079</v>
      </c>
      <c r="O227" t="s">
        <v>1275</v>
      </c>
      <c r="P227">
        <v>46282</v>
      </c>
      <c r="Q227" t="s">
        <v>1177</v>
      </c>
      <c r="R227" t="s">
        <v>7</v>
      </c>
      <c r="S227" t="s">
        <v>1040</v>
      </c>
      <c r="T227" t="s">
        <v>2147</v>
      </c>
      <c r="U227" t="s">
        <v>2148</v>
      </c>
      <c r="V227">
        <v>26</v>
      </c>
      <c r="W227" t="s">
        <v>1262</v>
      </c>
      <c r="X227" t="s">
        <v>1262</v>
      </c>
      <c r="Y227">
        <v>0</v>
      </c>
      <c r="Z227" t="s">
        <v>1186</v>
      </c>
      <c r="AA227" t="s">
        <v>1177</v>
      </c>
      <c r="AB227" t="s">
        <v>1286</v>
      </c>
      <c r="AC227" t="s">
        <v>1277</v>
      </c>
      <c r="AD227" t="s">
        <v>1278</v>
      </c>
      <c r="AE227" t="s">
        <v>1308</v>
      </c>
      <c r="AF227" t="s">
        <v>1178</v>
      </c>
      <c r="AG227" t="s">
        <v>1178</v>
      </c>
      <c r="AH227" t="s">
        <v>1178</v>
      </c>
      <c r="AI227" t="s">
        <v>1349</v>
      </c>
      <c r="AJ227" t="s">
        <v>1190</v>
      </c>
      <c r="AK227">
        <v>0</v>
      </c>
      <c r="AL227" t="s">
        <v>1262</v>
      </c>
      <c r="AM227">
        <v>46265</v>
      </c>
      <c r="AN227">
        <v>46258</v>
      </c>
      <c r="AO227">
        <v>46258</v>
      </c>
      <c r="AP227">
        <v>46260</v>
      </c>
      <c r="AQ227">
        <v>46260</v>
      </c>
      <c r="AR227">
        <v>46262</v>
      </c>
      <c r="AS227">
        <v>46262</v>
      </c>
      <c r="AT227" t="s">
        <v>1281</v>
      </c>
      <c r="AU227" t="s">
        <v>1177</v>
      </c>
      <c r="AV227" t="s">
        <v>1192</v>
      </c>
      <c r="AW227" t="s">
        <v>1177</v>
      </c>
      <c r="AX227">
        <v>0</v>
      </c>
      <c r="AY227">
        <v>0</v>
      </c>
      <c r="AZ227" t="s">
        <v>1177</v>
      </c>
      <c r="BA227">
        <v>0</v>
      </c>
      <c r="BB227" t="s">
        <v>1262</v>
      </c>
      <c r="BC227" t="s">
        <v>2151</v>
      </c>
      <c r="BD227">
        <v>130</v>
      </c>
      <c r="BE227">
        <v>46288</v>
      </c>
      <c r="BF227" t="s">
        <v>1165</v>
      </c>
      <c r="BG227" t="s">
        <v>1372</v>
      </c>
      <c r="BH227" t="s">
        <v>1903</v>
      </c>
      <c r="BI227" t="s">
        <v>1177</v>
      </c>
    </row>
    <row r="228" spans="1:61" x14ac:dyDescent="0.35">
      <c r="A228" s="7" t="str">
        <f t="shared" si="6"/>
        <v>461594300009756</v>
      </c>
      <c r="B228" s="7" t="str">
        <f t="shared" si="7"/>
        <v>GP108981B865</v>
      </c>
      <c r="C228" t="s">
        <v>1177</v>
      </c>
      <c r="D228" t="s">
        <v>1178</v>
      </c>
      <c r="E228" t="s">
        <v>2152</v>
      </c>
      <c r="F228" t="s">
        <v>1363</v>
      </c>
      <c r="G228" t="s">
        <v>1363</v>
      </c>
      <c r="H228" t="s">
        <v>1271</v>
      </c>
      <c r="I228">
        <v>46159</v>
      </c>
      <c r="J228" t="s">
        <v>2153</v>
      </c>
      <c r="K228" t="s">
        <v>1182</v>
      </c>
      <c r="L228" t="s">
        <v>1177</v>
      </c>
      <c r="M228" t="s">
        <v>1274</v>
      </c>
      <c r="N228" t="s">
        <v>1079</v>
      </c>
      <c r="O228" t="s">
        <v>1275</v>
      </c>
      <c r="P228">
        <v>46159</v>
      </c>
      <c r="Q228" t="s">
        <v>1177</v>
      </c>
      <c r="R228" t="s">
        <v>7</v>
      </c>
      <c r="S228" t="s">
        <v>1040</v>
      </c>
      <c r="T228" t="s">
        <v>637</v>
      </c>
      <c r="U228" t="s">
        <v>638</v>
      </c>
      <c r="V228">
        <v>2</v>
      </c>
      <c r="W228" t="s">
        <v>1262</v>
      </c>
      <c r="X228" t="s">
        <v>1262</v>
      </c>
      <c r="Y228">
        <v>0</v>
      </c>
      <c r="Z228" t="s">
        <v>1186</v>
      </c>
      <c r="AA228" t="s">
        <v>1177</v>
      </c>
      <c r="AB228" t="s">
        <v>1177</v>
      </c>
      <c r="AC228" t="s">
        <v>1177</v>
      </c>
      <c r="AD228" t="s">
        <v>1204</v>
      </c>
      <c r="AE228" t="s">
        <v>1188</v>
      </c>
      <c r="AF228" t="s">
        <v>1189</v>
      </c>
      <c r="AG228" t="s">
        <v>1178</v>
      </c>
      <c r="AH228" t="s">
        <v>1178</v>
      </c>
      <c r="AI228" t="s">
        <v>1177</v>
      </c>
      <c r="AJ228" t="s">
        <v>1190</v>
      </c>
      <c r="AK228">
        <v>0</v>
      </c>
      <c r="AL228" t="s">
        <v>1262</v>
      </c>
      <c r="AM228">
        <v>46388</v>
      </c>
      <c r="AN228">
        <v>46377</v>
      </c>
      <c r="AO228">
        <v>46377</v>
      </c>
      <c r="AP228">
        <v>46379</v>
      </c>
      <c r="AQ228">
        <v>46379</v>
      </c>
      <c r="AR228">
        <v>46380</v>
      </c>
      <c r="AS228">
        <v>46393</v>
      </c>
      <c r="AT228" t="s">
        <v>1281</v>
      </c>
      <c r="AU228" t="s">
        <v>1177</v>
      </c>
      <c r="AV228" t="s">
        <v>1192</v>
      </c>
      <c r="AW228" t="s">
        <v>1177</v>
      </c>
      <c r="AX228">
        <v>80</v>
      </c>
      <c r="AY228">
        <v>2</v>
      </c>
      <c r="AZ228" t="s">
        <v>1177</v>
      </c>
      <c r="BA228">
        <v>0</v>
      </c>
      <c r="BB228" t="s">
        <v>1262</v>
      </c>
      <c r="BC228" t="s">
        <v>2154</v>
      </c>
      <c r="BD228">
        <v>50</v>
      </c>
      <c r="BE228">
        <v>46190</v>
      </c>
      <c r="BF228" t="s">
        <v>1165</v>
      </c>
      <c r="BG228" t="s">
        <v>1581</v>
      </c>
      <c r="BH228" t="s">
        <v>1194</v>
      </c>
      <c r="BI228" t="s">
        <v>2155</v>
      </c>
    </row>
    <row r="229" spans="1:61" x14ac:dyDescent="0.35">
      <c r="A229" s="7" t="str">
        <f t="shared" si="6"/>
        <v>461594300009758</v>
      </c>
      <c r="B229" s="7" t="str">
        <f t="shared" si="7"/>
        <v>GP479703B856</v>
      </c>
      <c r="C229" t="s">
        <v>1177</v>
      </c>
      <c r="D229" t="s">
        <v>1178</v>
      </c>
      <c r="E229" t="s">
        <v>2162</v>
      </c>
      <c r="F229" t="s">
        <v>1363</v>
      </c>
      <c r="G229" t="s">
        <v>1363</v>
      </c>
      <c r="H229" t="s">
        <v>1271</v>
      </c>
      <c r="I229">
        <v>46159</v>
      </c>
      <c r="J229" t="s">
        <v>2163</v>
      </c>
      <c r="K229" t="s">
        <v>1199</v>
      </c>
      <c r="L229" t="s">
        <v>1177</v>
      </c>
      <c r="M229" t="s">
        <v>1274</v>
      </c>
      <c r="N229" t="s">
        <v>1079</v>
      </c>
      <c r="O229" t="s">
        <v>1275</v>
      </c>
      <c r="P229">
        <v>46159</v>
      </c>
      <c r="Q229" t="s">
        <v>1177</v>
      </c>
      <c r="R229" t="s">
        <v>21</v>
      </c>
      <c r="S229" t="s">
        <v>853</v>
      </c>
      <c r="T229" t="s">
        <v>844</v>
      </c>
      <c r="U229" t="s">
        <v>845</v>
      </c>
      <c r="V229">
        <v>1</v>
      </c>
      <c r="W229" t="s">
        <v>1262</v>
      </c>
      <c r="X229" t="s">
        <v>1262</v>
      </c>
      <c r="Y229">
        <v>0</v>
      </c>
      <c r="Z229" t="s">
        <v>1186</v>
      </c>
      <c r="AA229" t="s">
        <v>1177</v>
      </c>
      <c r="AB229" t="s">
        <v>1286</v>
      </c>
      <c r="AC229" t="s">
        <v>1277</v>
      </c>
      <c r="AD229" t="s">
        <v>1278</v>
      </c>
      <c r="AE229" t="s">
        <v>1445</v>
      </c>
      <c r="AF229" t="s">
        <v>1178</v>
      </c>
      <c r="AG229" t="s">
        <v>1178</v>
      </c>
      <c r="AH229" t="s">
        <v>1178</v>
      </c>
      <c r="AI229" t="s">
        <v>1280</v>
      </c>
      <c r="AJ229" t="s">
        <v>1190</v>
      </c>
      <c r="AK229">
        <v>0</v>
      </c>
      <c r="AL229" t="s">
        <v>1262</v>
      </c>
      <c r="AM229">
        <v>46030</v>
      </c>
      <c r="AN229">
        <v>46280</v>
      </c>
      <c r="AO229">
        <v>46163</v>
      </c>
      <c r="AP229">
        <v>46167</v>
      </c>
      <c r="AQ229">
        <v>46167</v>
      </c>
      <c r="AR229">
        <v>46169</v>
      </c>
      <c r="AS229">
        <v>46169</v>
      </c>
      <c r="AT229" t="s">
        <v>1281</v>
      </c>
      <c r="AU229" t="s">
        <v>1177</v>
      </c>
      <c r="AV229" t="s">
        <v>1192</v>
      </c>
      <c r="AW229" t="s">
        <v>1177</v>
      </c>
      <c r="AX229">
        <v>0</v>
      </c>
      <c r="AY229">
        <v>0</v>
      </c>
      <c r="AZ229" t="s">
        <v>1177</v>
      </c>
      <c r="BA229">
        <v>0</v>
      </c>
      <c r="BB229" t="s">
        <v>1262</v>
      </c>
      <c r="BC229" t="e">
        <v>#N/A</v>
      </c>
      <c r="BD229" t="e">
        <v>#N/A</v>
      </c>
      <c r="BE229" t="e">
        <v>#N/A</v>
      </c>
      <c r="BF229" t="e">
        <v>#N/A</v>
      </c>
      <c r="BG229" t="s">
        <v>1212</v>
      </c>
      <c r="BH229" t="s">
        <v>1194</v>
      </c>
      <c r="BI229" t="s">
        <v>1212</v>
      </c>
    </row>
    <row r="230" spans="1:61" x14ac:dyDescent="0.35">
      <c r="A230" s="7" t="str">
        <f t="shared" si="6"/>
        <v>461594300009759</v>
      </c>
      <c r="B230" s="7" t="str">
        <f t="shared" si="7"/>
        <v>GP479703B857</v>
      </c>
      <c r="C230" t="s">
        <v>1177</v>
      </c>
      <c r="D230" t="s">
        <v>1178</v>
      </c>
      <c r="E230" t="s">
        <v>2164</v>
      </c>
      <c r="F230" t="s">
        <v>1363</v>
      </c>
      <c r="G230" t="s">
        <v>1363</v>
      </c>
      <c r="H230" t="s">
        <v>1271</v>
      </c>
      <c r="I230">
        <v>46159</v>
      </c>
      <c r="J230" t="s">
        <v>2165</v>
      </c>
      <c r="K230" t="s">
        <v>1199</v>
      </c>
      <c r="L230" t="s">
        <v>1177</v>
      </c>
      <c r="M230" t="s">
        <v>1274</v>
      </c>
      <c r="N230" t="s">
        <v>1079</v>
      </c>
      <c r="O230" t="s">
        <v>1275</v>
      </c>
      <c r="P230">
        <v>46159</v>
      </c>
      <c r="Q230" t="s">
        <v>1177</v>
      </c>
      <c r="R230" t="s">
        <v>23</v>
      </c>
      <c r="S230" t="s">
        <v>959</v>
      </c>
      <c r="T230" t="s">
        <v>844</v>
      </c>
      <c r="U230" t="s">
        <v>845</v>
      </c>
      <c r="V230">
        <v>4</v>
      </c>
      <c r="W230" t="s">
        <v>1262</v>
      </c>
      <c r="X230" t="s">
        <v>1262</v>
      </c>
      <c r="Y230">
        <v>0</v>
      </c>
      <c r="Z230" t="s">
        <v>1186</v>
      </c>
      <c r="AA230" t="s">
        <v>1177</v>
      </c>
      <c r="AB230" t="s">
        <v>1286</v>
      </c>
      <c r="AC230" t="s">
        <v>1277</v>
      </c>
      <c r="AD230" t="s">
        <v>1278</v>
      </c>
      <c r="AE230" t="s">
        <v>1445</v>
      </c>
      <c r="AF230" t="s">
        <v>1178</v>
      </c>
      <c r="AG230" t="s">
        <v>1178</v>
      </c>
      <c r="AH230" t="s">
        <v>1178</v>
      </c>
      <c r="AI230" t="s">
        <v>1280</v>
      </c>
      <c r="AJ230" t="s">
        <v>1190</v>
      </c>
      <c r="AK230">
        <v>0</v>
      </c>
      <c r="AL230" t="s">
        <v>1262</v>
      </c>
      <c r="AM230">
        <v>46184</v>
      </c>
      <c r="AN230">
        <v>46280</v>
      </c>
      <c r="AO230">
        <v>46176</v>
      </c>
      <c r="AP230">
        <v>46181</v>
      </c>
      <c r="AQ230">
        <v>46181</v>
      </c>
      <c r="AR230">
        <v>46183</v>
      </c>
      <c r="AS230">
        <v>46185</v>
      </c>
      <c r="AT230" t="s">
        <v>1281</v>
      </c>
      <c r="AU230" t="s">
        <v>1177</v>
      </c>
      <c r="AV230" t="s">
        <v>1192</v>
      </c>
      <c r="AW230" t="s">
        <v>1177</v>
      </c>
      <c r="AX230">
        <v>154</v>
      </c>
      <c r="AY230">
        <v>2</v>
      </c>
      <c r="AZ230" t="s">
        <v>1177</v>
      </c>
      <c r="BA230">
        <v>0</v>
      </c>
      <c r="BB230" t="s">
        <v>1262</v>
      </c>
      <c r="BC230" t="s">
        <v>1580</v>
      </c>
      <c r="BD230">
        <v>1</v>
      </c>
      <c r="BE230">
        <v>46191</v>
      </c>
      <c r="BF230" t="s">
        <v>1165</v>
      </c>
      <c r="BG230" t="s">
        <v>1212</v>
      </c>
      <c r="BH230" t="s">
        <v>1194</v>
      </c>
      <c r="BI230" t="s">
        <v>1212</v>
      </c>
    </row>
    <row r="231" spans="1:61" x14ac:dyDescent="0.35">
      <c r="A231" s="7" t="str">
        <f t="shared" si="6"/>
        <v>461594300009766</v>
      </c>
      <c r="B231" s="7" t="str">
        <f t="shared" si="7"/>
        <v>149776B865</v>
      </c>
      <c r="C231" t="s">
        <v>1177</v>
      </c>
      <c r="D231" t="s">
        <v>1178</v>
      </c>
      <c r="E231" t="s">
        <v>2167</v>
      </c>
      <c r="F231" t="s">
        <v>1363</v>
      </c>
      <c r="G231" t="s">
        <v>1363</v>
      </c>
      <c r="H231" t="s">
        <v>1271</v>
      </c>
      <c r="I231">
        <v>46159</v>
      </c>
      <c r="J231" t="s">
        <v>2168</v>
      </c>
      <c r="K231" t="s">
        <v>1423</v>
      </c>
      <c r="L231" t="s">
        <v>1177</v>
      </c>
      <c r="M231" t="s">
        <v>1274</v>
      </c>
      <c r="N231" t="s">
        <v>1079</v>
      </c>
      <c r="O231" t="s">
        <v>1275</v>
      </c>
      <c r="P231">
        <v>46159</v>
      </c>
      <c r="Q231" t="s">
        <v>1177</v>
      </c>
      <c r="R231" t="s">
        <v>7</v>
      </c>
      <c r="S231" t="s">
        <v>1040</v>
      </c>
      <c r="T231" t="s">
        <v>1765</v>
      </c>
      <c r="U231" t="s">
        <v>337</v>
      </c>
      <c r="V231">
        <v>1</v>
      </c>
      <c r="W231" t="s">
        <v>1262</v>
      </c>
      <c r="X231" t="s">
        <v>1262</v>
      </c>
      <c r="Y231">
        <v>0</v>
      </c>
      <c r="Z231" t="s">
        <v>1186</v>
      </c>
      <c r="AA231" t="s">
        <v>1177</v>
      </c>
      <c r="AB231" t="s">
        <v>1177</v>
      </c>
      <c r="AC231" t="s">
        <v>1177</v>
      </c>
      <c r="AD231" t="s">
        <v>1204</v>
      </c>
      <c r="AE231" t="s">
        <v>1463</v>
      </c>
      <c r="AF231" t="s">
        <v>1189</v>
      </c>
      <c r="AG231" t="s">
        <v>1178</v>
      </c>
      <c r="AH231" t="s">
        <v>1178</v>
      </c>
      <c r="AI231" t="s">
        <v>1349</v>
      </c>
      <c r="AJ231" t="s">
        <v>1190</v>
      </c>
      <c r="AK231">
        <v>0</v>
      </c>
      <c r="AL231" t="s">
        <v>1262</v>
      </c>
      <c r="AM231">
        <v>46034</v>
      </c>
      <c r="AN231">
        <v>46160</v>
      </c>
      <c r="AO231">
        <v>46160</v>
      </c>
      <c r="AP231">
        <v>46162</v>
      </c>
      <c r="AQ231">
        <v>46162</v>
      </c>
      <c r="AR231">
        <v>46164</v>
      </c>
      <c r="AS231">
        <v>46164</v>
      </c>
      <c r="AT231" t="s">
        <v>1281</v>
      </c>
      <c r="AU231" t="s">
        <v>1177</v>
      </c>
      <c r="AV231" t="s">
        <v>1192</v>
      </c>
      <c r="AW231" t="s">
        <v>1177</v>
      </c>
      <c r="AX231">
        <v>0</v>
      </c>
      <c r="AY231">
        <v>0</v>
      </c>
      <c r="AZ231" t="s">
        <v>1177</v>
      </c>
      <c r="BA231">
        <v>0</v>
      </c>
      <c r="BB231" t="s">
        <v>1262</v>
      </c>
      <c r="BC231" t="e">
        <v>#N/A</v>
      </c>
      <c r="BD231" t="e">
        <v>#N/A</v>
      </c>
      <c r="BE231" t="e">
        <v>#N/A</v>
      </c>
      <c r="BF231" t="e">
        <v>#N/A</v>
      </c>
      <c r="BG231" t="s">
        <v>1464</v>
      </c>
      <c r="BH231" t="s">
        <v>2169</v>
      </c>
      <c r="BI231" t="s">
        <v>2170</v>
      </c>
    </row>
    <row r="232" spans="1:61" x14ac:dyDescent="0.35">
      <c r="A232" s="7" t="str">
        <f t="shared" si="6"/>
        <v>461594300009778</v>
      </c>
      <c r="B232" s="7" t="str">
        <f t="shared" si="7"/>
        <v>GP072706B856</v>
      </c>
      <c r="C232" t="s">
        <v>1177</v>
      </c>
      <c r="D232" t="s">
        <v>1178</v>
      </c>
      <c r="E232" t="s">
        <v>2171</v>
      </c>
      <c r="F232" t="s">
        <v>1363</v>
      </c>
      <c r="G232" t="s">
        <v>1363</v>
      </c>
      <c r="H232" t="s">
        <v>1271</v>
      </c>
      <c r="I232">
        <v>46159</v>
      </c>
      <c r="J232" t="s">
        <v>2172</v>
      </c>
      <c r="K232" t="s">
        <v>1380</v>
      </c>
      <c r="L232" t="s">
        <v>1177</v>
      </c>
      <c r="M232" t="s">
        <v>1274</v>
      </c>
      <c r="N232" t="s">
        <v>1079</v>
      </c>
      <c r="O232" t="s">
        <v>1275</v>
      </c>
      <c r="P232">
        <v>46247</v>
      </c>
      <c r="Q232" t="s">
        <v>1177</v>
      </c>
      <c r="R232" t="s">
        <v>21</v>
      </c>
      <c r="S232" t="s">
        <v>853</v>
      </c>
      <c r="T232" t="s">
        <v>316</v>
      </c>
      <c r="U232" t="s">
        <v>317</v>
      </c>
      <c r="V232">
        <v>12.3</v>
      </c>
      <c r="W232" t="s">
        <v>1202</v>
      </c>
      <c r="X232" t="s">
        <v>1202</v>
      </c>
      <c r="Y232">
        <v>0</v>
      </c>
      <c r="Z232" t="s">
        <v>1186</v>
      </c>
      <c r="AA232" t="s">
        <v>1177</v>
      </c>
      <c r="AB232" t="s">
        <v>1177</v>
      </c>
      <c r="AC232" t="s">
        <v>1177</v>
      </c>
      <c r="AD232" t="s">
        <v>1204</v>
      </c>
      <c r="AE232" t="s">
        <v>1850</v>
      </c>
      <c r="AF232" t="s">
        <v>1189</v>
      </c>
      <c r="AG232" t="s">
        <v>1178</v>
      </c>
      <c r="AH232" t="s">
        <v>1178</v>
      </c>
      <c r="AI232" t="s">
        <v>1280</v>
      </c>
      <c r="AJ232" t="s">
        <v>1190</v>
      </c>
      <c r="AK232">
        <v>0</v>
      </c>
      <c r="AL232" t="s">
        <v>1202</v>
      </c>
      <c r="AM232">
        <v>46278</v>
      </c>
      <c r="AN232">
        <v>46281</v>
      </c>
      <c r="AO232">
        <v>46267</v>
      </c>
      <c r="AP232">
        <v>46269</v>
      </c>
      <c r="AQ232">
        <v>46269</v>
      </c>
      <c r="AR232">
        <v>46274</v>
      </c>
      <c r="AS232">
        <v>46276</v>
      </c>
      <c r="AT232" t="s">
        <v>1281</v>
      </c>
      <c r="AU232" t="s">
        <v>1177</v>
      </c>
      <c r="AV232" t="s">
        <v>1192</v>
      </c>
      <c r="AW232" t="s">
        <v>1177</v>
      </c>
      <c r="AX232">
        <v>62</v>
      </c>
      <c r="AY232">
        <v>2</v>
      </c>
      <c r="AZ232" t="s">
        <v>1177</v>
      </c>
      <c r="BA232">
        <v>12</v>
      </c>
      <c r="BB232" t="s">
        <v>1202</v>
      </c>
      <c r="BC232" t="e">
        <v>#N/A</v>
      </c>
      <c r="BD232" t="e">
        <v>#N/A</v>
      </c>
      <c r="BE232" t="e">
        <v>#N/A</v>
      </c>
      <c r="BF232" t="e">
        <v>#N/A</v>
      </c>
      <c r="BG232" t="s">
        <v>1581</v>
      </c>
      <c r="BH232" t="s">
        <v>1194</v>
      </c>
      <c r="BI232" t="s">
        <v>2173</v>
      </c>
    </row>
    <row r="233" spans="1:61" x14ac:dyDescent="0.35">
      <c r="A233" s="7" t="str">
        <f t="shared" si="6"/>
        <v>461594300009784</v>
      </c>
      <c r="B233" s="7" t="str">
        <f t="shared" si="7"/>
        <v>GP264351B857</v>
      </c>
      <c r="C233" t="s">
        <v>1177</v>
      </c>
      <c r="D233" t="s">
        <v>1178</v>
      </c>
      <c r="E233" t="s">
        <v>2174</v>
      </c>
      <c r="F233" t="s">
        <v>1363</v>
      </c>
      <c r="G233" t="s">
        <v>1363</v>
      </c>
      <c r="H233" t="s">
        <v>1271</v>
      </c>
      <c r="I233">
        <v>46159</v>
      </c>
      <c r="J233" t="s">
        <v>2175</v>
      </c>
      <c r="K233" t="s">
        <v>1288</v>
      </c>
      <c r="L233" t="s">
        <v>1177</v>
      </c>
      <c r="M233" t="s">
        <v>1274</v>
      </c>
      <c r="N233" t="s">
        <v>1079</v>
      </c>
      <c r="O233" t="s">
        <v>1275</v>
      </c>
      <c r="P233">
        <v>46159</v>
      </c>
      <c r="Q233" t="s">
        <v>1177</v>
      </c>
      <c r="R233" t="s">
        <v>23</v>
      </c>
      <c r="S233" t="s">
        <v>959</v>
      </c>
      <c r="T233" t="s">
        <v>2176</v>
      </c>
      <c r="U233" t="s">
        <v>2177</v>
      </c>
      <c r="V233">
        <v>4</v>
      </c>
      <c r="W233" t="s">
        <v>1262</v>
      </c>
      <c r="X233" t="s">
        <v>1262</v>
      </c>
      <c r="Y233">
        <v>0</v>
      </c>
      <c r="Z233" t="s">
        <v>1186</v>
      </c>
      <c r="AA233" t="s">
        <v>1177</v>
      </c>
      <c r="AB233" t="s">
        <v>1276</v>
      </c>
      <c r="AC233" t="s">
        <v>1277</v>
      </c>
      <c r="AD233" t="s">
        <v>1278</v>
      </c>
      <c r="AE233" t="s">
        <v>1284</v>
      </c>
      <c r="AF233" t="s">
        <v>1178</v>
      </c>
      <c r="AG233" t="s">
        <v>1190</v>
      </c>
      <c r="AH233" t="s">
        <v>1178</v>
      </c>
      <c r="AI233" t="s">
        <v>1177</v>
      </c>
      <c r="AJ233" t="s">
        <v>1190</v>
      </c>
      <c r="AK233">
        <v>0</v>
      </c>
      <c r="AL233" t="s">
        <v>1262</v>
      </c>
      <c r="AM233">
        <v>46198</v>
      </c>
      <c r="AN233">
        <v>46301</v>
      </c>
      <c r="AO233">
        <v>46188</v>
      </c>
      <c r="AP233">
        <v>46190</v>
      </c>
      <c r="AQ233">
        <v>46190</v>
      </c>
      <c r="AR233">
        <v>46191</v>
      </c>
      <c r="AS233">
        <v>46200</v>
      </c>
      <c r="AT233" t="s">
        <v>1281</v>
      </c>
      <c r="AU233" t="s">
        <v>1177</v>
      </c>
      <c r="AV233" t="s">
        <v>1192</v>
      </c>
      <c r="AW233" t="s">
        <v>1177</v>
      </c>
      <c r="AX233">
        <v>163</v>
      </c>
      <c r="AY233">
        <v>2</v>
      </c>
      <c r="AZ233" t="s">
        <v>1177</v>
      </c>
      <c r="BA233">
        <v>4</v>
      </c>
      <c r="BB233" t="s">
        <v>1262</v>
      </c>
      <c r="BC233" t="s">
        <v>1580</v>
      </c>
      <c r="BD233">
        <v>4</v>
      </c>
      <c r="BE233">
        <v>46191</v>
      </c>
      <c r="BF233" t="s">
        <v>1165</v>
      </c>
      <c r="BG233" t="s">
        <v>1212</v>
      </c>
      <c r="BH233" t="s">
        <v>1194</v>
      </c>
      <c r="BI233" t="s">
        <v>1212</v>
      </c>
    </row>
    <row r="234" spans="1:61" x14ac:dyDescent="0.35">
      <c r="A234" s="7" t="str">
        <f t="shared" si="6"/>
        <v>461594300009786</v>
      </c>
      <c r="B234" s="7" t="str">
        <f t="shared" si="7"/>
        <v>GP297079B856</v>
      </c>
      <c r="C234" t="s">
        <v>1177</v>
      </c>
      <c r="D234" t="s">
        <v>1178</v>
      </c>
      <c r="E234" t="s">
        <v>2178</v>
      </c>
      <c r="F234" t="s">
        <v>1363</v>
      </c>
      <c r="G234" t="s">
        <v>1363</v>
      </c>
      <c r="H234" t="s">
        <v>1271</v>
      </c>
      <c r="I234">
        <v>46159</v>
      </c>
      <c r="J234" t="s">
        <v>2179</v>
      </c>
      <c r="K234" t="s">
        <v>1253</v>
      </c>
      <c r="L234" t="s">
        <v>1177</v>
      </c>
      <c r="M234" t="s">
        <v>1274</v>
      </c>
      <c r="N234" t="s">
        <v>1079</v>
      </c>
      <c r="O234" t="s">
        <v>1275</v>
      </c>
      <c r="P234">
        <v>46159</v>
      </c>
      <c r="Q234" t="s">
        <v>1177</v>
      </c>
      <c r="R234" t="s">
        <v>21</v>
      </c>
      <c r="S234" t="s">
        <v>853</v>
      </c>
      <c r="T234" t="s">
        <v>880</v>
      </c>
      <c r="U234" t="s">
        <v>881</v>
      </c>
      <c r="V234">
        <v>4</v>
      </c>
      <c r="W234" t="s">
        <v>1262</v>
      </c>
      <c r="X234" t="s">
        <v>1262</v>
      </c>
      <c r="Y234">
        <v>0</v>
      </c>
      <c r="Z234" t="s">
        <v>1186</v>
      </c>
      <c r="AA234" t="s">
        <v>1177</v>
      </c>
      <c r="AB234" t="s">
        <v>1276</v>
      </c>
      <c r="AC234" t="s">
        <v>1277</v>
      </c>
      <c r="AD234" t="s">
        <v>1278</v>
      </c>
      <c r="AE234" t="s">
        <v>1284</v>
      </c>
      <c r="AF234" t="s">
        <v>1178</v>
      </c>
      <c r="AG234" t="s">
        <v>1190</v>
      </c>
      <c r="AH234" t="s">
        <v>1178</v>
      </c>
      <c r="AI234" t="s">
        <v>1280</v>
      </c>
      <c r="AJ234" t="s">
        <v>1190</v>
      </c>
      <c r="AK234">
        <v>0</v>
      </c>
      <c r="AL234" t="s">
        <v>1262</v>
      </c>
      <c r="AM234">
        <v>46070</v>
      </c>
      <c r="AN234">
        <v>46339</v>
      </c>
      <c r="AO234">
        <v>46163</v>
      </c>
      <c r="AP234">
        <v>46167</v>
      </c>
      <c r="AQ234">
        <v>46167</v>
      </c>
      <c r="AR234">
        <v>46169</v>
      </c>
      <c r="AS234">
        <v>46171</v>
      </c>
      <c r="AT234" t="s">
        <v>1281</v>
      </c>
      <c r="AU234" t="s">
        <v>1177</v>
      </c>
      <c r="AV234" t="s">
        <v>1192</v>
      </c>
      <c r="AW234" t="s">
        <v>1177</v>
      </c>
      <c r="AX234">
        <v>33</v>
      </c>
      <c r="AY234">
        <v>2</v>
      </c>
      <c r="AZ234" t="s">
        <v>1177</v>
      </c>
      <c r="BA234">
        <v>0</v>
      </c>
      <c r="BB234" t="s">
        <v>1262</v>
      </c>
      <c r="BC234" t="s">
        <v>1664</v>
      </c>
      <c r="BD234">
        <v>4</v>
      </c>
      <c r="BE234">
        <v>46191</v>
      </c>
      <c r="BF234" t="s">
        <v>1165</v>
      </c>
      <c r="BG234" t="s">
        <v>1212</v>
      </c>
      <c r="BH234" t="s">
        <v>1194</v>
      </c>
      <c r="BI234" t="s">
        <v>1212</v>
      </c>
    </row>
    <row r="235" spans="1:61" x14ac:dyDescent="0.35">
      <c r="A235" s="7" t="str">
        <f t="shared" si="6"/>
        <v>461594300009789</v>
      </c>
      <c r="B235" s="7" t="str">
        <f t="shared" si="7"/>
        <v>GP297079B867</v>
      </c>
      <c r="C235" t="s">
        <v>1177</v>
      </c>
      <c r="D235" t="s">
        <v>1178</v>
      </c>
      <c r="E235" t="s">
        <v>2180</v>
      </c>
      <c r="F235" t="s">
        <v>1363</v>
      </c>
      <c r="G235" t="s">
        <v>1363</v>
      </c>
      <c r="H235" t="s">
        <v>1271</v>
      </c>
      <c r="I235">
        <v>46159</v>
      </c>
      <c r="J235" t="s">
        <v>2181</v>
      </c>
      <c r="K235" t="s">
        <v>1253</v>
      </c>
      <c r="L235" t="s">
        <v>1177</v>
      </c>
      <c r="M235" t="s">
        <v>1274</v>
      </c>
      <c r="N235" t="s">
        <v>1079</v>
      </c>
      <c r="O235" t="s">
        <v>1275</v>
      </c>
      <c r="P235">
        <v>46159</v>
      </c>
      <c r="Q235" t="s">
        <v>1177</v>
      </c>
      <c r="R235" t="s">
        <v>25</v>
      </c>
      <c r="S235" t="s">
        <v>1060</v>
      </c>
      <c r="T235" t="s">
        <v>880</v>
      </c>
      <c r="U235" t="s">
        <v>881</v>
      </c>
      <c r="V235">
        <v>4</v>
      </c>
      <c r="W235" t="s">
        <v>1262</v>
      </c>
      <c r="X235" t="s">
        <v>1262</v>
      </c>
      <c r="Y235">
        <v>0</v>
      </c>
      <c r="Z235" t="s">
        <v>1186</v>
      </c>
      <c r="AA235" t="s">
        <v>1177</v>
      </c>
      <c r="AB235" t="s">
        <v>1276</v>
      </c>
      <c r="AC235" t="s">
        <v>1277</v>
      </c>
      <c r="AD235" t="s">
        <v>1278</v>
      </c>
      <c r="AE235" t="s">
        <v>1284</v>
      </c>
      <c r="AF235" t="s">
        <v>1178</v>
      </c>
      <c r="AG235" t="s">
        <v>1190</v>
      </c>
      <c r="AH235" t="s">
        <v>1178</v>
      </c>
      <c r="AI235" t="s">
        <v>1280</v>
      </c>
      <c r="AJ235" t="s">
        <v>1190</v>
      </c>
      <c r="AK235">
        <v>0</v>
      </c>
      <c r="AL235" t="s">
        <v>1262</v>
      </c>
      <c r="AM235">
        <v>46068</v>
      </c>
      <c r="AN235">
        <v>46339</v>
      </c>
      <c r="AO235">
        <v>46163</v>
      </c>
      <c r="AP235">
        <v>46167</v>
      </c>
      <c r="AQ235">
        <v>46167</v>
      </c>
      <c r="AR235">
        <v>46169</v>
      </c>
      <c r="AS235">
        <v>46169</v>
      </c>
      <c r="AT235" t="s">
        <v>1281</v>
      </c>
      <c r="AU235" t="s">
        <v>1177</v>
      </c>
      <c r="AV235" t="s">
        <v>1192</v>
      </c>
      <c r="AW235" t="s">
        <v>1177</v>
      </c>
      <c r="AX235">
        <v>0</v>
      </c>
      <c r="AY235">
        <v>0</v>
      </c>
      <c r="AZ235" t="s">
        <v>1177</v>
      </c>
      <c r="BA235">
        <v>0</v>
      </c>
      <c r="BB235" t="s">
        <v>1262</v>
      </c>
      <c r="BC235" t="e">
        <v>#N/A</v>
      </c>
      <c r="BD235" t="e">
        <v>#N/A</v>
      </c>
      <c r="BE235" t="e">
        <v>#N/A</v>
      </c>
      <c r="BF235" t="e">
        <v>#N/A</v>
      </c>
      <c r="BG235" t="s">
        <v>1212</v>
      </c>
      <c r="BH235" t="s">
        <v>1194</v>
      </c>
      <c r="BI235" t="s">
        <v>1212</v>
      </c>
    </row>
    <row r="236" spans="1:61" x14ac:dyDescent="0.35">
      <c r="A236" s="7" t="str">
        <f t="shared" si="6"/>
        <v>461594300009792</v>
      </c>
      <c r="B236" s="7" t="str">
        <f t="shared" si="7"/>
        <v>GP119052B832</v>
      </c>
      <c r="C236" t="s">
        <v>1177</v>
      </c>
      <c r="D236" t="s">
        <v>1178</v>
      </c>
      <c r="E236" t="s">
        <v>2182</v>
      </c>
      <c r="F236" t="s">
        <v>1363</v>
      </c>
      <c r="G236" t="s">
        <v>1363</v>
      </c>
      <c r="H236" t="s">
        <v>1271</v>
      </c>
      <c r="I236">
        <v>46159</v>
      </c>
      <c r="J236" t="s">
        <v>2183</v>
      </c>
      <c r="K236" t="s">
        <v>1182</v>
      </c>
      <c r="L236" t="s">
        <v>1177</v>
      </c>
      <c r="M236" t="s">
        <v>1274</v>
      </c>
      <c r="N236" t="s">
        <v>1079</v>
      </c>
      <c r="O236" t="s">
        <v>1275</v>
      </c>
      <c r="P236">
        <v>46281</v>
      </c>
      <c r="Q236" t="s">
        <v>1177</v>
      </c>
      <c r="R236" t="s">
        <v>19</v>
      </c>
      <c r="S236" t="s">
        <v>654</v>
      </c>
      <c r="T236" t="s">
        <v>175</v>
      </c>
      <c r="U236" t="s">
        <v>1733</v>
      </c>
      <c r="V236">
        <v>1</v>
      </c>
      <c r="W236" t="s">
        <v>1262</v>
      </c>
      <c r="X236" t="s">
        <v>1262</v>
      </c>
      <c r="Y236">
        <v>0</v>
      </c>
      <c r="Z236" t="s">
        <v>1186</v>
      </c>
      <c r="AA236" t="s">
        <v>1177</v>
      </c>
      <c r="AB236" t="s">
        <v>1286</v>
      </c>
      <c r="AC236" t="s">
        <v>1277</v>
      </c>
      <c r="AD236" t="s">
        <v>1278</v>
      </c>
      <c r="AE236" t="s">
        <v>1734</v>
      </c>
      <c r="AF236" t="s">
        <v>1178</v>
      </c>
      <c r="AG236" t="s">
        <v>1178</v>
      </c>
      <c r="AH236" t="s">
        <v>1178</v>
      </c>
      <c r="AI236" t="s">
        <v>1349</v>
      </c>
      <c r="AJ236" t="s">
        <v>1190</v>
      </c>
      <c r="AK236">
        <v>0</v>
      </c>
      <c r="AL236" t="s">
        <v>1262</v>
      </c>
      <c r="AM236">
        <v>46312</v>
      </c>
      <c r="AN236">
        <v>46304</v>
      </c>
      <c r="AO236">
        <v>46304</v>
      </c>
      <c r="AP236">
        <v>46309</v>
      </c>
      <c r="AQ236">
        <v>46309</v>
      </c>
      <c r="AR236">
        <v>46311</v>
      </c>
      <c r="AS236">
        <v>46315</v>
      </c>
      <c r="AT236" t="s">
        <v>1281</v>
      </c>
      <c r="AU236" t="s">
        <v>1177</v>
      </c>
      <c r="AV236" t="s">
        <v>1192</v>
      </c>
      <c r="AW236" t="s">
        <v>1177</v>
      </c>
      <c r="AX236">
        <v>33</v>
      </c>
      <c r="AY236">
        <v>2</v>
      </c>
      <c r="AZ236" t="s">
        <v>1177</v>
      </c>
      <c r="BA236">
        <v>0</v>
      </c>
      <c r="BB236" t="s">
        <v>1262</v>
      </c>
      <c r="BC236" t="e">
        <v>#N/A</v>
      </c>
      <c r="BD236" t="e">
        <v>#N/A</v>
      </c>
      <c r="BE236" t="e">
        <v>#N/A</v>
      </c>
      <c r="BF236" t="e">
        <v>#N/A</v>
      </c>
      <c r="BG236" t="s">
        <v>126</v>
      </c>
      <c r="BH236" t="s">
        <v>1873</v>
      </c>
      <c r="BI236" t="s">
        <v>126</v>
      </c>
    </row>
    <row r="237" spans="1:61" x14ac:dyDescent="0.35">
      <c r="A237" s="7" t="str">
        <f t="shared" si="6"/>
        <v>461594300009795</v>
      </c>
      <c r="B237" s="7" t="str">
        <f t="shared" si="7"/>
        <v>GP323357B856</v>
      </c>
      <c r="C237" t="s">
        <v>1177</v>
      </c>
      <c r="D237" t="s">
        <v>1178</v>
      </c>
      <c r="E237" t="s">
        <v>2184</v>
      </c>
      <c r="F237" t="s">
        <v>1363</v>
      </c>
      <c r="G237" t="s">
        <v>1363</v>
      </c>
      <c r="H237" t="s">
        <v>1271</v>
      </c>
      <c r="I237">
        <v>46159</v>
      </c>
      <c r="J237" t="s">
        <v>2185</v>
      </c>
      <c r="K237" t="s">
        <v>1198</v>
      </c>
      <c r="L237" t="s">
        <v>1177</v>
      </c>
      <c r="M237" t="s">
        <v>1274</v>
      </c>
      <c r="N237" t="s">
        <v>1079</v>
      </c>
      <c r="O237" t="s">
        <v>1275</v>
      </c>
      <c r="P237">
        <v>46159</v>
      </c>
      <c r="Q237" t="s">
        <v>1177</v>
      </c>
      <c r="R237" t="s">
        <v>21</v>
      </c>
      <c r="S237" t="s">
        <v>853</v>
      </c>
      <c r="T237" t="s">
        <v>894</v>
      </c>
      <c r="U237" t="s">
        <v>895</v>
      </c>
      <c r="V237">
        <v>1</v>
      </c>
      <c r="W237" t="s">
        <v>1262</v>
      </c>
      <c r="X237" t="s">
        <v>1262</v>
      </c>
      <c r="Y237">
        <v>0</v>
      </c>
      <c r="Z237" t="s">
        <v>1186</v>
      </c>
      <c r="AA237" t="s">
        <v>1177</v>
      </c>
      <c r="AB237" t="s">
        <v>1276</v>
      </c>
      <c r="AC237" t="s">
        <v>1277</v>
      </c>
      <c r="AD237" t="s">
        <v>1278</v>
      </c>
      <c r="AE237" t="s">
        <v>1358</v>
      </c>
      <c r="AF237" t="s">
        <v>1178</v>
      </c>
      <c r="AG237" t="s">
        <v>1190</v>
      </c>
      <c r="AH237" t="s">
        <v>1178</v>
      </c>
      <c r="AI237" t="s">
        <v>1280</v>
      </c>
      <c r="AJ237" t="s">
        <v>1190</v>
      </c>
      <c r="AK237">
        <v>0</v>
      </c>
      <c r="AL237" t="s">
        <v>1262</v>
      </c>
      <c r="AM237">
        <v>46070</v>
      </c>
      <c r="AN237">
        <v>46163</v>
      </c>
      <c r="AO237">
        <v>46163</v>
      </c>
      <c r="AP237">
        <v>46167</v>
      </c>
      <c r="AQ237">
        <v>46167</v>
      </c>
      <c r="AR237">
        <v>46169</v>
      </c>
      <c r="AS237">
        <v>46171</v>
      </c>
      <c r="AT237" t="s">
        <v>1281</v>
      </c>
      <c r="AU237" t="s">
        <v>1177</v>
      </c>
      <c r="AV237" t="s">
        <v>1192</v>
      </c>
      <c r="AW237" t="s">
        <v>1177</v>
      </c>
      <c r="AX237">
        <v>33</v>
      </c>
      <c r="AY237">
        <v>2</v>
      </c>
      <c r="AZ237" t="s">
        <v>1177</v>
      </c>
      <c r="BA237">
        <v>0</v>
      </c>
      <c r="BB237" t="s">
        <v>1262</v>
      </c>
      <c r="BC237" t="e">
        <v>#N/A</v>
      </c>
      <c r="BD237" t="e">
        <v>#N/A</v>
      </c>
      <c r="BE237" t="e">
        <v>#N/A</v>
      </c>
      <c r="BF237" t="e">
        <v>#N/A</v>
      </c>
      <c r="BG237" t="s">
        <v>126</v>
      </c>
      <c r="BH237" t="s">
        <v>1873</v>
      </c>
      <c r="BI237" t="s">
        <v>126</v>
      </c>
    </row>
    <row r="238" spans="1:61" x14ac:dyDescent="0.35">
      <c r="A238" s="7" t="str">
        <f t="shared" si="6"/>
        <v>461594300009798</v>
      </c>
      <c r="B238" s="7" t="str">
        <f t="shared" si="7"/>
        <v>P670143B857</v>
      </c>
      <c r="C238" t="s">
        <v>1177</v>
      </c>
      <c r="D238" t="s">
        <v>1178</v>
      </c>
      <c r="E238" t="s">
        <v>2186</v>
      </c>
      <c r="F238" t="s">
        <v>1363</v>
      </c>
      <c r="G238" t="s">
        <v>1363</v>
      </c>
      <c r="H238" t="s">
        <v>1271</v>
      </c>
      <c r="I238">
        <v>46159</v>
      </c>
      <c r="J238" t="s">
        <v>2187</v>
      </c>
      <c r="K238" t="s">
        <v>1182</v>
      </c>
      <c r="L238" t="s">
        <v>1177</v>
      </c>
      <c r="M238" t="s">
        <v>1274</v>
      </c>
      <c r="N238" t="s">
        <v>1079</v>
      </c>
      <c r="O238" t="s">
        <v>1275</v>
      </c>
      <c r="P238">
        <v>46159</v>
      </c>
      <c r="Q238" t="s">
        <v>1177</v>
      </c>
      <c r="R238" t="s">
        <v>23</v>
      </c>
      <c r="S238" t="s">
        <v>959</v>
      </c>
      <c r="T238" t="s">
        <v>440</v>
      </c>
      <c r="U238" t="s">
        <v>441</v>
      </c>
      <c r="V238">
        <v>5</v>
      </c>
      <c r="W238" t="s">
        <v>1262</v>
      </c>
      <c r="X238" t="s">
        <v>1262</v>
      </c>
      <c r="Y238">
        <v>0</v>
      </c>
      <c r="Z238" t="s">
        <v>1186</v>
      </c>
      <c r="AA238" t="s">
        <v>1177</v>
      </c>
      <c r="AB238" t="s">
        <v>1286</v>
      </c>
      <c r="AC238" t="s">
        <v>1277</v>
      </c>
      <c r="AD238" t="s">
        <v>1278</v>
      </c>
      <c r="AE238" t="s">
        <v>1383</v>
      </c>
      <c r="AF238" t="s">
        <v>1178</v>
      </c>
      <c r="AG238" t="s">
        <v>1178</v>
      </c>
      <c r="AH238" t="s">
        <v>1178</v>
      </c>
      <c r="AI238" t="s">
        <v>1280</v>
      </c>
      <c r="AJ238" t="s">
        <v>1190</v>
      </c>
      <c r="AK238">
        <v>0</v>
      </c>
      <c r="AL238" t="s">
        <v>1262</v>
      </c>
      <c r="AM238">
        <v>46070</v>
      </c>
      <c r="AN238">
        <v>46163</v>
      </c>
      <c r="AO238">
        <v>46163</v>
      </c>
      <c r="AP238">
        <v>46167</v>
      </c>
      <c r="AQ238">
        <v>46167</v>
      </c>
      <c r="AR238">
        <v>46169</v>
      </c>
      <c r="AS238">
        <v>46171</v>
      </c>
      <c r="AT238" t="s">
        <v>1281</v>
      </c>
      <c r="AU238" t="s">
        <v>1177</v>
      </c>
      <c r="AV238" t="s">
        <v>1192</v>
      </c>
      <c r="AW238" t="s">
        <v>1177</v>
      </c>
      <c r="AX238">
        <v>33</v>
      </c>
      <c r="AY238">
        <v>2</v>
      </c>
      <c r="AZ238" t="s">
        <v>1177</v>
      </c>
      <c r="BA238">
        <v>0</v>
      </c>
      <c r="BB238" t="s">
        <v>1262</v>
      </c>
      <c r="BC238" t="e">
        <v>#N/A</v>
      </c>
      <c r="BD238" t="e">
        <v>#N/A</v>
      </c>
      <c r="BE238" t="e">
        <v>#N/A</v>
      </c>
      <c r="BF238" t="e">
        <v>#N/A</v>
      </c>
      <c r="BG238" t="s">
        <v>126</v>
      </c>
      <c r="BH238" t="s">
        <v>1873</v>
      </c>
      <c r="BI238" t="s">
        <v>126</v>
      </c>
    </row>
    <row r="239" spans="1:61" x14ac:dyDescent="0.35">
      <c r="A239" s="7" t="str">
        <f t="shared" si="6"/>
        <v>461594300009806</v>
      </c>
      <c r="B239" s="7" t="str">
        <f t="shared" si="7"/>
        <v>GP141738B825</v>
      </c>
      <c r="C239" t="s">
        <v>1177</v>
      </c>
      <c r="D239" t="s">
        <v>1178</v>
      </c>
      <c r="E239" t="s">
        <v>2188</v>
      </c>
      <c r="F239" t="s">
        <v>1363</v>
      </c>
      <c r="G239" t="s">
        <v>1363</v>
      </c>
      <c r="H239" t="s">
        <v>1271</v>
      </c>
      <c r="I239">
        <v>46159</v>
      </c>
      <c r="J239" t="s">
        <v>2189</v>
      </c>
      <c r="K239" t="s">
        <v>1295</v>
      </c>
      <c r="L239" t="s">
        <v>1177</v>
      </c>
      <c r="M239" t="s">
        <v>1274</v>
      </c>
      <c r="N239" t="s">
        <v>1079</v>
      </c>
      <c r="O239" t="s">
        <v>1275</v>
      </c>
      <c r="P239">
        <v>46281</v>
      </c>
      <c r="Q239" t="s">
        <v>1177</v>
      </c>
      <c r="R239" t="s">
        <v>16</v>
      </c>
      <c r="S239" t="s">
        <v>512</v>
      </c>
      <c r="T239" t="s">
        <v>181</v>
      </c>
      <c r="U239" t="s">
        <v>182</v>
      </c>
      <c r="V239">
        <v>440</v>
      </c>
      <c r="W239" t="s">
        <v>1262</v>
      </c>
      <c r="X239" t="s">
        <v>1262</v>
      </c>
      <c r="Y239">
        <v>0</v>
      </c>
      <c r="Z239" t="s">
        <v>1186</v>
      </c>
      <c r="AA239" t="s">
        <v>1177</v>
      </c>
      <c r="AB239" t="s">
        <v>1177</v>
      </c>
      <c r="AC239" t="s">
        <v>1177</v>
      </c>
      <c r="AD239" t="s">
        <v>1204</v>
      </c>
      <c r="AE239" t="s">
        <v>2156</v>
      </c>
      <c r="AF239" t="s">
        <v>1189</v>
      </c>
      <c r="AG239" t="s">
        <v>1189</v>
      </c>
      <c r="AH239" t="s">
        <v>1178</v>
      </c>
      <c r="AI239" t="s">
        <v>1349</v>
      </c>
      <c r="AJ239" t="s">
        <v>1190</v>
      </c>
      <c r="AK239">
        <v>0</v>
      </c>
      <c r="AL239" t="s">
        <v>1262</v>
      </c>
      <c r="AM239">
        <v>46296</v>
      </c>
      <c r="AN239">
        <v>46286</v>
      </c>
      <c r="AO239">
        <v>46286</v>
      </c>
      <c r="AP239">
        <v>46288</v>
      </c>
      <c r="AQ239">
        <v>46288</v>
      </c>
      <c r="AR239">
        <v>46290</v>
      </c>
      <c r="AS239">
        <v>46294</v>
      </c>
      <c r="AT239" t="s">
        <v>1281</v>
      </c>
      <c r="AU239" t="s">
        <v>1177</v>
      </c>
      <c r="AV239" t="s">
        <v>1192</v>
      </c>
      <c r="AW239" t="s">
        <v>1177</v>
      </c>
      <c r="AX239">
        <v>84</v>
      </c>
      <c r="AY239">
        <v>2</v>
      </c>
      <c r="AZ239" t="s">
        <v>1177</v>
      </c>
      <c r="BA239">
        <v>0</v>
      </c>
      <c r="BB239" t="s">
        <v>1262</v>
      </c>
      <c r="BC239" t="e">
        <v>#N/A</v>
      </c>
      <c r="BD239" t="e">
        <v>#N/A</v>
      </c>
      <c r="BE239" t="e">
        <v>#N/A</v>
      </c>
      <c r="BF239" t="e">
        <v>#N/A</v>
      </c>
      <c r="BG239" t="s">
        <v>1581</v>
      </c>
      <c r="BH239" t="s">
        <v>1194</v>
      </c>
      <c r="BI239" t="s">
        <v>2190</v>
      </c>
    </row>
    <row r="240" spans="1:61" x14ac:dyDescent="0.35">
      <c r="A240" s="7" t="str">
        <f t="shared" si="6"/>
        <v>461594300009807</v>
      </c>
      <c r="B240" s="7" t="str">
        <f t="shared" si="7"/>
        <v>218150B832</v>
      </c>
      <c r="C240" t="s">
        <v>1177</v>
      </c>
      <c r="D240" t="s">
        <v>1178</v>
      </c>
      <c r="E240" t="s">
        <v>2192</v>
      </c>
      <c r="F240" t="s">
        <v>1363</v>
      </c>
      <c r="G240" t="s">
        <v>1363</v>
      </c>
      <c r="H240" t="s">
        <v>1271</v>
      </c>
      <c r="I240">
        <v>46159</v>
      </c>
      <c r="J240" t="s">
        <v>2193</v>
      </c>
      <c r="K240" t="s">
        <v>1282</v>
      </c>
      <c r="L240" t="s">
        <v>1177</v>
      </c>
      <c r="M240" t="s">
        <v>1274</v>
      </c>
      <c r="N240" t="s">
        <v>1079</v>
      </c>
      <c r="O240" t="s">
        <v>1275</v>
      </c>
      <c r="P240">
        <v>46159</v>
      </c>
      <c r="Q240" t="s">
        <v>1177</v>
      </c>
      <c r="R240" t="s">
        <v>19</v>
      </c>
      <c r="S240" t="s">
        <v>654</v>
      </c>
      <c r="T240" t="s">
        <v>1311</v>
      </c>
      <c r="U240" t="s">
        <v>1312</v>
      </c>
      <c r="V240">
        <v>31</v>
      </c>
      <c r="W240" t="s">
        <v>1262</v>
      </c>
      <c r="X240" t="s">
        <v>1262</v>
      </c>
      <c r="Y240">
        <v>0</v>
      </c>
      <c r="Z240" t="s">
        <v>1186</v>
      </c>
      <c r="AA240" t="s">
        <v>1177</v>
      </c>
      <c r="AB240" t="s">
        <v>1177</v>
      </c>
      <c r="AC240" t="s">
        <v>1177</v>
      </c>
      <c r="AD240" t="s">
        <v>1313</v>
      </c>
      <c r="AE240" t="s">
        <v>1314</v>
      </c>
      <c r="AF240" t="s">
        <v>1189</v>
      </c>
      <c r="AG240" t="s">
        <v>1178</v>
      </c>
      <c r="AH240" t="s">
        <v>1178</v>
      </c>
      <c r="AI240" t="s">
        <v>1349</v>
      </c>
      <c r="AJ240" t="s">
        <v>1189</v>
      </c>
      <c r="AK240">
        <v>31</v>
      </c>
      <c r="AL240" t="s">
        <v>1262</v>
      </c>
      <c r="AM240">
        <v>46325</v>
      </c>
      <c r="AN240">
        <v>46321</v>
      </c>
      <c r="AO240">
        <v>46321</v>
      </c>
      <c r="AP240">
        <v>46323</v>
      </c>
      <c r="AQ240">
        <v>46323</v>
      </c>
      <c r="AR240">
        <v>46325</v>
      </c>
      <c r="AS240">
        <v>46330</v>
      </c>
      <c r="AT240" t="s">
        <v>1281</v>
      </c>
      <c r="AU240" t="s">
        <v>1177</v>
      </c>
      <c r="AV240" t="s">
        <v>1192</v>
      </c>
      <c r="AW240" t="s">
        <v>1177</v>
      </c>
      <c r="AX240">
        <v>84</v>
      </c>
      <c r="AY240">
        <v>2</v>
      </c>
      <c r="AZ240" t="s">
        <v>1177</v>
      </c>
      <c r="BA240">
        <v>0</v>
      </c>
      <c r="BB240" t="s">
        <v>1262</v>
      </c>
      <c r="BC240" t="e">
        <v>#N/A</v>
      </c>
      <c r="BD240" t="e">
        <v>#N/A</v>
      </c>
      <c r="BE240" t="e">
        <v>#N/A</v>
      </c>
      <c r="BF240" t="e">
        <v>#N/A</v>
      </c>
      <c r="BG240" t="s">
        <v>1581</v>
      </c>
      <c r="BH240" t="s">
        <v>1194</v>
      </c>
      <c r="BI240" t="s">
        <v>2194</v>
      </c>
    </row>
    <row r="241" spans="1:61" x14ac:dyDescent="0.35">
      <c r="A241" s="7" t="str">
        <f t="shared" si="6"/>
        <v>461594300009808</v>
      </c>
      <c r="B241" s="7" t="str">
        <f t="shared" si="7"/>
        <v>GP345208B833</v>
      </c>
      <c r="C241" t="s">
        <v>1177</v>
      </c>
      <c r="D241" t="s">
        <v>1178</v>
      </c>
      <c r="E241" t="s">
        <v>2195</v>
      </c>
      <c r="F241" t="s">
        <v>1363</v>
      </c>
      <c r="G241" t="s">
        <v>1363</v>
      </c>
      <c r="H241" t="s">
        <v>1271</v>
      </c>
      <c r="I241">
        <v>46159</v>
      </c>
      <c r="J241" t="s">
        <v>2196</v>
      </c>
      <c r="K241" t="s">
        <v>1406</v>
      </c>
      <c r="L241" t="s">
        <v>1177</v>
      </c>
      <c r="M241" t="s">
        <v>1274</v>
      </c>
      <c r="N241" t="s">
        <v>1079</v>
      </c>
      <c r="O241" t="s">
        <v>1275</v>
      </c>
      <c r="P241">
        <v>46159</v>
      </c>
      <c r="Q241" t="s">
        <v>1177</v>
      </c>
      <c r="R241" t="s">
        <v>697</v>
      </c>
      <c r="S241" t="s">
        <v>699</v>
      </c>
      <c r="T241" t="s">
        <v>421</v>
      </c>
      <c r="U241" t="s">
        <v>422</v>
      </c>
      <c r="V241">
        <v>3</v>
      </c>
      <c r="W241" t="s">
        <v>1262</v>
      </c>
      <c r="X241" t="s">
        <v>1262</v>
      </c>
      <c r="Y241">
        <v>0</v>
      </c>
      <c r="Z241" t="s">
        <v>1186</v>
      </c>
      <c r="AA241" t="s">
        <v>1177</v>
      </c>
      <c r="AB241" t="s">
        <v>1286</v>
      </c>
      <c r="AC241" t="s">
        <v>1277</v>
      </c>
      <c r="AD241" t="s">
        <v>1278</v>
      </c>
      <c r="AE241" t="s">
        <v>1284</v>
      </c>
      <c r="AF241" t="s">
        <v>1178</v>
      </c>
      <c r="AG241" t="s">
        <v>1178</v>
      </c>
      <c r="AH241" t="s">
        <v>1178</v>
      </c>
      <c r="AI241" t="s">
        <v>1349</v>
      </c>
      <c r="AJ241" t="s">
        <v>1190</v>
      </c>
      <c r="AK241">
        <v>0</v>
      </c>
      <c r="AL241" t="s">
        <v>1262</v>
      </c>
      <c r="AM241">
        <v>46357</v>
      </c>
      <c r="AN241">
        <v>46349</v>
      </c>
      <c r="AO241">
        <v>46349</v>
      </c>
      <c r="AP241">
        <v>46351</v>
      </c>
      <c r="AQ241">
        <v>46351</v>
      </c>
      <c r="AR241">
        <v>46353</v>
      </c>
      <c r="AS241">
        <v>46357</v>
      </c>
      <c r="AT241" t="s">
        <v>1281</v>
      </c>
      <c r="AU241" t="s">
        <v>1177</v>
      </c>
      <c r="AV241" t="s">
        <v>1192</v>
      </c>
      <c r="AW241" t="s">
        <v>1177</v>
      </c>
      <c r="AX241">
        <v>154</v>
      </c>
      <c r="AY241">
        <v>2</v>
      </c>
      <c r="AZ241" t="s">
        <v>1177</v>
      </c>
      <c r="BA241">
        <v>0</v>
      </c>
      <c r="BB241" t="s">
        <v>1262</v>
      </c>
      <c r="BC241" t="e">
        <v>#N/A</v>
      </c>
      <c r="BD241" t="e">
        <v>#N/A</v>
      </c>
      <c r="BE241" t="e">
        <v>#N/A</v>
      </c>
      <c r="BF241" t="e">
        <v>#N/A</v>
      </c>
      <c r="BG241" t="s">
        <v>1581</v>
      </c>
      <c r="BH241" t="s">
        <v>1194</v>
      </c>
      <c r="BI241" t="s">
        <v>2197</v>
      </c>
    </row>
    <row r="242" spans="1:61" x14ac:dyDescent="0.35">
      <c r="A242" s="7" t="str">
        <f t="shared" si="6"/>
        <v>461594300009810</v>
      </c>
      <c r="B242" s="7" t="str">
        <f t="shared" si="7"/>
        <v>149191B838</v>
      </c>
      <c r="C242" t="s">
        <v>1177</v>
      </c>
      <c r="D242" t="s">
        <v>1178</v>
      </c>
      <c r="E242" t="s">
        <v>2198</v>
      </c>
      <c r="F242" t="s">
        <v>1363</v>
      </c>
      <c r="G242" t="s">
        <v>1363</v>
      </c>
      <c r="H242" t="s">
        <v>1271</v>
      </c>
      <c r="I242">
        <v>46159</v>
      </c>
      <c r="J242" t="s">
        <v>2199</v>
      </c>
      <c r="K242" t="s">
        <v>1199</v>
      </c>
      <c r="L242" t="s">
        <v>1177</v>
      </c>
      <c r="M242" t="s">
        <v>1274</v>
      </c>
      <c r="N242" t="s">
        <v>1079</v>
      </c>
      <c r="O242" t="s">
        <v>1275</v>
      </c>
      <c r="P242">
        <v>46159</v>
      </c>
      <c r="Q242" t="s">
        <v>1177</v>
      </c>
      <c r="R242" t="s">
        <v>48</v>
      </c>
      <c r="S242" t="s">
        <v>745</v>
      </c>
      <c r="T242" t="s">
        <v>1714</v>
      </c>
      <c r="U242" t="s">
        <v>1715</v>
      </c>
      <c r="V242">
        <v>5</v>
      </c>
      <c r="W242" t="s">
        <v>1262</v>
      </c>
      <c r="X242" t="s">
        <v>1262</v>
      </c>
      <c r="Y242">
        <v>0</v>
      </c>
      <c r="Z242" t="s">
        <v>1186</v>
      </c>
      <c r="AA242" t="s">
        <v>1177</v>
      </c>
      <c r="AB242" t="s">
        <v>1177</v>
      </c>
      <c r="AC242" t="s">
        <v>1177</v>
      </c>
      <c r="AD242" t="s">
        <v>1204</v>
      </c>
      <c r="AE242" t="s">
        <v>1188</v>
      </c>
      <c r="AF242" t="s">
        <v>1189</v>
      </c>
      <c r="AG242" t="s">
        <v>1178</v>
      </c>
      <c r="AH242" t="s">
        <v>1178</v>
      </c>
      <c r="AI242" t="s">
        <v>1280</v>
      </c>
      <c r="AJ242" t="s">
        <v>1189</v>
      </c>
      <c r="AK242">
        <v>5</v>
      </c>
      <c r="AL242" t="s">
        <v>1262</v>
      </c>
      <c r="AM242">
        <v>46295</v>
      </c>
      <c r="AN242">
        <v>46289</v>
      </c>
      <c r="AO242">
        <v>46289</v>
      </c>
      <c r="AP242">
        <v>46293</v>
      </c>
      <c r="AQ242">
        <v>46293</v>
      </c>
      <c r="AR242">
        <v>46295</v>
      </c>
      <c r="AS242">
        <v>46297</v>
      </c>
      <c r="AT242" t="s">
        <v>1281</v>
      </c>
      <c r="AU242" t="s">
        <v>1177</v>
      </c>
      <c r="AV242" t="s">
        <v>1192</v>
      </c>
      <c r="AW242" t="s">
        <v>1177</v>
      </c>
      <c r="AX242">
        <v>69</v>
      </c>
      <c r="AY242">
        <v>2</v>
      </c>
      <c r="AZ242" t="s">
        <v>1177</v>
      </c>
      <c r="BA242">
        <v>0</v>
      </c>
      <c r="BB242" t="s">
        <v>1262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</row>
    <row r="243" spans="1:61" x14ac:dyDescent="0.35">
      <c r="A243" s="7" t="str">
        <f t="shared" si="6"/>
        <v>461594300009814</v>
      </c>
      <c r="B243" s="7" t="str">
        <f t="shared" si="7"/>
        <v>GP135067B867</v>
      </c>
      <c r="C243" t="s">
        <v>1177</v>
      </c>
      <c r="D243" t="s">
        <v>1178</v>
      </c>
      <c r="E243" t="s">
        <v>2200</v>
      </c>
      <c r="F243" t="s">
        <v>1363</v>
      </c>
      <c r="G243" t="s">
        <v>1363</v>
      </c>
      <c r="H243" t="s">
        <v>1271</v>
      </c>
      <c r="I243">
        <v>46159</v>
      </c>
      <c r="J243" t="s">
        <v>2201</v>
      </c>
      <c r="K243" t="s">
        <v>1198</v>
      </c>
      <c r="L243" t="s">
        <v>1177</v>
      </c>
      <c r="M243" t="s">
        <v>1274</v>
      </c>
      <c r="N243" t="s">
        <v>1079</v>
      </c>
      <c r="O243" t="s">
        <v>1275</v>
      </c>
      <c r="P243">
        <v>46159</v>
      </c>
      <c r="Q243" t="s">
        <v>1177</v>
      </c>
      <c r="R243" t="s">
        <v>25</v>
      </c>
      <c r="S243" t="s">
        <v>1060</v>
      </c>
      <c r="T243" t="s">
        <v>260</v>
      </c>
      <c r="U243" t="s">
        <v>261</v>
      </c>
      <c r="V243">
        <v>2</v>
      </c>
      <c r="W243" t="s">
        <v>1262</v>
      </c>
      <c r="X243" t="s">
        <v>1262</v>
      </c>
      <c r="Y243">
        <v>0</v>
      </c>
      <c r="Z243" t="s">
        <v>1186</v>
      </c>
      <c r="AA243" t="s">
        <v>1177</v>
      </c>
      <c r="AB243" t="s">
        <v>1177</v>
      </c>
      <c r="AC243" t="s">
        <v>1177</v>
      </c>
      <c r="AD243" t="s">
        <v>1204</v>
      </c>
      <c r="AE243" t="s">
        <v>1205</v>
      </c>
      <c r="AF243" t="s">
        <v>1189</v>
      </c>
      <c r="AG243" t="s">
        <v>1190</v>
      </c>
      <c r="AH243" t="s">
        <v>1178</v>
      </c>
      <c r="AI243" t="s">
        <v>1280</v>
      </c>
      <c r="AJ243" t="s">
        <v>1189</v>
      </c>
      <c r="AK243">
        <v>2</v>
      </c>
      <c r="AL243" t="s">
        <v>1262</v>
      </c>
      <c r="AM243">
        <v>46260</v>
      </c>
      <c r="AN243">
        <v>46254</v>
      </c>
      <c r="AO243">
        <v>46254</v>
      </c>
      <c r="AP243">
        <v>46258</v>
      </c>
      <c r="AQ243">
        <v>46258</v>
      </c>
      <c r="AR243">
        <v>46260</v>
      </c>
      <c r="AS243">
        <v>46262</v>
      </c>
      <c r="AT243" t="s">
        <v>1281</v>
      </c>
      <c r="AU243" t="s">
        <v>1177</v>
      </c>
      <c r="AV243" t="s">
        <v>1192</v>
      </c>
      <c r="AW243" t="s">
        <v>1177</v>
      </c>
      <c r="AX243">
        <v>69</v>
      </c>
      <c r="AY243">
        <v>2</v>
      </c>
      <c r="AZ243" t="s">
        <v>1177</v>
      </c>
      <c r="BA243">
        <v>0</v>
      </c>
      <c r="BB243" t="s">
        <v>1262</v>
      </c>
      <c r="BC243" t="s">
        <v>2202</v>
      </c>
      <c r="BD243">
        <v>15</v>
      </c>
      <c r="BE243">
        <v>46293</v>
      </c>
      <c r="BF243" t="s">
        <v>1165</v>
      </c>
      <c r="BG243" t="s">
        <v>1581</v>
      </c>
      <c r="BH243" t="s">
        <v>1194</v>
      </c>
      <c r="BI243" t="s">
        <v>2203</v>
      </c>
    </row>
    <row r="244" spans="1:61" x14ac:dyDescent="0.35">
      <c r="A244" s="7" t="str">
        <f t="shared" si="6"/>
        <v>461594300009821</v>
      </c>
      <c r="B244" s="7" t="str">
        <f t="shared" si="7"/>
        <v>GP486500B825</v>
      </c>
      <c r="C244" t="s">
        <v>1177</v>
      </c>
      <c r="D244" t="s">
        <v>1178</v>
      </c>
      <c r="E244" t="s">
        <v>2204</v>
      </c>
      <c r="F244" t="s">
        <v>1363</v>
      </c>
      <c r="G244" t="s">
        <v>1363</v>
      </c>
      <c r="H244" t="s">
        <v>1271</v>
      </c>
      <c r="I244">
        <v>46159</v>
      </c>
      <c r="J244" t="s">
        <v>2205</v>
      </c>
      <c r="K244" t="s">
        <v>1199</v>
      </c>
      <c r="L244" t="s">
        <v>1177</v>
      </c>
      <c r="M244" t="s">
        <v>1274</v>
      </c>
      <c r="N244" t="s">
        <v>1079</v>
      </c>
      <c r="O244" t="s">
        <v>1275</v>
      </c>
      <c r="P244">
        <v>46159</v>
      </c>
      <c r="Q244" t="s">
        <v>1177</v>
      </c>
      <c r="R244" t="s">
        <v>16</v>
      </c>
      <c r="S244" t="s">
        <v>512</v>
      </c>
      <c r="T244" t="s">
        <v>108</v>
      </c>
      <c r="U244" t="s">
        <v>109</v>
      </c>
      <c r="V244">
        <v>50</v>
      </c>
      <c r="W244" t="s">
        <v>1262</v>
      </c>
      <c r="X244" t="s">
        <v>1262</v>
      </c>
      <c r="Y244">
        <v>0</v>
      </c>
      <c r="Z244" t="s">
        <v>1186</v>
      </c>
      <c r="AA244" t="s">
        <v>1177</v>
      </c>
      <c r="AB244" t="s">
        <v>1276</v>
      </c>
      <c r="AC244" t="s">
        <v>1277</v>
      </c>
      <c r="AD244" t="s">
        <v>1278</v>
      </c>
      <c r="AE244" t="s">
        <v>1750</v>
      </c>
      <c r="AF244" t="s">
        <v>1178</v>
      </c>
      <c r="AG244" t="s">
        <v>1190</v>
      </c>
      <c r="AH244" t="s">
        <v>1178</v>
      </c>
      <c r="AI244" t="s">
        <v>1349</v>
      </c>
      <c r="AJ244" t="s">
        <v>1190</v>
      </c>
      <c r="AK244">
        <v>0</v>
      </c>
      <c r="AL244" t="s">
        <v>1262</v>
      </c>
      <c r="AM244">
        <v>46076</v>
      </c>
      <c r="AN244">
        <v>46196</v>
      </c>
      <c r="AO244">
        <v>46160</v>
      </c>
      <c r="AP244">
        <v>46162</v>
      </c>
      <c r="AQ244">
        <v>46162</v>
      </c>
      <c r="AR244">
        <v>46164</v>
      </c>
      <c r="AS244">
        <v>46168</v>
      </c>
      <c r="AT244" t="s">
        <v>1281</v>
      </c>
      <c r="AU244" t="s">
        <v>1177</v>
      </c>
      <c r="AV244" t="s">
        <v>1192</v>
      </c>
      <c r="AW244" t="s">
        <v>1177</v>
      </c>
      <c r="AX244">
        <v>33</v>
      </c>
      <c r="AY244">
        <v>2</v>
      </c>
      <c r="AZ244" t="s">
        <v>1177</v>
      </c>
      <c r="BA244">
        <v>0</v>
      </c>
      <c r="BB244" t="s">
        <v>1262</v>
      </c>
      <c r="BC244" t="e">
        <v>#N/A</v>
      </c>
      <c r="BD244" t="e">
        <v>#N/A</v>
      </c>
      <c r="BE244" t="e">
        <v>#N/A</v>
      </c>
      <c r="BF244" t="e">
        <v>#N/A</v>
      </c>
      <c r="BG244" t="s">
        <v>1212</v>
      </c>
      <c r="BH244" t="s">
        <v>1194</v>
      </c>
      <c r="BI244" t="s">
        <v>1212</v>
      </c>
    </row>
    <row r="245" spans="1:61" x14ac:dyDescent="0.35">
      <c r="A245" s="7" t="str">
        <f t="shared" si="6"/>
        <v>461594300009827</v>
      </c>
      <c r="B245" s="7" t="str">
        <f t="shared" si="7"/>
        <v>GP041313B867</v>
      </c>
      <c r="C245" t="s">
        <v>1177</v>
      </c>
      <c r="D245" t="s">
        <v>1178</v>
      </c>
      <c r="E245" t="s">
        <v>2206</v>
      </c>
      <c r="F245" t="s">
        <v>1363</v>
      </c>
      <c r="G245" t="s">
        <v>1363</v>
      </c>
      <c r="H245" t="s">
        <v>1271</v>
      </c>
      <c r="I245">
        <v>46159</v>
      </c>
      <c r="J245" t="s">
        <v>2207</v>
      </c>
      <c r="K245" t="s">
        <v>1198</v>
      </c>
      <c r="L245" t="s">
        <v>1177</v>
      </c>
      <c r="M245" t="s">
        <v>1274</v>
      </c>
      <c r="N245" t="s">
        <v>1079</v>
      </c>
      <c r="O245" t="s">
        <v>1275</v>
      </c>
      <c r="P245">
        <v>46159</v>
      </c>
      <c r="Q245" t="s">
        <v>1177</v>
      </c>
      <c r="R245" t="s">
        <v>25</v>
      </c>
      <c r="S245" t="s">
        <v>1060</v>
      </c>
      <c r="T245" t="s">
        <v>2128</v>
      </c>
      <c r="U245" t="s">
        <v>2129</v>
      </c>
      <c r="V245">
        <v>9</v>
      </c>
      <c r="W245" t="s">
        <v>1262</v>
      </c>
      <c r="X245" t="s">
        <v>1262</v>
      </c>
      <c r="Y245">
        <v>0</v>
      </c>
      <c r="Z245" t="s">
        <v>1186</v>
      </c>
      <c r="AA245" t="s">
        <v>1177</v>
      </c>
      <c r="AB245" t="s">
        <v>1276</v>
      </c>
      <c r="AC245" t="s">
        <v>1277</v>
      </c>
      <c r="AD245" t="s">
        <v>1278</v>
      </c>
      <c r="AE245" t="s">
        <v>1378</v>
      </c>
      <c r="AF245" t="s">
        <v>1178</v>
      </c>
      <c r="AG245" t="s">
        <v>1190</v>
      </c>
      <c r="AH245" t="s">
        <v>1178</v>
      </c>
      <c r="AI245" t="s">
        <v>1280</v>
      </c>
      <c r="AJ245" t="s">
        <v>1190</v>
      </c>
      <c r="AK245">
        <v>0</v>
      </c>
      <c r="AL245" t="s">
        <v>1262</v>
      </c>
      <c r="AM245">
        <v>46074</v>
      </c>
      <c r="AN245">
        <v>46163</v>
      </c>
      <c r="AO245">
        <v>46163</v>
      </c>
      <c r="AP245">
        <v>46167</v>
      </c>
      <c r="AQ245">
        <v>46167</v>
      </c>
      <c r="AR245">
        <v>46169</v>
      </c>
      <c r="AS245">
        <v>46169</v>
      </c>
      <c r="AT245" t="s">
        <v>1281</v>
      </c>
      <c r="AU245" t="s">
        <v>1177</v>
      </c>
      <c r="AV245" t="s">
        <v>1192</v>
      </c>
      <c r="AW245" t="s">
        <v>1177</v>
      </c>
      <c r="AX245">
        <v>0</v>
      </c>
      <c r="AY245">
        <v>0</v>
      </c>
      <c r="AZ245" t="s">
        <v>1177</v>
      </c>
      <c r="BA245">
        <v>0</v>
      </c>
      <c r="BB245" t="s">
        <v>1262</v>
      </c>
      <c r="BC245" t="e">
        <v>#N/A</v>
      </c>
      <c r="BD245" t="e">
        <v>#N/A</v>
      </c>
      <c r="BE245" t="e">
        <v>#N/A</v>
      </c>
      <c r="BF245" t="e">
        <v>#N/A</v>
      </c>
      <c r="BG245" t="s">
        <v>1212</v>
      </c>
      <c r="BH245" t="s">
        <v>1194</v>
      </c>
      <c r="BI245" t="s">
        <v>1212</v>
      </c>
    </row>
    <row r="246" spans="1:61" x14ac:dyDescent="0.35">
      <c r="A246" s="7" t="str">
        <f t="shared" si="6"/>
        <v>461594300009828</v>
      </c>
      <c r="B246" s="7" t="str">
        <f t="shared" si="7"/>
        <v>A9B10067944B867</v>
      </c>
      <c r="C246" t="s">
        <v>1177</v>
      </c>
      <c r="D246" t="s">
        <v>1178</v>
      </c>
      <c r="E246" t="s">
        <v>2208</v>
      </c>
      <c r="F246" t="s">
        <v>1363</v>
      </c>
      <c r="G246" t="s">
        <v>1363</v>
      </c>
      <c r="H246" t="s">
        <v>1271</v>
      </c>
      <c r="I246">
        <v>46159</v>
      </c>
      <c r="J246" t="s">
        <v>2209</v>
      </c>
      <c r="K246" t="s">
        <v>1182</v>
      </c>
      <c r="L246" t="s">
        <v>1177</v>
      </c>
      <c r="M246" t="s">
        <v>1274</v>
      </c>
      <c r="N246" t="s">
        <v>1079</v>
      </c>
      <c r="O246" t="s">
        <v>1275</v>
      </c>
      <c r="P246">
        <v>46159</v>
      </c>
      <c r="Q246" t="s">
        <v>1177</v>
      </c>
      <c r="R246" t="s">
        <v>25</v>
      </c>
      <c r="S246" t="s">
        <v>1060</v>
      </c>
      <c r="T246" t="s">
        <v>1008</v>
      </c>
      <c r="U246" t="s">
        <v>1009</v>
      </c>
      <c r="V246">
        <v>230</v>
      </c>
      <c r="W246" t="s">
        <v>1262</v>
      </c>
      <c r="X246" t="s">
        <v>1262</v>
      </c>
      <c r="Y246">
        <v>0</v>
      </c>
      <c r="Z246" t="s">
        <v>1186</v>
      </c>
      <c r="AA246" t="s">
        <v>1177</v>
      </c>
      <c r="AB246" t="s">
        <v>1177</v>
      </c>
      <c r="AC246" t="s">
        <v>1177</v>
      </c>
      <c r="AD246" t="s">
        <v>1204</v>
      </c>
      <c r="AE246" t="s">
        <v>1188</v>
      </c>
      <c r="AF246" t="s">
        <v>1189</v>
      </c>
      <c r="AG246" t="s">
        <v>1189</v>
      </c>
      <c r="AH246" t="s">
        <v>1178</v>
      </c>
      <c r="AI246" t="s">
        <v>1280</v>
      </c>
      <c r="AJ246" t="s">
        <v>1190</v>
      </c>
      <c r="AK246">
        <v>0</v>
      </c>
      <c r="AL246" t="s">
        <v>1262</v>
      </c>
      <c r="AM246">
        <v>46148</v>
      </c>
      <c r="AN246">
        <v>46199</v>
      </c>
      <c r="AO246">
        <v>46163</v>
      </c>
      <c r="AP246">
        <v>46167</v>
      </c>
      <c r="AQ246">
        <v>46167</v>
      </c>
      <c r="AR246">
        <v>46169</v>
      </c>
      <c r="AS246">
        <v>46191</v>
      </c>
      <c r="AT246" t="s">
        <v>1281</v>
      </c>
      <c r="AU246" t="s">
        <v>1177</v>
      </c>
      <c r="AV246" t="s">
        <v>1192</v>
      </c>
      <c r="AW246" t="s">
        <v>1177</v>
      </c>
      <c r="AX246">
        <v>105</v>
      </c>
      <c r="AY246">
        <v>16</v>
      </c>
      <c r="AZ246" t="s">
        <v>1177</v>
      </c>
      <c r="BA246">
        <v>0</v>
      </c>
      <c r="BB246" t="s">
        <v>1262</v>
      </c>
      <c r="BC246" t="e">
        <v>#N/A</v>
      </c>
      <c r="BD246" t="e">
        <v>#N/A</v>
      </c>
      <c r="BE246" t="e">
        <v>#N/A</v>
      </c>
      <c r="BF246" t="e">
        <v>#N/A</v>
      </c>
      <c r="BG246" t="s">
        <v>1212</v>
      </c>
      <c r="BH246" t="s">
        <v>1194</v>
      </c>
      <c r="BI246" t="s">
        <v>1212</v>
      </c>
    </row>
    <row r="247" spans="1:61" x14ac:dyDescent="0.35">
      <c r="A247" s="7" t="str">
        <f t="shared" si="6"/>
        <v>461594300009829</v>
      </c>
      <c r="B247" s="7" t="str">
        <f t="shared" si="7"/>
        <v>GP091145B825</v>
      </c>
      <c r="C247" t="s">
        <v>1177</v>
      </c>
      <c r="D247" t="s">
        <v>1178</v>
      </c>
      <c r="E247" t="s">
        <v>2210</v>
      </c>
      <c r="F247" t="s">
        <v>1363</v>
      </c>
      <c r="G247" t="s">
        <v>1363</v>
      </c>
      <c r="H247" t="s">
        <v>1271</v>
      </c>
      <c r="I247">
        <v>46159</v>
      </c>
      <c r="J247" t="s">
        <v>2211</v>
      </c>
      <c r="K247" t="s">
        <v>1199</v>
      </c>
      <c r="L247" t="s">
        <v>1177</v>
      </c>
      <c r="M247" t="s">
        <v>1274</v>
      </c>
      <c r="N247" t="s">
        <v>1079</v>
      </c>
      <c r="O247" t="s">
        <v>1275</v>
      </c>
      <c r="P247">
        <v>46159</v>
      </c>
      <c r="Q247" t="s">
        <v>1177</v>
      </c>
      <c r="R247" t="s">
        <v>16</v>
      </c>
      <c r="S247" t="s">
        <v>512</v>
      </c>
      <c r="T247" t="s">
        <v>54</v>
      </c>
      <c r="U247" t="s">
        <v>55</v>
      </c>
      <c r="V247">
        <v>8</v>
      </c>
      <c r="W247" t="s">
        <v>1262</v>
      </c>
      <c r="X247" t="s">
        <v>1262</v>
      </c>
      <c r="Y247">
        <v>0</v>
      </c>
      <c r="Z247" t="s">
        <v>1186</v>
      </c>
      <c r="AA247" t="s">
        <v>1177</v>
      </c>
      <c r="AB247" t="s">
        <v>1276</v>
      </c>
      <c r="AC247" t="s">
        <v>1277</v>
      </c>
      <c r="AD247" t="s">
        <v>1278</v>
      </c>
      <c r="AE247" t="s">
        <v>1618</v>
      </c>
      <c r="AF247" t="s">
        <v>1178</v>
      </c>
      <c r="AG247" t="s">
        <v>1190</v>
      </c>
      <c r="AH247" t="s">
        <v>1178</v>
      </c>
      <c r="AI247" t="s">
        <v>1349</v>
      </c>
      <c r="AJ247" t="s">
        <v>1190</v>
      </c>
      <c r="AK247">
        <v>0</v>
      </c>
      <c r="AL247" t="s">
        <v>1262</v>
      </c>
      <c r="AM247">
        <v>46076</v>
      </c>
      <c r="AN247">
        <v>46268</v>
      </c>
      <c r="AO247">
        <v>46160</v>
      </c>
      <c r="AP247">
        <v>46162</v>
      </c>
      <c r="AQ247">
        <v>46162</v>
      </c>
      <c r="AR247">
        <v>46164</v>
      </c>
      <c r="AS247">
        <v>46168</v>
      </c>
      <c r="AT247" t="s">
        <v>1281</v>
      </c>
      <c r="AU247" t="s">
        <v>1177</v>
      </c>
      <c r="AV247" t="s">
        <v>1192</v>
      </c>
      <c r="AW247" t="s">
        <v>1177</v>
      </c>
      <c r="AX247">
        <v>33</v>
      </c>
      <c r="AY247">
        <v>2</v>
      </c>
      <c r="AZ247" t="s">
        <v>1177</v>
      </c>
      <c r="BA247">
        <v>0</v>
      </c>
      <c r="BB247" t="s">
        <v>1262</v>
      </c>
      <c r="BC247" t="s">
        <v>2212</v>
      </c>
      <c r="BD247">
        <v>12</v>
      </c>
      <c r="BE247">
        <v>46288</v>
      </c>
      <c r="BF247" t="s">
        <v>1165</v>
      </c>
      <c r="BG247" t="s">
        <v>1212</v>
      </c>
      <c r="BH247" t="s">
        <v>1194</v>
      </c>
      <c r="BI247" t="s">
        <v>1212</v>
      </c>
    </row>
    <row r="248" spans="1:61" x14ac:dyDescent="0.35">
      <c r="A248" s="7" t="str">
        <f t="shared" si="6"/>
        <v>461594300009836</v>
      </c>
      <c r="B248" s="7" t="str">
        <f t="shared" si="7"/>
        <v>GP326156B867</v>
      </c>
      <c r="C248" t="s">
        <v>1177</v>
      </c>
      <c r="D248" t="s">
        <v>1178</v>
      </c>
      <c r="E248" t="s">
        <v>2214</v>
      </c>
      <c r="F248" t="s">
        <v>1363</v>
      </c>
      <c r="G248" t="s">
        <v>1363</v>
      </c>
      <c r="H248" t="s">
        <v>1271</v>
      </c>
      <c r="I248">
        <v>46159</v>
      </c>
      <c r="J248" t="s">
        <v>2215</v>
      </c>
      <c r="K248" t="s">
        <v>1406</v>
      </c>
      <c r="L248" t="s">
        <v>1177</v>
      </c>
      <c r="M248" t="s">
        <v>1274</v>
      </c>
      <c r="N248" t="s">
        <v>1079</v>
      </c>
      <c r="O248" t="s">
        <v>1275</v>
      </c>
      <c r="P248">
        <v>46159</v>
      </c>
      <c r="Q248" t="s">
        <v>1177</v>
      </c>
      <c r="R248" t="s">
        <v>25</v>
      </c>
      <c r="S248" t="s">
        <v>1060</v>
      </c>
      <c r="T248" t="s">
        <v>1099</v>
      </c>
      <c r="U248" t="s">
        <v>1561</v>
      </c>
      <c r="V248">
        <v>4</v>
      </c>
      <c r="W248" t="s">
        <v>1262</v>
      </c>
      <c r="X248" t="s">
        <v>1262</v>
      </c>
      <c r="Y248">
        <v>0</v>
      </c>
      <c r="Z248" t="s">
        <v>1186</v>
      </c>
      <c r="AA248" t="s">
        <v>1177</v>
      </c>
      <c r="AB248" t="s">
        <v>1286</v>
      </c>
      <c r="AC248" t="s">
        <v>1277</v>
      </c>
      <c r="AD248" t="s">
        <v>1278</v>
      </c>
      <c r="AE248" t="s">
        <v>1378</v>
      </c>
      <c r="AF248" t="s">
        <v>1178</v>
      </c>
      <c r="AG248" t="s">
        <v>1178</v>
      </c>
      <c r="AH248" t="s">
        <v>1178</v>
      </c>
      <c r="AI248" t="s">
        <v>1280</v>
      </c>
      <c r="AJ248" t="s">
        <v>1190</v>
      </c>
      <c r="AK248">
        <v>0</v>
      </c>
      <c r="AL248" t="s">
        <v>1262</v>
      </c>
      <c r="AM248">
        <v>46038</v>
      </c>
      <c r="AN248">
        <v>46163</v>
      </c>
      <c r="AO248">
        <v>46163</v>
      </c>
      <c r="AP248">
        <v>46167</v>
      </c>
      <c r="AQ248">
        <v>46167</v>
      </c>
      <c r="AR248">
        <v>46169</v>
      </c>
      <c r="AS248">
        <v>46171</v>
      </c>
      <c r="AT248" t="s">
        <v>1281</v>
      </c>
      <c r="AU248" t="s">
        <v>1177</v>
      </c>
      <c r="AV248" t="s">
        <v>1192</v>
      </c>
      <c r="AW248" t="s">
        <v>1177</v>
      </c>
      <c r="AX248">
        <v>71</v>
      </c>
      <c r="AY248">
        <v>2</v>
      </c>
      <c r="AZ248" t="s">
        <v>1177</v>
      </c>
      <c r="BA248">
        <v>0</v>
      </c>
      <c r="BB248" t="s">
        <v>1262</v>
      </c>
      <c r="BC248" t="e">
        <v>#N/A</v>
      </c>
      <c r="BD248" t="e">
        <v>#N/A</v>
      </c>
      <c r="BE248" t="e">
        <v>#N/A</v>
      </c>
      <c r="BF248" t="e">
        <v>#N/A</v>
      </c>
      <c r="BG248" t="s">
        <v>1458</v>
      </c>
      <c r="BH248" t="s">
        <v>1763</v>
      </c>
      <c r="BI248" t="s">
        <v>2216</v>
      </c>
    </row>
    <row r="249" spans="1:61" x14ac:dyDescent="0.35">
      <c r="A249" s="7" t="str">
        <f t="shared" si="6"/>
        <v>461594300009868</v>
      </c>
      <c r="B249" s="7" t="str">
        <f t="shared" si="7"/>
        <v>GP004898B857</v>
      </c>
      <c r="C249" t="s">
        <v>1177</v>
      </c>
      <c r="D249" t="s">
        <v>1178</v>
      </c>
      <c r="E249" t="s">
        <v>2217</v>
      </c>
      <c r="F249" t="s">
        <v>1363</v>
      </c>
      <c r="G249" t="s">
        <v>1363</v>
      </c>
      <c r="H249" t="s">
        <v>1271</v>
      </c>
      <c r="I249">
        <v>46159</v>
      </c>
      <c r="J249" t="s">
        <v>2218</v>
      </c>
      <c r="K249" t="s">
        <v>1182</v>
      </c>
      <c r="L249" t="s">
        <v>1177</v>
      </c>
      <c r="M249" t="s">
        <v>1274</v>
      </c>
      <c r="N249" t="s">
        <v>1079</v>
      </c>
      <c r="O249" t="s">
        <v>1275</v>
      </c>
      <c r="P249">
        <v>46159</v>
      </c>
      <c r="Q249" t="s">
        <v>1177</v>
      </c>
      <c r="R249" t="s">
        <v>23</v>
      </c>
      <c r="S249" t="s">
        <v>959</v>
      </c>
      <c r="T249" t="s">
        <v>149</v>
      </c>
      <c r="U249" t="s">
        <v>2219</v>
      </c>
      <c r="V249">
        <v>1</v>
      </c>
      <c r="W249" t="s">
        <v>1262</v>
      </c>
      <c r="X249" t="s">
        <v>1262</v>
      </c>
      <c r="Y249">
        <v>0</v>
      </c>
      <c r="Z249" t="s">
        <v>1186</v>
      </c>
      <c r="AA249" t="s">
        <v>1177</v>
      </c>
      <c r="AB249" t="s">
        <v>1276</v>
      </c>
      <c r="AC249" t="s">
        <v>1277</v>
      </c>
      <c r="AD249" t="s">
        <v>1278</v>
      </c>
      <c r="AE249" t="s">
        <v>1618</v>
      </c>
      <c r="AF249" t="s">
        <v>1178</v>
      </c>
      <c r="AG249" t="s">
        <v>1190</v>
      </c>
      <c r="AH249" t="s">
        <v>1178</v>
      </c>
      <c r="AI249" t="s">
        <v>1280</v>
      </c>
      <c r="AJ249" t="s">
        <v>1190</v>
      </c>
      <c r="AK249">
        <v>0</v>
      </c>
      <c r="AL249" t="s">
        <v>1262</v>
      </c>
      <c r="AM249">
        <v>46084</v>
      </c>
      <c r="AN249">
        <v>46163</v>
      </c>
      <c r="AO249">
        <v>46163</v>
      </c>
      <c r="AP249">
        <v>46167</v>
      </c>
      <c r="AQ249">
        <v>46167</v>
      </c>
      <c r="AR249">
        <v>46169</v>
      </c>
      <c r="AS249">
        <v>46171</v>
      </c>
      <c r="AT249" t="s">
        <v>1281</v>
      </c>
      <c r="AU249" t="s">
        <v>1177</v>
      </c>
      <c r="AV249" t="s">
        <v>1192</v>
      </c>
      <c r="AW249" t="s">
        <v>1177</v>
      </c>
      <c r="AX249">
        <v>33</v>
      </c>
      <c r="AY249">
        <v>2</v>
      </c>
      <c r="AZ249" t="s">
        <v>1177</v>
      </c>
      <c r="BA249">
        <v>0</v>
      </c>
      <c r="BB249" t="s">
        <v>1262</v>
      </c>
      <c r="BC249" t="e">
        <v>#N/A</v>
      </c>
      <c r="BD249" t="e">
        <v>#N/A</v>
      </c>
      <c r="BE249" t="e">
        <v>#N/A</v>
      </c>
      <c r="BF249" t="e">
        <v>#N/A</v>
      </c>
      <c r="BG249" t="s">
        <v>126</v>
      </c>
      <c r="BH249" t="s">
        <v>1873</v>
      </c>
      <c r="BI249" t="s">
        <v>126</v>
      </c>
    </row>
    <row r="250" spans="1:61" x14ac:dyDescent="0.35">
      <c r="A250" s="7" t="str">
        <f t="shared" si="6"/>
        <v>461594300009870</v>
      </c>
      <c r="B250" s="7" t="str">
        <f t="shared" si="7"/>
        <v>GP243455B864</v>
      </c>
      <c r="C250" t="s">
        <v>1177</v>
      </c>
      <c r="D250" t="s">
        <v>1178</v>
      </c>
      <c r="E250" t="s">
        <v>2220</v>
      </c>
      <c r="F250" t="s">
        <v>1363</v>
      </c>
      <c r="G250" t="s">
        <v>1363</v>
      </c>
      <c r="H250" t="s">
        <v>1271</v>
      </c>
      <c r="I250">
        <v>46159</v>
      </c>
      <c r="J250" t="s">
        <v>2221</v>
      </c>
      <c r="K250" t="s">
        <v>1182</v>
      </c>
      <c r="L250" t="s">
        <v>1177</v>
      </c>
      <c r="M250" t="s">
        <v>1274</v>
      </c>
      <c r="N250" t="s">
        <v>1079</v>
      </c>
      <c r="O250" t="s">
        <v>1275</v>
      </c>
      <c r="P250">
        <v>46159</v>
      </c>
      <c r="Q250" t="s">
        <v>1177</v>
      </c>
      <c r="R250" t="s">
        <v>10</v>
      </c>
      <c r="S250" t="s">
        <v>1011</v>
      </c>
      <c r="T250" t="s">
        <v>972</v>
      </c>
      <c r="U250" t="s">
        <v>973</v>
      </c>
      <c r="V250">
        <v>1</v>
      </c>
      <c r="W250" t="s">
        <v>1262</v>
      </c>
      <c r="X250" t="s">
        <v>1262</v>
      </c>
      <c r="Y250">
        <v>0</v>
      </c>
      <c r="Z250" t="s">
        <v>1186</v>
      </c>
      <c r="AA250" t="s">
        <v>1177</v>
      </c>
      <c r="AB250" t="s">
        <v>1276</v>
      </c>
      <c r="AC250" t="s">
        <v>1277</v>
      </c>
      <c r="AD250" t="s">
        <v>1278</v>
      </c>
      <c r="AE250" t="s">
        <v>1618</v>
      </c>
      <c r="AF250" t="s">
        <v>1178</v>
      </c>
      <c r="AG250" t="s">
        <v>1190</v>
      </c>
      <c r="AH250" t="s">
        <v>1178</v>
      </c>
      <c r="AI250" t="s">
        <v>1280</v>
      </c>
      <c r="AJ250" t="s">
        <v>1190</v>
      </c>
      <c r="AK250">
        <v>0</v>
      </c>
      <c r="AL250" t="s">
        <v>1262</v>
      </c>
      <c r="AM250">
        <v>46084</v>
      </c>
      <c r="AN250">
        <v>46196</v>
      </c>
      <c r="AO250">
        <v>46163</v>
      </c>
      <c r="AP250">
        <v>46167</v>
      </c>
      <c r="AQ250">
        <v>46167</v>
      </c>
      <c r="AR250">
        <v>46169</v>
      </c>
      <c r="AS250">
        <v>46171</v>
      </c>
      <c r="AT250" t="s">
        <v>1281</v>
      </c>
      <c r="AU250" t="s">
        <v>1177</v>
      </c>
      <c r="AV250" t="s">
        <v>1192</v>
      </c>
      <c r="AW250" t="s">
        <v>1177</v>
      </c>
      <c r="AX250">
        <v>33</v>
      </c>
      <c r="AY250">
        <v>2</v>
      </c>
      <c r="AZ250" t="s">
        <v>1177</v>
      </c>
      <c r="BA250">
        <v>0</v>
      </c>
      <c r="BB250" t="s">
        <v>1262</v>
      </c>
      <c r="BC250" t="e">
        <v>#N/A</v>
      </c>
      <c r="BD250" t="e">
        <v>#N/A</v>
      </c>
      <c r="BE250" t="e">
        <v>#N/A</v>
      </c>
      <c r="BF250" t="e">
        <v>#N/A</v>
      </c>
      <c r="BG250" t="s">
        <v>126</v>
      </c>
      <c r="BH250" t="s">
        <v>1873</v>
      </c>
      <c r="BI250" t="s">
        <v>126</v>
      </c>
    </row>
    <row r="251" spans="1:61" x14ac:dyDescent="0.35">
      <c r="A251" s="7" t="str">
        <f t="shared" si="6"/>
        <v>461594300009871</v>
      </c>
      <c r="B251" s="7" t="str">
        <f t="shared" si="7"/>
        <v>GP422280B865</v>
      </c>
      <c r="C251" t="s">
        <v>1177</v>
      </c>
      <c r="D251" t="s">
        <v>1178</v>
      </c>
      <c r="E251" t="s">
        <v>2222</v>
      </c>
      <c r="F251" t="s">
        <v>1363</v>
      </c>
      <c r="G251" t="s">
        <v>1363</v>
      </c>
      <c r="H251" t="s">
        <v>1271</v>
      </c>
      <c r="I251">
        <v>46159</v>
      </c>
      <c r="J251" t="s">
        <v>2223</v>
      </c>
      <c r="K251" t="s">
        <v>1182</v>
      </c>
      <c r="L251" t="s">
        <v>1177</v>
      </c>
      <c r="M251" t="s">
        <v>1274</v>
      </c>
      <c r="N251" t="s">
        <v>1079</v>
      </c>
      <c r="O251" t="s">
        <v>1275</v>
      </c>
      <c r="P251">
        <v>46159</v>
      </c>
      <c r="Q251" t="s">
        <v>1177</v>
      </c>
      <c r="R251" t="s">
        <v>7</v>
      </c>
      <c r="S251" t="s">
        <v>1040</v>
      </c>
      <c r="T251" t="s">
        <v>102</v>
      </c>
      <c r="U251" t="s">
        <v>103</v>
      </c>
      <c r="V251">
        <v>1</v>
      </c>
      <c r="W251" t="s">
        <v>1262</v>
      </c>
      <c r="X251" t="s">
        <v>1262</v>
      </c>
      <c r="Y251">
        <v>0</v>
      </c>
      <c r="Z251" t="s">
        <v>1186</v>
      </c>
      <c r="AA251" t="s">
        <v>1177</v>
      </c>
      <c r="AB251" t="s">
        <v>1276</v>
      </c>
      <c r="AC251" t="s">
        <v>1277</v>
      </c>
      <c r="AD251" t="s">
        <v>1278</v>
      </c>
      <c r="AE251" t="s">
        <v>1296</v>
      </c>
      <c r="AF251" t="s">
        <v>1178</v>
      </c>
      <c r="AG251" t="s">
        <v>1190</v>
      </c>
      <c r="AH251" t="s">
        <v>1178</v>
      </c>
      <c r="AI251" t="s">
        <v>1349</v>
      </c>
      <c r="AJ251" t="s">
        <v>1190</v>
      </c>
      <c r="AK251">
        <v>0</v>
      </c>
      <c r="AL251" t="s">
        <v>1262</v>
      </c>
      <c r="AM251">
        <v>46084</v>
      </c>
      <c r="AN251">
        <v>46210</v>
      </c>
      <c r="AO251">
        <v>46160</v>
      </c>
      <c r="AP251">
        <v>46162</v>
      </c>
      <c r="AQ251">
        <v>46162</v>
      </c>
      <c r="AR251">
        <v>46164</v>
      </c>
      <c r="AS251">
        <v>46168</v>
      </c>
      <c r="AT251" t="s">
        <v>1281</v>
      </c>
      <c r="AU251" t="s">
        <v>1177</v>
      </c>
      <c r="AV251" t="s">
        <v>1192</v>
      </c>
      <c r="AW251" t="s">
        <v>1177</v>
      </c>
      <c r="AX251">
        <v>33</v>
      </c>
      <c r="AY251">
        <v>2</v>
      </c>
      <c r="AZ251" t="s">
        <v>1177</v>
      </c>
      <c r="BA251">
        <v>1</v>
      </c>
      <c r="BB251" t="s">
        <v>1262</v>
      </c>
      <c r="BC251" t="s">
        <v>2224</v>
      </c>
      <c r="BD251">
        <v>1</v>
      </c>
      <c r="BE251">
        <v>46223</v>
      </c>
      <c r="BF251" t="s">
        <v>1165</v>
      </c>
      <c r="BG251" t="s">
        <v>126</v>
      </c>
      <c r="BH251" t="s">
        <v>1873</v>
      </c>
      <c r="BI251" t="s">
        <v>126</v>
      </c>
    </row>
    <row r="252" spans="1:61" x14ac:dyDescent="0.35">
      <c r="A252" s="7" t="str">
        <f t="shared" si="6"/>
        <v>461594300009874</v>
      </c>
      <c r="B252" s="7" t="str">
        <f t="shared" si="7"/>
        <v>GP311217B857</v>
      </c>
      <c r="C252" t="s">
        <v>1177</v>
      </c>
      <c r="D252" t="s">
        <v>1178</v>
      </c>
      <c r="E252" t="s">
        <v>2225</v>
      </c>
      <c r="F252" t="s">
        <v>1363</v>
      </c>
      <c r="G252" t="s">
        <v>1363</v>
      </c>
      <c r="H252" t="s">
        <v>1271</v>
      </c>
      <c r="I252">
        <v>46159</v>
      </c>
      <c r="J252" t="s">
        <v>2226</v>
      </c>
      <c r="K252" t="s">
        <v>1182</v>
      </c>
      <c r="L252" t="s">
        <v>1177</v>
      </c>
      <c r="M252" t="s">
        <v>1274</v>
      </c>
      <c r="N252" t="s">
        <v>1079</v>
      </c>
      <c r="O252" t="s">
        <v>1275</v>
      </c>
      <c r="P252">
        <v>46227</v>
      </c>
      <c r="Q252" t="s">
        <v>1177</v>
      </c>
      <c r="R252" t="s">
        <v>23</v>
      </c>
      <c r="S252" t="s">
        <v>959</v>
      </c>
      <c r="T252" t="s">
        <v>804</v>
      </c>
      <c r="U252" t="s">
        <v>2227</v>
      </c>
      <c r="V252">
        <v>6</v>
      </c>
      <c r="W252" t="s">
        <v>1262</v>
      </c>
      <c r="X252" t="s">
        <v>1262</v>
      </c>
      <c r="Y252">
        <v>0</v>
      </c>
      <c r="Z252" t="s">
        <v>1186</v>
      </c>
      <c r="AA252" t="s">
        <v>1177</v>
      </c>
      <c r="AB252" t="s">
        <v>1286</v>
      </c>
      <c r="AC252" t="s">
        <v>1277</v>
      </c>
      <c r="AD252" t="s">
        <v>1278</v>
      </c>
      <c r="AE252" t="s">
        <v>1910</v>
      </c>
      <c r="AF252" t="s">
        <v>1178</v>
      </c>
      <c r="AG252" t="s">
        <v>1178</v>
      </c>
      <c r="AH252" t="s">
        <v>1178</v>
      </c>
      <c r="AI252" t="s">
        <v>1280</v>
      </c>
      <c r="AJ252" t="s">
        <v>1190</v>
      </c>
      <c r="AK252">
        <v>0</v>
      </c>
      <c r="AL252" t="s">
        <v>1262</v>
      </c>
      <c r="AM252">
        <v>46457</v>
      </c>
      <c r="AN252">
        <v>46534</v>
      </c>
      <c r="AO252">
        <v>46450</v>
      </c>
      <c r="AP252">
        <v>46454</v>
      </c>
      <c r="AQ252">
        <v>46454</v>
      </c>
      <c r="AR252">
        <v>46456</v>
      </c>
      <c r="AS252">
        <v>46458</v>
      </c>
      <c r="AT252" t="s">
        <v>1281</v>
      </c>
      <c r="AU252" t="s">
        <v>1177</v>
      </c>
      <c r="AV252" t="s">
        <v>1192</v>
      </c>
      <c r="AW252" t="s">
        <v>1177</v>
      </c>
      <c r="AX252">
        <v>406</v>
      </c>
      <c r="AY252">
        <v>2</v>
      </c>
      <c r="AZ252" t="s">
        <v>1177</v>
      </c>
      <c r="BA252">
        <v>0</v>
      </c>
      <c r="BB252" t="s">
        <v>1262</v>
      </c>
      <c r="BC252" t="e">
        <v>#N/A</v>
      </c>
      <c r="BD252" t="e">
        <v>#N/A</v>
      </c>
      <c r="BE252" t="e">
        <v>#N/A</v>
      </c>
      <c r="BF252" t="e">
        <v>#N/A</v>
      </c>
      <c r="BG252" t="s">
        <v>1212</v>
      </c>
      <c r="BH252" t="s">
        <v>1194</v>
      </c>
      <c r="BI252" t="s">
        <v>1212</v>
      </c>
    </row>
    <row r="253" spans="1:61" x14ac:dyDescent="0.35">
      <c r="A253" s="7" t="str">
        <f t="shared" si="6"/>
        <v>461594300009914</v>
      </c>
      <c r="B253" s="7" t="str">
        <f t="shared" si="7"/>
        <v>GP127960B832</v>
      </c>
      <c r="C253" t="s">
        <v>1177</v>
      </c>
      <c r="D253" t="s">
        <v>1178</v>
      </c>
      <c r="E253" t="s">
        <v>2228</v>
      </c>
      <c r="F253" t="s">
        <v>1177</v>
      </c>
      <c r="G253" t="s">
        <v>1363</v>
      </c>
      <c r="H253" t="s">
        <v>1271</v>
      </c>
      <c r="I253">
        <v>46159</v>
      </c>
      <c r="J253" t="s">
        <v>2229</v>
      </c>
      <c r="K253" t="s">
        <v>1199</v>
      </c>
      <c r="L253" t="s">
        <v>1177</v>
      </c>
      <c r="M253" t="s">
        <v>1274</v>
      </c>
      <c r="N253" t="s">
        <v>1079</v>
      </c>
      <c r="O253" t="s">
        <v>1275</v>
      </c>
      <c r="P253">
        <v>46227</v>
      </c>
      <c r="Q253" t="s">
        <v>1177</v>
      </c>
      <c r="R253" t="s">
        <v>19</v>
      </c>
      <c r="S253" t="s">
        <v>654</v>
      </c>
      <c r="T253" t="s">
        <v>60</v>
      </c>
      <c r="U253" t="s">
        <v>61</v>
      </c>
      <c r="V253">
        <v>2</v>
      </c>
      <c r="W253" t="s">
        <v>1262</v>
      </c>
      <c r="X253" t="s">
        <v>1262</v>
      </c>
      <c r="Y253">
        <v>0</v>
      </c>
      <c r="Z253" t="s">
        <v>1186</v>
      </c>
      <c r="AA253" t="s">
        <v>1177</v>
      </c>
      <c r="AB253" t="s">
        <v>1276</v>
      </c>
      <c r="AC253" t="s">
        <v>1277</v>
      </c>
      <c r="AD253" t="s">
        <v>1278</v>
      </c>
      <c r="AE253" t="s">
        <v>1750</v>
      </c>
      <c r="AF253" t="s">
        <v>1178</v>
      </c>
      <c r="AG253" t="s">
        <v>1190</v>
      </c>
      <c r="AH253" t="s">
        <v>1178</v>
      </c>
      <c r="AI253" t="s">
        <v>1349</v>
      </c>
      <c r="AJ253" t="s">
        <v>1190</v>
      </c>
      <c r="AK253">
        <v>0</v>
      </c>
      <c r="AL253" t="s">
        <v>1262</v>
      </c>
      <c r="AM253">
        <v>46070</v>
      </c>
      <c r="AN253">
        <v>46188</v>
      </c>
      <c r="AO253">
        <v>46188</v>
      </c>
      <c r="AP253">
        <v>46190</v>
      </c>
      <c r="AQ253">
        <v>46190</v>
      </c>
      <c r="AR253">
        <v>46192</v>
      </c>
      <c r="AS253">
        <v>46196</v>
      </c>
      <c r="AT253" t="s">
        <v>1281</v>
      </c>
      <c r="AU253" t="s">
        <v>1177</v>
      </c>
      <c r="AV253" t="s">
        <v>1192</v>
      </c>
      <c r="AW253" t="s">
        <v>1177</v>
      </c>
      <c r="AX253">
        <v>33</v>
      </c>
      <c r="AY253">
        <v>2</v>
      </c>
      <c r="AZ253" t="s">
        <v>1177</v>
      </c>
      <c r="BA253">
        <v>2</v>
      </c>
      <c r="BB253" t="s">
        <v>1262</v>
      </c>
      <c r="BC253" t="s">
        <v>1520</v>
      </c>
      <c r="BD253">
        <v>2</v>
      </c>
      <c r="BE253">
        <v>46230</v>
      </c>
      <c r="BF253" t="s">
        <v>1165</v>
      </c>
      <c r="BG253" t="s">
        <v>1212</v>
      </c>
      <c r="BH253" t="s">
        <v>1194</v>
      </c>
      <c r="BI253" t="s">
        <v>1212</v>
      </c>
    </row>
    <row r="254" spans="1:61" x14ac:dyDescent="0.35">
      <c r="A254" s="7" t="str">
        <f t="shared" si="6"/>
        <v>461594300009925</v>
      </c>
      <c r="B254" s="7" t="str">
        <f t="shared" si="7"/>
        <v>GP243455B857</v>
      </c>
      <c r="C254" t="s">
        <v>1177</v>
      </c>
      <c r="D254" t="s">
        <v>1178</v>
      </c>
      <c r="E254" t="s">
        <v>2230</v>
      </c>
      <c r="F254" t="s">
        <v>1363</v>
      </c>
      <c r="G254" t="s">
        <v>1363</v>
      </c>
      <c r="H254" t="s">
        <v>1271</v>
      </c>
      <c r="I254">
        <v>46159</v>
      </c>
      <c r="J254" t="s">
        <v>2231</v>
      </c>
      <c r="K254" t="s">
        <v>1182</v>
      </c>
      <c r="L254" t="s">
        <v>1177</v>
      </c>
      <c r="M254" t="s">
        <v>1274</v>
      </c>
      <c r="N254" t="s">
        <v>1079</v>
      </c>
      <c r="O254" t="s">
        <v>1275</v>
      </c>
      <c r="P254">
        <v>46159</v>
      </c>
      <c r="Q254" t="s">
        <v>1177</v>
      </c>
      <c r="R254" t="s">
        <v>23</v>
      </c>
      <c r="S254" t="s">
        <v>959</v>
      </c>
      <c r="T254" t="s">
        <v>972</v>
      </c>
      <c r="U254" t="s">
        <v>973</v>
      </c>
      <c r="V254">
        <v>1</v>
      </c>
      <c r="W254" t="s">
        <v>1262</v>
      </c>
      <c r="X254" t="s">
        <v>1262</v>
      </c>
      <c r="Y254">
        <v>0</v>
      </c>
      <c r="Z254" t="s">
        <v>1186</v>
      </c>
      <c r="AA254" t="s">
        <v>1177</v>
      </c>
      <c r="AB254" t="s">
        <v>1276</v>
      </c>
      <c r="AC254" t="s">
        <v>1277</v>
      </c>
      <c r="AD254" t="s">
        <v>1278</v>
      </c>
      <c r="AE254" t="s">
        <v>1618</v>
      </c>
      <c r="AF254" t="s">
        <v>1178</v>
      </c>
      <c r="AG254" t="s">
        <v>1190</v>
      </c>
      <c r="AH254" t="s">
        <v>1178</v>
      </c>
      <c r="AI254" t="s">
        <v>1280</v>
      </c>
      <c r="AJ254" t="s">
        <v>1190</v>
      </c>
      <c r="AK254">
        <v>0</v>
      </c>
      <c r="AL254" t="s">
        <v>1262</v>
      </c>
      <c r="AM254">
        <v>46098</v>
      </c>
      <c r="AN254">
        <v>46196</v>
      </c>
      <c r="AO254">
        <v>46163</v>
      </c>
      <c r="AP254">
        <v>46167</v>
      </c>
      <c r="AQ254">
        <v>46167</v>
      </c>
      <c r="AR254">
        <v>46169</v>
      </c>
      <c r="AS254">
        <v>46171</v>
      </c>
      <c r="AT254" t="s">
        <v>1281</v>
      </c>
      <c r="AU254" t="s">
        <v>1177</v>
      </c>
      <c r="AV254" t="s">
        <v>1192</v>
      </c>
      <c r="AW254" t="s">
        <v>1177</v>
      </c>
      <c r="AX254">
        <v>33</v>
      </c>
      <c r="AY254">
        <v>2</v>
      </c>
      <c r="AZ254" t="s">
        <v>1177</v>
      </c>
      <c r="BA254">
        <v>0</v>
      </c>
      <c r="BB254" t="s">
        <v>1262</v>
      </c>
      <c r="BC254" t="e">
        <v>#N/A</v>
      </c>
      <c r="BD254" t="e">
        <v>#N/A</v>
      </c>
      <c r="BE254" t="e">
        <v>#N/A</v>
      </c>
      <c r="BF254" t="e">
        <v>#N/A</v>
      </c>
      <c r="BG254" t="s">
        <v>126</v>
      </c>
      <c r="BH254" t="s">
        <v>1873</v>
      </c>
      <c r="BI254" t="s">
        <v>126</v>
      </c>
    </row>
    <row r="255" spans="1:61" x14ac:dyDescent="0.35">
      <c r="A255" s="7" t="str">
        <f t="shared" si="6"/>
        <v>461594300009943</v>
      </c>
      <c r="B255" s="7" t="str">
        <f t="shared" si="7"/>
        <v>GP037930B825</v>
      </c>
      <c r="C255" t="s">
        <v>1177</v>
      </c>
      <c r="D255" t="s">
        <v>1178</v>
      </c>
      <c r="E255" t="s">
        <v>2232</v>
      </c>
      <c r="F255" t="s">
        <v>1363</v>
      </c>
      <c r="G255" t="s">
        <v>1363</v>
      </c>
      <c r="H255" t="s">
        <v>1271</v>
      </c>
      <c r="I255">
        <v>46159</v>
      </c>
      <c r="J255" t="s">
        <v>2233</v>
      </c>
      <c r="K255" t="s">
        <v>1253</v>
      </c>
      <c r="L255" t="s">
        <v>1177</v>
      </c>
      <c r="M255" t="s">
        <v>1274</v>
      </c>
      <c r="N255" t="s">
        <v>1079</v>
      </c>
      <c r="O255" t="s">
        <v>1275</v>
      </c>
      <c r="P255">
        <v>46281</v>
      </c>
      <c r="Q255" t="s">
        <v>1177</v>
      </c>
      <c r="R255" t="s">
        <v>16</v>
      </c>
      <c r="S255" t="s">
        <v>512</v>
      </c>
      <c r="T255" t="s">
        <v>157</v>
      </c>
      <c r="U255" t="s">
        <v>2234</v>
      </c>
      <c r="V255">
        <v>1</v>
      </c>
      <c r="W255" t="s">
        <v>1262</v>
      </c>
      <c r="X255" t="s">
        <v>1262</v>
      </c>
      <c r="Y255">
        <v>0</v>
      </c>
      <c r="Z255" t="s">
        <v>1186</v>
      </c>
      <c r="AA255" t="s">
        <v>1177</v>
      </c>
      <c r="AB255" t="s">
        <v>1286</v>
      </c>
      <c r="AC255" t="s">
        <v>1277</v>
      </c>
      <c r="AD255" t="s">
        <v>1278</v>
      </c>
      <c r="AE255" t="s">
        <v>2235</v>
      </c>
      <c r="AF255" t="s">
        <v>1178</v>
      </c>
      <c r="AG255" t="s">
        <v>1178</v>
      </c>
      <c r="AH255" t="s">
        <v>1178</v>
      </c>
      <c r="AI255" t="s">
        <v>1349</v>
      </c>
      <c r="AJ255" t="s">
        <v>1190</v>
      </c>
      <c r="AK255">
        <v>0</v>
      </c>
      <c r="AL255" t="s">
        <v>1262</v>
      </c>
      <c r="AM255">
        <v>46319</v>
      </c>
      <c r="AN255">
        <v>46316</v>
      </c>
      <c r="AO255">
        <v>46314</v>
      </c>
      <c r="AP255">
        <v>46316</v>
      </c>
      <c r="AQ255">
        <v>46316</v>
      </c>
      <c r="AR255">
        <v>46318</v>
      </c>
      <c r="AS255">
        <v>46322</v>
      </c>
      <c r="AT255" t="s">
        <v>1281</v>
      </c>
      <c r="AU255" t="s">
        <v>1177</v>
      </c>
      <c r="AV255" t="s">
        <v>1192</v>
      </c>
      <c r="AW255" t="s">
        <v>1177</v>
      </c>
      <c r="AX255">
        <v>33</v>
      </c>
      <c r="AY255">
        <v>2</v>
      </c>
      <c r="AZ255" t="s">
        <v>1177</v>
      </c>
      <c r="BA255">
        <v>0</v>
      </c>
      <c r="BB255" t="s">
        <v>1262</v>
      </c>
      <c r="BC255" t="e">
        <v>#N/A</v>
      </c>
      <c r="BD255" t="e">
        <v>#N/A</v>
      </c>
      <c r="BE255" t="e">
        <v>#N/A</v>
      </c>
      <c r="BF255" t="e">
        <v>#N/A</v>
      </c>
      <c r="BG255" t="s">
        <v>126</v>
      </c>
      <c r="BH255" t="s">
        <v>1873</v>
      </c>
      <c r="BI255" t="s">
        <v>126</v>
      </c>
    </row>
    <row r="256" spans="1:61" x14ac:dyDescent="0.35">
      <c r="A256" s="7" t="str">
        <f t="shared" si="6"/>
        <v>461594300009946</v>
      </c>
      <c r="B256" s="7" t="str">
        <f t="shared" si="7"/>
        <v>GP422280B865</v>
      </c>
      <c r="C256" t="s">
        <v>1177</v>
      </c>
      <c r="D256" t="s">
        <v>1178</v>
      </c>
      <c r="E256" t="s">
        <v>2236</v>
      </c>
      <c r="F256" t="s">
        <v>1363</v>
      </c>
      <c r="G256" t="s">
        <v>1363</v>
      </c>
      <c r="H256" t="s">
        <v>1271</v>
      </c>
      <c r="I256">
        <v>46159</v>
      </c>
      <c r="J256" t="s">
        <v>2237</v>
      </c>
      <c r="K256" t="s">
        <v>1182</v>
      </c>
      <c r="L256" t="s">
        <v>1177</v>
      </c>
      <c r="M256" t="s">
        <v>1274</v>
      </c>
      <c r="N256" t="s">
        <v>1079</v>
      </c>
      <c r="O256" t="s">
        <v>1275</v>
      </c>
      <c r="P256">
        <v>46159</v>
      </c>
      <c r="Q256" t="s">
        <v>1177</v>
      </c>
      <c r="R256" t="s">
        <v>7</v>
      </c>
      <c r="S256" t="s">
        <v>1040</v>
      </c>
      <c r="T256" t="s">
        <v>102</v>
      </c>
      <c r="U256" t="s">
        <v>103</v>
      </c>
      <c r="V256">
        <v>1</v>
      </c>
      <c r="W256" t="s">
        <v>1262</v>
      </c>
      <c r="X256" t="s">
        <v>1262</v>
      </c>
      <c r="Y256">
        <v>0</v>
      </c>
      <c r="Z256" t="s">
        <v>1186</v>
      </c>
      <c r="AA256" t="s">
        <v>1177</v>
      </c>
      <c r="AB256" t="s">
        <v>1276</v>
      </c>
      <c r="AC256" t="s">
        <v>1277</v>
      </c>
      <c r="AD256" t="s">
        <v>1278</v>
      </c>
      <c r="AE256" t="s">
        <v>1296</v>
      </c>
      <c r="AF256" t="s">
        <v>1178</v>
      </c>
      <c r="AG256" t="s">
        <v>1190</v>
      </c>
      <c r="AH256" t="s">
        <v>1178</v>
      </c>
      <c r="AI256" t="s">
        <v>1349</v>
      </c>
      <c r="AJ256" t="s">
        <v>1190</v>
      </c>
      <c r="AK256">
        <v>0</v>
      </c>
      <c r="AL256" t="s">
        <v>1262</v>
      </c>
      <c r="AM256">
        <v>46105</v>
      </c>
      <c r="AN256">
        <v>46210</v>
      </c>
      <c r="AO256">
        <v>46160</v>
      </c>
      <c r="AP256">
        <v>46162</v>
      </c>
      <c r="AQ256">
        <v>46162</v>
      </c>
      <c r="AR256">
        <v>46164</v>
      </c>
      <c r="AS256">
        <v>46168</v>
      </c>
      <c r="AT256" t="s">
        <v>1281</v>
      </c>
      <c r="AU256" t="s">
        <v>1177</v>
      </c>
      <c r="AV256" t="s">
        <v>1192</v>
      </c>
      <c r="AW256" t="s">
        <v>1177</v>
      </c>
      <c r="AX256">
        <v>33</v>
      </c>
      <c r="AY256">
        <v>2</v>
      </c>
      <c r="AZ256" t="s">
        <v>1177</v>
      </c>
      <c r="BA256">
        <v>1</v>
      </c>
      <c r="BB256" t="s">
        <v>1262</v>
      </c>
      <c r="BC256" t="s">
        <v>2224</v>
      </c>
      <c r="BD256">
        <v>1</v>
      </c>
      <c r="BE256">
        <v>46223</v>
      </c>
      <c r="BF256" t="s">
        <v>1165</v>
      </c>
      <c r="BG256" t="s">
        <v>126</v>
      </c>
      <c r="BH256" t="s">
        <v>1873</v>
      </c>
      <c r="BI256" t="s">
        <v>126</v>
      </c>
    </row>
    <row r="257" spans="1:61" x14ac:dyDescent="0.35">
      <c r="A257" s="7" t="str">
        <f t="shared" si="6"/>
        <v>461594300009973</v>
      </c>
      <c r="B257" s="7" t="str">
        <f t="shared" si="7"/>
        <v>GP082783B832</v>
      </c>
      <c r="C257" t="s">
        <v>1177</v>
      </c>
      <c r="D257" t="s">
        <v>1178</v>
      </c>
      <c r="E257" t="s">
        <v>2238</v>
      </c>
      <c r="F257" t="s">
        <v>1177</v>
      </c>
      <c r="G257" t="s">
        <v>1363</v>
      </c>
      <c r="H257" t="s">
        <v>1271</v>
      </c>
      <c r="I257">
        <v>46159</v>
      </c>
      <c r="J257" t="s">
        <v>2239</v>
      </c>
      <c r="K257" t="s">
        <v>1282</v>
      </c>
      <c r="L257" t="s">
        <v>1177</v>
      </c>
      <c r="M257" t="s">
        <v>1274</v>
      </c>
      <c r="N257" t="s">
        <v>1079</v>
      </c>
      <c r="O257" t="s">
        <v>1275</v>
      </c>
      <c r="P257">
        <v>46183</v>
      </c>
      <c r="Q257" t="s">
        <v>1177</v>
      </c>
      <c r="R257" t="s">
        <v>19</v>
      </c>
      <c r="S257" t="s">
        <v>654</v>
      </c>
      <c r="T257" t="s">
        <v>50</v>
      </c>
      <c r="U257" t="s">
        <v>51</v>
      </c>
      <c r="V257">
        <v>1</v>
      </c>
      <c r="W257" t="s">
        <v>1262</v>
      </c>
      <c r="X257" t="s">
        <v>1262</v>
      </c>
      <c r="Y257">
        <v>0</v>
      </c>
      <c r="Z257" t="s">
        <v>1186</v>
      </c>
      <c r="AA257" t="s">
        <v>1177</v>
      </c>
      <c r="AB257" t="s">
        <v>1286</v>
      </c>
      <c r="AC257" t="s">
        <v>1277</v>
      </c>
      <c r="AD257" t="s">
        <v>1278</v>
      </c>
      <c r="AE257" t="s">
        <v>1618</v>
      </c>
      <c r="AF257" t="s">
        <v>1178</v>
      </c>
      <c r="AG257" t="s">
        <v>1178</v>
      </c>
      <c r="AH257" t="s">
        <v>1178</v>
      </c>
      <c r="AI257" t="s">
        <v>1349</v>
      </c>
      <c r="AJ257" t="s">
        <v>1190</v>
      </c>
      <c r="AK257">
        <v>0</v>
      </c>
      <c r="AL257" t="s">
        <v>1262</v>
      </c>
      <c r="AM257">
        <v>46112</v>
      </c>
      <c r="AN257">
        <v>46204</v>
      </c>
      <c r="AO257">
        <v>46188</v>
      </c>
      <c r="AP257">
        <v>46190</v>
      </c>
      <c r="AQ257">
        <v>46190</v>
      </c>
      <c r="AR257">
        <v>46192</v>
      </c>
      <c r="AS257">
        <v>46196</v>
      </c>
      <c r="AT257" t="s">
        <v>1281</v>
      </c>
      <c r="AU257" t="s">
        <v>1177</v>
      </c>
      <c r="AV257" t="s">
        <v>1192</v>
      </c>
      <c r="AW257" t="s">
        <v>1177</v>
      </c>
      <c r="AX257">
        <v>33</v>
      </c>
      <c r="AY257">
        <v>2</v>
      </c>
      <c r="AZ257" t="s">
        <v>1177</v>
      </c>
      <c r="BA257">
        <v>0</v>
      </c>
      <c r="BB257" t="s">
        <v>1262</v>
      </c>
      <c r="BC257" t="s">
        <v>1812</v>
      </c>
      <c r="BD257">
        <v>1</v>
      </c>
      <c r="BE257">
        <v>46223</v>
      </c>
      <c r="BF257" t="s">
        <v>1165</v>
      </c>
      <c r="BG257" t="s">
        <v>126</v>
      </c>
      <c r="BH257" t="s">
        <v>1873</v>
      </c>
      <c r="BI257" t="s">
        <v>126</v>
      </c>
    </row>
    <row r="258" spans="1:61" x14ac:dyDescent="0.35">
      <c r="A258" s="7" t="str">
        <f t="shared" ref="A258:A321" si="8">I258&amp;J258</f>
        <v>461594300009974</v>
      </c>
      <c r="B258" s="7" t="str">
        <f t="shared" ref="B258:B321" si="9">_xlfn.CONCAT(T258,R258)</f>
        <v>GP082783B832</v>
      </c>
      <c r="C258" t="s">
        <v>1177</v>
      </c>
      <c r="D258" t="s">
        <v>1178</v>
      </c>
      <c r="E258" t="s">
        <v>2240</v>
      </c>
      <c r="F258" t="s">
        <v>1177</v>
      </c>
      <c r="G258" t="s">
        <v>1363</v>
      </c>
      <c r="H258" t="s">
        <v>1271</v>
      </c>
      <c r="I258">
        <v>46159</v>
      </c>
      <c r="J258" t="s">
        <v>2241</v>
      </c>
      <c r="K258" t="s">
        <v>1282</v>
      </c>
      <c r="L258" t="s">
        <v>1177</v>
      </c>
      <c r="M258" t="s">
        <v>1274</v>
      </c>
      <c r="N258" t="s">
        <v>1079</v>
      </c>
      <c r="O258" t="s">
        <v>1275</v>
      </c>
      <c r="P258">
        <v>46281</v>
      </c>
      <c r="Q258" t="s">
        <v>1177</v>
      </c>
      <c r="R258" t="s">
        <v>19</v>
      </c>
      <c r="S258" t="s">
        <v>654</v>
      </c>
      <c r="T258" t="s">
        <v>50</v>
      </c>
      <c r="U258" t="s">
        <v>51</v>
      </c>
      <c r="V258">
        <v>1</v>
      </c>
      <c r="W258" t="s">
        <v>1262</v>
      </c>
      <c r="X258" t="s">
        <v>1262</v>
      </c>
      <c r="Y258">
        <v>0</v>
      </c>
      <c r="Z258" t="s">
        <v>1186</v>
      </c>
      <c r="AA258" t="s">
        <v>1177</v>
      </c>
      <c r="AB258" t="s">
        <v>1276</v>
      </c>
      <c r="AC258" t="s">
        <v>1277</v>
      </c>
      <c r="AD258" t="s">
        <v>1278</v>
      </c>
      <c r="AE258" t="s">
        <v>1618</v>
      </c>
      <c r="AF258" t="s">
        <v>1178</v>
      </c>
      <c r="AG258" t="s">
        <v>1190</v>
      </c>
      <c r="AH258" t="s">
        <v>1178</v>
      </c>
      <c r="AI258" t="s">
        <v>1349</v>
      </c>
      <c r="AJ258" t="s">
        <v>1190</v>
      </c>
      <c r="AK258">
        <v>0</v>
      </c>
      <c r="AL258" t="s">
        <v>1262</v>
      </c>
      <c r="AM258">
        <v>46326</v>
      </c>
      <c r="AN258">
        <v>46321</v>
      </c>
      <c r="AO258">
        <v>46321</v>
      </c>
      <c r="AP258">
        <v>46323</v>
      </c>
      <c r="AQ258">
        <v>46323</v>
      </c>
      <c r="AR258">
        <v>46325</v>
      </c>
      <c r="AS258">
        <v>46330</v>
      </c>
      <c r="AT258" t="s">
        <v>1281</v>
      </c>
      <c r="AU258" t="s">
        <v>1177</v>
      </c>
      <c r="AV258" t="s">
        <v>1192</v>
      </c>
      <c r="AW258" t="s">
        <v>1177</v>
      </c>
      <c r="AX258">
        <v>33</v>
      </c>
      <c r="AY258">
        <v>2</v>
      </c>
      <c r="AZ258" t="s">
        <v>1177</v>
      </c>
      <c r="BA258">
        <v>0</v>
      </c>
      <c r="BB258" t="s">
        <v>1262</v>
      </c>
      <c r="BC258" t="s">
        <v>1977</v>
      </c>
      <c r="BD258">
        <v>1</v>
      </c>
      <c r="BE258">
        <v>46288</v>
      </c>
      <c r="BF258" t="s">
        <v>1165</v>
      </c>
      <c r="BG258" t="s">
        <v>126</v>
      </c>
      <c r="BH258" t="s">
        <v>1873</v>
      </c>
      <c r="BI258" t="s">
        <v>126</v>
      </c>
    </row>
    <row r="259" spans="1:61" x14ac:dyDescent="0.35">
      <c r="A259" s="7" t="str">
        <f t="shared" si="8"/>
        <v>461594300009978</v>
      </c>
      <c r="B259" s="7" t="str">
        <f t="shared" si="9"/>
        <v>GP243613B856</v>
      </c>
      <c r="C259" t="s">
        <v>1177</v>
      </c>
      <c r="D259" t="s">
        <v>1178</v>
      </c>
      <c r="E259" t="s">
        <v>2242</v>
      </c>
      <c r="F259" t="s">
        <v>1363</v>
      </c>
      <c r="G259" t="s">
        <v>1363</v>
      </c>
      <c r="H259" t="s">
        <v>1271</v>
      </c>
      <c r="I259">
        <v>46159</v>
      </c>
      <c r="J259" t="s">
        <v>2243</v>
      </c>
      <c r="K259" t="s">
        <v>1182</v>
      </c>
      <c r="L259" t="s">
        <v>1177</v>
      </c>
      <c r="M259" t="s">
        <v>1274</v>
      </c>
      <c r="N259" t="s">
        <v>1079</v>
      </c>
      <c r="O259" t="s">
        <v>1275</v>
      </c>
      <c r="P259">
        <v>46159</v>
      </c>
      <c r="Q259" t="s">
        <v>1177</v>
      </c>
      <c r="R259" t="s">
        <v>21</v>
      </c>
      <c r="S259" t="s">
        <v>853</v>
      </c>
      <c r="T259" t="s">
        <v>869</v>
      </c>
      <c r="U259" t="s">
        <v>2137</v>
      </c>
      <c r="V259">
        <v>1</v>
      </c>
      <c r="W259" t="s">
        <v>1262</v>
      </c>
      <c r="X259" t="s">
        <v>1262</v>
      </c>
      <c r="Y259">
        <v>0</v>
      </c>
      <c r="Z259" t="s">
        <v>1186</v>
      </c>
      <c r="AA259" t="s">
        <v>1177</v>
      </c>
      <c r="AB259" t="s">
        <v>1286</v>
      </c>
      <c r="AC259" t="s">
        <v>1277</v>
      </c>
      <c r="AD259" t="s">
        <v>1278</v>
      </c>
      <c r="AE259" t="s">
        <v>1883</v>
      </c>
      <c r="AF259" t="s">
        <v>1178</v>
      </c>
      <c r="AG259" t="s">
        <v>1178</v>
      </c>
      <c r="AH259" t="s">
        <v>1178</v>
      </c>
      <c r="AI259" t="s">
        <v>1280</v>
      </c>
      <c r="AJ259" t="s">
        <v>1190</v>
      </c>
      <c r="AK259">
        <v>0</v>
      </c>
      <c r="AL259" t="s">
        <v>1262</v>
      </c>
      <c r="AM259">
        <v>46112</v>
      </c>
      <c r="AN259">
        <v>46184</v>
      </c>
      <c r="AO259">
        <v>46163</v>
      </c>
      <c r="AP259">
        <v>46167</v>
      </c>
      <c r="AQ259">
        <v>46167</v>
      </c>
      <c r="AR259">
        <v>46169</v>
      </c>
      <c r="AS259">
        <v>46171</v>
      </c>
      <c r="AT259" t="s">
        <v>1281</v>
      </c>
      <c r="AU259" t="s">
        <v>1177</v>
      </c>
      <c r="AV259" t="s">
        <v>1192</v>
      </c>
      <c r="AW259" t="s">
        <v>1177</v>
      </c>
      <c r="AX259">
        <v>33</v>
      </c>
      <c r="AY259">
        <v>2</v>
      </c>
      <c r="AZ259" t="s">
        <v>1177</v>
      </c>
      <c r="BA259">
        <v>0</v>
      </c>
      <c r="BB259" t="s">
        <v>1262</v>
      </c>
      <c r="BC259" t="e">
        <v>#N/A</v>
      </c>
      <c r="BD259" t="e">
        <v>#N/A</v>
      </c>
      <c r="BE259" t="e">
        <v>#N/A</v>
      </c>
      <c r="BF259" t="e">
        <v>#N/A</v>
      </c>
      <c r="BG259" t="s">
        <v>126</v>
      </c>
      <c r="BH259" t="s">
        <v>1873</v>
      </c>
      <c r="BI259" t="s">
        <v>126</v>
      </c>
    </row>
    <row r="260" spans="1:61" x14ac:dyDescent="0.35">
      <c r="A260" s="7" t="str">
        <f t="shared" si="8"/>
        <v>461594300009982</v>
      </c>
      <c r="B260" s="7" t="str">
        <f t="shared" si="9"/>
        <v>149391-002B867</v>
      </c>
      <c r="C260" t="s">
        <v>1177</v>
      </c>
      <c r="D260" t="s">
        <v>1178</v>
      </c>
      <c r="E260" t="s">
        <v>2244</v>
      </c>
      <c r="F260" t="s">
        <v>1363</v>
      </c>
      <c r="G260" t="s">
        <v>1363</v>
      </c>
      <c r="H260" t="s">
        <v>1271</v>
      </c>
      <c r="I260">
        <v>46159</v>
      </c>
      <c r="J260" t="s">
        <v>2245</v>
      </c>
      <c r="K260" t="s">
        <v>1199</v>
      </c>
      <c r="L260" t="s">
        <v>1177</v>
      </c>
      <c r="M260" t="s">
        <v>1274</v>
      </c>
      <c r="N260" t="s">
        <v>1079</v>
      </c>
      <c r="O260" t="s">
        <v>1275</v>
      </c>
      <c r="P260">
        <v>46159</v>
      </c>
      <c r="Q260" t="s">
        <v>1177</v>
      </c>
      <c r="R260" t="s">
        <v>25</v>
      </c>
      <c r="S260" t="s">
        <v>1060</v>
      </c>
      <c r="T260" t="s">
        <v>135</v>
      </c>
      <c r="U260" t="s">
        <v>136</v>
      </c>
      <c r="V260">
        <v>20</v>
      </c>
      <c r="W260" t="s">
        <v>1185</v>
      </c>
      <c r="X260" t="s">
        <v>1185</v>
      </c>
      <c r="Y260">
        <v>0</v>
      </c>
      <c r="Z260" t="s">
        <v>1186</v>
      </c>
      <c r="AA260" t="s">
        <v>1177</v>
      </c>
      <c r="AB260" t="s">
        <v>1177</v>
      </c>
      <c r="AC260" t="s">
        <v>1177</v>
      </c>
      <c r="AD260" t="s">
        <v>1204</v>
      </c>
      <c r="AE260" t="s">
        <v>2246</v>
      </c>
      <c r="AF260" t="s">
        <v>1189</v>
      </c>
      <c r="AG260" t="s">
        <v>1190</v>
      </c>
      <c r="AH260" t="s">
        <v>1178</v>
      </c>
      <c r="AI260" t="s">
        <v>1280</v>
      </c>
      <c r="AJ260" t="s">
        <v>1190</v>
      </c>
      <c r="AK260">
        <v>0</v>
      </c>
      <c r="AL260" t="s">
        <v>1185</v>
      </c>
      <c r="AM260">
        <v>46112</v>
      </c>
      <c r="AN260">
        <v>46190</v>
      </c>
      <c r="AO260">
        <v>46163</v>
      </c>
      <c r="AP260">
        <v>46167</v>
      </c>
      <c r="AQ260">
        <v>46167</v>
      </c>
      <c r="AR260">
        <v>46169</v>
      </c>
      <c r="AS260">
        <v>46171</v>
      </c>
      <c r="AT260" t="s">
        <v>1281</v>
      </c>
      <c r="AU260" t="s">
        <v>1177</v>
      </c>
      <c r="AV260" t="s">
        <v>1192</v>
      </c>
      <c r="AW260" t="s">
        <v>1177</v>
      </c>
      <c r="AX260">
        <v>33</v>
      </c>
      <c r="AY260">
        <v>2</v>
      </c>
      <c r="AZ260" t="s">
        <v>1177</v>
      </c>
      <c r="BA260">
        <v>0</v>
      </c>
      <c r="BB260" t="s">
        <v>1185</v>
      </c>
      <c r="BC260" t="e">
        <v>#N/A</v>
      </c>
      <c r="BD260" t="e">
        <v>#N/A</v>
      </c>
      <c r="BE260" t="e">
        <v>#N/A</v>
      </c>
      <c r="BF260" t="e">
        <v>#N/A</v>
      </c>
      <c r="BG260" t="s">
        <v>126</v>
      </c>
      <c r="BH260" t="s">
        <v>1873</v>
      </c>
      <c r="BI260" t="s">
        <v>126</v>
      </c>
    </row>
    <row r="261" spans="1:61" x14ac:dyDescent="0.35">
      <c r="A261" s="7" t="str">
        <f t="shared" si="8"/>
        <v>461594300009990</v>
      </c>
      <c r="B261" s="7" t="str">
        <f t="shared" si="9"/>
        <v>MS13210000B857</v>
      </c>
      <c r="C261" t="s">
        <v>1177</v>
      </c>
      <c r="D261" t="s">
        <v>1178</v>
      </c>
      <c r="E261" t="s">
        <v>2247</v>
      </c>
      <c r="F261" t="s">
        <v>1363</v>
      </c>
      <c r="G261" t="s">
        <v>1363</v>
      </c>
      <c r="H261" t="s">
        <v>1271</v>
      </c>
      <c r="I261">
        <v>46159</v>
      </c>
      <c r="J261" t="s">
        <v>2248</v>
      </c>
      <c r="K261" t="s">
        <v>1182</v>
      </c>
      <c r="L261" t="s">
        <v>1177</v>
      </c>
      <c r="M261" t="s">
        <v>1274</v>
      </c>
      <c r="N261" t="s">
        <v>1079</v>
      </c>
      <c r="O261" t="s">
        <v>1275</v>
      </c>
      <c r="P261">
        <v>46159</v>
      </c>
      <c r="Q261" t="s">
        <v>1177</v>
      </c>
      <c r="R261" t="s">
        <v>23</v>
      </c>
      <c r="S261" t="s">
        <v>959</v>
      </c>
      <c r="T261" t="s">
        <v>2249</v>
      </c>
      <c r="U261" t="s">
        <v>2250</v>
      </c>
      <c r="V261">
        <v>1</v>
      </c>
      <c r="W261" t="s">
        <v>1262</v>
      </c>
      <c r="X261" t="s">
        <v>1262</v>
      </c>
      <c r="Y261">
        <v>0</v>
      </c>
      <c r="Z261" t="s">
        <v>1186</v>
      </c>
      <c r="AA261" t="s">
        <v>1177</v>
      </c>
      <c r="AB261" t="s">
        <v>1276</v>
      </c>
      <c r="AC261" t="s">
        <v>1277</v>
      </c>
      <c r="AD261" t="s">
        <v>1278</v>
      </c>
      <c r="AE261" t="s">
        <v>1787</v>
      </c>
      <c r="AF261" t="s">
        <v>1178</v>
      </c>
      <c r="AG261" t="s">
        <v>1190</v>
      </c>
      <c r="AH261" t="s">
        <v>1178</v>
      </c>
      <c r="AI261" t="s">
        <v>1280</v>
      </c>
      <c r="AJ261" t="s">
        <v>1190</v>
      </c>
      <c r="AK261">
        <v>0</v>
      </c>
      <c r="AL261" t="s">
        <v>1262</v>
      </c>
      <c r="AM261">
        <v>46080</v>
      </c>
      <c r="AN261">
        <v>46163</v>
      </c>
      <c r="AO261">
        <v>46163</v>
      </c>
      <c r="AP261">
        <v>46167</v>
      </c>
      <c r="AQ261">
        <v>46167</v>
      </c>
      <c r="AR261">
        <v>46169</v>
      </c>
      <c r="AS261">
        <v>46169</v>
      </c>
      <c r="AT261" t="s">
        <v>1281</v>
      </c>
      <c r="AU261" t="s">
        <v>1543</v>
      </c>
      <c r="AV261" t="s">
        <v>1192</v>
      </c>
      <c r="AW261" t="s">
        <v>1177</v>
      </c>
      <c r="AX261">
        <v>0</v>
      </c>
      <c r="AY261">
        <v>0</v>
      </c>
      <c r="AZ261" t="s">
        <v>1177</v>
      </c>
      <c r="BA261">
        <v>0</v>
      </c>
      <c r="BB261" t="s">
        <v>1262</v>
      </c>
      <c r="BC261" t="e">
        <v>#N/A</v>
      </c>
      <c r="BD261" t="e">
        <v>#N/A</v>
      </c>
      <c r="BE261" t="e">
        <v>#N/A</v>
      </c>
      <c r="BF261" t="e">
        <v>#N/A</v>
      </c>
      <c r="BG261" t="s">
        <v>1458</v>
      </c>
      <c r="BH261" t="s">
        <v>1763</v>
      </c>
      <c r="BI261" t="s">
        <v>2251</v>
      </c>
    </row>
    <row r="262" spans="1:61" x14ac:dyDescent="0.35">
      <c r="A262" s="7" t="str">
        <f t="shared" si="8"/>
        <v>461594300009995</v>
      </c>
      <c r="B262" s="7" t="str">
        <f t="shared" si="9"/>
        <v>149776B857</v>
      </c>
      <c r="C262" t="s">
        <v>1177</v>
      </c>
      <c r="D262" t="s">
        <v>1178</v>
      </c>
      <c r="E262" t="s">
        <v>2252</v>
      </c>
      <c r="F262" t="s">
        <v>1363</v>
      </c>
      <c r="G262" t="s">
        <v>1363</v>
      </c>
      <c r="H262" t="s">
        <v>1271</v>
      </c>
      <c r="I262">
        <v>46159</v>
      </c>
      <c r="J262" t="s">
        <v>2253</v>
      </c>
      <c r="K262" t="s">
        <v>1809</v>
      </c>
      <c r="L262" t="s">
        <v>1177</v>
      </c>
      <c r="M262" t="s">
        <v>1274</v>
      </c>
      <c r="N262" t="s">
        <v>1079</v>
      </c>
      <c r="O262" t="s">
        <v>1275</v>
      </c>
      <c r="P262">
        <v>46159</v>
      </c>
      <c r="Q262" t="s">
        <v>1177</v>
      </c>
      <c r="R262" t="s">
        <v>23</v>
      </c>
      <c r="S262" t="s">
        <v>959</v>
      </c>
      <c r="T262" t="s">
        <v>1765</v>
      </c>
      <c r="U262" t="s">
        <v>337</v>
      </c>
      <c r="V262">
        <v>1</v>
      </c>
      <c r="W262" t="s">
        <v>1262</v>
      </c>
      <c r="X262" t="s">
        <v>1262</v>
      </c>
      <c r="Y262">
        <v>0</v>
      </c>
      <c r="Z262" t="s">
        <v>1186</v>
      </c>
      <c r="AA262" t="s">
        <v>1177</v>
      </c>
      <c r="AB262" t="s">
        <v>1177</v>
      </c>
      <c r="AC262" t="s">
        <v>1177</v>
      </c>
      <c r="AD262" t="s">
        <v>1204</v>
      </c>
      <c r="AE262" t="s">
        <v>1463</v>
      </c>
      <c r="AF262" t="s">
        <v>1189</v>
      </c>
      <c r="AG262" t="s">
        <v>1178</v>
      </c>
      <c r="AH262" t="s">
        <v>1178</v>
      </c>
      <c r="AI262" t="s">
        <v>1280</v>
      </c>
      <c r="AJ262" t="s">
        <v>1190</v>
      </c>
      <c r="AK262">
        <v>0</v>
      </c>
      <c r="AL262" t="s">
        <v>1262</v>
      </c>
      <c r="AM262">
        <v>46080</v>
      </c>
      <c r="AN262">
        <v>46163</v>
      </c>
      <c r="AO262">
        <v>46163</v>
      </c>
      <c r="AP262">
        <v>46167</v>
      </c>
      <c r="AQ262">
        <v>46167</v>
      </c>
      <c r="AR262">
        <v>46169</v>
      </c>
      <c r="AS262">
        <v>46169</v>
      </c>
      <c r="AT262" t="s">
        <v>1281</v>
      </c>
      <c r="AU262" t="s">
        <v>1177</v>
      </c>
      <c r="AV262" t="s">
        <v>1192</v>
      </c>
      <c r="AW262" t="s">
        <v>1177</v>
      </c>
      <c r="AX262">
        <v>0</v>
      </c>
      <c r="AY262">
        <v>0</v>
      </c>
      <c r="AZ262" t="s">
        <v>1177</v>
      </c>
      <c r="BA262">
        <v>0</v>
      </c>
      <c r="BB262" t="s">
        <v>1262</v>
      </c>
      <c r="BC262" t="e">
        <v>#N/A</v>
      </c>
      <c r="BD262" t="e">
        <v>#N/A</v>
      </c>
      <c r="BE262" t="e">
        <v>#N/A</v>
      </c>
      <c r="BF262" t="e">
        <v>#N/A</v>
      </c>
      <c r="BG262" t="s">
        <v>1458</v>
      </c>
      <c r="BH262" t="s">
        <v>1763</v>
      </c>
      <c r="BI262" t="s">
        <v>2254</v>
      </c>
    </row>
    <row r="263" spans="1:61" x14ac:dyDescent="0.35">
      <c r="A263" s="7" t="str">
        <f t="shared" si="8"/>
        <v>461594300010002</v>
      </c>
      <c r="B263" s="7" t="str">
        <f t="shared" si="9"/>
        <v>GP347778B857</v>
      </c>
      <c r="C263" t="s">
        <v>1177</v>
      </c>
      <c r="D263" t="s">
        <v>1178</v>
      </c>
      <c r="E263" t="s">
        <v>2255</v>
      </c>
      <c r="F263" t="s">
        <v>1363</v>
      </c>
      <c r="G263" t="s">
        <v>1363</v>
      </c>
      <c r="H263" t="s">
        <v>1271</v>
      </c>
      <c r="I263">
        <v>46159</v>
      </c>
      <c r="J263" t="s">
        <v>2256</v>
      </c>
      <c r="K263" t="s">
        <v>1182</v>
      </c>
      <c r="L263" t="s">
        <v>1177</v>
      </c>
      <c r="M263" t="s">
        <v>1274</v>
      </c>
      <c r="N263" t="s">
        <v>1079</v>
      </c>
      <c r="O263" t="s">
        <v>1275</v>
      </c>
      <c r="P263">
        <v>46159</v>
      </c>
      <c r="Q263" t="s">
        <v>1177</v>
      </c>
      <c r="R263" t="s">
        <v>23</v>
      </c>
      <c r="S263" t="s">
        <v>959</v>
      </c>
      <c r="T263" t="s">
        <v>91</v>
      </c>
      <c r="U263" t="s">
        <v>92</v>
      </c>
      <c r="V263">
        <v>6</v>
      </c>
      <c r="W263" t="s">
        <v>1262</v>
      </c>
      <c r="X263" t="s">
        <v>1262</v>
      </c>
      <c r="Y263">
        <v>0</v>
      </c>
      <c r="Z263" t="s">
        <v>1186</v>
      </c>
      <c r="AA263" t="s">
        <v>1177</v>
      </c>
      <c r="AB263" t="s">
        <v>1276</v>
      </c>
      <c r="AC263" t="s">
        <v>1277</v>
      </c>
      <c r="AD263" t="s">
        <v>1278</v>
      </c>
      <c r="AE263" t="s">
        <v>1998</v>
      </c>
      <c r="AF263" t="s">
        <v>1178</v>
      </c>
      <c r="AG263" t="s">
        <v>1190</v>
      </c>
      <c r="AH263" t="s">
        <v>1178</v>
      </c>
      <c r="AI263" t="s">
        <v>1280</v>
      </c>
      <c r="AJ263" t="s">
        <v>1190</v>
      </c>
      <c r="AK263">
        <v>0</v>
      </c>
      <c r="AL263" t="s">
        <v>1262</v>
      </c>
      <c r="AM263">
        <v>46372</v>
      </c>
      <c r="AN263">
        <v>46366</v>
      </c>
      <c r="AO263">
        <v>46366</v>
      </c>
      <c r="AP263">
        <v>46370</v>
      </c>
      <c r="AQ263">
        <v>46370</v>
      </c>
      <c r="AR263">
        <v>46372</v>
      </c>
      <c r="AS263">
        <v>46374</v>
      </c>
      <c r="AT263" t="s">
        <v>1281</v>
      </c>
      <c r="AU263" t="s">
        <v>1177</v>
      </c>
      <c r="AV263" t="s">
        <v>1192</v>
      </c>
      <c r="AW263" t="s">
        <v>1177</v>
      </c>
      <c r="AX263">
        <v>33</v>
      </c>
      <c r="AY263">
        <v>2</v>
      </c>
      <c r="AZ263" t="s">
        <v>1177</v>
      </c>
      <c r="BA263">
        <v>0</v>
      </c>
      <c r="BB263" t="s">
        <v>1262</v>
      </c>
      <c r="BC263" t="e">
        <v>#N/A</v>
      </c>
      <c r="BD263" t="e">
        <v>#N/A</v>
      </c>
      <c r="BE263" t="e">
        <v>#N/A</v>
      </c>
      <c r="BF263" t="e">
        <v>#N/A</v>
      </c>
      <c r="BG263" t="s">
        <v>1212</v>
      </c>
      <c r="BH263" t="s">
        <v>1873</v>
      </c>
      <c r="BI263" t="s">
        <v>1213</v>
      </c>
    </row>
    <row r="264" spans="1:61" x14ac:dyDescent="0.35">
      <c r="A264" s="7" t="str">
        <f t="shared" si="8"/>
        <v>461594300010005</v>
      </c>
      <c r="B264" s="7" t="str">
        <f t="shared" si="9"/>
        <v>GP432947B864</v>
      </c>
      <c r="C264" t="s">
        <v>1177</v>
      </c>
      <c r="D264" t="s">
        <v>1178</v>
      </c>
      <c r="E264" t="s">
        <v>2257</v>
      </c>
      <c r="F264" t="s">
        <v>1363</v>
      </c>
      <c r="G264" t="s">
        <v>1363</v>
      </c>
      <c r="H264" t="s">
        <v>1271</v>
      </c>
      <c r="I264">
        <v>46159</v>
      </c>
      <c r="J264" t="s">
        <v>2258</v>
      </c>
      <c r="K264" t="s">
        <v>1426</v>
      </c>
      <c r="L264" t="s">
        <v>1177</v>
      </c>
      <c r="M264" t="s">
        <v>1274</v>
      </c>
      <c r="N264" t="s">
        <v>1079</v>
      </c>
      <c r="O264" t="s">
        <v>1275</v>
      </c>
      <c r="P264">
        <v>46159</v>
      </c>
      <c r="Q264" t="s">
        <v>1177</v>
      </c>
      <c r="R264" t="s">
        <v>10</v>
      </c>
      <c r="S264" t="s">
        <v>1011</v>
      </c>
      <c r="T264" t="s">
        <v>1106</v>
      </c>
      <c r="U264" t="s">
        <v>1107</v>
      </c>
      <c r="V264">
        <v>12</v>
      </c>
      <c r="W264" t="s">
        <v>1262</v>
      </c>
      <c r="X264" t="s">
        <v>1262</v>
      </c>
      <c r="Y264">
        <v>0</v>
      </c>
      <c r="Z264" t="s">
        <v>1186</v>
      </c>
      <c r="AA264" t="s">
        <v>1177</v>
      </c>
      <c r="AB264" t="s">
        <v>1286</v>
      </c>
      <c r="AC264" t="s">
        <v>1277</v>
      </c>
      <c r="AD264" t="s">
        <v>1278</v>
      </c>
      <c r="AE264" t="s">
        <v>1378</v>
      </c>
      <c r="AF264" t="s">
        <v>1178</v>
      </c>
      <c r="AG264" t="s">
        <v>1178</v>
      </c>
      <c r="AH264" t="s">
        <v>1178</v>
      </c>
      <c r="AI264" t="s">
        <v>1280</v>
      </c>
      <c r="AJ264" t="s">
        <v>1190</v>
      </c>
      <c r="AK264">
        <v>0</v>
      </c>
      <c r="AL264" t="s">
        <v>1262</v>
      </c>
      <c r="AM264">
        <v>46078</v>
      </c>
      <c r="AN264">
        <v>46202</v>
      </c>
      <c r="AO264">
        <v>46163</v>
      </c>
      <c r="AP264">
        <v>46167</v>
      </c>
      <c r="AQ264">
        <v>46167</v>
      </c>
      <c r="AR264">
        <v>46169</v>
      </c>
      <c r="AS264">
        <v>46169</v>
      </c>
      <c r="AT264" t="s">
        <v>1281</v>
      </c>
      <c r="AU264" t="s">
        <v>1177</v>
      </c>
      <c r="AV264" t="s">
        <v>1192</v>
      </c>
      <c r="AW264" t="s">
        <v>1177</v>
      </c>
      <c r="AX264">
        <v>0</v>
      </c>
      <c r="AY264">
        <v>0</v>
      </c>
      <c r="AZ264" t="s">
        <v>1177</v>
      </c>
      <c r="BA264">
        <v>0</v>
      </c>
      <c r="BB264" t="s">
        <v>1262</v>
      </c>
      <c r="BC264" t="e">
        <v>#N/A</v>
      </c>
      <c r="BD264" t="e">
        <v>#N/A</v>
      </c>
      <c r="BE264" t="e">
        <v>#N/A</v>
      </c>
      <c r="BF264" t="e">
        <v>#N/A</v>
      </c>
      <c r="BG264" t="s">
        <v>1458</v>
      </c>
      <c r="BH264" t="s">
        <v>1763</v>
      </c>
      <c r="BI264" t="s">
        <v>2259</v>
      </c>
    </row>
    <row r="265" spans="1:61" x14ac:dyDescent="0.35">
      <c r="A265" s="7" t="str">
        <f t="shared" si="8"/>
        <v>461594300010030</v>
      </c>
      <c r="B265" s="7" t="str">
        <f t="shared" si="9"/>
        <v>R9B0405P37B825</v>
      </c>
      <c r="C265" t="s">
        <v>1177</v>
      </c>
      <c r="D265" t="s">
        <v>1178</v>
      </c>
      <c r="E265" t="s">
        <v>2261</v>
      </c>
      <c r="F265" t="s">
        <v>1363</v>
      </c>
      <c r="G265" t="s">
        <v>1363</v>
      </c>
      <c r="H265" t="s">
        <v>1271</v>
      </c>
      <c r="I265">
        <v>46159</v>
      </c>
      <c r="J265" t="s">
        <v>2262</v>
      </c>
      <c r="K265" t="s">
        <v>1182</v>
      </c>
      <c r="L265" t="s">
        <v>1177</v>
      </c>
      <c r="M265" t="s">
        <v>1274</v>
      </c>
      <c r="N265" t="s">
        <v>1079</v>
      </c>
      <c r="O265" t="s">
        <v>1275</v>
      </c>
      <c r="P265">
        <v>46159</v>
      </c>
      <c r="Q265" t="s">
        <v>1177</v>
      </c>
      <c r="R265" t="s">
        <v>16</v>
      </c>
      <c r="S265" t="s">
        <v>512</v>
      </c>
      <c r="T265" t="s">
        <v>305</v>
      </c>
      <c r="U265" t="s">
        <v>2263</v>
      </c>
      <c r="V265">
        <v>5</v>
      </c>
      <c r="W265" t="s">
        <v>1262</v>
      </c>
      <c r="X265" t="s">
        <v>1262</v>
      </c>
      <c r="Y265">
        <v>0</v>
      </c>
      <c r="Z265" t="s">
        <v>1186</v>
      </c>
      <c r="AA265" t="s">
        <v>1177</v>
      </c>
      <c r="AB265" t="s">
        <v>1276</v>
      </c>
      <c r="AC265" t="s">
        <v>1277</v>
      </c>
      <c r="AD265" t="s">
        <v>1278</v>
      </c>
      <c r="AE265" t="s">
        <v>1478</v>
      </c>
      <c r="AF265" t="s">
        <v>1178</v>
      </c>
      <c r="AG265" t="s">
        <v>1190</v>
      </c>
      <c r="AH265" t="s">
        <v>1178</v>
      </c>
      <c r="AI265" t="s">
        <v>1349</v>
      </c>
      <c r="AJ265" t="s">
        <v>1190</v>
      </c>
      <c r="AK265">
        <v>0</v>
      </c>
      <c r="AL265" t="s">
        <v>1262</v>
      </c>
      <c r="AM265">
        <v>46231</v>
      </c>
      <c r="AN265">
        <v>46378</v>
      </c>
      <c r="AO265">
        <v>46223</v>
      </c>
      <c r="AP265">
        <v>46225</v>
      </c>
      <c r="AQ265">
        <v>46225</v>
      </c>
      <c r="AR265">
        <v>46227</v>
      </c>
      <c r="AS265">
        <v>46231</v>
      </c>
      <c r="AT265" t="s">
        <v>1281</v>
      </c>
      <c r="AU265" t="s">
        <v>1177</v>
      </c>
      <c r="AV265" t="s">
        <v>1192</v>
      </c>
      <c r="AW265" t="s">
        <v>1177</v>
      </c>
      <c r="AX265">
        <v>33</v>
      </c>
      <c r="AY265">
        <v>2</v>
      </c>
      <c r="AZ265" t="s">
        <v>1177</v>
      </c>
      <c r="BA265">
        <v>0</v>
      </c>
      <c r="BB265" t="s">
        <v>1262</v>
      </c>
      <c r="BC265" t="e">
        <v>#N/A</v>
      </c>
      <c r="BD265" t="e">
        <v>#N/A</v>
      </c>
      <c r="BE265" t="e">
        <v>#N/A</v>
      </c>
      <c r="BF265" t="e">
        <v>#N/A</v>
      </c>
      <c r="BG265" t="s">
        <v>1212</v>
      </c>
      <c r="BH265" t="s">
        <v>1873</v>
      </c>
      <c r="BI265" t="s">
        <v>1213</v>
      </c>
    </row>
    <row r="266" spans="1:61" x14ac:dyDescent="0.35">
      <c r="A266" s="7" t="str">
        <f t="shared" si="8"/>
        <v>461594300010037</v>
      </c>
      <c r="B266" s="7" t="str">
        <f t="shared" si="9"/>
        <v>GP421155B864</v>
      </c>
      <c r="C266" t="s">
        <v>1177</v>
      </c>
      <c r="D266" t="s">
        <v>1178</v>
      </c>
      <c r="E266" t="s">
        <v>2264</v>
      </c>
      <c r="F266" t="s">
        <v>1363</v>
      </c>
      <c r="G266" t="s">
        <v>1363</v>
      </c>
      <c r="H266" t="s">
        <v>1271</v>
      </c>
      <c r="I266">
        <v>46159</v>
      </c>
      <c r="J266" t="s">
        <v>2265</v>
      </c>
      <c r="K266" t="s">
        <v>1283</v>
      </c>
      <c r="L266" t="s">
        <v>1177</v>
      </c>
      <c r="M266" t="s">
        <v>1274</v>
      </c>
      <c r="N266" t="s">
        <v>1079</v>
      </c>
      <c r="O266" t="s">
        <v>1275</v>
      </c>
      <c r="P266">
        <v>46159</v>
      </c>
      <c r="Q266" t="s">
        <v>1177</v>
      </c>
      <c r="R266" t="s">
        <v>10</v>
      </c>
      <c r="S266" t="s">
        <v>1011</v>
      </c>
      <c r="T266" t="s">
        <v>1104</v>
      </c>
      <c r="U266" t="s">
        <v>1105</v>
      </c>
      <c r="V266">
        <v>20</v>
      </c>
      <c r="W266" t="s">
        <v>1262</v>
      </c>
      <c r="X266" t="s">
        <v>1262</v>
      </c>
      <c r="Y266">
        <v>0</v>
      </c>
      <c r="Z266" t="s">
        <v>1186</v>
      </c>
      <c r="AA266" t="s">
        <v>1177</v>
      </c>
      <c r="AB266" t="s">
        <v>1286</v>
      </c>
      <c r="AC266" t="s">
        <v>1277</v>
      </c>
      <c r="AD266" t="s">
        <v>1278</v>
      </c>
      <c r="AE266" t="s">
        <v>2010</v>
      </c>
      <c r="AF266" t="s">
        <v>1178</v>
      </c>
      <c r="AG266" t="s">
        <v>1178</v>
      </c>
      <c r="AH266" t="s">
        <v>1178</v>
      </c>
      <c r="AI266" t="s">
        <v>1280</v>
      </c>
      <c r="AJ266" t="s">
        <v>1190</v>
      </c>
      <c r="AK266">
        <v>0</v>
      </c>
      <c r="AL266" t="s">
        <v>1262</v>
      </c>
      <c r="AM266">
        <v>46112</v>
      </c>
      <c r="AN266">
        <v>46202</v>
      </c>
      <c r="AO266">
        <v>46163</v>
      </c>
      <c r="AP266">
        <v>46167</v>
      </c>
      <c r="AQ266">
        <v>46167</v>
      </c>
      <c r="AR266">
        <v>46169</v>
      </c>
      <c r="AS266">
        <v>46191</v>
      </c>
      <c r="AT266" t="s">
        <v>1281</v>
      </c>
      <c r="AU266" t="s">
        <v>1177</v>
      </c>
      <c r="AV266" t="s">
        <v>1192</v>
      </c>
      <c r="AW266" t="s">
        <v>1177</v>
      </c>
      <c r="AX266">
        <v>25</v>
      </c>
      <c r="AY266">
        <v>16</v>
      </c>
      <c r="AZ266" t="s">
        <v>1177</v>
      </c>
      <c r="BA266">
        <v>0</v>
      </c>
      <c r="BB266" t="s">
        <v>1262</v>
      </c>
      <c r="BC266" t="e">
        <v>#N/A</v>
      </c>
      <c r="BD266" t="e">
        <v>#N/A</v>
      </c>
      <c r="BE266" t="e">
        <v>#N/A</v>
      </c>
      <c r="BF266" t="e">
        <v>#N/A</v>
      </c>
      <c r="BG266" t="s">
        <v>1458</v>
      </c>
      <c r="BH266" t="s">
        <v>1763</v>
      </c>
      <c r="BI266" t="s">
        <v>2266</v>
      </c>
    </row>
    <row r="267" spans="1:61" x14ac:dyDescent="0.35">
      <c r="A267" s="7" t="str">
        <f t="shared" si="8"/>
        <v>461594300010041</v>
      </c>
      <c r="B267" s="7" t="str">
        <f t="shared" si="9"/>
        <v>GP226936B865</v>
      </c>
      <c r="C267" t="s">
        <v>1177</v>
      </c>
      <c r="D267" t="s">
        <v>1178</v>
      </c>
      <c r="E267" t="s">
        <v>2267</v>
      </c>
      <c r="F267" t="s">
        <v>1363</v>
      </c>
      <c r="G267" t="s">
        <v>1363</v>
      </c>
      <c r="H267" t="s">
        <v>1271</v>
      </c>
      <c r="I267">
        <v>46159</v>
      </c>
      <c r="J267" t="s">
        <v>2268</v>
      </c>
      <c r="K267" t="s">
        <v>1199</v>
      </c>
      <c r="L267" t="s">
        <v>1177</v>
      </c>
      <c r="M267" t="s">
        <v>1274</v>
      </c>
      <c r="N267" t="s">
        <v>1079</v>
      </c>
      <c r="O267" t="s">
        <v>1275</v>
      </c>
      <c r="P267">
        <v>46159</v>
      </c>
      <c r="Q267" t="s">
        <v>1177</v>
      </c>
      <c r="R267" t="s">
        <v>7</v>
      </c>
      <c r="S267" t="s">
        <v>1040</v>
      </c>
      <c r="T267" t="s">
        <v>795</v>
      </c>
      <c r="U267" t="s">
        <v>796</v>
      </c>
      <c r="V267">
        <v>10</v>
      </c>
      <c r="W267" t="s">
        <v>1262</v>
      </c>
      <c r="X267" t="s">
        <v>1262</v>
      </c>
      <c r="Y267">
        <v>0</v>
      </c>
      <c r="Z267" t="s">
        <v>1186</v>
      </c>
      <c r="AA267" t="s">
        <v>1177</v>
      </c>
      <c r="AB267" t="s">
        <v>1276</v>
      </c>
      <c r="AC267" t="s">
        <v>1277</v>
      </c>
      <c r="AD267" t="s">
        <v>1278</v>
      </c>
      <c r="AE267" t="s">
        <v>2269</v>
      </c>
      <c r="AF267" t="s">
        <v>1178</v>
      </c>
      <c r="AG267" t="s">
        <v>1190</v>
      </c>
      <c r="AH267" t="s">
        <v>1178</v>
      </c>
      <c r="AI267" t="s">
        <v>1349</v>
      </c>
      <c r="AJ267" t="s">
        <v>1190</v>
      </c>
      <c r="AK267">
        <v>0</v>
      </c>
      <c r="AL267" t="s">
        <v>1262</v>
      </c>
      <c r="AM267">
        <v>46185</v>
      </c>
      <c r="AN267">
        <v>46339</v>
      </c>
      <c r="AO267">
        <v>46181</v>
      </c>
      <c r="AP267">
        <v>46183</v>
      </c>
      <c r="AQ267">
        <v>46183</v>
      </c>
      <c r="AR267">
        <v>46185</v>
      </c>
      <c r="AS267">
        <v>46210</v>
      </c>
      <c r="AT267" t="s">
        <v>1281</v>
      </c>
      <c r="AU267" t="s">
        <v>1177</v>
      </c>
      <c r="AV267" t="s">
        <v>1192</v>
      </c>
      <c r="AW267" t="s">
        <v>1177</v>
      </c>
      <c r="AX267">
        <v>93</v>
      </c>
      <c r="AY267">
        <v>16</v>
      </c>
      <c r="AZ267" t="s">
        <v>1177</v>
      </c>
      <c r="BA267">
        <v>0</v>
      </c>
      <c r="BB267" t="s">
        <v>1262</v>
      </c>
      <c r="BC267" t="e">
        <v>#N/A</v>
      </c>
      <c r="BD267" t="e">
        <v>#N/A</v>
      </c>
      <c r="BE267" t="e">
        <v>#N/A</v>
      </c>
      <c r="BF267" t="e">
        <v>#N/A</v>
      </c>
      <c r="BG267" t="s">
        <v>1212</v>
      </c>
      <c r="BH267" t="s">
        <v>1194</v>
      </c>
      <c r="BI267" t="s">
        <v>1212</v>
      </c>
    </row>
    <row r="268" spans="1:61" x14ac:dyDescent="0.35">
      <c r="A268" s="7" t="str">
        <f t="shared" si="8"/>
        <v>461594300010051</v>
      </c>
      <c r="B268" s="7" t="str">
        <f t="shared" si="9"/>
        <v>GP091181B838</v>
      </c>
      <c r="C268" t="s">
        <v>1177</v>
      </c>
      <c r="D268" t="s">
        <v>1178</v>
      </c>
      <c r="E268" t="s">
        <v>2270</v>
      </c>
      <c r="F268" t="s">
        <v>1363</v>
      </c>
      <c r="G268" t="s">
        <v>1363</v>
      </c>
      <c r="H268" t="s">
        <v>1271</v>
      </c>
      <c r="I268">
        <v>46159</v>
      </c>
      <c r="J268" t="s">
        <v>2271</v>
      </c>
      <c r="K268" t="s">
        <v>1285</v>
      </c>
      <c r="L268" t="s">
        <v>1177</v>
      </c>
      <c r="M268" t="s">
        <v>1274</v>
      </c>
      <c r="N268" t="s">
        <v>1079</v>
      </c>
      <c r="O268" t="s">
        <v>1275</v>
      </c>
      <c r="P268">
        <v>46159</v>
      </c>
      <c r="Q268" t="s">
        <v>1177</v>
      </c>
      <c r="R268" t="s">
        <v>48</v>
      </c>
      <c r="S268" t="s">
        <v>745</v>
      </c>
      <c r="T268" t="s">
        <v>492</v>
      </c>
      <c r="U268" t="s">
        <v>2272</v>
      </c>
      <c r="V268">
        <v>3</v>
      </c>
      <c r="W268" t="s">
        <v>1262</v>
      </c>
      <c r="X268" t="s">
        <v>1262</v>
      </c>
      <c r="Y268">
        <v>0</v>
      </c>
      <c r="Z268" t="s">
        <v>1186</v>
      </c>
      <c r="AA268" t="s">
        <v>1177</v>
      </c>
      <c r="AB268" t="s">
        <v>1276</v>
      </c>
      <c r="AC268" t="s">
        <v>1277</v>
      </c>
      <c r="AD268" t="s">
        <v>1278</v>
      </c>
      <c r="AE268" t="s">
        <v>1296</v>
      </c>
      <c r="AF268" t="s">
        <v>1178</v>
      </c>
      <c r="AG268" t="s">
        <v>1190</v>
      </c>
      <c r="AH268" t="s">
        <v>1178</v>
      </c>
      <c r="AI268" t="s">
        <v>1280</v>
      </c>
      <c r="AJ268" t="s">
        <v>1190</v>
      </c>
      <c r="AK268">
        <v>0</v>
      </c>
      <c r="AL268" t="s">
        <v>1262</v>
      </c>
      <c r="AM268">
        <v>46126</v>
      </c>
      <c r="AN268">
        <v>46303</v>
      </c>
      <c r="AO268">
        <v>46163</v>
      </c>
      <c r="AP268">
        <v>46167</v>
      </c>
      <c r="AQ268">
        <v>46167</v>
      </c>
      <c r="AR268">
        <v>46169</v>
      </c>
      <c r="AS268">
        <v>46171</v>
      </c>
      <c r="AT268" t="s">
        <v>1281</v>
      </c>
      <c r="AU268" t="s">
        <v>1177</v>
      </c>
      <c r="AV268" t="s">
        <v>1192</v>
      </c>
      <c r="AW268" t="s">
        <v>1177</v>
      </c>
      <c r="AX268">
        <v>33</v>
      </c>
      <c r="AY268">
        <v>2</v>
      </c>
      <c r="AZ268" t="s">
        <v>1177</v>
      </c>
      <c r="BA268">
        <v>0</v>
      </c>
      <c r="BB268" t="s">
        <v>1262</v>
      </c>
      <c r="BC268" t="e">
        <v>#N/A</v>
      </c>
      <c r="BD268" t="e">
        <v>#N/A</v>
      </c>
      <c r="BE268" t="e">
        <v>#N/A</v>
      </c>
      <c r="BF268" t="e">
        <v>#N/A</v>
      </c>
      <c r="BG268" t="e">
        <v>#N/A</v>
      </c>
      <c r="BH268" t="e">
        <v>#N/A</v>
      </c>
      <c r="BI268" t="e">
        <v>#N/A</v>
      </c>
    </row>
    <row r="269" spans="1:61" x14ac:dyDescent="0.35">
      <c r="A269" s="7" t="str">
        <f t="shared" si="8"/>
        <v>461594300010063</v>
      </c>
      <c r="B269" s="7" t="str">
        <f t="shared" si="9"/>
        <v>GP004898B867</v>
      </c>
      <c r="C269" t="s">
        <v>1177</v>
      </c>
      <c r="D269" t="s">
        <v>1178</v>
      </c>
      <c r="E269" t="s">
        <v>2273</v>
      </c>
      <c r="F269" t="s">
        <v>1363</v>
      </c>
      <c r="G269" t="s">
        <v>1363</v>
      </c>
      <c r="H269" t="s">
        <v>1271</v>
      </c>
      <c r="I269">
        <v>46159</v>
      </c>
      <c r="J269" t="s">
        <v>2274</v>
      </c>
      <c r="K269" t="s">
        <v>1182</v>
      </c>
      <c r="L269" t="s">
        <v>1177</v>
      </c>
      <c r="M269" t="s">
        <v>1274</v>
      </c>
      <c r="N269" t="s">
        <v>1079</v>
      </c>
      <c r="O269" t="s">
        <v>1275</v>
      </c>
      <c r="P269">
        <v>46159</v>
      </c>
      <c r="Q269" t="s">
        <v>1177</v>
      </c>
      <c r="R269" t="s">
        <v>25</v>
      </c>
      <c r="S269" t="s">
        <v>1060</v>
      </c>
      <c r="T269" t="s">
        <v>149</v>
      </c>
      <c r="U269" t="s">
        <v>2219</v>
      </c>
      <c r="V269">
        <v>1</v>
      </c>
      <c r="W269" t="s">
        <v>1262</v>
      </c>
      <c r="X269" t="s">
        <v>1262</v>
      </c>
      <c r="Y269">
        <v>0</v>
      </c>
      <c r="Z269" t="s">
        <v>1186</v>
      </c>
      <c r="AA269" t="s">
        <v>1177</v>
      </c>
      <c r="AB269" t="s">
        <v>1276</v>
      </c>
      <c r="AC269" t="s">
        <v>1277</v>
      </c>
      <c r="AD269" t="s">
        <v>1278</v>
      </c>
      <c r="AE269" t="s">
        <v>1618</v>
      </c>
      <c r="AF269" t="s">
        <v>1178</v>
      </c>
      <c r="AG269" t="s">
        <v>1190</v>
      </c>
      <c r="AH269" t="s">
        <v>1178</v>
      </c>
      <c r="AI269" t="s">
        <v>1280</v>
      </c>
      <c r="AJ269" t="s">
        <v>1190</v>
      </c>
      <c r="AK269">
        <v>0</v>
      </c>
      <c r="AL269" t="s">
        <v>1262</v>
      </c>
      <c r="AM269">
        <v>46126</v>
      </c>
      <c r="AN269">
        <v>46196</v>
      </c>
      <c r="AO269">
        <v>46163</v>
      </c>
      <c r="AP269">
        <v>46167</v>
      </c>
      <c r="AQ269">
        <v>46167</v>
      </c>
      <c r="AR269">
        <v>46169</v>
      </c>
      <c r="AS269">
        <v>46171</v>
      </c>
      <c r="AT269" t="s">
        <v>1281</v>
      </c>
      <c r="AU269" t="s">
        <v>1177</v>
      </c>
      <c r="AV269" t="s">
        <v>1192</v>
      </c>
      <c r="AW269" t="s">
        <v>1177</v>
      </c>
      <c r="AX269">
        <v>33</v>
      </c>
      <c r="AY269">
        <v>2</v>
      </c>
      <c r="AZ269" t="s">
        <v>1177</v>
      </c>
      <c r="BA269">
        <v>0</v>
      </c>
      <c r="BB269" t="s">
        <v>1262</v>
      </c>
      <c r="BC269" t="e">
        <v>#N/A</v>
      </c>
      <c r="BD269" t="e">
        <v>#N/A</v>
      </c>
      <c r="BE269" t="e">
        <v>#N/A</v>
      </c>
      <c r="BF269" t="e">
        <v>#N/A</v>
      </c>
      <c r="BG269" t="s">
        <v>126</v>
      </c>
      <c r="BH269" t="s">
        <v>1873</v>
      </c>
      <c r="BI269" t="s">
        <v>126</v>
      </c>
    </row>
    <row r="270" spans="1:61" x14ac:dyDescent="0.35">
      <c r="A270" s="7" t="str">
        <f t="shared" si="8"/>
        <v>461594300010069</v>
      </c>
      <c r="B270" s="7" t="str">
        <f t="shared" si="9"/>
        <v>GP312163B825</v>
      </c>
      <c r="C270" t="s">
        <v>1177</v>
      </c>
      <c r="D270" t="s">
        <v>1178</v>
      </c>
      <c r="E270" t="s">
        <v>2275</v>
      </c>
      <c r="F270" t="s">
        <v>1363</v>
      </c>
      <c r="G270" t="s">
        <v>1363</v>
      </c>
      <c r="H270" t="s">
        <v>1271</v>
      </c>
      <c r="I270">
        <v>46159</v>
      </c>
      <c r="J270" t="s">
        <v>2276</v>
      </c>
      <c r="K270" t="s">
        <v>1182</v>
      </c>
      <c r="L270" t="s">
        <v>1177</v>
      </c>
      <c r="M270" t="s">
        <v>1274</v>
      </c>
      <c r="N270" t="s">
        <v>1079</v>
      </c>
      <c r="O270" t="s">
        <v>1275</v>
      </c>
      <c r="P270">
        <v>46159</v>
      </c>
      <c r="Q270" t="s">
        <v>1177</v>
      </c>
      <c r="R270" t="s">
        <v>16</v>
      </c>
      <c r="S270" t="s">
        <v>512</v>
      </c>
      <c r="T270" t="s">
        <v>2277</v>
      </c>
      <c r="U270" t="s">
        <v>2278</v>
      </c>
      <c r="V270">
        <v>2</v>
      </c>
      <c r="W270" t="s">
        <v>1262</v>
      </c>
      <c r="X270" t="s">
        <v>1262</v>
      </c>
      <c r="Y270">
        <v>0</v>
      </c>
      <c r="Z270" t="s">
        <v>1186</v>
      </c>
      <c r="AA270" t="s">
        <v>1177</v>
      </c>
      <c r="AB270" t="s">
        <v>1276</v>
      </c>
      <c r="AC270" t="s">
        <v>1277</v>
      </c>
      <c r="AD270" t="s">
        <v>1278</v>
      </c>
      <c r="AE270" t="s">
        <v>1910</v>
      </c>
      <c r="AF270" t="s">
        <v>1178</v>
      </c>
      <c r="AG270" t="s">
        <v>1190</v>
      </c>
      <c r="AH270" t="s">
        <v>1178</v>
      </c>
      <c r="AI270" t="s">
        <v>1349</v>
      </c>
      <c r="AJ270" t="s">
        <v>1190</v>
      </c>
      <c r="AK270">
        <v>0</v>
      </c>
      <c r="AL270" t="s">
        <v>1262</v>
      </c>
      <c r="AM270">
        <v>46270</v>
      </c>
      <c r="AN270">
        <v>46352</v>
      </c>
      <c r="AO270">
        <v>46265</v>
      </c>
      <c r="AP270">
        <v>46267</v>
      </c>
      <c r="AQ270">
        <v>46267</v>
      </c>
      <c r="AR270">
        <v>46269</v>
      </c>
      <c r="AS270">
        <v>46269</v>
      </c>
      <c r="AT270" t="s">
        <v>1281</v>
      </c>
      <c r="AU270" t="s">
        <v>1177</v>
      </c>
      <c r="AV270" t="s">
        <v>1192</v>
      </c>
      <c r="AW270" t="s">
        <v>1177</v>
      </c>
      <c r="AX270">
        <v>0</v>
      </c>
      <c r="AY270">
        <v>0</v>
      </c>
      <c r="AZ270" t="s">
        <v>1177</v>
      </c>
      <c r="BA270">
        <v>0</v>
      </c>
      <c r="BB270" t="s">
        <v>1262</v>
      </c>
      <c r="BC270" t="e">
        <v>#N/A</v>
      </c>
      <c r="BD270" t="e">
        <v>#N/A</v>
      </c>
      <c r="BE270" t="e">
        <v>#N/A</v>
      </c>
      <c r="BF270" t="e">
        <v>#N/A</v>
      </c>
      <c r="BG270" t="s">
        <v>1212</v>
      </c>
      <c r="BH270" t="s">
        <v>1194</v>
      </c>
      <c r="BI270" t="s">
        <v>2279</v>
      </c>
    </row>
    <row r="271" spans="1:61" x14ac:dyDescent="0.35">
      <c r="A271" s="7" t="str">
        <f t="shared" si="8"/>
        <v>461594300010077</v>
      </c>
      <c r="B271" s="7" t="str">
        <f t="shared" si="9"/>
        <v>GP247999B833</v>
      </c>
      <c r="C271" t="s">
        <v>1177</v>
      </c>
      <c r="D271" t="s">
        <v>1178</v>
      </c>
      <c r="E271" t="s">
        <v>2280</v>
      </c>
      <c r="F271" t="s">
        <v>1363</v>
      </c>
      <c r="G271" t="s">
        <v>1363</v>
      </c>
      <c r="H271" t="s">
        <v>1271</v>
      </c>
      <c r="I271">
        <v>46159</v>
      </c>
      <c r="J271" t="s">
        <v>2281</v>
      </c>
      <c r="K271" t="s">
        <v>1182</v>
      </c>
      <c r="L271" t="s">
        <v>1177</v>
      </c>
      <c r="M271" t="s">
        <v>1274</v>
      </c>
      <c r="N271" t="s">
        <v>1079</v>
      </c>
      <c r="O271" t="s">
        <v>1275</v>
      </c>
      <c r="P271">
        <v>46159</v>
      </c>
      <c r="Q271" t="s">
        <v>1177</v>
      </c>
      <c r="R271" t="s">
        <v>697</v>
      </c>
      <c r="S271" t="s">
        <v>699</v>
      </c>
      <c r="T271" t="s">
        <v>709</v>
      </c>
      <c r="U271" t="s">
        <v>1707</v>
      </c>
      <c r="V271">
        <v>1</v>
      </c>
      <c r="W271" t="s">
        <v>1262</v>
      </c>
      <c r="X271" t="s">
        <v>1262</v>
      </c>
      <c r="Y271">
        <v>0</v>
      </c>
      <c r="Z271" t="s">
        <v>1186</v>
      </c>
      <c r="AA271" t="s">
        <v>1177</v>
      </c>
      <c r="AB271" t="s">
        <v>1286</v>
      </c>
      <c r="AC271" t="s">
        <v>1277</v>
      </c>
      <c r="AD271" t="s">
        <v>1278</v>
      </c>
      <c r="AE271" t="s">
        <v>1708</v>
      </c>
      <c r="AF271" t="s">
        <v>1178</v>
      </c>
      <c r="AG271" t="s">
        <v>1178</v>
      </c>
      <c r="AH271" t="s">
        <v>1178</v>
      </c>
      <c r="AI271" t="s">
        <v>1349</v>
      </c>
      <c r="AJ271" t="s">
        <v>1190</v>
      </c>
      <c r="AK271">
        <v>0</v>
      </c>
      <c r="AL271" t="s">
        <v>1262</v>
      </c>
      <c r="AM271">
        <v>46134</v>
      </c>
      <c r="AN271">
        <v>46160</v>
      </c>
      <c r="AO271">
        <v>46160</v>
      </c>
      <c r="AP271">
        <v>46162</v>
      </c>
      <c r="AQ271">
        <v>46162</v>
      </c>
      <c r="AR271">
        <v>46164</v>
      </c>
      <c r="AS271">
        <v>46168</v>
      </c>
      <c r="AT271" t="s">
        <v>1281</v>
      </c>
      <c r="AU271" t="s">
        <v>1177</v>
      </c>
      <c r="AV271" t="s">
        <v>1192</v>
      </c>
      <c r="AW271" t="s">
        <v>1177</v>
      </c>
      <c r="AX271">
        <v>33</v>
      </c>
      <c r="AY271">
        <v>2</v>
      </c>
      <c r="AZ271" t="s">
        <v>1177</v>
      </c>
      <c r="BA271">
        <v>0</v>
      </c>
      <c r="BB271" t="s">
        <v>1262</v>
      </c>
      <c r="BC271" t="s">
        <v>2282</v>
      </c>
      <c r="BD271">
        <v>20</v>
      </c>
      <c r="BE271">
        <v>46188</v>
      </c>
      <c r="BF271" t="s">
        <v>1165</v>
      </c>
      <c r="BG271" t="s">
        <v>126</v>
      </c>
      <c r="BH271" t="s">
        <v>1873</v>
      </c>
      <c r="BI271" t="s">
        <v>126</v>
      </c>
    </row>
    <row r="272" spans="1:61" x14ac:dyDescent="0.35">
      <c r="A272" s="7" t="str">
        <f t="shared" si="8"/>
        <v>461594300010079</v>
      </c>
      <c r="B272" s="7" t="str">
        <f t="shared" si="9"/>
        <v>GP004263B838</v>
      </c>
      <c r="C272" t="s">
        <v>1177</v>
      </c>
      <c r="D272" t="s">
        <v>1178</v>
      </c>
      <c r="E272" t="s">
        <v>2283</v>
      </c>
      <c r="F272" t="s">
        <v>1363</v>
      </c>
      <c r="G272" t="s">
        <v>1363</v>
      </c>
      <c r="H272" t="s">
        <v>1271</v>
      </c>
      <c r="I272">
        <v>46159</v>
      </c>
      <c r="J272" t="s">
        <v>2284</v>
      </c>
      <c r="K272" t="s">
        <v>1182</v>
      </c>
      <c r="L272" t="s">
        <v>1177</v>
      </c>
      <c r="M272" t="s">
        <v>1274</v>
      </c>
      <c r="N272" t="s">
        <v>1079</v>
      </c>
      <c r="O272" t="s">
        <v>1275</v>
      </c>
      <c r="P272">
        <v>46159</v>
      </c>
      <c r="Q272" t="s">
        <v>1177</v>
      </c>
      <c r="R272" t="s">
        <v>48</v>
      </c>
      <c r="S272" t="s">
        <v>745</v>
      </c>
      <c r="T272" t="s">
        <v>14</v>
      </c>
      <c r="U272" t="s">
        <v>15</v>
      </c>
      <c r="V272">
        <v>2</v>
      </c>
      <c r="W272" t="s">
        <v>1262</v>
      </c>
      <c r="X272" t="s">
        <v>1262</v>
      </c>
      <c r="Y272">
        <v>0</v>
      </c>
      <c r="Z272" t="s">
        <v>1186</v>
      </c>
      <c r="AA272" t="s">
        <v>1177</v>
      </c>
      <c r="AB272" t="s">
        <v>1276</v>
      </c>
      <c r="AC272" t="s">
        <v>1277</v>
      </c>
      <c r="AD272" t="s">
        <v>1278</v>
      </c>
      <c r="AE272" t="s">
        <v>1677</v>
      </c>
      <c r="AF272" t="s">
        <v>1178</v>
      </c>
      <c r="AG272" t="s">
        <v>1190</v>
      </c>
      <c r="AH272" t="s">
        <v>1178</v>
      </c>
      <c r="AI272" t="s">
        <v>1280</v>
      </c>
      <c r="AJ272" t="s">
        <v>1190</v>
      </c>
      <c r="AK272">
        <v>0</v>
      </c>
      <c r="AL272" t="s">
        <v>1262</v>
      </c>
      <c r="AM272">
        <v>46134</v>
      </c>
      <c r="AN272">
        <v>46196</v>
      </c>
      <c r="AO272">
        <v>46163</v>
      </c>
      <c r="AP272">
        <v>46167</v>
      </c>
      <c r="AQ272">
        <v>46167</v>
      </c>
      <c r="AR272">
        <v>46169</v>
      </c>
      <c r="AS272">
        <v>46171</v>
      </c>
      <c r="AT272" t="s">
        <v>1281</v>
      </c>
      <c r="AU272" t="s">
        <v>1177</v>
      </c>
      <c r="AV272" t="s">
        <v>1192</v>
      </c>
      <c r="AW272" t="s">
        <v>1177</v>
      </c>
      <c r="AX272">
        <v>33</v>
      </c>
      <c r="AY272">
        <v>2</v>
      </c>
      <c r="AZ272" t="s">
        <v>1177</v>
      </c>
      <c r="BA272">
        <v>0</v>
      </c>
      <c r="BB272" t="s">
        <v>1262</v>
      </c>
      <c r="BC272" t="s">
        <v>2285</v>
      </c>
      <c r="BD272">
        <v>1</v>
      </c>
      <c r="BE272">
        <v>46195</v>
      </c>
      <c r="BF272" t="s">
        <v>1165</v>
      </c>
      <c r="BG272" t="e">
        <v>#N/A</v>
      </c>
      <c r="BH272" t="e">
        <v>#N/A</v>
      </c>
      <c r="BI272" t="e">
        <v>#N/A</v>
      </c>
    </row>
    <row r="273" spans="1:61" x14ac:dyDescent="0.35">
      <c r="A273" s="7" t="str">
        <f t="shared" si="8"/>
        <v>461594300010086</v>
      </c>
      <c r="B273" s="7" t="str">
        <f t="shared" si="9"/>
        <v>GP226936B867</v>
      </c>
      <c r="C273" t="s">
        <v>1177</v>
      </c>
      <c r="D273" t="s">
        <v>1178</v>
      </c>
      <c r="E273" t="s">
        <v>2286</v>
      </c>
      <c r="F273" t="s">
        <v>1363</v>
      </c>
      <c r="G273" t="s">
        <v>1363</v>
      </c>
      <c r="H273" t="s">
        <v>1271</v>
      </c>
      <c r="I273">
        <v>46159</v>
      </c>
      <c r="J273" t="s">
        <v>2287</v>
      </c>
      <c r="K273" t="s">
        <v>1182</v>
      </c>
      <c r="L273" t="s">
        <v>1177</v>
      </c>
      <c r="M273" t="s">
        <v>1274</v>
      </c>
      <c r="N273" t="s">
        <v>1079</v>
      </c>
      <c r="O273" t="s">
        <v>1275</v>
      </c>
      <c r="P273">
        <v>46159</v>
      </c>
      <c r="Q273" t="s">
        <v>1177</v>
      </c>
      <c r="R273" t="s">
        <v>25</v>
      </c>
      <c r="S273" t="s">
        <v>1060</v>
      </c>
      <c r="T273" t="s">
        <v>795</v>
      </c>
      <c r="U273" t="s">
        <v>796</v>
      </c>
      <c r="V273">
        <v>2</v>
      </c>
      <c r="W273" t="s">
        <v>1262</v>
      </c>
      <c r="X273" t="s">
        <v>1262</v>
      </c>
      <c r="Y273">
        <v>0</v>
      </c>
      <c r="Z273" t="s">
        <v>1186</v>
      </c>
      <c r="AA273" t="s">
        <v>1177</v>
      </c>
      <c r="AB273" t="s">
        <v>1276</v>
      </c>
      <c r="AC273" t="s">
        <v>1277</v>
      </c>
      <c r="AD273" t="s">
        <v>1278</v>
      </c>
      <c r="AE273" t="s">
        <v>2269</v>
      </c>
      <c r="AF273" t="s">
        <v>1178</v>
      </c>
      <c r="AG273" t="s">
        <v>1190</v>
      </c>
      <c r="AH273" t="s">
        <v>1178</v>
      </c>
      <c r="AI273" t="s">
        <v>1280</v>
      </c>
      <c r="AJ273" t="s">
        <v>1190</v>
      </c>
      <c r="AK273">
        <v>0</v>
      </c>
      <c r="AL273" t="s">
        <v>1262</v>
      </c>
      <c r="AM273">
        <v>46134</v>
      </c>
      <c r="AN273">
        <v>46339</v>
      </c>
      <c r="AO273">
        <v>46163</v>
      </c>
      <c r="AP273">
        <v>46167</v>
      </c>
      <c r="AQ273">
        <v>46167</v>
      </c>
      <c r="AR273">
        <v>46169</v>
      </c>
      <c r="AS273">
        <v>46171</v>
      </c>
      <c r="AT273" t="s">
        <v>1281</v>
      </c>
      <c r="AU273" t="s">
        <v>1177</v>
      </c>
      <c r="AV273" t="s">
        <v>1192</v>
      </c>
      <c r="AW273" t="s">
        <v>1177</v>
      </c>
      <c r="AX273">
        <v>33</v>
      </c>
      <c r="AY273">
        <v>2</v>
      </c>
      <c r="AZ273" t="s">
        <v>1177</v>
      </c>
      <c r="BA273">
        <v>0</v>
      </c>
      <c r="BB273" t="s">
        <v>1262</v>
      </c>
      <c r="BC273" t="e">
        <v>#N/A</v>
      </c>
      <c r="BD273" t="e">
        <v>#N/A</v>
      </c>
      <c r="BE273" t="e">
        <v>#N/A</v>
      </c>
      <c r="BF273" t="e">
        <v>#N/A</v>
      </c>
      <c r="BG273" t="s">
        <v>126</v>
      </c>
      <c r="BH273" t="s">
        <v>1873</v>
      </c>
      <c r="BI273" t="s">
        <v>126</v>
      </c>
    </row>
    <row r="274" spans="1:61" x14ac:dyDescent="0.35">
      <c r="A274" s="7" t="str">
        <f t="shared" si="8"/>
        <v>461594300010092</v>
      </c>
      <c r="B274" s="7" t="str">
        <f t="shared" si="9"/>
        <v>GP095935B856</v>
      </c>
      <c r="C274" t="s">
        <v>1177</v>
      </c>
      <c r="D274" t="s">
        <v>1178</v>
      </c>
      <c r="E274" t="s">
        <v>2288</v>
      </c>
      <c r="F274" t="s">
        <v>1363</v>
      </c>
      <c r="G274" t="s">
        <v>1363</v>
      </c>
      <c r="H274" t="s">
        <v>1271</v>
      </c>
      <c r="I274">
        <v>46159</v>
      </c>
      <c r="J274" t="s">
        <v>2289</v>
      </c>
      <c r="K274" t="s">
        <v>1182</v>
      </c>
      <c r="L274" t="s">
        <v>1177</v>
      </c>
      <c r="M274" t="s">
        <v>1274</v>
      </c>
      <c r="N274" t="s">
        <v>1079</v>
      </c>
      <c r="O274" t="s">
        <v>1275</v>
      </c>
      <c r="P274">
        <v>46159</v>
      </c>
      <c r="Q274" t="s">
        <v>1177</v>
      </c>
      <c r="R274" t="s">
        <v>21</v>
      </c>
      <c r="S274" t="s">
        <v>853</v>
      </c>
      <c r="T274" t="s">
        <v>1089</v>
      </c>
      <c r="U274" t="s">
        <v>1090</v>
      </c>
      <c r="V274">
        <v>48</v>
      </c>
      <c r="W274" t="s">
        <v>1262</v>
      </c>
      <c r="X274" t="s">
        <v>1262</v>
      </c>
      <c r="Y274">
        <v>0</v>
      </c>
      <c r="Z274" t="s">
        <v>1186</v>
      </c>
      <c r="AA274" t="s">
        <v>1177</v>
      </c>
      <c r="AB274" t="s">
        <v>1286</v>
      </c>
      <c r="AC274" t="s">
        <v>1277</v>
      </c>
      <c r="AD274" t="s">
        <v>1278</v>
      </c>
      <c r="AE274" t="s">
        <v>1371</v>
      </c>
      <c r="AF274" t="s">
        <v>1178</v>
      </c>
      <c r="AG274" t="s">
        <v>1178</v>
      </c>
      <c r="AH274" t="s">
        <v>1178</v>
      </c>
      <c r="AI274" t="s">
        <v>1280</v>
      </c>
      <c r="AJ274" t="s">
        <v>1190</v>
      </c>
      <c r="AK274">
        <v>0</v>
      </c>
      <c r="AL274" t="s">
        <v>1262</v>
      </c>
      <c r="AM274">
        <v>46118</v>
      </c>
      <c r="AN274">
        <v>46216</v>
      </c>
      <c r="AO274">
        <v>46163</v>
      </c>
      <c r="AP274">
        <v>46167</v>
      </c>
      <c r="AQ274">
        <v>46167</v>
      </c>
      <c r="AR274">
        <v>46169</v>
      </c>
      <c r="AS274">
        <v>46191</v>
      </c>
      <c r="AT274" t="s">
        <v>1281</v>
      </c>
      <c r="AU274" t="s">
        <v>1177</v>
      </c>
      <c r="AV274" t="s">
        <v>1192</v>
      </c>
      <c r="AW274" t="s">
        <v>1177</v>
      </c>
      <c r="AX274">
        <v>25</v>
      </c>
      <c r="AY274">
        <v>16</v>
      </c>
      <c r="AZ274" t="s">
        <v>1177</v>
      </c>
      <c r="BA274">
        <v>0</v>
      </c>
      <c r="BB274" t="s">
        <v>1262</v>
      </c>
      <c r="BC274" t="e">
        <v>#N/A</v>
      </c>
      <c r="BD274" t="e">
        <v>#N/A</v>
      </c>
      <c r="BE274" t="e">
        <v>#N/A</v>
      </c>
      <c r="BF274" t="e">
        <v>#N/A</v>
      </c>
      <c r="BG274" t="s">
        <v>1458</v>
      </c>
      <c r="BH274" t="s">
        <v>1763</v>
      </c>
      <c r="BI274" t="s">
        <v>1177</v>
      </c>
    </row>
    <row r="275" spans="1:61" x14ac:dyDescent="0.35">
      <c r="A275" s="7" t="str">
        <f t="shared" si="8"/>
        <v>461594300010094</v>
      </c>
      <c r="B275" s="7" t="str">
        <f t="shared" si="9"/>
        <v>GP095935B857</v>
      </c>
      <c r="C275" t="s">
        <v>1177</v>
      </c>
      <c r="D275" t="s">
        <v>1178</v>
      </c>
      <c r="E275" t="s">
        <v>2290</v>
      </c>
      <c r="F275" t="s">
        <v>1363</v>
      </c>
      <c r="G275" t="s">
        <v>1363</v>
      </c>
      <c r="H275" t="s">
        <v>1271</v>
      </c>
      <c r="I275">
        <v>46159</v>
      </c>
      <c r="J275" t="s">
        <v>2291</v>
      </c>
      <c r="K275" t="s">
        <v>1182</v>
      </c>
      <c r="L275" t="s">
        <v>1177</v>
      </c>
      <c r="M275" t="s">
        <v>1274</v>
      </c>
      <c r="N275" t="s">
        <v>1079</v>
      </c>
      <c r="O275" t="s">
        <v>1275</v>
      </c>
      <c r="P275">
        <v>46159</v>
      </c>
      <c r="Q275" t="s">
        <v>1177</v>
      </c>
      <c r="R275" t="s">
        <v>23</v>
      </c>
      <c r="S275" t="s">
        <v>959</v>
      </c>
      <c r="T275" t="s">
        <v>1089</v>
      </c>
      <c r="U275" t="s">
        <v>1090</v>
      </c>
      <c r="V275">
        <v>48</v>
      </c>
      <c r="W275" t="s">
        <v>1262</v>
      </c>
      <c r="X275" t="s">
        <v>1262</v>
      </c>
      <c r="Y275">
        <v>0</v>
      </c>
      <c r="Z275" t="s">
        <v>1186</v>
      </c>
      <c r="AA275" t="s">
        <v>1177</v>
      </c>
      <c r="AB275" t="s">
        <v>1286</v>
      </c>
      <c r="AC275" t="s">
        <v>1277</v>
      </c>
      <c r="AD275" t="s">
        <v>1278</v>
      </c>
      <c r="AE275" t="s">
        <v>1371</v>
      </c>
      <c r="AF275" t="s">
        <v>1178</v>
      </c>
      <c r="AG275" t="s">
        <v>1178</v>
      </c>
      <c r="AH275" t="s">
        <v>1178</v>
      </c>
      <c r="AI275" t="s">
        <v>1280</v>
      </c>
      <c r="AJ275" t="s">
        <v>1190</v>
      </c>
      <c r="AK275">
        <v>0</v>
      </c>
      <c r="AL275" t="s">
        <v>1262</v>
      </c>
      <c r="AM275">
        <v>46093</v>
      </c>
      <c r="AN275">
        <v>46216</v>
      </c>
      <c r="AO275">
        <v>46163</v>
      </c>
      <c r="AP275">
        <v>46167</v>
      </c>
      <c r="AQ275">
        <v>46167</v>
      </c>
      <c r="AR275">
        <v>46169</v>
      </c>
      <c r="AS275">
        <v>46191</v>
      </c>
      <c r="AT275" t="s">
        <v>1281</v>
      </c>
      <c r="AU275" t="s">
        <v>1177</v>
      </c>
      <c r="AV275" t="s">
        <v>1192</v>
      </c>
      <c r="AW275" t="s">
        <v>1177</v>
      </c>
      <c r="AX275">
        <v>25</v>
      </c>
      <c r="AY275">
        <v>16</v>
      </c>
      <c r="AZ275" t="s">
        <v>1177</v>
      </c>
      <c r="BA275">
        <v>0</v>
      </c>
      <c r="BB275" t="s">
        <v>1262</v>
      </c>
      <c r="BC275" t="e">
        <v>#N/A</v>
      </c>
      <c r="BD275" t="e">
        <v>#N/A</v>
      </c>
      <c r="BE275" t="e">
        <v>#N/A</v>
      </c>
      <c r="BF275" t="e">
        <v>#N/A</v>
      </c>
      <c r="BG275" t="s">
        <v>1458</v>
      </c>
      <c r="BH275" t="s">
        <v>1763</v>
      </c>
      <c r="BI275" t="s">
        <v>2292</v>
      </c>
    </row>
    <row r="276" spans="1:61" x14ac:dyDescent="0.35">
      <c r="A276" s="7" t="str">
        <f t="shared" si="8"/>
        <v>461594300010103</v>
      </c>
      <c r="B276" s="7" t="str">
        <f t="shared" si="9"/>
        <v>GP056698B832</v>
      </c>
      <c r="C276" t="s">
        <v>1177</v>
      </c>
      <c r="D276" t="s">
        <v>1178</v>
      </c>
      <c r="E276" t="s">
        <v>2293</v>
      </c>
      <c r="F276" t="s">
        <v>1177</v>
      </c>
      <c r="G276" t="s">
        <v>1363</v>
      </c>
      <c r="H276" t="s">
        <v>1271</v>
      </c>
      <c r="I276">
        <v>46159</v>
      </c>
      <c r="J276" t="s">
        <v>2294</v>
      </c>
      <c r="K276" t="s">
        <v>1182</v>
      </c>
      <c r="L276" t="s">
        <v>1177</v>
      </c>
      <c r="M276" t="s">
        <v>1274</v>
      </c>
      <c r="N276" t="s">
        <v>1079</v>
      </c>
      <c r="O276" t="s">
        <v>1275</v>
      </c>
      <c r="P276">
        <v>46280</v>
      </c>
      <c r="Q276" t="s">
        <v>1177</v>
      </c>
      <c r="R276" t="s">
        <v>19</v>
      </c>
      <c r="S276" t="s">
        <v>654</v>
      </c>
      <c r="T276" t="s">
        <v>967</v>
      </c>
      <c r="U276" t="s">
        <v>2295</v>
      </c>
      <c r="V276">
        <v>2</v>
      </c>
      <c r="W276" t="s">
        <v>1262</v>
      </c>
      <c r="X276" t="s">
        <v>1262</v>
      </c>
      <c r="Y276">
        <v>0</v>
      </c>
      <c r="Z276" t="s">
        <v>1186</v>
      </c>
      <c r="AA276" t="s">
        <v>1177</v>
      </c>
      <c r="AB276" t="s">
        <v>1276</v>
      </c>
      <c r="AC276" t="s">
        <v>1277</v>
      </c>
      <c r="AD276" t="s">
        <v>1278</v>
      </c>
      <c r="AE276" t="s">
        <v>1354</v>
      </c>
      <c r="AF276" t="s">
        <v>1177</v>
      </c>
      <c r="AG276" t="s">
        <v>1190</v>
      </c>
      <c r="AH276" t="s">
        <v>1178</v>
      </c>
      <c r="AI276" t="s">
        <v>1349</v>
      </c>
      <c r="AJ276" t="s">
        <v>1190</v>
      </c>
      <c r="AK276">
        <v>0</v>
      </c>
      <c r="AL276" t="s">
        <v>1262</v>
      </c>
      <c r="AM276">
        <v>46345</v>
      </c>
      <c r="AN276">
        <v>46335</v>
      </c>
      <c r="AO276">
        <v>46335</v>
      </c>
      <c r="AP276">
        <v>46337</v>
      </c>
      <c r="AQ276">
        <v>46337</v>
      </c>
      <c r="AR276">
        <v>46339</v>
      </c>
      <c r="AS276">
        <v>46343</v>
      </c>
      <c r="AT276" t="s">
        <v>1281</v>
      </c>
      <c r="AU276" t="s">
        <v>1177</v>
      </c>
      <c r="AV276" t="s">
        <v>1192</v>
      </c>
      <c r="AW276" t="s">
        <v>1177</v>
      </c>
      <c r="AX276">
        <v>163</v>
      </c>
      <c r="AY276">
        <v>2</v>
      </c>
      <c r="AZ276" t="s">
        <v>1177</v>
      </c>
      <c r="BA276">
        <v>0</v>
      </c>
      <c r="BB276" t="s">
        <v>1262</v>
      </c>
      <c r="BC276" t="s">
        <v>2296</v>
      </c>
      <c r="BD276">
        <v>2</v>
      </c>
      <c r="BE276">
        <v>46281</v>
      </c>
      <c r="BF276" t="s">
        <v>1165</v>
      </c>
      <c r="BG276" t="s">
        <v>1651</v>
      </c>
      <c r="BH276" t="s">
        <v>2169</v>
      </c>
      <c r="BI276" t="s">
        <v>2297</v>
      </c>
    </row>
    <row r="277" spans="1:61" x14ac:dyDescent="0.35">
      <c r="A277" s="7" t="str">
        <f t="shared" si="8"/>
        <v>461594300010109</v>
      </c>
      <c r="B277" s="7" t="str">
        <f t="shared" si="9"/>
        <v>GP118964B825</v>
      </c>
      <c r="C277" t="s">
        <v>1177</v>
      </c>
      <c r="D277" t="s">
        <v>1178</v>
      </c>
      <c r="E277" t="s">
        <v>2298</v>
      </c>
      <c r="F277" t="s">
        <v>1363</v>
      </c>
      <c r="G277" t="s">
        <v>1363</v>
      </c>
      <c r="H277" t="s">
        <v>1271</v>
      </c>
      <c r="I277">
        <v>46159</v>
      </c>
      <c r="J277" t="s">
        <v>2299</v>
      </c>
      <c r="K277" t="s">
        <v>1182</v>
      </c>
      <c r="L277" t="s">
        <v>1177</v>
      </c>
      <c r="M277" t="s">
        <v>1274</v>
      </c>
      <c r="N277" t="s">
        <v>1079</v>
      </c>
      <c r="O277" t="s">
        <v>1275</v>
      </c>
      <c r="P277">
        <v>46159</v>
      </c>
      <c r="Q277" t="s">
        <v>1177</v>
      </c>
      <c r="R277" t="s">
        <v>16</v>
      </c>
      <c r="S277" t="s">
        <v>512</v>
      </c>
      <c r="T277" t="s">
        <v>2300</v>
      </c>
      <c r="U277" t="s">
        <v>2301</v>
      </c>
      <c r="V277">
        <v>100</v>
      </c>
      <c r="W277" t="s">
        <v>1185</v>
      </c>
      <c r="X277" t="s">
        <v>1185</v>
      </c>
      <c r="Y277">
        <v>0</v>
      </c>
      <c r="Z277" t="s">
        <v>1186</v>
      </c>
      <c r="AA277" t="s">
        <v>1177</v>
      </c>
      <c r="AB277" t="s">
        <v>1177</v>
      </c>
      <c r="AC277" t="s">
        <v>1177</v>
      </c>
      <c r="AD277" t="s">
        <v>1313</v>
      </c>
      <c r="AE277" t="s">
        <v>2302</v>
      </c>
      <c r="AF277" t="s">
        <v>1189</v>
      </c>
      <c r="AG277" t="s">
        <v>1190</v>
      </c>
      <c r="AH277" t="s">
        <v>1178</v>
      </c>
      <c r="AI277" t="s">
        <v>1349</v>
      </c>
      <c r="AJ277" t="s">
        <v>1675</v>
      </c>
      <c r="AK277">
        <v>98</v>
      </c>
      <c r="AL277" t="s">
        <v>1185</v>
      </c>
      <c r="AM277">
        <v>46360</v>
      </c>
      <c r="AN277">
        <v>46352</v>
      </c>
      <c r="AO277">
        <v>46356</v>
      </c>
      <c r="AP277">
        <v>46358</v>
      </c>
      <c r="AQ277">
        <v>46358</v>
      </c>
      <c r="AR277">
        <v>46360</v>
      </c>
      <c r="AS277">
        <v>46360</v>
      </c>
      <c r="AT277" t="s">
        <v>1281</v>
      </c>
      <c r="AU277" t="s">
        <v>1177</v>
      </c>
      <c r="AV277" t="s">
        <v>1192</v>
      </c>
      <c r="AW277" t="s">
        <v>1177</v>
      </c>
      <c r="AX277">
        <v>0</v>
      </c>
      <c r="AY277">
        <v>0</v>
      </c>
      <c r="AZ277" t="s">
        <v>1177</v>
      </c>
      <c r="BA277">
        <v>0</v>
      </c>
      <c r="BB277" t="s">
        <v>1185</v>
      </c>
      <c r="BC277" t="s">
        <v>1453</v>
      </c>
      <c r="BD277">
        <v>2</v>
      </c>
      <c r="BE277">
        <v>46230</v>
      </c>
      <c r="BF277" t="s">
        <v>1165</v>
      </c>
      <c r="BG277" t="s">
        <v>1212</v>
      </c>
      <c r="BH277" t="s">
        <v>1194</v>
      </c>
      <c r="BI277" t="s">
        <v>1638</v>
      </c>
    </row>
    <row r="278" spans="1:61" x14ac:dyDescent="0.35">
      <c r="A278" s="7" t="str">
        <f t="shared" si="8"/>
        <v>461594300010110</v>
      </c>
      <c r="B278" s="7" t="str">
        <f t="shared" si="9"/>
        <v>A9B10067944B825</v>
      </c>
      <c r="C278" t="s">
        <v>1177</v>
      </c>
      <c r="D278" t="s">
        <v>1178</v>
      </c>
      <c r="E278" t="s">
        <v>2303</v>
      </c>
      <c r="F278" t="s">
        <v>1363</v>
      </c>
      <c r="G278" t="s">
        <v>1363</v>
      </c>
      <c r="H278" t="s">
        <v>1271</v>
      </c>
      <c r="I278">
        <v>46159</v>
      </c>
      <c r="J278" t="s">
        <v>2304</v>
      </c>
      <c r="K278" t="s">
        <v>1182</v>
      </c>
      <c r="L278" t="s">
        <v>1177</v>
      </c>
      <c r="M278" t="s">
        <v>1274</v>
      </c>
      <c r="N278" t="s">
        <v>1079</v>
      </c>
      <c r="O278" t="s">
        <v>1275</v>
      </c>
      <c r="P278">
        <v>46245</v>
      </c>
      <c r="Q278" t="s">
        <v>1177</v>
      </c>
      <c r="R278" t="s">
        <v>16</v>
      </c>
      <c r="S278" t="s">
        <v>512</v>
      </c>
      <c r="T278" t="s">
        <v>1008</v>
      </c>
      <c r="U278" t="s">
        <v>1009</v>
      </c>
      <c r="V278">
        <v>440</v>
      </c>
      <c r="W278" t="s">
        <v>1262</v>
      </c>
      <c r="X278" t="s">
        <v>1262</v>
      </c>
      <c r="Y278">
        <v>0</v>
      </c>
      <c r="Z278" t="s">
        <v>1186</v>
      </c>
      <c r="AA278" t="s">
        <v>1177</v>
      </c>
      <c r="AB278" t="s">
        <v>1177</v>
      </c>
      <c r="AC278" t="s">
        <v>1177</v>
      </c>
      <c r="AD278" t="s">
        <v>1204</v>
      </c>
      <c r="AE278" t="s">
        <v>1188</v>
      </c>
      <c r="AF278" t="s">
        <v>1189</v>
      </c>
      <c r="AG278" t="s">
        <v>1189</v>
      </c>
      <c r="AH278" t="s">
        <v>1178</v>
      </c>
      <c r="AI278" t="s">
        <v>1349</v>
      </c>
      <c r="AJ278" t="s">
        <v>1190</v>
      </c>
      <c r="AK278">
        <v>0</v>
      </c>
      <c r="AL278" t="s">
        <v>1262</v>
      </c>
      <c r="AM278">
        <v>46290</v>
      </c>
      <c r="AN278">
        <v>46286</v>
      </c>
      <c r="AO278">
        <v>46286</v>
      </c>
      <c r="AP278">
        <v>46288</v>
      </c>
      <c r="AQ278">
        <v>46288</v>
      </c>
      <c r="AR278">
        <v>46290</v>
      </c>
      <c r="AS278">
        <v>46290</v>
      </c>
      <c r="AT278" t="s">
        <v>1281</v>
      </c>
      <c r="AU278" t="s">
        <v>1177</v>
      </c>
      <c r="AV278" t="s">
        <v>1192</v>
      </c>
      <c r="AW278" t="s">
        <v>1177</v>
      </c>
      <c r="AX278">
        <v>0</v>
      </c>
      <c r="AY278">
        <v>0</v>
      </c>
      <c r="AZ278" t="s">
        <v>1177</v>
      </c>
      <c r="BA278">
        <v>18</v>
      </c>
      <c r="BB278" t="s">
        <v>1262</v>
      </c>
      <c r="BC278" t="s">
        <v>2305</v>
      </c>
      <c r="BD278">
        <v>18</v>
      </c>
      <c r="BE278">
        <v>46251</v>
      </c>
      <c r="BF278" t="s">
        <v>1165</v>
      </c>
      <c r="BG278" t="s">
        <v>1212</v>
      </c>
      <c r="BH278" t="s">
        <v>1194</v>
      </c>
      <c r="BI278" t="s">
        <v>2306</v>
      </c>
    </row>
    <row r="279" spans="1:61" x14ac:dyDescent="0.35">
      <c r="A279" s="7" t="str">
        <f t="shared" si="8"/>
        <v>461594300010116</v>
      </c>
      <c r="B279" s="7" t="str">
        <f t="shared" si="9"/>
        <v>GP247999B857</v>
      </c>
      <c r="C279" t="s">
        <v>1177</v>
      </c>
      <c r="D279" t="s">
        <v>1178</v>
      </c>
      <c r="E279" t="s">
        <v>2307</v>
      </c>
      <c r="F279" t="s">
        <v>1363</v>
      </c>
      <c r="G279" t="s">
        <v>1363</v>
      </c>
      <c r="H279" t="s">
        <v>1271</v>
      </c>
      <c r="I279">
        <v>46159</v>
      </c>
      <c r="J279" t="s">
        <v>2308</v>
      </c>
      <c r="K279" t="s">
        <v>1182</v>
      </c>
      <c r="L279" t="s">
        <v>1177</v>
      </c>
      <c r="M279" t="s">
        <v>1274</v>
      </c>
      <c r="N279" t="s">
        <v>1079</v>
      </c>
      <c r="O279" t="s">
        <v>1275</v>
      </c>
      <c r="P279">
        <v>46159</v>
      </c>
      <c r="Q279" t="s">
        <v>1177</v>
      </c>
      <c r="R279" t="s">
        <v>23</v>
      </c>
      <c r="S279" t="s">
        <v>959</v>
      </c>
      <c r="T279" t="s">
        <v>709</v>
      </c>
      <c r="U279" t="s">
        <v>1707</v>
      </c>
      <c r="V279">
        <v>1</v>
      </c>
      <c r="W279" t="s">
        <v>1262</v>
      </c>
      <c r="X279" t="s">
        <v>1262</v>
      </c>
      <c r="Y279">
        <v>0</v>
      </c>
      <c r="Z279" t="s">
        <v>1186</v>
      </c>
      <c r="AA279" t="s">
        <v>1177</v>
      </c>
      <c r="AB279" t="s">
        <v>1286</v>
      </c>
      <c r="AC279" t="s">
        <v>1277</v>
      </c>
      <c r="AD279" t="s">
        <v>1278</v>
      </c>
      <c r="AE279" t="s">
        <v>1708</v>
      </c>
      <c r="AF279" t="s">
        <v>1178</v>
      </c>
      <c r="AG279" t="s">
        <v>1178</v>
      </c>
      <c r="AH279" t="s">
        <v>1178</v>
      </c>
      <c r="AI279" t="s">
        <v>1280</v>
      </c>
      <c r="AJ279" t="s">
        <v>1190</v>
      </c>
      <c r="AK279">
        <v>0</v>
      </c>
      <c r="AL279" t="s">
        <v>1262</v>
      </c>
      <c r="AM279">
        <v>46140</v>
      </c>
      <c r="AN279">
        <v>46296</v>
      </c>
      <c r="AO279">
        <v>46163</v>
      </c>
      <c r="AP279">
        <v>46167</v>
      </c>
      <c r="AQ279">
        <v>46167</v>
      </c>
      <c r="AR279">
        <v>46169</v>
      </c>
      <c r="AS279">
        <v>46171</v>
      </c>
      <c r="AT279" t="s">
        <v>1281</v>
      </c>
      <c r="AU279" t="s">
        <v>1177</v>
      </c>
      <c r="AV279" t="s">
        <v>1192</v>
      </c>
      <c r="AW279" t="s">
        <v>1177</v>
      </c>
      <c r="AX279">
        <v>33</v>
      </c>
      <c r="AY279">
        <v>2</v>
      </c>
      <c r="AZ279" t="s">
        <v>1177</v>
      </c>
      <c r="BA279">
        <v>0</v>
      </c>
      <c r="BB279" t="s">
        <v>1262</v>
      </c>
      <c r="BC279" t="e">
        <v>#N/A</v>
      </c>
      <c r="BD279" t="e">
        <v>#N/A</v>
      </c>
      <c r="BE279" t="e">
        <v>#N/A</v>
      </c>
      <c r="BF279" t="e">
        <v>#N/A</v>
      </c>
      <c r="BG279" t="s">
        <v>126</v>
      </c>
      <c r="BH279" t="s">
        <v>1873</v>
      </c>
      <c r="BI279" t="s">
        <v>126</v>
      </c>
    </row>
    <row r="280" spans="1:61" x14ac:dyDescent="0.35">
      <c r="A280" s="7" t="str">
        <f t="shared" si="8"/>
        <v>461594300010137</v>
      </c>
      <c r="B280" s="7" t="str">
        <f t="shared" si="9"/>
        <v>GP452740B825</v>
      </c>
      <c r="C280" t="s">
        <v>1177</v>
      </c>
      <c r="D280" t="s">
        <v>1178</v>
      </c>
      <c r="E280" t="s">
        <v>2309</v>
      </c>
      <c r="F280" t="s">
        <v>1363</v>
      </c>
      <c r="G280" t="s">
        <v>1363</v>
      </c>
      <c r="H280" t="s">
        <v>1271</v>
      </c>
      <c r="I280">
        <v>46159</v>
      </c>
      <c r="J280" t="s">
        <v>2310</v>
      </c>
      <c r="K280" t="s">
        <v>1273</v>
      </c>
      <c r="L280" t="s">
        <v>1177</v>
      </c>
      <c r="M280" t="s">
        <v>1274</v>
      </c>
      <c r="N280" t="s">
        <v>1079</v>
      </c>
      <c r="O280" t="s">
        <v>1275</v>
      </c>
      <c r="P280">
        <v>46159</v>
      </c>
      <c r="Q280" t="s">
        <v>1177</v>
      </c>
      <c r="R280" t="s">
        <v>16</v>
      </c>
      <c r="S280" t="s">
        <v>512</v>
      </c>
      <c r="T280" t="s">
        <v>617</v>
      </c>
      <c r="U280" t="s">
        <v>618</v>
      </c>
      <c r="V280">
        <v>1</v>
      </c>
      <c r="W280" t="s">
        <v>1262</v>
      </c>
      <c r="X280" t="s">
        <v>1262</v>
      </c>
      <c r="Y280">
        <v>0</v>
      </c>
      <c r="Z280" t="s">
        <v>1186</v>
      </c>
      <c r="AA280" t="s">
        <v>1177</v>
      </c>
      <c r="AB280" t="s">
        <v>1276</v>
      </c>
      <c r="AC280" t="s">
        <v>1277</v>
      </c>
      <c r="AD280" t="s">
        <v>1278</v>
      </c>
      <c r="AE280" t="s">
        <v>1684</v>
      </c>
      <c r="AF280" t="s">
        <v>1178</v>
      </c>
      <c r="AG280" t="s">
        <v>1190</v>
      </c>
      <c r="AH280" t="s">
        <v>1178</v>
      </c>
      <c r="AI280" t="s">
        <v>1349</v>
      </c>
      <c r="AJ280" t="s">
        <v>1190</v>
      </c>
      <c r="AK280">
        <v>0</v>
      </c>
      <c r="AL280" t="s">
        <v>1262</v>
      </c>
      <c r="AM280">
        <v>46147</v>
      </c>
      <c r="AN280">
        <v>46444</v>
      </c>
      <c r="AO280">
        <v>46160</v>
      </c>
      <c r="AP280">
        <v>46162</v>
      </c>
      <c r="AQ280">
        <v>46162</v>
      </c>
      <c r="AR280">
        <v>46164</v>
      </c>
      <c r="AS280">
        <v>46168</v>
      </c>
      <c r="AT280" t="s">
        <v>1281</v>
      </c>
      <c r="AU280" t="s">
        <v>1177</v>
      </c>
      <c r="AV280" t="s">
        <v>1192</v>
      </c>
      <c r="AW280" t="s">
        <v>1177</v>
      </c>
      <c r="AX280">
        <v>33</v>
      </c>
      <c r="AY280">
        <v>2</v>
      </c>
      <c r="AZ280" t="s">
        <v>1177</v>
      </c>
      <c r="BA280">
        <v>0</v>
      </c>
      <c r="BB280" t="s">
        <v>1262</v>
      </c>
      <c r="BC280" t="s">
        <v>2213</v>
      </c>
      <c r="BD280">
        <v>20</v>
      </c>
      <c r="BE280">
        <v>46188</v>
      </c>
      <c r="BF280" t="s">
        <v>1165</v>
      </c>
      <c r="BG280" t="s">
        <v>126</v>
      </c>
      <c r="BH280" t="s">
        <v>1873</v>
      </c>
      <c r="BI280" t="s">
        <v>126</v>
      </c>
    </row>
    <row r="281" spans="1:61" x14ac:dyDescent="0.35">
      <c r="A281" s="7" t="str">
        <f t="shared" si="8"/>
        <v>461594300010149</v>
      </c>
      <c r="B281" s="7" t="str">
        <f t="shared" si="9"/>
        <v>GP410669B856</v>
      </c>
      <c r="C281" t="s">
        <v>1177</v>
      </c>
      <c r="D281" t="s">
        <v>1178</v>
      </c>
      <c r="E281" t="s">
        <v>2311</v>
      </c>
      <c r="F281" t="s">
        <v>1363</v>
      </c>
      <c r="G281" t="s">
        <v>1363</v>
      </c>
      <c r="H281" t="s">
        <v>1271</v>
      </c>
      <c r="I281">
        <v>46159</v>
      </c>
      <c r="J281" t="s">
        <v>2312</v>
      </c>
      <c r="K281" t="s">
        <v>1182</v>
      </c>
      <c r="L281" t="s">
        <v>1177</v>
      </c>
      <c r="M281" t="s">
        <v>1274</v>
      </c>
      <c r="N281" t="s">
        <v>1079</v>
      </c>
      <c r="O281" t="s">
        <v>1275</v>
      </c>
      <c r="P281">
        <v>46159</v>
      </c>
      <c r="Q281" t="s">
        <v>1177</v>
      </c>
      <c r="R281" t="s">
        <v>21</v>
      </c>
      <c r="S281" t="s">
        <v>853</v>
      </c>
      <c r="T281" t="s">
        <v>929</v>
      </c>
      <c r="U281" t="s">
        <v>930</v>
      </c>
      <c r="V281">
        <v>1</v>
      </c>
      <c r="W281" t="s">
        <v>1262</v>
      </c>
      <c r="X281" t="s">
        <v>1262</v>
      </c>
      <c r="Y281">
        <v>0</v>
      </c>
      <c r="Z281" t="s">
        <v>1186</v>
      </c>
      <c r="AA281" t="s">
        <v>1177</v>
      </c>
      <c r="AB281" t="s">
        <v>1276</v>
      </c>
      <c r="AC281" t="s">
        <v>1277</v>
      </c>
      <c r="AD281" t="s">
        <v>1278</v>
      </c>
      <c r="AE281" t="s">
        <v>2313</v>
      </c>
      <c r="AF281" t="s">
        <v>1178</v>
      </c>
      <c r="AG281" t="s">
        <v>1190</v>
      </c>
      <c r="AH281" t="s">
        <v>1178</v>
      </c>
      <c r="AI281" t="s">
        <v>1280</v>
      </c>
      <c r="AJ281" t="s">
        <v>1190</v>
      </c>
      <c r="AK281">
        <v>0</v>
      </c>
      <c r="AL281" t="s">
        <v>1262</v>
      </c>
      <c r="AM281">
        <v>46131</v>
      </c>
      <c r="AN281">
        <v>46318</v>
      </c>
      <c r="AO281">
        <v>46163</v>
      </c>
      <c r="AP281">
        <v>46167</v>
      </c>
      <c r="AQ281">
        <v>46167</v>
      </c>
      <c r="AR281">
        <v>46169</v>
      </c>
      <c r="AS281">
        <v>46171</v>
      </c>
      <c r="AT281" t="s">
        <v>1281</v>
      </c>
      <c r="AU281" t="s">
        <v>1177</v>
      </c>
      <c r="AV281" t="s">
        <v>1192</v>
      </c>
      <c r="AW281" t="s">
        <v>1177</v>
      </c>
      <c r="AX281">
        <v>33</v>
      </c>
      <c r="AY281">
        <v>2</v>
      </c>
      <c r="AZ281" t="s">
        <v>1177</v>
      </c>
      <c r="BA281">
        <v>0</v>
      </c>
      <c r="BB281" t="s">
        <v>1262</v>
      </c>
      <c r="BC281" t="e">
        <v>#N/A</v>
      </c>
      <c r="BD281" t="e">
        <v>#N/A</v>
      </c>
      <c r="BE281" t="e">
        <v>#N/A</v>
      </c>
      <c r="BF281" t="e">
        <v>#N/A</v>
      </c>
      <c r="BG281" t="s">
        <v>126</v>
      </c>
      <c r="BH281" t="s">
        <v>1194</v>
      </c>
      <c r="BI281" t="s">
        <v>2314</v>
      </c>
    </row>
    <row r="282" spans="1:61" x14ac:dyDescent="0.35">
      <c r="A282" s="7" t="str">
        <f t="shared" si="8"/>
        <v>461594300010163</v>
      </c>
      <c r="B282" s="7" t="str">
        <f t="shared" si="9"/>
        <v>GP635645B865</v>
      </c>
      <c r="C282" t="s">
        <v>1177</v>
      </c>
      <c r="D282" t="s">
        <v>1178</v>
      </c>
      <c r="E282" t="s">
        <v>2315</v>
      </c>
      <c r="F282" t="s">
        <v>1363</v>
      </c>
      <c r="G282" t="s">
        <v>1363</v>
      </c>
      <c r="H282" t="s">
        <v>1271</v>
      </c>
      <c r="I282">
        <v>46159</v>
      </c>
      <c r="J282" t="s">
        <v>2316</v>
      </c>
      <c r="K282" t="s">
        <v>1285</v>
      </c>
      <c r="L282" t="s">
        <v>1177</v>
      </c>
      <c r="M282" t="s">
        <v>1274</v>
      </c>
      <c r="N282" t="s">
        <v>1079</v>
      </c>
      <c r="O282" t="s">
        <v>1275</v>
      </c>
      <c r="P282">
        <v>46159</v>
      </c>
      <c r="Q282" t="s">
        <v>1177</v>
      </c>
      <c r="R282" t="s">
        <v>7</v>
      </c>
      <c r="S282" t="s">
        <v>1040</v>
      </c>
      <c r="T282" t="s">
        <v>2318</v>
      </c>
      <c r="U282" t="s">
        <v>2319</v>
      </c>
      <c r="V282">
        <v>500</v>
      </c>
      <c r="W282" t="s">
        <v>1262</v>
      </c>
      <c r="X282" t="s">
        <v>1262</v>
      </c>
      <c r="Y282">
        <v>0</v>
      </c>
      <c r="Z282" t="s">
        <v>1186</v>
      </c>
      <c r="AA282" t="s">
        <v>1177</v>
      </c>
      <c r="AB282" t="s">
        <v>1276</v>
      </c>
      <c r="AC282" t="s">
        <v>1277</v>
      </c>
      <c r="AD282" t="s">
        <v>1278</v>
      </c>
      <c r="AE282" t="s">
        <v>1292</v>
      </c>
      <c r="AF282" t="s">
        <v>1178</v>
      </c>
      <c r="AG282" t="s">
        <v>1190</v>
      </c>
      <c r="AH282" t="s">
        <v>1178</v>
      </c>
      <c r="AI282" t="s">
        <v>1349</v>
      </c>
      <c r="AJ282" t="s">
        <v>1190</v>
      </c>
      <c r="AK282">
        <v>0</v>
      </c>
      <c r="AL282" t="s">
        <v>1262</v>
      </c>
      <c r="AM282">
        <v>45853</v>
      </c>
      <c r="AN282">
        <v>46160</v>
      </c>
      <c r="AO282">
        <v>46160</v>
      </c>
      <c r="AP282">
        <v>46162</v>
      </c>
      <c r="AQ282">
        <v>46162</v>
      </c>
      <c r="AR282">
        <v>46164</v>
      </c>
      <c r="AS282">
        <v>46164</v>
      </c>
      <c r="AT282" t="s">
        <v>1281</v>
      </c>
      <c r="AU282" t="s">
        <v>1177</v>
      </c>
      <c r="AV282" t="s">
        <v>1192</v>
      </c>
      <c r="AW282" t="s">
        <v>1177</v>
      </c>
      <c r="AX282">
        <v>0</v>
      </c>
      <c r="AY282">
        <v>0</v>
      </c>
      <c r="AZ282" t="s">
        <v>1177</v>
      </c>
      <c r="BA282">
        <v>300</v>
      </c>
      <c r="BB282" t="s">
        <v>1262</v>
      </c>
      <c r="BC282" t="s">
        <v>1821</v>
      </c>
      <c r="BD282">
        <v>92</v>
      </c>
      <c r="BE282">
        <v>46232</v>
      </c>
      <c r="BF282" t="s">
        <v>1165</v>
      </c>
      <c r="BG282" t="s">
        <v>1372</v>
      </c>
      <c r="BH282" t="s">
        <v>1903</v>
      </c>
      <c r="BI282" t="s">
        <v>2317</v>
      </c>
    </row>
    <row r="283" spans="1:61" x14ac:dyDescent="0.35">
      <c r="A283" s="7" t="str">
        <f t="shared" si="8"/>
        <v>461594300010168</v>
      </c>
      <c r="B283" s="7" t="str">
        <f t="shared" si="9"/>
        <v>P630645B833</v>
      </c>
      <c r="C283" t="s">
        <v>1177</v>
      </c>
      <c r="D283" t="s">
        <v>1178</v>
      </c>
      <c r="E283" t="s">
        <v>2322</v>
      </c>
      <c r="F283" t="s">
        <v>1363</v>
      </c>
      <c r="G283" t="s">
        <v>1363</v>
      </c>
      <c r="H283" t="s">
        <v>1271</v>
      </c>
      <c r="I283">
        <v>46159</v>
      </c>
      <c r="J283" t="s">
        <v>2323</v>
      </c>
      <c r="K283" t="s">
        <v>1182</v>
      </c>
      <c r="L283" t="s">
        <v>1177</v>
      </c>
      <c r="M283" t="s">
        <v>1274</v>
      </c>
      <c r="N283" t="s">
        <v>1079</v>
      </c>
      <c r="O283" t="s">
        <v>1275</v>
      </c>
      <c r="P283">
        <v>46159</v>
      </c>
      <c r="Q283" t="s">
        <v>1177</v>
      </c>
      <c r="R283" t="s">
        <v>697</v>
      </c>
      <c r="S283" t="s">
        <v>699</v>
      </c>
      <c r="T283" t="s">
        <v>467</v>
      </c>
      <c r="U283" t="s">
        <v>468</v>
      </c>
      <c r="V283">
        <v>437</v>
      </c>
      <c r="W283" t="s">
        <v>1262</v>
      </c>
      <c r="X283" t="s">
        <v>1262</v>
      </c>
      <c r="Y283">
        <v>0</v>
      </c>
      <c r="Z283" t="s">
        <v>1186</v>
      </c>
      <c r="AA283" t="s">
        <v>1177</v>
      </c>
      <c r="AB283" t="s">
        <v>1286</v>
      </c>
      <c r="AC283" t="s">
        <v>1277</v>
      </c>
      <c r="AD283" t="s">
        <v>1278</v>
      </c>
      <c r="AE283" t="s">
        <v>1378</v>
      </c>
      <c r="AF283" t="s">
        <v>1178</v>
      </c>
      <c r="AG283" t="s">
        <v>1178</v>
      </c>
      <c r="AH283" t="s">
        <v>1178</v>
      </c>
      <c r="AI283" t="s">
        <v>1349</v>
      </c>
      <c r="AJ283" t="s">
        <v>1189</v>
      </c>
      <c r="AK283">
        <v>437</v>
      </c>
      <c r="AL283" t="s">
        <v>1262</v>
      </c>
      <c r="AM283">
        <v>46262</v>
      </c>
      <c r="AN283">
        <v>46258</v>
      </c>
      <c r="AO283">
        <v>46258</v>
      </c>
      <c r="AP283">
        <v>46260</v>
      </c>
      <c r="AQ283">
        <v>46260</v>
      </c>
      <c r="AR283">
        <v>46262</v>
      </c>
      <c r="AS283">
        <v>46287</v>
      </c>
      <c r="AT283" t="s">
        <v>1281</v>
      </c>
      <c r="AU283" t="s">
        <v>1177</v>
      </c>
      <c r="AV283" t="s">
        <v>1192</v>
      </c>
      <c r="AW283" t="s">
        <v>1177</v>
      </c>
      <c r="AX283">
        <v>45</v>
      </c>
      <c r="AY283">
        <v>16</v>
      </c>
      <c r="AZ283" t="s">
        <v>1177</v>
      </c>
      <c r="BA283">
        <v>0</v>
      </c>
      <c r="BB283" t="s">
        <v>1262</v>
      </c>
      <c r="BC283" t="e">
        <v>#N/A</v>
      </c>
      <c r="BD283" t="e">
        <v>#N/A</v>
      </c>
      <c r="BE283" t="e">
        <v>#N/A</v>
      </c>
      <c r="BF283" t="e">
        <v>#N/A</v>
      </c>
      <c r="BG283" t="s">
        <v>1372</v>
      </c>
      <c r="BH283" t="s">
        <v>1903</v>
      </c>
      <c r="BI283" t="s">
        <v>2324</v>
      </c>
    </row>
    <row r="284" spans="1:61" x14ac:dyDescent="0.35">
      <c r="A284" s="7" t="str">
        <f t="shared" si="8"/>
        <v>461594300010175</v>
      </c>
      <c r="B284" s="7" t="str">
        <f t="shared" si="9"/>
        <v>GP389919B864</v>
      </c>
      <c r="C284" t="s">
        <v>1177</v>
      </c>
      <c r="D284" t="s">
        <v>1178</v>
      </c>
      <c r="E284" t="s">
        <v>2325</v>
      </c>
      <c r="F284" t="s">
        <v>1363</v>
      </c>
      <c r="G284" t="s">
        <v>1363</v>
      </c>
      <c r="H284" t="s">
        <v>1271</v>
      </c>
      <c r="I284">
        <v>46159</v>
      </c>
      <c r="J284" t="s">
        <v>2326</v>
      </c>
      <c r="K284" t="s">
        <v>1199</v>
      </c>
      <c r="L284" t="s">
        <v>1177</v>
      </c>
      <c r="M284" t="s">
        <v>1274</v>
      </c>
      <c r="N284" t="s">
        <v>1079</v>
      </c>
      <c r="O284" t="s">
        <v>1275</v>
      </c>
      <c r="P284">
        <v>46159</v>
      </c>
      <c r="Q284" t="s">
        <v>1177</v>
      </c>
      <c r="R284" t="s">
        <v>10</v>
      </c>
      <c r="S284" t="s">
        <v>1011</v>
      </c>
      <c r="T284" t="s">
        <v>2320</v>
      </c>
      <c r="U284" t="s">
        <v>2321</v>
      </c>
      <c r="V284">
        <v>48</v>
      </c>
      <c r="W284" t="s">
        <v>1262</v>
      </c>
      <c r="X284" t="s">
        <v>1262</v>
      </c>
      <c r="Y284">
        <v>0</v>
      </c>
      <c r="Z284" t="s">
        <v>1186</v>
      </c>
      <c r="AA284" t="s">
        <v>1177</v>
      </c>
      <c r="AB284" t="s">
        <v>1276</v>
      </c>
      <c r="AC284" t="s">
        <v>1277</v>
      </c>
      <c r="AD284" t="s">
        <v>1278</v>
      </c>
      <c r="AE284" t="s">
        <v>1292</v>
      </c>
      <c r="AF284" t="s">
        <v>1178</v>
      </c>
      <c r="AG284" t="s">
        <v>1190</v>
      </c>
      <c r="AH284" t="s">
        <v>1178</v>
      </c>
      <c r="AI284" t="s">
        <v>1280</v>
      </c>
      <c r="AJ284" t="s">
        <v>1190</v>
      </c>
      <c r="AK284">
        <v>0</v>
      </c>
      <c r="AL284" t="s">
        <v>1262</v>
      </c>
      <c r="AM284">
        <v>46234</v>
      </c>
      <c r="AN284">
        <v>46258</v>
      </c>
      <c r="AO284">
        <v>46226</v>
      </c>
      <c r="AP284">
        <v>46230</v>
      </c>
      <c r="AQ284">
        <v>46230</v>
      </c>
      <c r="AR284">
        <v>46232</v>
      </c>
      <c r="AS284">
        <v>46232</v>
      </c>
      <c r="AT284" t="s">
        <v>1281</v>
      </c>
      <c r="AU284" t="s">
        <v>1177</v>
      </c>
      <c r="AV284" t="s">
        <v>1192</v>
      </c>
      <c r="AW284" t="s">
        <v>1177</v>
      </c>
      <c r="AX284">
        <v>0</v>
      </c>
      <c r="AY284">
        <v>0</v>
      </c>
      <c r="AZ284" t="s">
        <v>1177</v>
      </c>
      <c r="BA284">
        <v>0</v>
      </c>
      <c r="BB284" t="s">
        <v>1262</v>
      </c>
      <c r="BC284" t="s">
        <v>1833</v>
      </c>
      <c r="BD284">
        <v>34</v>
      </c>
      <c r="BE284">
        <v>46226</v>
      </c>
      <c r="BF284" t="s">
        <v>1165</v>
      </c>
      <c r="BG284" t="s">
        <v>1372</v>
      </c>
      <c r="BH284" t="s">
        <v>1903</v>
      </c>
      <c r="BI284" t="s">
        <v>1551</v>
      </c>
    </row>
    <row r="285" spans="1:61" x14ac:dyDescent="0.35">
      <c r="A285" s="7" t="str">
        <f t="shared" si="8"/>
        <v>461594300010179</v>
      </c>
      <c r="B285" s="7" t="str">
        <f t="shared" si="9"/>
        <v>GP019007B825</v>
      </c>
      <c r="C285" t="s">
        <v>1177</v>
      </c>
      <c r="D285" t="s">
        <v>1178</v>
      </c>
      <c r="E285" t="s">
        <v>2327</v>
      </c>
      <c r="F285" t="s">
        <v>1363</v>
      </c>
      <c r="G285" t="s">
        <v>1363</v>
      </c>
      <c r="H285" t="s">
        <v>1271</v>
      </c>
      <c r="I285">
        <v>46159</v>
      </c>
      <c r="J285" t="s">
        <v>2328</v>
      </c>
      <c r="K285" t="s">
        <v>1182</v>
      </c>
      <c r="L285" t="s">
        <v>1177</v>
      </c>
      <c r="M285" t="s">
        <v>1274</v>
      </c>
      <c r="N285" t="s">
        <v>1079</v>
      </c>
      <c r="O285" t="s">
        <v>1275</v>
      </c>
      <c r="P285">
        <v>46159</v>
      </c>
      <c r="Q285" t="s">
        <v>1177</v>
      </c>
      <c r="R285" t="s">
        <v>16</v>
      </c>
      <c r="S285" t="s">
        <v>512</v>
      </c>
      <c r="T285" t="s">
        <v>311</v>
      </c>
      <c r="U285" t="s">
        <v>2329</v>
      </c>
      <c r="V285">
        <v>2</v>
      </c>
      <c r="W285" t="s">
        <v>1262</v>
      </c>
      <c r="X285" t="s">
        <v>1262</v>
      </c>
      <c r="Y285">
        <v>0</v>
      </c>
      <c r="Z285" t="s">
        <v>1186</v>
      </c>
      <c r="AA285" t="s">
        <v>1177</v>
      </c>
      <c r="AB285" t="s">
        <v>1286</v>
      </c>
      <c r="AC285" t="s">
        <v>1277</v>
      </c>
      <c r="AD285" t="s">
        <v>1278</v>
      </c>
      <c r="AE285" t="s">
        <v>2330</v>
      </c>
      <c r="AF285" t="s">
        <v>1178</v>
      </c>
      <c r="AG285" t="s">
        <v>1178</v>
      </c>
      <c r="AH285" t="s">
        <v>1178</v>
      </c>
      <c r="AI285" t="s">
        <v>1349</v>
      </c>
      <c r="AJ285" t="s">
        <v>1190</v>
      </c>
      <c r="AK285">
        <v>0</v>
      </c>
      <c r="AL285" t="s">
        <v>1262</v>
      </c>
      <c r="AM285">
        <v>46325</v>
      </c>
      <c r="AN285">
        <v>46339</v>
      </c>
      <c r="AO285">
        <v>46321</v>
      </c>
      <c r="AP285">
        <v>46323</v>
      </c>
      <c r="AQ285">
        <v>46323</v>
      </c>
      <c r="AR285">
        <v>46325</v>
      </c>
      <c r="AS285">
        <v>46330</v>
      </c>
      <c r="AT285" t="s">
        <v>1281</v>
      </c>
      <c r="AU285" t="s">
        <v>1177</v>
      </c>
      <c r="AV285" t="s">
        <v>1192</v>
      </c>
      <c r="AW285" t="s">
        <v>1177</v>
      </c>
      <c r="AX285">
        <v>33</v>
      </c>
      <c r="AY285">
        <v>2</v>
      </c>
      <c r="AZ285" t="s">
        <v>1177</v>
      </c>
      <c r="BA285">
        <v>0</v>
      </c>
      <c r="BB285" t="s">
        <v>1262</v>
      </c>
      <c r="BC285" t="e">
        <v>#N/A</v>
      </c>
      <c r="BD285" t="e">
        <v>#N/A</v>
      </c>
      <c r="BE285" t="e">
        <v>#N/A</v>
      </c>
      <c r="BF285" t="e">
        <v>#N/A</v>
      </c>
      <c r="BG285" t="s">
        <v>1212</v>
      </c>
      <c r="BH285" t="s">
        <v>1194</v>
      </c>
      <c r="BI285" t="s">
        <v>1212</v>
      </c>
    </row>
    <row r="286" spans="1:61" x14ac:dyDescent="0.35">
      <c r="A286" s="7" t="str">
        <f t="shared" si="8"/>
        <v>461594300010193</v>
      </c>
      <c r="B286" s="7" t="str">
        <f t="shared" si="9"/>
        <v>GP486500B832</v>
      </c>
      <c r="C286" t="s">
        <v>1177</v>
      </c>
      <c r="D286" t="s">
        <v>1178</v>
      </c>
      <c r="E286" t="s">
        <v>2331</v>
      </c>
      <c r="F286" t="s">
        <v>1363</v>
      </c>
      <c r="G286" t="s">
        <v>1363</v>
      </c>
      <c r="H286" t="s">
        <v>1271</v>
      </c>
      <c r="I286">
        <v>46159</v>
      </c>
      <c r="J286" t="s">
        <v>2332</v>
      </c>
      <c r="K286" t="s">
        <v>1253</v>
      </c>
      <c r="L286" t="s">
        <v>1177</v>
      </c>
      <c r="M286" t="s">
        <v>1274</v>
      </c>
      <c r="N286" t="s">
        <v>1079</v>
      </c>
      <c r="O286" t="s">
        <v>1275</v>
      </c>
      <c r="P286">
        <v>46159</v>
      </c>
      <c r="Q286" t="s">
        <v>1177</v>
      </c>
      <c r="R286" t="s">
        <v>19</v>
      </c>
      <c r="S286" t="s">
        <v>654</v>
      </c>
      <c r="T286" t="s">
        <v>108</v>
      </c>
      <c r="U286" t="s">
        <v>109</v>
      </c>
      <c r="V286">
        <v>5</v>
      </c>
      <c r="W286" t="s">
        <v>1262</v>
      </c>
      <c r="X286" t="s">
        <v>1262</v>
      </c>
      <c r="Y286">
        <v>0</v>
      </c>
      <c r="Z286" t="s">
        <v>1186</v>
      </c>
      <c r="AA286" t="s">
        <v>1177</v>
      </c>
      <c r="AB286" t="s">
        <v>1276</v>
      </c>
      <c r="AC286" t="s">
        <v>1277</v>
      </c>
      <c r="AD286" t="s">
        <v>1278</v>
      </c>
      <c r="AE286" t="s">
        <v>1750</v>
      </c>
      <c r="AF286" t="s">
        <v>1178</v>
      </c>
      <c r="AG286" t="s">
        <v>1190</v>
      </c>
      <c r="AH286" t="s">
        <v>1178</v>
      </c>
      <c r="AI286" t="s">
        <v>1349</v>
      </c>
      <c r="AJ286" t="s">
        <v>1190</v>
      </c>
      <c r="AK286">
        <v>0</v>
      </c>
      <c r="AL286" t="s">
        <v>1262</v>
      </c>
      <c r="AM286">
        <v>46154</v>
      </c>
      <c r="AN286">
        <v>46196</v>
      </c>
      <c r="AO286">
        <v>46160</v>
      </c>
      <c r="AP286">
        <v>46162</v>
      </c>
      <c r="AQ286">
        <v>46162</v>
      </c>
      <c r="AR286">
        <v>46164</v>
      </c>
      <c r="AS286">
        <v>46168</v>
      </c>
      <c r="AT286" t="s">
        <v>1281</v>
      </c>
      <c r="AU286" t="s">
        <v>1177</v>
      </c>
      <c r="AV286" t="s">
        <v>1192</v>
      </c>
      <c r="AW286" t="s">
        <v>1177</v>
      </c>
      <c r="AX286">
        <v>33</v>
      </c>
      <c r="AY286">
        <v>2</v>
      </c>
      <c r="AZ286" t="s">
        <v>1177</v>
      </c>
      <c r="BA286">
        <v>0</v>
      </c>
      <c r="BB286" t="s">
        <v>1262</v>
      </c>
      <c r="BC286" t="s">
        <v>1523</v>
      </c>
      <c r="BD286">
        <v>1</v>
      </c>
      <c r="BE286">
        <v>46251</v>
      </c>
      <c r="BF286" t="s">
        <v>1165</v>
      </c>
      <c r="BG286" t="s">
        <v>126</v>
      </c>
      <c r="BH286" t="s">
        <v>1873</v>
      </c>
      <c r="BI286" t="s">
        <v>126</v>
      </c>
    </row>
    <row r="287" spans="1:61" x14ac:dyDescent="0.35">
      <c r="A287" s="7" t="str">
        <f t="shared" si="8"/>
        <v>461594300010209</v>
      </c>
      <c r="B287" s="7" t="str">
        <f t="shared" si="9"/>
        <v>GP253668B856</v>
      </c>
      <c r="C287" t="s">
        <v>1177</v>
      </c>
      <c r="D287" t="s">
        <v>1178</v>
      </c>
      <c r="E287" t="s">
        <v>2334</v>
      </c>
      <c r="F287" t="s">
        <v>1363</v>
      </c>
      <c r="G287" t="s">
        <v>1363</v>
      </c>
      <c r="H287" t="s">
        <v>1271</v>
      </c>
      <c r="I287">
        <v>46159</v>
      </c>
      <c r="J287" t="s">
        <v>2335</v>
      </c>
      <c r="K287" t="s">
        <v>1285</v>
      </c>
      <c r="L287" t="s">
        <v>1177</v>
      </c>
      <c r="M287" t="s">
        <v>1274</v>
      </c>
      <c r="N287" t="s">
        <v>1079</v>
      </c>
      <c r="O287" t="s">
        <v>1275</v>
      </c>
      <c r="P287">
        <v>46159</v>
      </c>
      <c r="Q287" t="s">
        <v>1177</v>
      </c>
      <c r="R287" t="s">
        <v>21</v>
      </c>
      <c r="S287" t="s">
        <v>853</v>
      </c>
      <c r="T287" t="s">
        <v>413</v>
      </c>
      <c r="U287" t="s">
        <v>414</v>
      </c>
      <c r="V287">
        <v>5</v>
      </c>
      <c r="W287" t="s">
        <v>1262</v>
      </c>
      <c r="X287" t="s">
        <v>1262</v>
      </c>
      <c r="Y287">
        <v>0</v>
      </c>
      <c r="Z287" t="s">
        <v>1186</v>
      </c>
      <c r="AA287" t="s">
        <v>1177</v>
      </c>
      <c r="AB287" t="s">
        <v>1276</v>
      </c>
      <c r="AC287" t="s">
        <v>1277</v>
      </c>
      <c r="AD287" t="s">
        <v>1278</v>
      </c>
      <c r="AE287" t="s">
        <v>1284</v>
      </c>
      <c r="AF287" t="s">
        <v>1178</v>
      </c>
      <c r="AG287" t="s">
        <v>1190</v>
      </c>
      <c r="AH287" t="s">
        <v>1178</v>
      </c>
      <c r="AI287" t="s">
        <v>1280</v>
      </c>
      <c r="AJ287" t="s">
        <v>1189</v>
      </c>
      <c r="AK287">
        <v>5</v>
      </c>
      <c r="AL287" t="s">
        <v>1262</v>
      </c>
      <c r="AM287">
        <v>46351</v>
      </c>
      <c r="AN287">
        <v>46345</v>
      </c>
      <c r="AO287">
        <v>46345</v>
      </c>
      <c r="AP287">
        <v>46349</v>
      </c>
      <c r="AQ287">
        <v>46349</v>
      </c>
      <c r="AR287">
        <v>46351</v>
      </c>
      <c r="AS287">
        <v>46353</v>
      </c>
      <c r="AT287" t="s">
        <v>1281</v>
      </c>
      <c r="AU287" t="s">
        <v>1177</v>
      </c>
      <c r="AV287" t="s">
        <v>1192</v>
      </c>
      <c r="AW287" t="s">
        <v>1177</v>
      </c>
      <c r="AX287">
        <v>236</v>
      </c>
      <c r="AY287">
        <v>2</v>
      </c>
      <c r="AZ287" t="s">
        <v>1177</v>
      </c>
      <c r="BA287">
        <v>0</v>
      </c>
      <c r="BB287" t="s">
        <v>1262</v>
      </c>
      <c r="BC287" t="s">
        <v>1664</v>
      </c>
      <c r="BD287">
        <v>2</v>
      </c>
      <c r="BE287">
        <v>46191</v>
      </c>
      <c r="BF287" t="s">
        <v>1165</v>
      </c>
      <c r="BG287" t="s">
        <v>1212</v>
      </c>
      <c r="BH287" t="s">
        <v>1194</v>
      </c>
      <c r="BI287" t="s">
        <v>2336</v>
      </c>
    </row>
    <row r="288" spans="1:61" x14ac:dyDescent="0.35">
      <c r="A288" s="7" t="str">
        <f t="shared" si="8"/>
        <v>461594300010220</v>
      </c>
      <c r="B288" s="7" t="str">
        <f t="shared" si="9"/>
        <v>GP072706B865</v>
      </c>
      <c r="C288" t="s">
        <v>1177</v>
      </c>
      <c r="D288" t="s">
        <v>1178</v>
      </c>
      <c r="E288" t="s">
        <v>2337</v>
      </c>
      <c r="F288" t="s">
        <v>1363</v>
      </c>
      <c r="G288" t="s">
        <v>1363</v>
      </c>
      <c r="H288" t="s">
        <v>1271</v>
      </c>
      <c r="I288">
        <v>46159</v>
      </c>
      <c r="J288" t="s">
        <v>2338</v>
      </c>
      <c r="K288" t="s">
        <v>1407</v>
      </c>
      <c r="L288" t="s">
        <v>1177</v>
      </c>
      <c r="M288" t="s">
        <v>1274</v>
      </c>
      <c r="N288" t="s">
        <v>1079</v>
      </c>
      <c r="O288" t="s">
        <v>1275</v>
      </c>
      <c r="P288">
        <v>46159</v>
      </c>
      <c r="Q288" t="s">
        <v>1177</v>
      </c>
      <c r="R288" t="s">
        <v>7</v>
      </c>
      <c r="S288" t="s">
        <v>1040</v>
      </c>
      <c r="T288" t="s">
        <v>316</v>
      </c>
      <c r="U288" t="s">
        <v>317</v>
      </c>
      <c r="V288">
        <v>13</v>
      </c>
      <c r="W288" t="s">
        <v>1202</v>
      </c>
      <c r="X288" t="s">
        <v>1202</v>
      </c>
      <c r="Y288">
        <v>0</v>
      </c>
      <c r="Z288" t="s">
        <v>1186</v>
      </c>
      <c r="AA288" t="s">
        <v>1177</v>
      </c>
      <c r="AB288" t="s">
        <v>1177</v>
      </c>
      <c r="AC288" t="s">
        <v>1177</v>
      </c>
      <c r="AD288" t="s">
        <v>1204</v>
      </c>
      <c r="AE288" t="s">
        <v>1850</v>
      </c>
      <c r="AF288" t="s">
        <v>1189</v>
      </c>
      <c r="AG288" t="s">
        <v>1178</v>
      </c>
      <c r="AH288" t="s">
        <v>1178</v>
      </c>
      <c r="AI288" t="s">
        <v>1349</v>
      </c>
      <c r="AJ288" t="s">
        <v>1189</v>
      </c>
      <c r="AK288">
        <v>13</v>
      </c>
      <c r="AL288" t="s">
        <v>1202</v>
      </c>
      <c r="AM288">
        <v>46535</v>
      </c>
      <c r="AN288">
        <v>46528</v>
      </c>
      <c r="AO288">
        <v>46528</v>
      </c>
      <c r="AP288">
        <v>46532</v>
      </c>
      <c r="AQ288">
        <v>46532</v>
      </c>
      <c r="AR288">
        <v>46535</v>
      </c>
      <c r="AS288">
        <v>46539</v>
      </c>
      <c r="AT288" t="s">
        <v>1281</v>
      </c>
      <c r="AU288" t="s">
        <v>1177</v>
      </c>
      <c r="AV288" t="s">
        <v>1192</v>
      </c>
      <c r="AW288" t="s">
        <v>1177</v>
      </c>
      <c r="AX288">
        <v>62</v>
      </c>
      <c r="AY288">
        <v>2</v>
      </c>
      <c r="AZ288" t="s">
        <v>1177</v>
      </c>
      <c r="BA288">
        <v>0</v>
      </c>
      <c r="BB288" t="s">
        <v>1202</v>
      </c>
      <c r="BC288" t="s">
        <v>2339</v>
      </c>
      <c r="BD288">
        <v>2</v>
      </c>
      <c r="BE288">
        <v>46188</v>
      </c>
      <c r="BF288" t="s">
        <v>1165</v>
      </c>
      <c r="BG288" t="s">
        <v>1581</v>
      </c>
      <c r="BH288" t="s">
        <v>1194</v>
      </c>
      <c r="BI288" t="s">
        <v>2340</v>
      </c>
    </row>
    <row r="289" spans="1:61" x14ac:dyDescent="0.35">
      <c r="A289" s="7" t="str">
        <f t="shared" si="8"/>
        <v>461594300010222</v>
      </c>
      <c r="B289" s="7" t="str">
        <f t="shared" si="9"/>
        <v>GP131157B864</v>
      </c>
      <c r="C289" t="s">
        <v>1177</v>
      </c>
      <c r="D289" t="s">
        <v>1178</v>
      </c>
      <c r="E289" t="s">
        <v>2341</v>
      </c>
      <c r="F289" t="s">
        <v>1363</v>
      </c>
      <c r="G289" t="s">
        <v>1363</v>
      </c>
      <c r="H289" t="s">
        <v>1271</v>
      </c>
      <c r="I289">
        <v>46159</v>
      </c>
      <c r="J289" t="s">
        <v>2342</v>
      </c>
      <c r="K289" t="s">
        <v>1288</v>
      </c>
      <c r="L289" t="s">
        <v>1177</v>
      </c>
      <c r="M289" t="s">
        <v>1274</v>
      </c>
      <c r="N289" t="s">
        <v>1079</v>
      </c>
      <c r="O289" t="s">
        <v>1275</v>
      </c>
      <c r="P289">
        <v>46159</v>
      </c>
      <c r="Q289" t="s">
        <v>1177</v>
      </c>
      <c r="R289" t="s">
        <v>10</v>
      </c>
      <c r="S289" t="s">
        <v>1011</v>
      </c>
      <c r="T289" t="s">
        <v>62</v>
      </c>
      <c r="U289" t="s">
        <v>63</v>
      </c>
      <c r="V289">
        <v>475</v>
      </c>
      <c r="W289" t="s">
        <v>1262</v>
      </c>
      <c r="X289" t="s">
        <v>1262</v>
      </c>
      <c r="Y289">
        <v>0</v>
      </c>
      <c r="Z289" t="s">
        <v>1186</v>
      </c>
      <c r="AA289" t="s">
        <v>1177</v>
      </c>
      <c r="AB289" t="s">
        <v>1177</v>
      </c>
      <c r="AC289" t="s">
        <v>1177</v>
      </c>
      <c r="AD289" t="s">
        <v>1204</v>
      </c>
      <c r="AE289" t="s">
        <v>2160</v>
      </c>
      <c r="AF289" t="s">
        <v>1189</v>
      </c>
      <c r="AG289" t="s">
        <v>1178</v>
      </c>
      <c r="AH289" t="s">
        <v>1178</v>
      </c>
      <c r="AI289" t="s">
        <v>1280</v>
      </c>
      <c r="AJ289" t="s">
        <v>1189</v>
      </c>
      <c r="AK289">
        <v>475</v>
      </c>
      <c r="AL289" t="s">
        <v>1262</v>
      </c>
      <c r="AM289">
        <v>46477</v>
      </c>
      <c r="AN289">
        <v>46470</v>
      </c>
      <c r="AO289">
        <v>46470</v>
      </c>
      <c r="AP289">
        <v>46475</v>
      </c>
      <c r="AQ289">
        <v>46475</v>
      </c>
      <c r="AR289">
        <v>46477</v>
      </c>
      <c r="AS289">
        <v>46479</v>
      </c>
      <c r="AT289" t="s">
        <v>1281</v>
      </c>
      <c r="AU289" t="s">
        <v>1177</v>
      </c>
      <c r="AV289" t="s">
        <v>1192</v>
      </c>
      <c r="AW289" t="s">
        <v>1177</v>
      </c>
      <c r="AX289">
        <v>94</v>
      </c>
      <c r="AY289">
        <v>2</v>
      </c>
      <c r="AZ289" t="s">
        <v>1177</v>
      </c>
      <c r="BA289">
        <v>0</v>
      </c>
      <c r="BB289" t="s">
        <v>1262</v>
      </c>
      <c r="BC289" t="e">
        <v>#N/A</v>
      </c>
      <c r="BD289" t="e">
        <v>#N/A</v>
      </c>
      <c r="BE289" t="e">
        <v>#N/A</v>
      </c>
      <c r="BF289" t="e">
        <v>#N/A</v>
      </c>
      <c r="BG289" t="s">
        <v>1581</v>
      </c>
      <c r="BH289" t="s">
        <v>1194</v>
      </c>
      <c r="BI289" t="s">
        <v>2343</v>
      </c>
    </row>
    <row r="290" spans="1:61" x14ac:dyDescent="0.35">
      <c r="A290" s="7" t="str">
        <f t="shared" si="8"/>
        <v>461594300010223</v>
      </c>
      <c r="B290" s="7" t="str">
        <f t="shared" si="9"/>
        <v>GP108981B857</v>
      </c>
      <c r="C290" t="s">
        <v>1177</v>
      </c>
      <c r="D290" t="s">
        <v>1178</v>
      </c>
      <c r="E290" t="s">
        <v>2344</v>
      </c>
      <c r="F290" t="s">
        <v>1363</v>
      </c>
      <c r="G290" t="s">
        <v>1363</v>
      </c>
      <c r="H290" t="s">
        <v>1271</v>
      </c>
      <c r="I290">
        <v>46159</v>
      </c>
      <c r="J290" t="s">
        <v>2345</v>
      </c>
      <c r="K290" t="s">
        <v>1182</v>
      </c>
      <c r="L290" t="s">
        <v>1177</v>
      </c>
      <c r="M290" t="s">
        <v>1274</v>
      </c>
      <c r="N290" t="s">
        <v>1079</v>
      </c>
      <c r="O290" t="s">
        <v>1275</v>
      </c>
      <c r="P290">
        <v>46159</v>
      </c>
      <c r="Q290" t="s">
        <v>1177</v>
      </c>
      <c r="R290" t="s">
        <v>23</v>
      </c>
      <c r="S290" t="s">
        <v>959</v>
      </c>
      <c r="T290" t="s">
        <v>637</v>
      </c>
      <c r="U290" t="s">
        <v>638</v>
      </c>
      <c r="V290">
        <v>2</v>
      </c>
      <c r="W290" t="s">
        <v>1262</v>
      </c>
      <c r="X290" t="s">
        <v>1262</v>
      </c>
      <c r="Y290">
        <v>0</v>
      </c>
      <c r="Z290" t="s">
        <v>1186</v>
      </c>
      <c r="AA290" t="s">
        <v>1177</v>
      </c>
      <c r="AB290" t="s">
        <v>1177</v>
      </c>
      <c r="AC290" t="s">
        <v>1177</v>
      </c>
      <c r="AD290" t="s">
        <v>1204</v>
      </c>
      <c r="AE290" t="s">
        <v>1188</v>
      </c>
      <c r="AF290" t="s">
        <v>1189</v>
      </c>
      <c r="AG290" t="s">
        <v>1178</v>
      </c>
      <c r="AH290" t="s">
        <v>1178</v>
      </c>
      <c r="AI290" t="s">
        <v>1280</v>
      </c>
      <c r="AJ290" t="s">
        <v>1189</v>
      </c>
      <c r="AK290">
        <v>2</v>
      </c>
      <c r="AL290" t="s">
        <v>1262</v>
      </c>
      <c r="AM290">
        <v>46533</v>
      </c>
      <c r="AN290">
        <v>46527</v>
      </c>
      <c r="AO290">
        <v>46527</v>
      </c>
      <c r="AP290">
        <v>46531</v>
      </c>
      <c r="AQ290">
        <v>46531</v>
      </c>
      <c r="AR290">
        <v>46533</v>
      </c>
      <c r="AS290">
        <v>46535</v>
      </c>
      <c r="AT290" t="s">
        <v>1281</v>
      </c>
      <c r="AU290" t="s">
        <v>1177</v>
      </c>
      <c r="AV290" t="s">
        <v>1192</v>
      </c>
      <c r="AW290" t="s">
        <v>1177</v>
      </c>
      <c r="AX290">
        <v>80</v>
      </c>
      <c r="AY290">
        <v>2</v>
      </c>
      <c r="AZ290" t="s">
        <v>1177</v>
      </c>
      <c r="BA290">
        <v>0</v>
      </c>
      <c r="BB290" t="s">
        <v>1262</v>
      </c>
      <c r="BC290" t="e">
        <v>#N/A</v>
      </c>
      <c r="BD290" t="e">
        <v>#N/A</v>
      </c>
      <c r="BE290" t="e">
        <v>#N/A</v>
      </c>
      <c r="BF290" t="e">
        <v>#N/A</v>
      </c>
      <c r="BG290" t="s">
        <v>1581</v>
      </c>
      <c r="BH290" t="s">
        <v>1194</v>
      </c>
      <c r="BI290" t="s">
        <v>2346</v>
      </c>
    </row>
    <row r="291" spans="1:61" x14ac:dyDescent="0.35">
      <c r="A291" s="7" t="str">
        <f t="shared" si="8"/>
        <v>461594300010224</v>
      </c>
      <c r="B291" s="7" t="str">
        <f t="shared" si="9"/>
        <v>GP108981B856</v>
      </c>
      <c r="C291" t="s">
        <v>1177</v>
      </c>
      <c r="D291" t="s">
        <v>1178</v>
      </c>
      <c r="E291" t="s">
        <v>2347</v>
      </c>
      <c r="F291" t="s">
        <v>1363</v>
      </c>
      <c r="G291" t="s">
        <v>1363</v>
      </c>
      <c r="H291" t="s">
        <v>1271</v>
      </c>
      <c r="I291">
        <v>46159</v>
      </c>
      <c r="J291" t="s">
        <v>2348</v>
      </c>
      <c r="K291" t="s">
        <v>1182</v>
      </c>
      <c r="L291" t="s">
        <v>1177</v>
      </c>
      <c r="M291" t="s">
        <v>1274</v>
      </c>
      <c r="N291" t="s">
        <v>1079</v>
      </c>
      <c r="O291" t="s">
        <v>1275</v>
      </c>
      <c r="P291">
        <v>46159</v>
      </c>
      <c r="Q291" t="s">
        <v>1177</v>
      </c>
      <c r="R291" t="s">
        <v>21</v>
      </c>
      <c r="S291" t="s">
        <v>853</v>
      </c>
      <c r="T291" t="s">
        <v>637</v>
      </c>
      <c r="U291" t="s">
        <v>638</v>
      </c>
      <c r="V291">
        <v>3</v>
      </c>
      <c r="W291" t="s">
        <v>1262</v>
      </c>
      <c r="X291" t="s">
        <v>1262</v>
      </c>
      <c r="Y291">
        <v>0</v>
      </c>
      <c r="Z291" t="s">
        <v>1186</v>
      </c>
      <c r="AA291" t="s">
        <v>1177</v>
      </c>
      <c r="AB291" t="s">
        <v>1177</v>
      </c>
      <c r="AC291" t="s">
        <v>1177</v>
      </c>
      <c r="AD291" t="s">
        <v>1204</v>
      </c>
      <c r="AE291" t="s">
        <v>1188</v>
      </c>
      <c r="AF291" t="s">
        <v>1189</v>
      </c>
      <c r="AG291" t="s">
        <v>1178</v>
      </c>
      <c r="AH291" t="s">
        <v>1178</v>
      </c>
      <c r="AI291" t="s">
        <v>1280</v>
      </c>
      <c r="AJ291" t="s">
        <v>1189</v>
      </c>
      <c r="AK291">
        <v>3</v>
      </c>
      <c r="AL291" t="s">
        <v>1262</v>
      </c>
      <c r="AM291">
        <v>46477</v>
      </c>
      <c r="AN291">
        <v>46470</v>
      </c>
      <c r="AO291">
        <v>46470</v>
      </c>
      <c r="AP291">
        <v>46475</v>
      </c>
      <c r="AQ291">
        <v>46475</v>
      </c>
      <c r="AR291">
        <v>46477</v>
      </c>
      <c r="AS291">
        <v>46479</v>
      </c>
      <c r="AT291" t="s">
        <v>1281</v>
      </c>
      <c r="AU291" t="s">
        <v>1177</v>
      </c>
      <c r="AV291" t="s">
        <v>1192</v>
      </c>
      <c r="AW291" t="s">
        <v>1177</v>
      </c>
      <c r="AX291">
        <v>80</v>
      </c>
      <c r="AY291">
        <v>2</v>
      </c>
      <c r="AZ291" t="s">
        <v>1177</v>
      </c>
      <c r="BA291">
        <v>0</v>
      </c>
      <c r="BB291" t="s">
        <v>1262</v>
      </c>
      <c r="BC291" t="e">
        <v>#N/A</v>
      </c>
      <c r="BD291" t="e">
        <v>#N/A</v>
      </c>
      <c r="BE291" t="e">
        <v>#N/A</v>
      </c>
      <c r="BF291" t="e">
        <v>#N/A</v>
      </c>
      <c r="BG291" t="s">
        <v>1581</v>
      </c>
      <c r="BH291" t="s">
        <v>1194</v>
      </c>
      <c r="BI291" t="s">
        <v>2343</v>
      </c>
    </row>
    <row r="292" spans="1:61" x14ac:dyDescent="0.35">
      <c r="A292" s="7" t="str">
        <f t="shared" si="8"/>
        <v>461594300010227</v>
      </c>
      <c r="B292" s="7" t="str">
        <f t="shared" si="9"/>
        <v>149301B832</v>
      </c>
      <c r="C292" t="s">
        <v>1177</v>
      </c>
      <c r="D292" t="s">
        <v>1178</v>
      </c>
      <c r="E292" t="s">
        <v>2349</v>
      </c>
      <c r="F292" t="s">
        <v>1363</v>
      </c>
      <c r="G292" t="s">
        <v>1363</v>
      </c>
      <c r="H292" t="s">
        <v>1271</v>
      </c>
      <c r="I292">
        <v>46159</v>
      </c>
      <c r="J292" t="s">
        <v>2350</v>
      </c>
      <c r="K292" t="s">
        <v>1841</v>
      </c>
      <c r="L292" t="s">
        <v>1177</v>
      </c>
      <c r="M292" t="s">
        <v>1274</v>
      </c>
      <c r="N292" t="s">
        <v>1079</v>
      </c>
      <c r="O292" t="s">
        <v>1275</v>
      </c>
      <c r="P292">
        <v>46159</v>
      </c>
      <c r="Q292" t="s">
        <v>1177</v>
      </c>
      <c r="R292" t="s">
        <v>19</v>
      </c>
      <c r="S292" t="s">
        <v>654</v>
      </c>
      <c r="T292" t="s">
        <v>2085</v>
      </c>
      <c r="U292" t="s">
        <v>2086</v>
      </c>
      <c r="V292">
        <v>310</v>
      </c>
      <c r="W292" t="s">
        <v>1262</v>
      </c>
      <c r="X292" t="s">
        <v>1262</v>
      </c>
      <c r="Y292">
        <v>0</v>
      </c>
      <c r="Z292" t="s">
        <v>1186</v>
      </c>
      <c r="AA292" t="s">
        <v>1177</v>
      </c>
      <c r="AB292" t="s">
        <v>1276</v>
      </c>
      <c r="AC292" t="s">
        <v>1277</v>
      </c>
      <c r="AD292" t="s">
        <v>1278</v>
      </c>
      <c r="AE292" t="s">
        <v>2087</v>
      </c>
      <c r="AF292" t="s">
        <v>1178</v>
      </c>
      <c r="AG292" t="s">
        <v>1190</v>
      </c>
      <c r="AH292" t="s">
        <v>1178</v>
      </c>
      <c r="AI292" t="s">
        <v>1349</v>
      </c>
      <c r="AJ292" t="s">
        <v>1189</v>
      </c>
      <c r="AK292">
        <v>310</v>
      </c>
      <c r="AL292" t="s">
        <v>1262</v>
      </c>
      <c r="AM292">
        <v>46507</v>
      </c>
      <c r="AN292">
        <v>46503</v>
      </c>
      <c r="AO292">
        <v>46503</v>
      </c>
      <c r="AP292">
        <v>46505</v>
      </c>
      <c r="AQ292">
        <v>46505</v>
      </c>
      <c r="AR292">
        <v>46507</v>
      </c>
      <c r="AS292">
        <v>46511</v>
      </c>
      <c r="AT292" t="s">
        <v>1281</v>
      </c>
      <c r="AU292" t="s">
        <v>1177</v>
      </c>
      <c r="AV292" t="s">
        <v>1192</v>
      </c>
      <c r="AW292" t="s">
        <v>1177</v>
      </c>
      <c r="AX292">
        <v>163</v>
      </c>
      <c r="AY292">
        <v>2</v>
      </c>
      <c r="AZ292" t="s">
        <v>1177</v>
      </c>
      <c r="BA292">
        <v>0</v>
      </c>
      <c r="BB292" t="s">
        <v>1262</v>
      </c>
      <c r="BC292" t="e">
        <v>#N/A</v>
      </c>
      <c r="BD292" t="e">
        <v>#N/A</v>
      </c>
      <c r="BE292" t="e">
        <v>#N/A</v>
      </c>
      <c r="BF292" t="e">
        <v>#N/A</v>
      </c>
      <c r="BG292" t="s">
        <v>1581</v>
      </c>
      <c r="BH292" t="s">
        <v>1194</v>
      </c>
      <c r="BI292" t="s">
        <v>2351</v>
      </c>
    </row>
    <row r="293" spans="1:61" x14ac:dyDescent="0.35">
      <c r="A293" s="7" t="str">
        <f t="shared" si="8"/>
        <v>461594300010243</v>
      </c>
      <c r="B293" s="7" t="str">
        <f t="shared" si="9"/>
        <v>GP454018B856</v>
      </c>
      <c r="C293" t="s">
        <v>1177</v>
      </c>
      <c r="D293" t="s">
        <v>1178</v>
      </c>
      <c r="E293" t="s">
        <v>2352</v>
      </c>
      <c r="F293" t="s">
        <v>1363</v>
      </c>
      <c r="G293" t="s">
        <v>1363</v>
      </c>
      <c r="H293" t="s">
        <v>1271</v>
      </c>
      <c r="I293">
        <v>46159</v>
      </c>
      <c r="J293" t="s">
        <v>2353</v>
      </c>
      <c r="K293" t="s">
        <v>1182</v>
      </c>
      <c r="L293" t="s">
        <v>1177</v>
      </c>
      <c r="M293" t="s">
        <v>1274</v>
      </c>
      <c r="N293" t="s">
        <v>1079</v>
      </c>
      <c r="O293" t="s">
        <v>1275</v>
      </c>
      <c r="P293">
        <v>46159</v>
      </c>
      <c r="Q293" t="s">
        <v>1177</v>
      </c>
      <c r="R293" t="s">
        <v>21</v>
      </c>
      <c r="S293" t="s">
        <v>853</v>
      </c>
      <c r="T293" t="s">
        <v>2354</v>
      </c>
      <c r="U293" t="s">
        <v>2355</v>
      </c>
      <c r="V293">
        <v>2</v>
      </c>
      <c r="W293" t="s">
        <v>1262</v>
      </c>
      <c r="X293" t="s">
        <v>1262</v>
      </c>
      <c r="Y293">
        <v>0</v>
      </c>
      <c r="Z293" t="s">
        <v>1186</v>
      </c>
      <c r="AA293" t="s">
        <v>1177</v>
      </c>
      <c r="AB293" t="s">
        <v>1276</v>
      </c>
      <c r="AC293" t="s">
        <v>1277</v>
      </c>
      <c r="AD293" t="s">
        <v>1278</v>
      </c>
      <c r="AE293" t="s">
        <v>1726</v>
      </c>
      <c r="AF293" t="s">
        <v>1178</v>
      </c>
      <c r="AG293" t="s">
        <v>1190</v>
      </c>
      <c r="AH293" t="s">
        <v>1178</v>
      </c>
      <c r="AI293" t="s">
        <v>1280</v>
      </c>
      <c r="AJ293" t="s">
        <v>1189</v>
      </c>
      <c r="AK293">
        <v>2</v>
      </c>
      <c r="AL293" t="s">
        <v>1262</v>
      </c>
      <c r="AM293">
        <v>46309</v>
      </c>
      <c r="AN293">
        <v>46302</v>
      </c>
      <c r="AO293">
        <v>46302</v>
      </c>
      <c r="AP293">
        <v>46304</v>
      </c>
      <c r="AQ293">
        <v>46304</v>
      </c>
      <c r="AR293">
        <v>46309</v>
      </c>
      <c r="AS293">
        <v>46309</v>
      </c>
      <c r="AT293" t="s">
        <v>1281</v>
      </c>
      <c r="AU293" t="s">
        <v>1177</v>
      </c>
      <c r="AV293" t="s">
        <v>1192</v>
      </c>
      <c r="AW293" t="s">
        <v>1177</v>
      </c>
      <c r="AX293">
        <v>0</v>
      </c>
      <c r="AY293">
        <v>0</v>
      </c>
      <c r="AZ293" t="s">
        <v>1177</v>
      </c>
      <c r="BA293">
        <v>0</v>
      </c>
      <c r="BB293" t="s">
        <v>1262</v>
      </c>
      <c r="BC293" t="e">
        <v>#N/A</v>
      </c>
      <c r="BD293" t="e">
        <v>#N/A</v>
      </c>
      <c r="BE293" t="e">
        <v>#N/A</v>
      </c>
      <c r="BF293" t="e">
        <v>#N/A</v>
      </c>
      <c r="BG293" t="s">
        <v>1212</v>
      </c>
      <c r="BH293" t="s">
        <v>1194</v>
      </c>
      <c r="BI293" t="s">
        <v>2356</v>
      </c>
    </row>
    <row r="294" spans="1:61" x14ac:dyDescent="0.35">
      <c r="A294" s="7" t="str">
        <f t="shared" si="8"/>
        <v>461594300010244</v>
      </c>
      <c r="B294" s="7" t="str">
        <f t="shared" si="9"/>
        <v>GP660565B864</v>
      </c>
      <c r="C294" t="s">
        <v>1177</v>
      </c>
      <c r="D294" t="s">
        <v>1178</v>
      </c>
      <c r="E294" t="s">
        <v>2359</v>
      </c>
      <c r="F294" t="s">
        <v>1363</v>
      </c>
      <c r="G294" t="s">
        <v>1363</v>
      </c>
      <c r="H294" t="s">
        <v>1271</v>
      </c>
      <c r="I294">
        <v>46159</v>
      </c>
      <c r="J294" t="s">
        <v>2360</v>
      </c>
      <c r="K294" t="s">
        <v>1199</v>
      </c>
      <c r="L294" t="s">
        <v>1177</v>
      </c>
      <c r="M294" t="s">
        <v>1274</v>
      </c>
      <c r="N294" t="s">
        <v>1079</v>
      </c>
      <c r="O294" t="s">
        <v>1275</v>
      </c>
      <c r="P294">
        <v>46159</v>
      </c>
      <c r="Q294" t="s">
        <v>1177</v>
      </c>
      <c r="R294" t="s">
        <v>10</v>
      </c>
      <c r="S294" t="s">
        <v>1011</v>
      </c>
      <c r="T294" t="s">
        <v>1119</v>
      </c>
      <c r="U294" t="s">
        <v>1120</v>
      </c>
      <c r="V294">
        <v>3</v>
      </c>
      <c r="W294" t="s">
        <v>1262</v>
      </c>
      <c r="X294" t="s">
        <v>1262</v>
      </c>
      <c r="Y294">
        <v>0</v>
      </c>
      <c r="Z294" t="s">
        <v>1186</v>
      </c>
      <c r="AA294" t="s">
        <v>1177</v>
      </c>
      <c r="AB294" t="s">
        <v>1276</v>
      </c>
      <c r="AC294" t="s">
        <v>1277</v>
      </c>
      <c r="AD294" t="s">
        <v>1278</v>
      </c>
      <c r="AE294" t="s">
        <v>1742</v>
      </c>
      <c r="AF294" t="s">
        <v>1178</v>
      </c>
      <c r="AG294" t="s">
        <v>1190</v>
      </c>
      <c r="AH294" t="s">
        <v>1178</v>
      </c>
      <c r="AI294" t="s">
        <v>1280</v>
      </c>
      <c r="AJ294" t="s">
        <v>1190</v>
      </c>
      <c r="AK294">
        <v>0</v>
      </c>
      <c r="AL294" t="s">
        <v>1262</v>
      </c>
      <c r="AM294">
        <v>46427</v>
      </c>
      <c r="AN294">
        <v>46448</v>
      </c>
      <c r="AO294">
        <v>46415</v>
      </c>
      <c r="AP294">
        <v>46419</v>
      </c>
      <c r="AQ294">
        <v>46419</v>
      </c>
      <c r="AR294">
        <v>46421</v>
      </c>
      <c r="AS294">
        <v>46423</v>
      </c>
      <c r="AT294" t="s">
        <v>1281</v>
      </c>
      <c r="AU294" t="s">
        <v>1177</v>
      </c>
      <c r="AV294" t="s">
        <v>1192</v>
      </c>
      <c r="AW294" t="s">
        <v>1177</v>
      </c>
      <c r="AX294">
        <v>297</v>
      </c>
      <c r="AY294">
        <v>2</v>
      </c>
      <c r="AZ294" t="s">
        <v>1177</v>
      </c>
      <c r="BA294">
        <v>0</v>
      </c>
      <c r="BB294" t="s">
        <v>1262</v>
      </c>
      <c r="BC294" t="e">
        <v>#N/A</v>
      </c>
      <c r="BD294" t="e">
        <v>#N/A</v>
      </c>
      <c r="BE294" t="e">
        <v>#N/A</v>
      </c>
      <c r="BF294" t="e">
        <v>#N/A</v>
      </c>
      <c r="BG294" t="s">
        <v>1458</v>
      </c>
      <c r="BH294" t="s">
        <v>1194</v>
      </c>
      <c r="BI294" t="s">
        <v>2361</v>
      </c>
    </row>
    <row r="295" spans="1:61" x14ac:dyDescent="0.35">
      <c r="A295" s="7" t="str">
        <f t="shared" si="8"/>
        <v>461594300010254</v>
      </c>
      <c r="B295" s="7" t="str">
        <f t="shared" si="9"/>
        <v>GP004263B856</v>
      </c>
      <c r="C295" t="s">
        <v>1177</v>
      </c>
      <c r="D295" t="s">
        <v>1178</v>
      </c>
      <c r="E295" t="s">
        <v>2362</v>
      </c>
      <c r="F295" t="s">
        <v>1363</v>
      </c>
      <c r="G295" t="s">
        <v>1363</v>
      </c>
      <c r="H295" t="s">
        <v>1271</v>
      </c>
      <c r="I295">
        <v>46159</v>
      </c>
      <c r="J295" t="s">
        <v>2363</v>
      </c>
      <c r="K295" t="s">
        <v>1198</v>
      </c>
      <c r="L295" t="s">
        <v>1177</v>
      </c>
      <c r="M295" t="s">
        <v>1274</v>
      </c>
      <c r="N295" t="s">
        <v>1079</v>
      </c>
      <c r="O295" t="s">
        <v>1275</v>
      </c>
      <c r="P295">
        <v>46159</v>
      </c>
      <c r="Q295" t="s">
        <v>1177</v>
      </c>
      <c r="R295" t="s">
        <v>21</v>
      </c>
      <c r="S295" t="s">
        <v>853</v>
      </c>
      <c r="T295" t="s">
        <v>14</v>
      </c>
      <c r="U295" t="s">
        <v>15</v>
      </c>
      <c r="V295">
        <v>2</v>
      </c>
      <c r="W295" t="s">
        <v>1262</v>
      </c>
      <c r="X295" t="s">
        <v>1262</v>
      </c>
      <c r="Y295">
        <v>0</v>
      </c>
      <c r="Z295" t="s">
        <v>1186</v>
      </c>
      <c r="AA295" t="s">
        <v>1177</v>
      </c>
      <c r="AB295" t="s">
        <v>1276</v>
      </c>
      <c r="AC295" t="s">
        <v>1277</v>
      </c>
      <c r="AD295" t="s">
        <v>1278</v>
      </c>
      <c r="AE295" t="s">
        <v>1677</v>
      </c>
      <c r="AF295" t="s">
        <v>1178</v>
      </c>
      <c r="AG295" t="s">
        <v>1190</v>
      </c>
      <c r="AH295" t="s">
        <v>1178</v>
      </c>
      <c r="AI295" t="s">
        <v>1280</v>
      </c>
      <c r="AJ295" t="s">
        <v>1190</v>
      </c>
      <c r="AK295">
        <v>0</v>
      </c>
      <c r="AL295" t="s">
        <v>1262</v>
      </c>
      <c r="AM295">
        <v>46161</v>
      </c>
      <c r="AN295">
        <v>46196</v>
      </c>
      <c r="AO295">
        <v>46163</v>
      </c>
      <c r="AP295">
        <v>46167</v>
      </c>
      <c r="AQ295">
        <v>46167</v>
      </c>
      <c r="AR295">
        <v>46169</v>
      </c>
      <c r="AS295">
        <v>46171</v>
      </c>
      <c r="AT295" t="s">
        <v>1281</v>
      </c>
      <c r="AU295" t="s">
        <v>1177</v>
      </c>
      <c r="AV295" t="s">
        <v>1192</v>
      </c>
      <c r="AW295" t="s">
        <v>1177</v>
      </c>
      <c r="AX295">
        <v>33</v>
      </c>
      <c r="AY295">
        <v>2</v>
      </c>
      <c r="AZ295" t="s">
        <v>1177</v>
      </c>
      <c r="BA295">
        <v>0</v>
      </c>
      <c r="BB295" t="s">
        <v>1262</v>
      </c>
      <c r="BC295" t="e">
        <v>#N/A</v>
      </c>
      <c r="BD295" t="e">
        <v>#N/A</v>
      </c>
      <c r="BE295" t="e">
        <v>#N/A</v>
      </c>
      <c r="BF295" t="e">
        <v>#N/A</v>
      </c>
      <c r="BG295" t="s">
        <v>126</v>
      </c>
      <c r="BH295" t="s">
        <v>1873</v>
      </c>
      <c r="BI295" t="s">
        <v>126</v>
      </c>
    </row>
    <row r="296" spans="1:61" x14ac:dyDescent="0.35">
      <c r="A296" s="7" t="str">
        <f t="shared" si="8"/>
        <v>461594300010257</v>
      </c>
      <c r="B296" s="7" t="str">
        <f t="shared" si="9"/>
        <v>GP289832B867</v>
      </c>
      <c r="C296" t="s">
        <v>1177</v>
      </c>
      <c r="D296" t="s">
        <v>1178</v>
      </c>
      <c r="E296" t="s">
        <v>2364</v>
      </c>
      <c r="F296" t="s">
        <v>1363</v>
      </c>
      <c r="G296" t="s">
        <v>1363</v>
      </c>
      <c r="H296" t="s">
        <v>1271</v>
      </c>
      <c r="I296">
        <v>46159</v>
      </c>
      <c r="J296" t="s">
        <v>2365</v>
      </c>
      <c r="K296" t="s">
        <v>1182</v>
      </c>
      <c r="L296" t="s">
        <v>1177</v>
      </c>
      <c r="M296" t="s">
        <v>1274</v>
      </c>
      <c r="N296" t="s">
        <v>1079</v>
      </c>
      <c r="O296" t="s">
        <v>1275</v>
      </c>
      <c r="P296">
        <v>46159</v>
      </c>
      <c r="Q296" t="s">
        <v>1177</v>
      </c>
      <c r="R296" t="s">
        <v>25</v>
      </c>
      <c r="S296" t="s">
        <v>1060</v>
      </c>
      <c r="T296" t="s">
        <v>711</v>
      </c>
      <c r="U296" t="s">
        <v>712</v>
      </c>
      <c r="V296">
        <v>1</v>
      </c>
      <c r="W296" t="s">
        <v>1262</v>
      </c>
      <c r="X296" t="s">
        <v>1262</v>
      </c>
      <c r="Y296">
        <v>0</v>
      </c>
      <c r="Z296" t="s">
        <v>1186</v>
      </c>
      <c r="AA296" t="s">
        <v>1177</v>
      </c>
      <c r="AB296" t="s">
        <v>1286</v>
      </c>
      <c r="AC296" t="s">
        <v>1277</v>
      </c>
      <c r="AD296" t="s">
        <v>1278</v>
      </c>
      <c r="AE296" t="s">
        <v>2056</v>
      </c>
      <c r="AF296" t="s">
        <v>1178</v>
      </c>
      <c r="AG296" t="s">
        <v>1178</v>
      </c>
      <c r="AH296" t="s">
        <v>1178</v>
      </c>
      <c r="AI296" t="s">
        <v>1280</v>
      </c>
      <c r="AJ296" t="s">
        <v>1190</v>
      </c>
      <c r="AK296">
        <v>0</v>
      </c>
      <c r="AL296" t="s">
        <v>1262</v>
      </c>
      <c r="AM296">
        <v>46161</v>
      </c>
      <c r="AN296">
        <v>46280</v>
      </c>
      <c r="AO296">
        <v>46163</v>
      </c>
      <c r="AP296">
        <v>46167</v>
      </c>
      <c r="AQ296">
        <v>46167</v>
      </c>
      <c r="AR296">
        <v>46169</v>
      </c>
      <c r="AS296">
        <v>46171</v>
      </c>
      <c r="AT296" t="s">
        <v>1281</v>
      </c>
      <c r="AU296" t="s">
        <v>1177</v>
      </c>
      <c r="AV296" t="s">
        <v>1192</v>
      </c>
      <c r="AW296" t="s">
        <v>1177</v>
      </c>
      <c r="AX296">
        <v>33</v>
      </c>
      <c r="AY296">
        <v>2</v>
      </c>
      <c r="AZ296" t="s">
        <v>1177</v>
      </c>
      <c r="BA296">
        <v>0</v>
      </c>
      <c r="BB296" t="s">
        <v>1262</v>
      </c>
      <c r="BC296" t="e">
        <v>#N/A</v>
      </c>
      <c r="BD296" t="e">
        <v>#N/A</v>
      </c>
      <c r="BE296" t="e">
        <v>#N/A</v>
      </c>
      <c r="BF296" t="e">
        <v>#N/A</v>
      </c>
      <c r="BG296" t="s">
        <v>126</v>
      </c>
      <c r="BH296" t="s">
        <v>1873</v>
      </c>
      <c r="BI296" t="s">
        <v>126</v>
      </c>
    </row>
    <row r="297" spans="1:61" x14ac:dyDescent="0.35">
      <c r="A297" s="7" t="str">
        <f t="shared" si="8"/>
        <v>461614300010268</v>
      </c>
      <c r="B297" s="7" t="str">
        <f t="shared" si="9"/>
        <v>MS13210000B864</v>
      </c>
      <c r="C297" t="s">
        <v>2366</v>
      </c>
      <c r="D297" t="s">
        <v>1182</v>
      </c>
      <c r="E297" t="s">
        <v>1177</v>
      </c>
      <c r="F297" t="s">
        <v>2367</v>
      </c>
      <c r="G297" t="s">
        <v>2368</v>
      </c>
      <c r="H297" t="s">
        <v>1271</v>
      </c>
      <c r="I297">
        <v>46161</v>
      </c>
      <c r="J297" t="s">
        <v>2369</v>
      </c>
      <c r="K297" t="s">
        <v>1182</v>
      </c>
      <c r="L297" t="s">
        <v>1177</v>
      </c>
      <c r="M297" t="s">
        <v>1184</v>
      </c>
      <c r="N297" t="s">
        <v>1079</v>
      </c>
      <c r="O297" t="s">
        <v>1275</v>
      </c>
      <c r="P297">
        <v>46161</v>
      </c>
      <c r="Q297" t="s">
        <v>1185</v>
      </c>
      <c r="R297" t="s">
        <v>10</v>
      </c>
      <c r="S297" t="s">
        <v>1011</v>
      </c>
      <c r="T297" t="s">
        <v>2249</v>
      </c>
      <c r="U297" t="s">
        <v>2250</v>
      </c>
      <c r="V297">
        <v>1</v>
      </c>
      <c r="W297" t="s">
        <v>1262</v>
      </c>
      <c r="X297" t="s">
        <v>1262</v>
      </c>
      <c r="Y297">
        <v>0</v>
      </c>
      <c r="Z297" t="s">
        <v>1186</v>
      </c>
      <c r="AA297" t="s">
        <v>1177</v>
      </c>
      <c r="AB297" t="s">
        <v>1276</v>
      </c>
      <c r="AC297" t="s">
        <v>1277</v>
      </c>
      <c r="AD297" t="s">
        <v>1278</v>
      </c>
      <c r="AE297" t="s">
        <v>1787</v>
      </c>
      <c r="AF297" t="s">
        <v>1178</v>
      </c>
      <c r="AG297" t="s">
        <v>1190</v>
      </c>
      <c r="AH297" t="s">
        <v>1178</v>
      </c>
      <c r="AI297" t="s">
        <v>1280</v>
      </c>
      <c r="AJ297" t="s">
        <v>1190</v>
      </c>
      <c r="AK297">
        <v>0</v>
      </c>
      <c r="AL297" t="s">
        <v>1262</v>
      </c>
      <c r="AM297">
        <v>46169</v>
      </c>
      <c r="AN297">
        <v>46163</v>
      </c>
      <c r="AO297">
        <v>46163</v>
      </c>
      <c r="AP297">
        <v>46167</v>
      </c>
      <c r="AQ297">
        <v>46167</v>
      </c>
      <c r="AR297">
        <v>46169</v>
      </c>
      <c r="AS297">
        <v>46169</v>
      </c>
      <c r="AT297" t="s">
        <v>1281</v>
      </c>
      <c r="AU297" t="s">
        <v>1543</v>
      </c>
      <c r="AV297" t="s">
        <v>1192</v>
      </c>
      <c r="AW297" t="s">
        <v>1177</v>
      </c>
      <c r="AX297">
        <v>0</v>
      </c>
      <c r="AY297">
        <v>0</v>
      </c>
      <c r="AZ297" t="s">
        <v>1177</v>
      </c>
      <c r="BA297">
        <v>0</v>
      </c>
      <c r="BB297" t="s">
        <v>1262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e">
        <v>#N/A</v>
      </c>
      <c r="BI297" t="e">
        <v>#N/A</v>
      </c>
    </row>
    <row r="298" spans="1:61" x14ac:dyDescent="0.35">
      <c r="A298" s="7" t="str">
        <f t="shared" si="8"/>
        <v>461614300010269</v>
      </c>
      <c r="B298" s="7" t="str">
        <f t="shared" si="9"/>
        <v>GP086233B856</v>
      </c>
      <c r="C298" t="s">
        <v>2370</v>
      </c>
      <c r="D298" t="s">
        <v>1282</v>
      </c>
      <c r="E298" t="s">
        <v>1177</v>
      </c>
      <c r="F298" t="s">
        <v>2371</v>
      </c>
      <c r="G298" t="s">
        <v>2368</v>
      </c>
      <c r="H298" t="s">
        <v>1271</v>
      </c>
      <c r="I298">
        <v>46161</v>
      </c>
      <c r="J298" t="s">
        <v>2372</v>
      </c>
      <c r="K298" t="s">
        <v>1283</v>
      </c>
      <c r="L298" t="s">
        <v>1177</v>
      </c>
      <c r="M298" t="s">
        <v>1274</v>
      </c>
      <c r="N298" t="s">
        <v>1079</v>
      </c>
      <c r="O298" t="s">
        <v>1080</v>
      </c>
      <c r="P298">
        <v>46161</v>
      </c>
      <c r="Q298" t="s">
        <v>1177</v>
      </c>
      <c r="R298" t="s">
        <v>21</v>
      </c>
      <c r="S298" t="s">
        <v>853</v>
      </c>
      <c r="T298" t="s">
        <v>542</v>
      </c>
      <c r="U298" t="s">
        <v>543</v>
      </c>
      <c r="V298">
        <v>93</v>
      </c>
      <c r="W298" t="s">
        <v>1262</v>
      </c>
      <c r="X298" t="s">
        <v>1262</v>
      </c>
      <c r="Y298">
        <v>0</v>
      </c>
      <c r="Z298" t="s">
        <v>1186</v>
      </c>
      <c r="AA298" t="s">
        <v>1177</v>
      </c>
      <c r="AB298" t="s">
        <v>1286</v>
      </c>
      <c r="AC298" t="s">
        <v>1277</v>
      </c>
      <c r="AD298" t="s">
        <v>1278</v>
      </c>
      <c r="AE298" t="s">
        <v>1496</v>
      </c>
      <c r="AF298" t="s">
        <v>1178</v>
      </c>
      <c r="AG298" t="s">
        <v>1178</v>
      </c>
      <c r="AH298" t="s">
        <v>1178</v>
      </c>
      <c r="AI298" t="s">
        <v>1280</v>
      </c>
      <c r="AJ298" t="s">
        <v>1675</v>
      </c>
      <c r="AK298">
        <v>39</v>
      </c>
      <c r="AL298" t="s">
        <v>1262</v>
      </c>
      <c r="AM298">
        <v>46225</v>
      </c>
      <c r="AN298">
        <v>46218</v>
      </c>
      <c r="AO298">
        <v>46219</v>
      </c>
      <c r="AP298">
        <v>46223</v>
      </c>
      <c r="AQ298">
        <v>46223</v>
      </c>
      <c r="AR298">
        <v>46225</v>
      </c>
      <c r="AS298">
        <v>46247</v>
      </c>
      <c r="AT298" t="s">
        <v>1281</v>
      </c>
      <c r="AU298" t="s">
        <v>1177</v>
      </c>
      <c r="AV298" t="s">
        <v>1192</v>
      </c>
      <c r="AW298" t="s">
        <v>1177</v>
      </c>
      <c r="AX298">
        <v>22</v>
      </c>
      <c r="AY298">
        <v>16</v>
      </c>
      <c r="AZ298" t="s">
        <v>1177</v>
      </c>
      <c r="BA298">
        <v>0</v>
      </c>
      <c r="BB298" t="s">
        <v>1262</v>
      </c>
      <c r="BC298" t="s">
        <v>2373</v>
      </c>
      <c r="BD298">
        <v>54</v>
      </c>
      <c r="BE298">
        <v>46176</v>
      </c>
      <c r="BF298" t="s">
        <v>1165</v>
      </c>
      <c r="BG298" t="s">
        <v>1458</v>
      </c>
      <c r="BH298" t="e">
        <v>#N/A</v>
      </c>
      <c r="BI298" t="e">
        <v>#N/A</v>
      </c>
    </row>
    <row r="299" spans="1:61" x14ac:dyDescent="0.35">
      <c r="A299" s="7" t="str">
        <f t="shared" si="8"/>
        <v>461614300010270</v>
      </c>
      <c r="B299" s="7" t="str">
        <f t="shared" si="9"/>
        <v>GP324437B867</v>
      </c>
      <c r="C299" t="s">
        <v>2375</v>
      </c>
      <c r="D299" t="s">
        <v>1488</v>
      </c>
      <c r="E299" t="s">
        <v>1177</v>
      </c>
      <c r="F299" t="s">
        <v>2376</v>
      </c>
      <c r="G299" t="s">
        <v>2368</v>
      </c>
      <c r="H299" t="s">
        <v>1271</v>
      </c>
      <c r="I299">
        <v>46161</v>
      </c>
      <c r="J299" t="s">
        <v>2377</v>
      </c>
      <c r="K299" t="s">
        <v>1429</v>
      </c>
      <c r="L299" t="s">
        <v>1177</v>
      </c>
      <c r="M299" t="s">
        <v>1274</v>
      </c>
      <c r="N299" t="s">
        <v>1079</v>
      </c>
      <c r="O299" t="s">
        <v>1080</v>
      </c>
      <c r="P299">
        <v>46161</v>
      </c>
      <c r="Q299" t="s">
        <v>1177</v>
      </c>
      <c r="R299" t="s">
        <v>25</v>
      </c>
      <c r="S299" t="s">
        <v>1060</v>
      </c>
      <c r="T299" t="s">
        <v>1097</v>
      </c>
      <c r="U299" t="s">
        <v>1098</v>
      </c>
      <c r="V299">
        <v>16</v>
      </c>
      <c r="W299" t="s">
        <v>1262</v>
      </c>
      <c r="X299" t="s">
        <v>1262</v>
      </c>
      <c r="Y299">
        <v>0</v>
      </c>
      <c r="Z299" t="s">
        <v>1186</v>
      </c>
      <c r="AA299" t="s">
        <v>1177</v>
      </c>
      <c r="AB299" t="s">
        <v>1276</v>
      </c>
      <c r="AC299" t="s">
        <v>1277</v>
      </c>
      <c r="AD299" t="s">
        <v>1278</v>
      </c>
      <c r="AE299" t="s">
        <v>2010</v>
      </c>
      <c r="AF299" t="s">
        <v>1178</v>
      </c>
      <c r="AG299" t="s">
        <v>1190</v>
      </c>
      <c r="AH299" t="s">
        <v>1178</v>
      </c>
      <c r="AI299" t="s">
        <v>1280</v>
      </c>
      <c r="AJ299" t="s">
        <v>1190</v>
      </c>
      <c r="AK299">
        <v>0</v>
      </c>
      <c r="AL299" t="s">
        <v>1262</v>
      </c>
      <c r="AM299">
        <v>46167</v>
      </c>
      <c r="AN299">
        <v>46204</v>
      </c>
      <c r="AO299">
        <v>46163</v>
      </c>
      <c r="AP299">
        <v>46167</v>
      </c>
      <c r="AQ299">
        <v>46167</v>
      </c>
      <c r="AR299">
        <v>46169</v>
      </c>
      <c r="AS299">
        <v>46171</v>
      </c>
      <c r="AT299" t="s">
        <v>1281</v>
      </c>
      <c r="AU299" t="s">
        <v>1177</v>
      </c>
      <c r="AV299" t="s">
        <v>1192</v>
      </c>
      <c r="AW299" t="s">
        <v>1177</v>
      </c>
      <c r="AX299">
        <v>71</v>
      </c>
      <c r="AY299">
        <v>2</v>
      </c>
      <c r="AZ299" t="s">
        <v>1177</v>
      </c>
      <c r="BA299">
        <v>16</v>
      </c>
      <c r="BB299" t="s">
        <v>1262</v>
      </c>
      <c r="BC299" t="s">
        <v>2378</v>
      </c>
      <c r="BD299">
        <v>4</v>
      </c>
      <c r="BE299">
        <v>46170</v>
      </c>
      <c r="BF299" t="s">
        <v>1165</v>
      </c>
      <c r="BG299" t="s">
        <v>1458</v>
      </c>
      <c r="BH299" t="e">
        <v>#N/A</v>
      </c>
      <c r="BI299" t="e">
        <v>#N/A</v>
      </c>
    </row>
    <row r="300" spans="1:61" x14ac:dyDescent="0.35">
      <c r="A300" s="7" t="str">
        <f t="shared" si="8"/>
        <v>461614300010271</v>
      </c>
      <c r="B300" s="7" t="str">
        <f t="shared" si="9"/>
        <v>GP275842B825</v>
      </c>
      <c r="C300" t="s">
        <v>2379</v>
      </c>
      <c r="D300" t="s">
        <v>1182</v>
      </c>
      <c r="E300" t="s">
        <v>1177</v>
      </c>
      <c r="F300" t="s">
        <v>2380</v>
      </c>
      <c r="G300" t="s">
        <v>2368</v>
      </c>
      <c r="H300" t="s">
        <v>1271</v>
      </c>
      <c r="I300">
        <v>46161</v>
      </c>
      <c r="J300" t="s">
        <v>2381</v>
      </c>
      <c r="K300" t="s">
        <v>1182</v>
      </c>
      <c r="L300" t="s">
        <v>1177</v>
      </c>
      <c r="M300" t="s">
        <v>1274</v>
      </c>
      <c r="N300" t="s">
        <v>1079</v>
      </c>
      <c r="O300" t="s">
        <v>1275</v>
      </c>
      <c r="P300">
        <v>46168</v>
      </c>
      <c r="Q300" t="s">
        <v>1177</v>
      </c>
      <c r="R300" t="s">
        <v>16</v>
      </c>
      <c r="S300" t="s">
        <v>512</v>
      </c>
      <c r="T300" t="s">
        <v>2382</v>
      </c>
      <c r="U300" t="s">
        <v>2383</v>
      </c>
      <c r="V300">
        <v>1</v>
      </c>
      <c r="W300" t="s">
        <v>1262</v>
      </c>
      <c r="X300" t="s">
        <v>1262</v>
      </c>
      <c r="Y300">
        <v>0</v>
      </c>
      <c r="Z300" t="s">
        <v>1186</v>
      </c>
      <c r="AA300" t="s">
        <v>1177</v>
      </c>
      <c r="AB300" t="s">
        <v>1276</v>
      </c>
      <c r="AC300" t="s">
        <v>1277</v>
      </c>
      <c r="AD300" t="s">
        <v>1278</v>
      </c>
      <c r="AE300" t="s">
        <v>1542</v>
      </c>
      <c r="AF300" t="s">
        <v>1178</v>
      </c>
      <c r="AG300" t="s">
        <v>1190</v>
      </c>
      <c r="AH300" t="s">
        <v>1178</v>
      </c>
      <c r="AI300" t="s">
        <v>1349</v>
      </c>
      <c r="AJ300" t="s">
        <v>1190</v>
      </c>
      <c r="AK300">
        <v>0</v>
      </c>
      <c r="AL300" t="s">
        <v>1262</v>
      </c>
      <c r="AM300">
        <v>46171</v>
      </c>
      <c r="AN300">
        <v>46171</v>
      </c>
      <c r="AO300">
        <v>46171</v>
      </c>
      <c r="AP300">
        <v>46175</v>
      </c>
      <c r="AQ300">
        <v>46175</v>
      </c>
      <c r="AR300">
        <v>46178</v>
      </c>
      <c r="AS300">
        <v>46178</v>
      </c>
      <c r="AT300" t="s">
        <v>1281</v>
      </c>
      <c r="AU300" t="s">
        <v>1543</v>
      </c>
      <c r="AV300" t="s">
        <v>1192</v>
      </c>
      <c r="AW300" t="s">
        <v>1177</v>
      </c>
      <c r="AX300">
        <v>0</v>
      </c>
      <c r="AY300">
        <v>0</v>
      </c>
      <c r="AZ300" t="s">
        <v>1177</v>
      </c>
      <c r="BA300">
        <v>1</v>
      </c>
      <c r="BB300" t="s">
        <v>1262</v>
      </c>
      <c r="BC300" t="s">
        <v>2384</v>
      </c>
      <c r="BD300">
        <v>1</v>
      </c>
      <c r="BE300">
        <v>46171</v>
      </c>
      <c r="BF300" t="s">
        <v>1165</v>
      </c>
      <c r="BG300" t="s">
        <v>1458</v>
      </c>
      <c r="BH300" t="e">
        <v>#N/A</v>
      </c>
      <c r="BI300" t="e">
        <v>#N/A</v>
      </c>
    </row>
    <row r="301" spans="1:61" x14ac:dyDescent="0.35">
      <c r="A301" s="7" t="str">
        <f t="shared" si="8"/>
        <v>461624300010283</v>
      </c>
      <c r="B301" s="7" t="str">
        <f t="shared" si="9"/>
        <v>P390351B825</v>
      </c>
      <c r="C301" t="s">
        <v>2387</v>
      </c>
      <c r="D301" t="s">
        <v>1739</v>
      </c>
      <c r="E301" t="s">
        <v>1177</v>
      </c>
      <c r="F301" t="s">
        <v>2380</v>
      </c>
      <c r="G301" t="s">
        <v>2368</v>
      </c>
      <c r="H301" t="s">
        <v>1271</v>
      </c>
      <c r="I301">
        <v>46162</v>
      </c>
      <c r="J301" t="s">
        <v>2388</v>
      </c>
      <c r="K301" t="s">
        <v>1713</v>
      </c>
      <c r="L301" t="s">
        <v>1177</v>
      </c>
      <c r="M301" t="s">
        <v>1274</v>
      </c>
      <c r="N301" t="s">
        <v>1079</v>
      </c>
      <c r="O301" t="s">
        <v>1080</v>
      </c>
      <c r="P301">
        <v>46162</v>
      </c>
      <c r="Q301" t="s">
        <v>1177</v>
      </c>
      <c r="R301" t="s">
        <v>16</v>
      </c>
      <c r="S301" t="s">
        <v>512</v>
      </c>
      <c r="T301" t="s">
        <v>201</v>
      </c>
      <c r="U301" t="s">
        <v>1549</v>
      </c>
      <c r="V301">
        <v>300</v>
      </c>
      <c r="W301" t="s">
        <v>1262</v>
      </c>
      <c r="X301" t="s">
        <v>1262</v>
      </c>
      <c r="Y301">
        <v>0</v>
      </c>
      <c r="Z301" t="s">
        <v>1186</v>
      </c>
      <c r="AA301" t="s">
        <v>1177</v>
      </c>
      <c r="AB301" t="s">
        <v>1286</v>
      </c>
      <c r="AC301" t="s">
        <v>1277</v>
      </c>
      <c r="AD301" t="s">
        <v>1278</v>
      </c>
      <c r="AE301" t="s">
        <v>1292</v>
      </c>
      <c r="AF301" t="s">
        <v>1178</v>
      </c>
      <c r="AG301" t="s">
        <v>1178</v>
      </c>
      <c r="AH301" t="s">
        <v>1178</v>
      </c>
      <c r="AI301" t="s">
        <v>1349</v>
      </c>
      <c r="AJ301" t="s">
        <v>1190</v>
      </c>
      <c r="AK301">
        <v>0</v>
      </c>
      <c r="AL301" t="s">
        <v>1262</v>
      </c>
      <c r="AM301">
        <v>46181</v>
      </c>
      <c r="AN301">
        <v>46233</v>
      </c>
      <c r="AO301">
        <v>46171</v>
      </c>
      <c r="AP301">
        <v>46175</v>
      </c>
      <c r="AQ301">
        <v>46175</v>
      </c>
      <c r="AR301">
        <v>46178</v>
      </c>
      <c r="AS301">
        <v>46182</v>
      </c>
      <c r="AT301" t="s">
        <v>1281</v>
      </c>
      <c r="AU301" t="s">
        <v>1177</v>
      </c>
      <c r="AV301" t="s">
        <v>1192</v>
      </c>
      <c r="AW301" t="s">
        <v>1177</v>
      </c>
      <c r="AX301">
        <v>104</v>
      </c>
      <c r="AY301">
        <v>2</v>
      </c>
      <c r="AZ301" t="s">
        <v>1177</v>
      </c>
      <c r="BA301">
        <v>0</v>
      </c>
      <c r="BB301" t="s">
        <v>1262</v>
      </c>
      <c r="BC301" t="s">
        <v>2389</v>
      </c>
      <c r="BD301">
        <v>28</v>
      </c>
      <c r="BE301">
        <v>46175</v>
      </c>
      <c r="BF301" t="s">
        <v>1165</v>
      </c>
      <c r="BG301" t="s">
        <v>1458</v>
      </c>
      <c r="BH301" t="e">
        <v>#N/A</v>
      </c>
      <c r="BI301" t="e">
        <v>#N/A</v>
      </c>
    </row>
    <row r="302" spans="1:61" x14ac:dyDescent="0.35">
      <c r="A302" s="7" t="str">
        <f t="shared" si="8"/>
        <v>461754300010392</v>
      </c>
      <c r="B302" s="7" t="str">
        <f t="shared" si="9"/>
        <v>GP432947B865</v>
      </c>
      <c r="C302" t="s">
        <v>2390</v>
      </c>
      <c r="D302" t="s">
        <v>1426</v>
      </c>
      <c r="E302" t="s">
        <v>1177</v>
      </c>
      <c r="F302" t="s">
        <v>2391</v>
      </c>
      <c r="G302" t="s">
        <v>2368</v>
      </c>
      <c r="H302" t="s">
        <v>1271</v>
      </c>
      <c r="I302">
        <v>46175</v>
      </c>
      <c r="J302" t="s">
        <v>2392</v>
      </c>
      <c r="K302" t="s">
        <v>1426</v>
      </c>
      <c r="L302" t="s">
        <v>1177</v>
      </c>
      <c r="M302" t="s">
        <v>1274</v>
      </c>
      <c r="N302" t="s">
        <v>1079</v>
      </c>
      <c r="O302" t="s">
        <v>1080</v>
      </c>
      <c r="P302">
        <v>46175</v>
      </c>
      <c r="Q302" t="s">
        <v>1177</v>
      </c>
      <c r="R302" t="s">
        <v>7</v>
      </c>
      <c r="S302" t="s">
        <v>1040</v>
      </c>
      <c r="T302" t="s">
        <v>1106</v>
      </c>
      <c r="U302" t="s">
        <v>1107</v>
      </c>
      <c r="V302">
        <v>12</v>
      </c>
      <c r="W302" t="s">
        <v>1262</v>
      </c>
      <c r="X302" t="s">
        <v>1262</v>
      </c>
      <c r="Y302">
        <v>0</v>
      </c>
      <c r="Z302" t="s">
        <v>1186</v>
      </c>
      <c r="AA302" t="s">
        <v>1177</v>
      </c>
      <c r="AB302" t="s">
        <v>1286</v>
      </c>
      <c r="AC302" t="s">
        <v>1277</v>
      </c>
      <c r="AD302" t="s">
        <v>1278</v>
      </c>
      <c r="AE302" t="s">
        <v>1378</v>
      </c>
      <c r="AF302" t="s">
        <v>1178</v>
      </c>
      <c r="AG302" t="s">
        <v>1178</v>
      </c>
      <c r="AH302" t="s">
        <v>1178</v>
      </c>
      <c r="AI302" t="s">
        <v>1349</v>
      </c>
      <c r="AJ302" t="s">
        <v>1190</v>
      </c>
      <c r="AK302">
        <v>0</v>
      </c>
      <c r="AL302" t="s">
        <v>1262</v>
      </c>
      <c r="AM302">
        <v>46192</v>
      </c>
      <c r="AN302">
        <v>46212</v>
      </c>
      <c r="AO302">
        <v>46188</v>
      </c>
      <c r="AP302">
        <v>46190</v>
      </c>
      <c r="AQ302">
        <v>46190</v>
      </c>
      <c r="AR302">
        <v>46192</v>
      </c>
      <c r="AS302">
        <v>46192</v>
      </c>
      <c r="AT302" t="s">
        <v>1281</v>
      </c>
      <c r="AU302" t="s">
        <v>1177</v>
      </c>
      <c r="AV302" t="s">
        <v>1192</v>
      </c>
      <c r="AW302" t="s">
        <v>1177</v>
      </c>
      <c r="AX302">
        <v>0</v>
      </c>
      <c r="AY302">
        <v>0</v>
      </c>
      <c r="AZ302" t="s">
        <v>1177</v>
      </c>
      <c r="BA302">
        <v>0</v>
      </c>
      <c r="BB302" t="s">
        <v>1262</v>
      </c>
      <c r="BC302" t="s">
        <v>2393</v>
      </c>
      <c r="BD302">
        <v>2</v>
      </c>
      <c r="BE302">
        <v>46181</v>
      </c>
      <c r="BF302" t="s">
        <v>1165</v>
      </c>
      <c r="BG302" t="s">
        <v>1458</v>
      </c>
      <c r="BH302" t="e">
        <v>#N/A</v>
      </c>
      <c r="BI302" t="e">
        <v>#N/A</v>
      </c>
    </row>
    <row r="303" spans="1:61" x14ac:dyDescent="0.35">
      <c r="A303" s="7" t="str">
        <f t="shared" si="8"/>
        <v>461764300010393</v>
      </c>
      <c r="B303" s="7" t="str">
        <f t="shared" si="9"/>
        <v>GP445850B865</v>
      </c>
      <c r="C303" t="s">
        <v>2394</v>
      </c>
      <c r="D303" t="s">
        <v>1406</v>
      </c>
      <c r="E303" t="s">
        <v>1177</v>
      </c>
      <c r="F303" t="s">
        <v>2395</v>
      </c>
      <c r="G303" t="s">
        <v>2368</v>
      </c>
      <c r="H303" t="s">
        <v>1271</v>
      </c>
      <c r="I303">
        <v>46176</v>
      </c>
      <c r="J303" t="s">
        <v>2396</v>
      </c>
      <c r="K303" t="s">
        <v>1406</v>
      </c>
      <c r="L303" t="s">
        <v>1177</v>
      </c>
      <c r="M303" t="s">
        <v>1274</v>
      </c>
      <c r="N303" t="s">
        <v>1079</v>
      </c>
      <c r="O303" t="s">
        <v>1080</v>
      </c>
      <c r="P303">
        <v>46176</v>
      </c>
      <c r="Q303" t="s">
        <v>1177</v>
      </c>
      <c r="R303" t="s">
        <v>7</v>
      </c>
      <c r="S303" t="s">
        <v>1040</v>
      </c>
      <c r="T303" t="s">
        <v>1108</v>
      </c>
      <c r="U303" t="s">
        <v>1109</v>
      </c>
      <c r="V303">
        <v>288</v>
      </c>
      <c r="W303" t="s">
        <v>1262</v>
      </c>
      <c r="X303" t="s">
        <v>1262</v>
      </c>
      <c r="Y303">
        <v>0</v>
      </c>
      <c r="Z303" t="s">
        <v>1186</v>
      </c>
      <c r="AA303" t="s">
        <v>1177</v>
      </c>
      <c r="AB303" t="s">
        <v>1286</v>
      </c>
      <c r="AC303" t="s">
        <v>1277</v>
      </c>
      <c r="AD303" t="s">
        <v>1278</v>
      </c>
      <c r="AE303" t="s">
        <v>2010</v>
      </c>
      <c r="AF303" t="s">
        <v>1178</v>
      </c>
      <c r="AG303" t="s">
        <v>1178</v>
      </c>
      <c r="AH303" t="s">
        <v>1178</v>
      </c>
      <c r="AI303" t="s">
        <v>1349</v>
      </c>
      <c r="AJ303" t="s">
        <v>1675</v>
      </c>
      <c r="AK303">
        <v>280</v>
      </c>
      <c r="AL303" t="s">
        <v>1262</v>
      </c>
      <c r="AM303">
        <v>46241</v>
      </c>
      <c r="AN303">
        <v>46233</v>
      </c>
      <c r="AO303">
        <v>46237</v>
      </c>
      <c r="AP303">
        <v>46239</v>
      </c>
      <c r="AQ303">
        <v>46239</v>
      </c>
      <c r="AR303">
        <v>46241</v>
      </c>
      <c r="AS303">
        <v>46265</v>
      </c>
      <c r="AT303" t="s">
        <v>1281</v>
      </c>
      <c r="AU303" t="s">
        <v>1177</v>
      </c>
      <c r="AV303" t="s">
        <v>1192</v>
      </c>
      <c r="AW303" t="s">
        <v>1177</v>
      </c>
      <c r="AX303">
        <v>30</v>
      </c>
      <c r="AY303">
        <v>16</v>
      </c>
      <c r="AZ303" t="s">
        <v>1177</v>
      </c>
      <c r="BA303">
        <v>0</v>
      </c>
      <c r="BB303" t="s">
        <v>1262</v>
      </c>
      <c r="BC303" t="s">
        <v>2397</v>
      </c>
      <c r="BD303">
        <v>24</v>
      </c>
      <c r="BE303">
        <v>46181</v>
      </c>
      <c r="BF303" t="s">
        <v>1165</v>
      </c>
      <c r="BG303" t="s">
        <v>1458</v>
      </c>
      <c r="BH303" t="e">
        <v>#N/A</v>
      </c>
      <c r="BI303" t="e">
        <v>#N/A</v>
      </c>
    </row>
    <row r="304" spans="1:61" x14ac:dyDescent="0.35">
      <c r="A304" s="7" t="str">
        <f t="shared" si="8"/>
        <v>461764300010399</v>
      </c>
      <c r="B304" s="7" t="str">
        <f t="shared" si="9"/>
        <v>GP568593B833</v>
      </c>
      <c r="C304" t="s">
        <v>2398</v>
      </c>
      <c r="D304" t="s">
        <v>1182</v>
      </c>
      <c r="E304" t="s">
        <v>1177</v>
      </c>
      <c r="F304" t="s">
        <v>1342</v>
      </c>
      <c r="G304" t="s">
        <v>2399</v>
      </c>
      <c r="H304" t="s">
        <v>1271</v>
      </c>
      <c r="I304">
        <v>46176</v>
      </c>
      <c r="J304" t="s">
        <v>2400</v>
      </c>
      <c r="K304" t="s">
        <v>1182</v>
      </c>
      <c r="L304" t="s">
        <v>1177</v>
      </c>
      <c r="M304" t="s">
        <v>1274</v>
      </c>
      <c r="N304" t="s">
        <v>454</v>
      </c>
      <c r="O304" t="s">
        <v>455</v>
      </c>
      <c r="P304">
        <v>46176</v>
      </c>
      <c r="Q304" t="s">
        <v>1185</v>
      </c>
      <c r="R304" t="s">
        <v>697</v>
      </c>
      <c r="S304" t="s">
        <v>699</v>
      </c>
      <c r="T304" t="s">
        <v>2401</v>
      </c>
      <c r="U304" t="s">
        <v>2402</v>
      </c>
      <c r="V304">
        <v>322</v>
      </c>
      <c r="W304" t="s">
        <v>1262</v>
      </c>
      <c r="X304" t="s">
        <v>1262</v>
      </c>
      <c r="Y304">
        <v>0</v>
      </c>
      <c r="Z304" t="s">
        <v>1186</v>
      </c>
      <c r="AA304" t="s">
        <v>1177</v>
      </c>
      <c r="AB304" t="s">
        <v>1286</v>
      </c>
      <c r="AC304" t="s">
        <v>1277</v>
      </c>
      <c r="AD304" t="s">
        <v>1204</v>
      </c>
      <c r="AE304" t="s">
        <v>1354</v>
      </c>
      <c r="AF304" t="s">
        <v>1178</v>
      </c>
      <c r="AG304" t="s">
        <v>1178</v>
      </c>
      <c r="AH304" t="s">
        <v>1178</v>
      </c>
      <c r="AI304" t="s">
        <v>1177</v>
      </c>
      <c r="AJ304" t="s">
        <v>1190</v>
      </c>
      <c r="AK304">
        <v>322</v>
      </c>
      <c r="AL304" t="s">
        <v>1262</v>
      </c>
      <c r="AM304">
        <v>46176</v>
      </c>
      <c r="AN304">
        <v>46176</v>
      </c>
      <c r="AO304">
        <v>46176</v>
      </c>
      <c r="AP304">
        <v>46176</v>
      </c>
      <c r="AQ304">
        <v>46176</v>
      </c>
      <c r="AR304">
        <v>46176</v>
      </c>
      <c r="AS304">
        <v>46176</v>
      </c>
      <c r="AT304" t="s">
        <v>1281</v>
      </c>
      <c r="AU304" t="s">
        <v>1177</v>
      </c>
      <c r="AV304" t="s">
        <v>1192</v>
      </c>
      <c r="AW304" t="s">
        <v>1177</v>
      </c>
      <c r="AX304">
        <v>0</v>
      </c>
      <c r="AY304">
        <v>0</v>
      </c>
      <c r="AZ304" t="s">
        <v>1177</v>
      </c>
      <c r="BA304">
        <v>0</v>
      </c>
      <c r="BB304" t="s">
        <v>1262</v>
      </c>
      <c r="BC304" t="e">
        <v>#N/A</v>
      </c>
      <c r="BD304" t="e">
        <v>#N/A</v>
      </c>
      <c r="BE304" t="e">
        <v>#N/A</v>
      </c>
      <c r="BF304" t="e">
        <v>#N/A</v>
      </c>
      <c r="BG304" t="e">
        <v>#N/A</v>
      </c>
      <c r="BH304" t="e">
        <v>#N/A</v>
      </c>
      <c r="BI304" t="e">
        <v>#N/A</v>
      </c>
    </row>
    <row r="305" spans="1:61" x14ac:dyDescent="0.35">
      <c r="A305" s="7" t="str">
        <f t="shared" si="8"/>
        <v>461764300010400</v>
      </c>
      <c r="B305" s="7" t="str">
        <f t="shared" si="9"/>
        <v>GP568593B833</v>
      </c>
      <c r="C305" t="s">
        <v>2398</v>
      </c>
      <c r="D305" t="s">
        <v>1182</v>
      </c>
      <c r="E305" t="s">
        <v>1177</v>
      </c>
      <c r="F305" t="s">
        <v>1342</v>
      </c>
      <c r="G305" t="s">
        <v>2399</v>
      </c>
      <c r="H305" t="s">
        <v>1271</v>
      </c>
      <c r="I305">
        <v>46176</v>
      </c>
      <c r="J305" t="s">
        <v>2403</v>
      </c>
      <c r="K305" t="s">
        <v>1182</v>
      </c>
      <c r="L305" t="s">
        <v>1177</v>
      </c>
      <c r="M305" t="s">
        <v>1274</v>
      </c>
      <c r="N305" t="s">
        <v>454</v>
      </c>
      <c r="O305" t="s">
        <v>455</v>
      </c>
      <c r="P305">
        <v>46189</v>
      </c>
      <c r="Q305" t="s">
        <v>1177</v>
      </c>
      <c r="R305" t="s">
        <v>697</v>
      </c>
      <c r="S305" t="s">
        <v>699</v>
      </c>
      <c r="T305" t="s">
        <v>2401</v>
      </c>
      <c r="U305" t="s">
        <v>2402</v>
      </c>
      <c r="V305">
        <v>322</v>
      </c>
      <c r="W305" t="s">
        <v>1262</v>
      </c>
      <c r="X305" t="s">
        <v>1262</v>
      </c>
      <c r="Y305">
        <v>0</v>
      </c>
      <c r="Z305" t="s">
        <v>1186</v>
      </c>
      <c r="AA305" t="s">
        <v>1177</v>
      </c>
      <c r="AB305" t="s">
        <v>1286</v>
      </c>
      <c r="AC305" t="s">
        <v>1277</v>
      </c>
      <c r="AD305" t="s">
        <v>1278</v>
      </c>
      <c r="AE305" t="s">
        <v>1354</v>
      </c>
      <c r="AF305" t="s">
        <v>1178</v>
      </c>
      <c r="AG305" t="s">
        <v>1178</v>
      </c>
      <c r="AH305" t="s">
        <v>1178</v>
      </c>
      <c r="AI305" t="s">
        <v>1177</v>
      </c>
      <c r="AJ305" t="s">
        <v>1190</v>
      </c>
      <c r="AK305">
        <v>322</v>
      </c>
      <c r="AL305" t="s">
        <v>1262</v>
      </c>
      <c r="AM305">
        <v>46176</v>
      </c>
      <c r="AN305">
        <v>46176</v>
      </c>
      <c r="AO305">
        <v>46176</v>
      </c>
      <c r="AP305">
        <v>46176</v>
      </c>
      <c r="AQ305">
        <v>46176</v>
      </c>
      <c r="AR305">
        <v>46176</v>
      </c>
      <c r="AS305">
        <v>46176</v>
      </c>
      <c r="AT305" t="s">
        <v>1281</v>
      </c>
      <c r="AU305" t="s">
        <v>1177</v>
      </c>
      <c r="AV305" t="s">
        <v>1192</v>
      </c>
      <c r="AW305" t="s">
        <v>1177</v>
      </c>
      <c r="AX305">
        <v>0</v>
      </c>
      <c r="AY305">
        <v>0</v>
      </c>
      <c r="AZ305" t="s">
        <v>1177</v>
      </c>
      <c r="BA305">
        <v>322</v>
      </c>
      <c r="BB305" t="s">
        <v>1262</v>
      </c>
      <c r="BC305" t="e">
        <v>#N/A</v>
      </c>
      <c r="BD305" t="e">
        <v>#N/A</v>
      </c>
      <c r="BE305" t="e">
        <v>#N/A</v>
      </c>
      <c r="BF305" t="e">
        <v>#N/A</v>
      </c>
      <c r="BG305" t="s">
        <v>1372</v>
      </c>
      <c r="BH305" t="e">
        <v>#N/A</v>
      </c>
      <c r="BI305" t="e">
        <v>#N/A</v>
      </c>
    </row>
    <row r="306" spans="1:61" x14ac:dyDescent="0.35">
      <c r="A306" s="7" t="str">
        <f t="shared" si="8"/>
        <v>461784300010449</v>
      </c>
      <c r="B306" s="7" t="str">
        <f t="shared" si="9"/>
        <v>GP263048B833</v>
      </c>
      <c r="C306" t="s">
        <v>1177</v>
      </c>
      <c r="D306" t="s">
        <v>1178</v>
      </c>
      <c r="E306" t="s">
        <v>2406</v>
      </c>
      <c r="F306" t="s">
        <v>1363</v>
      </c>
      <c r="G306" t="s">
        <v>1363</v>
      </c>
      <c r="H306" t="s">
        <v>1271</v>
      </c>
      <c r="I306">
        <v>46178</v>
      </c>
      <c r="J306" t="s">
        <v>2407</v>
      </c>
      <c r="K306" t="s">
        <v>1282</v>
      </c>
      <c r="L306" t="s">
        <v>1177</v>
      </c>
      <c r="M306" t="s">
        <v>1274</v>
      </c>
      <c r="N306" t="s">
        <v>1079</v>
      </c>
      <c r="O306" t="s">
        <v>1275</v>
      </c>
      <c r="P306">
        <v>46178</v>
      </c>
      <c r="Q306" t="s">
        <v>1177</v>
      </c>
      <c r="R306" t="s">
        <v>697</v>
      </c>
      <c r="S306" t="s">
        <v>699</v>
      </c>
      <c r="T306" t="s">
        <v>327</v>
      </c>
      <c r="U306" t="s">
        <v>328</v>
      </c>
      <c r="V306">
        <v>2</v>
      </c>
      <c r="W306" t="s">
        <v>1262</v>
      </c>
      <c r="X306" t="s">
        <v>1262</v>
      </c>
      <c r="Y306">
        <v>0</v>
      </c>
      <c r="Z306" t="s">
        <v>1186</v>
      </c>
      <c r="AA306" t="s">
        <v>1177</v>
      </c>
      <c r="AB306" t="s">
        <v>1276</v>
      </c>
      <c r="AC306" t="s">
        <v>1277</v>
      </c>
      <c r="AD306" t="s">
        <v>1278</v>
      </c>
      <c r="AE306" t="s">
        <v>1359</v>
      </c>
      <c r="AF306" t="s">
        <v>1178</v>
      </c>
      <c r="AG306" t="s">
        <v>1190</v>
      </c>
      <c r="AH306" t="s">
        <v>1178</v>
      </c>
      <c r="AI306" t="s">
        <v>1349</v>
      </c>
      <c r="AJ306" t="s">
        <v>1190</v>
      </c>
      <c r="AK306">
        <v>0</v>
      </c>
      <c r="AL306" t="s">
        <v>1262</v>
      </c>
      <c r="AM306">
        <v>45810</v>
      </c>
      <c r="AN306">
        <v>46371</v>
      </c>
      <c r="AO306">
        <v>46181</v>
      </c>
      <c r="AP306">
        <v>46183</v>
      </c>
      <c r="AQ306">
        <v>46183</v>
      </c>
      <c r="AR306">
        <v>46185</v>
      </c>
      <c r="AS306">
        <v>46189</v>
      </c>
      <c r="AT306" t="s">
        <v>1281</v>
      </c>
      <c r="AU306" t="s">
        <v>1177</v>
      </c>
      <c r="AV306" t="s">
        <v>1192</v>
      </c>
      <c r="AW306" t="s">
        <v>1177</v>
      </c>
      <c r="AX306">
        <v>176</v>
      </c>
      <c r="AY306">
        <v>2</v>
      </c>
      <c r="AZ306" t="s">
        <v>1177</v>
      </c>
      <c r="BA306">
        <v>0</v>
      </c>
      <c r="BB306" t="s">
        <v>1262</v>
      </c>
      <c r="BC306" t="e">
        <v>#N/A</v>
      </c>
      <c r="BD306" t="e">
        <v>#N/A</v>
      </c>
      <c r="BE306" t="e">
        <v>#N/A</v>
      </c>
      <c r="BF306" t="e">
        <v>#N/A</v>
      </c>
      <c r="BG306" t="s">
        <v>126</v>
      </c>
      <c r="BH306" t="s">
        <v>1194</v>
      </c>
      <c r="BI306" t="s">
        <v>126</v>
      </c>
    </row>
    <row r="307" spans="1:61" x14ac:dyDescent="0.35">
      <c r="A307" s="7" t="str">
        <f t="shared" si="8"/>
        <v>461784300010456</v>
      </c>
      <c r="B307" s="7" t="str">
        <f t="shared" si="9"/>
        <v>GP436706B857</v>
      </c>
      <c r="C307" t="s">
        <v>1177</v>
      </c>
      <c r="D307" t="s">
        <v>1178</v>
      </c>
      <c r="E307" t="s">
        <v>2408</v>
      </c>
      <c r="F307" t="s">
        <v>1363</v>
      </c>
      <c r="G307" t="s">
        <v>1363</v>
      </c>
      <c r="H307" t="s">
        <v>1271</v>
      </c>
      <c r="I307">
        <v>46178</v>
      </c>
      <c r="J307" t="s">
        <v>2409</v>
      </c>
      <c r="K307" t="s">
        <v>1288</v>
      </c>
      <c r="L307" t="s">
        <v>1177</v>
      </c>
      <c r="M307" t="s">
        <v>1274</v>
      </c>
      <c r="N307" t="s">
        <v>1079</v>
      </c>
      <c r="O307" t="s">
        <v>1275</v>
      </c>
      <c r="P307">
        <v>46178</v>
      </c>
      <c r="Q307" t="s">
        <v>1177</v>
      </c>
      <c r="R307" t="s">
        <v>23</v>
      </c>
      <c r="S307" t="s">
        <v>959</v>
      </c>
      <c r="T307" t="s">
        <v>830</v>
      </c>
      <c r="U307" t="s">
        <v>831</v>
      </c>
      <c r="V307">
        <v>1</v>
      </c>
      <c r="W307" t="s">
        <v>1262</v>
      </c>
      <c r="X307" t="s">
        <v>1262</v>
      </c>
      <c r="Y307">
        <v>0</v>
      </c>
      <c r="Z307" t="s">
        <v>1186</v>
      </c>
      <c r="AA307" t="s">
        <v>1177</v>
      </c>
      <c r="AB307" t="s">
        <v>1276</v>
      </c>
      <c r="AC307" t="s">
        <v>1277</v>
      </c>
      <c r="AD307" t="s">
        <v>1278</v>
      </c>
      <c r="AE307" t="s">
        <v>1357</v>
      </c>
      <c r="AF307" t="s">
        <v>1178</v>
      </c>
      <c r="AG307" t="s">
        <v>1190</v>
      </c>
      <c r="AH307" t="s">
        <v>1178</v>
      </c>
      <c r="AI307" t="s">
        <v>1280</v>
      </c>
      <c r="AJ307" t="s">
        <v>1190</v>
      </c>
      <c r="AK307">
        <v>0</v>
      </c>
      <c r="AL307" t="s">
        <v>1262</v>
      </c>
      <c r="AM307">
        <v>45810</v>
      </c>
      <c r="AN307">
        <v>46371</v>
      </c>
      <c r="AO307">
        <v>46184</v>
      </c>
      <c r="AP307">
        <v>46188</v>
      </c>
      <c r="AQ307">
        <v>46188</v>
      </c>
      <c r="AR307">
        <v>46190</v>
      </c>
      <c r="AS307">
        <v>46192</v>
      </c>
      <c r="AT307" t="s">
        <v>1281</v>
      </c>
      <c r="AU307" t="s">
        <v>1177</v>
      </c>
      <c r="AV307" t="s">
        <v>1192</v>
      </c>
      <c r="AW307" t="s">
        <v>1177</v>
      </c>
      <c r="AX307">
        <v>176</v>
      </c>
      <c r="AY307">
        <v>2</v>
      </c>
      <c r="AZ307" t="s">
        <v>1177</v>
      </c>
      <c r="BA307">
        <v>0</v>
      </c>
      <c r="BB307" t="s">
        <v>1262</v>
      </c>
      <c r="BC307" t="e">
        <v>#N/A</v>
      </c>
      <c r="BD307" t="e">
        <v>#N/A</v>
      </c>
      <c r="BE307" t="e">
        <v>#N/A</v>
      </c>
      <c r="BF307" t="e">
        <v>#N/A</v>
      </c>
      <c r="BG307" t="s">
        <v>126</v>
      </c>
      <c r="BH307" t="s">
        <v>1194</v>
      </c>
      <c r="BI307" t="s">
        <v>126</v>
      </c>
    </row>
    <row r="308" spans="1:61" x14ac:dyDescent="0.35">
      <c r="A308" s="7" t="str">
        <f t="shared" si="8"/>
        <v>461784300010464</v>
      </c>
      <c r="B308" s="7" t="str">
        <f t="shared" si="9"/>
        <v>GP398592B857</v>
      </c>
      <c r="C308" t="s">
        <v>1177</v>
      </c>
      <c r="D308" t="s">
        <v>1178</v>
      </c>
      <c r="E308" t="s">
        <v>2410</v>
      </c>
      <c r="F308" t="s">
        <v>1363</v>
      </c>
      <c r="G308" t="s">
        <v>1363</v>
      </c>
      <c r="H308" t="s">
        <v>1271</v>
      </c>
      <c r="I308">
        <v>46178</v>
      </c>
      <c r="J308" t="s">
        <v>2411</v>
      </c>
      <c r="K308" t="s">
        <v>1198</v>
      </c>
      <c r="L308" t="s">
        <v>1177</v>
      </c>
      <c r="M308" t="s">
        <v>1274</v>
      </c>
      <c r="N308" t="s">
        <v>1079</v>
      </c>
      <c r="O308" t="s">
        <v>1275</v>
      </c>
      <c r="P308">
        <v>46178</v>
      </c>
      <c r="Q308" t="s">
        <v>1177</v>
      </c>
      <c r="R308" t="s">
        <v>23</v>
      </c>
      <c r="S308" t="s">
        <v>959</v>
      </c>
      <c r="T308" t="s">
        <v>2412</v>
      </c>
      <c r="U308" t="s">
        <v>2413</v>
      </c>
      <c r="V308">
        <v>4</v>
      </c>
      <c r="W308" t="s">
        <v>1262</v>
      </c>
      <c r="X308" t="s">
        <v>1262</v>
      </c>
      <c r="Y308">
        <v>0</v>
      </c>
      <c r="Z308" t="s">
        <v>1186</v>
      </c>
      <c r="AA308" t="s">
        <v>1177</v>
      </c>
      <c r="AB308" t="s">
        <v>1276</v>
      </c>
      <c r="AC308" t="s">
        <v>1277</v>
      </c>
      <c r="AD308" t="s">
        <v>1278</v>
      </c>
      <c r="AE308" t="s">
        <v>1354</v>
      </c>
      <c r="AF308" t="s">
        <v>1178</v>
      </c>
      <c r="AG308" t="s">
        <v>1190</v>
      </c>
      <c r="AH308" t="s">
        <v>1178</v>
      </c>
      <c r="AI308" t="s">
        <v>1280</v>
      </c>
      <c r="AJ308" t="s">
        <v>1190</v>
      </c>
      <c r="AK308">
        <v>0</v>
      </c>
      <c r="AL308" t="s">
        <v>1262</v>
      </c>
      <c r="AM308">
        <v>45944</v>
      </c>
      <c r="AN308">
        <v>46184</v>
      </c>
      <c r="AO308">
        <v>46184</v>
      </c>
      <c r="AP308">
        <v>46188</v>
      </c>
      <c r="AQ308">
        <v>46188</v>
      </c>
      <c r="AR308">
        <v>46190</v>
      </c>
      <c r="AS308">
        <v>46192</v>
      </c>
      <c r="AT308" t="s">
        <v>1281</v>
      </c>
      <c r="AU308" t="s">
        <v>1177</v>
      </c>
      <c r="AV308" t="s">
        <v>1192</v>
      </c>
      <c r="AW308" t="s">
        <v>1177</v>
      </c>
      <c r="AX308">
        <v>33</v>
      </c>
      <c r="AY308">
        <v>2</v>
      </c>
      <c r="AZ308" t="s">
        <v>1177</v>
      </c>
      <c r="BA308">
        <v>0</v>
      </c>
      <c r="BB308" t="s">
        <v>1262</v>
      </c>
      <c r="BC308" t="e">
        <v>#N/A</v>
      </c>
      <c r="BD308" t="e">
        <v>#N/A</v>
      </c>
      <c r="BE308" t="e">
        <v>#N/A</v>
      </c>
      <c r="BF308" t="e">
        <v>#N/A</v>
      </c>
      <c r="BG308" t="s">
        <v>1212</v>
      </c>
      <c r="BH308" t="s">
        <v>1206</v>
      </c>
      <c r="BI308" t="s">
        <v>1213</v>
      </c>
    </row>
    <row r="309" spans="1:61" x14ac:dyDescent="0.35">
      <c r="A309" s="7" t="str">
        <f t="shared" si="8"/>
        <v>461784300010470</v>
      </c>
      <c r="B309" s="7" t="str">
        <f t="shared" si="9"/>
        <v>149391B833</v>
      </c>
      <c r="C309" t="s">
        <v>1177</v>
      </c>
      <c r="D309" t="s">
        <v>1178</v>
      </c>
      <c r="E309" t="s">
        <v>2414</v>
      </c>
      <c r="F309" t="s">
        <v>1363</v>
      </c>
      <c r="G309" t="s">
        <v>1363</v>
      </c>
      <c r="H309" t="s">
        <v>1271</v>
      </c>
      <c r="I309">
        <v>46178</v>
      </c>
      <c r="J309" t="s">
        <v>2415</v>
      </c>
      <c r="K309" t="s">
        <v>1431</v>
      </c>
      <c r="L309" t="s">
        <v>1177</v>
      </c>
      <c r="M309" t="s">
        <v>1274</v>
      </c>
      <c r="N309" t="s">
        <v>1079</v>
      </c>
      <c r="O309" t="s">
        <v>1275</v>
      </c>
      <c r="P309">
        <v>46178</v>
      </c>
      <c r="Q309" t="s">
        <v>1177</v>
      </c>
      <c r="R309" t="s">
        <v>697</v>
      </c>
      <c r="S309" t="s">
        <v>699</v>
      </c>
      <c r="T309" t="s">
        <v>2416</v>
      </c>
      <c r="U309" t="s">
        <v>730</v>
      </c>
      <c r="V309">
        <v>1</v>
      </c>
      <c r="W309" t="s">
        <v>1262</v>
      </c>
      <c r="X309" t="s">
        <v>1262</v>
      </c>
      <c r="Y309">
        <v>0</v>
      </c>
      <c r="Z309" t="s">
        <v>1186</v>
      </c>
      <c r="AA309" t="s">
        <v>1177</v>
      </c>
      <c r="AB309" t="s">
        <v>1177</v>
      </c>
      <c r="AC309" t="s">
        <v>1177</v>
      </c>
      <c r="AD309" t="s">
        <v>1313</v>
      </c>
      <c r="AE309" t="s">
        <v>1467</v>
      </c>
      <c r="AF309" t="s">
        <v>1189</v>
      </c>
      <c r="AG309" t="s">
        <v>1190</v>
      </c>
      <c r="AH309" t="s">
        <v>1178</v>
      </c>
      <c r="AI309" t="s">
        <v>1349</v>
      </c>
      <c r="AJ309" t="s">
        <v>1190</v>
      </c>
      <c r="AK309">
        <v>0</v>
      </c>
      <c r="AL309" t="s">
        <v>1262</v>
      </c>
      <c r="AM309">
        <v>45845</v>
      </c>
      <c r="AN309">
        <v>46371</v>
      </c>
      <c r="AO309">
        <v>46181</v>
      </c>
      <c r="AP309">
        <v>46183</v>
      </c>
      <c r="AQ309">
        <v>46183</v>
      </c>
      <c r="AR309">
        <v>46185</v>
      </c>
      <c r="AS309">
        <v>46189</v>
      </c>
      <c r="AT309" t="s">
        <v>1281</v>
      </c>
      <c r="AU309" t="s">
        <v>1177</v>
      </c>
      <c r="AV309" t="s">
        <v>1192</v>
      </c>
      <c r="AW309" t="s">
        <v>1177</v>
      </c>
      <c r="AX309">
        <v>33</v>
      </c>
      <c r="AY309">
        <v>2</v>
      </c>
      <c r="AZ309" t="s">
        <v>1177</v>
      </c>
      <c r="BA309">
        <v>0</v>
      </c>
      <c r="BB309" t="s">
        <v>1262</v>
      </c>
      <c r="BC309" t="e">
        <v>#N/A</v>
      </c>
      <c r="BD309" t="e">
        <v>#N/A</v>
      </c>
      <c r="BE309" t="e">
        <v>#N/A</v>
      </c>
      <c r="BF309" t="e">
        <v>#N/A</v>
      </c>
      <c r="BG309" t="s">
        <v>126</v>
      </c>
      <c r="BH309" t="s">
        <v>1194</v>
      </c>
      <c r="BI309" t="s">
        <v>126</v>
      </c>
    </row>
    <row r="310" spans="1:61" x14ac:dyDescent="0.35">
      <c r="A310" s="7" t="str">
        <f t="shared" si="8"/>
        <v>461784300010472</v>
      </c>
      <c r="B310" s="7" t="str">
        <f t="shared" si="9"/>
        <v>GP019439B832</v>
      </c>
      <c r="C310" t="s">
        <v>1177</v>
      </c>
      <c r="D310" t="s">
        <v>1178</v>
      </c>
      <c r="E310" t="s">
        <v>2417</v>
      </c>
      <c r="F310" t="s">
        <v>1363</v>
      </c>
      <c r="G310" t="s">
        <v>1363</v>
      </c>
      <c r="H310" t="s">
        <v>1271</v>
      </c>
      <c r="I310">
        <v>46178</v>
      </c>
      <c r="J310" t="s">
        <v>2418</v>
      </c>
      <c r="K310" t="s">
        <v>1253</v>
      </c>
      <c r="L310" t="s">
        <v>1177</v>
      </c>
      <c r="M310" t="s">
        <v>1274</v>
      </c>
      <c r="N310" t="s">
        <v>1079</v>
      </c>
      <c r="O310" t="s">
        <v>1275</v>
      </c>
      <c r="P310">
        <v>46178</v>
      </c>
      <c r="Q310" t="s">
        <v>1177</v>
      </c>
      <c r="R310" t="s">
        <v>19</v>
      </c>
      <c r="S310" t="s">
        <v>654</v>
      </c>
      <c r="T310" t="s">
        <v>368</v>
      </c>
      <c r="U310" t="s">
        <v>2419</v>
      </c>
      <c r="V310">
        <v>4</v>
      </c>
      <c r="W310" t="s">
        <v>1202</v>
      </c>
      <c r="X310" t="s">
        <v>1202</v>
      </c>
      <c r="Y310">
        <v>0</v>
      </c>
      <c r="Z310" t="s">
        <v>1186</v>
      </c>
      <c r="AA310" t="s">
        <v>1177</v>
      </c>
      <c r="AB310" t="s">
        <v>1177</v>
      </c>
      <c r="AC310" t="s">
        <v>1177</v>
      </c>
      <c r="AD310" t="s">
        <v>1313</v>
      </c>
      <c r="AE310" t="s">
        <v>1378</v>
      </c>
      <c r="AF310" t="s">
        <v>1189</v>
      </c>
      <c r="AG310" t="s">
        <v>1190</v>
      </c>
      <c r="AH310" t="s">
        <v>1178</v>
      </c>
      <c r="AI310" t="s">
        <v>1349</v>
      </c>
      <c r="AJ310" t="s">
        <v>1190</v>
      </c>
      <c r="AK310">
        <v>0</v>
      </c>
      <c r="AL310" t="s">
        <v>1202</v>
      </c>
      <c r="AM310">
        <v>45936</v>
      </c>
      <c r="AN310">
        <v>46181</v>
      </c>
      <c r="AO310">
        <v>46181</v>
      </c>
      <c r="AP310">
        <v>46183</v>
      </c>
      <c r="AQ310">
        <v>46183</v>
      </c>
      <c r="AR310">
        <v>46185</v>
      </c>
      <c r="AS310">
        <v>46189</v>
      </c>
      <c r="AT310" t="s">
        <v>1281</v>
      </c>
      <c r="AU310" t="s">
        <v>1177</v>
      </c>
      <c r="AV310" t="s">
        <v>1192</v>
      </c>
      <c r="AW310" t="s">
        <v>1177</v>
      </c>
      <c r="AX310">
        <v>246</v>
      </c>
      <c r="AY310">
        <v>2</v>
      </c>
      <c r="AZ310" t="s">
        <v>1177</v>
      </c>
      <c r="BA310">
        <v>0</v>
      </c>
      <c r="BB310" t="s">
        <v>1202</v>
      </c>
      <c r="BC310" t="e">
        <v>#N/A</v>
      </c>
      <c r="BD310" t="e">
        <v>#N/A</v>
      </c>
      <c r="BE310" t="e">
        <v>#N/A</v>
      </c>
      <c r="BF310" t="e">
        <v>#N/A</v>
      </c>
      <c r="BG310" t="s">
        <v>1458</v>
      </c>
      <c r="BH310" t="s">
        <v>1763</v>
      </c>
      <c r="BI310" t="s">
        <v>1177</v>
      </c>
    </row>
    <row r="311" spans="1:61" x14ac:dyDescent="0.35">
      <c r="A311" s="7" t="str">
        <f t="shared" si="8"/>
        <v>461784300010479</v>
      </c>
      <c r="B311" s="7" t="str">
        <f t="shared" si="9"/>
        <v>GP253121B864</v>
      </c>
      <c r="C311" t="s">
        <v>1177</v>
      </c>
      <c r="D311" t="s">
        <v>1178</v>
      </c>
      <c r="E311" t="s">
        <v>2420</v>
      </c>
      <c r="F311" t="s">
        <v>1363</v>
      </c>
      <c r="G311" t="s">
        <v>1363</v>
      </c>
      <c r="H311" t="s">
        <v>1271</v>
      </c>
      <c r="I311">
        <v>46178</v>
      </c>
      <c r="J311" t="s">
        <v>2421</v>
      </c>
      <c r="K311" t="s">
        <v>1199</v>
      </c>
      <c r="L311" t="s">
        <v>1177</v>
      </c>
      <c r="M311" t="s">
        <v>1274</v>
      </c>
      <c r="N311" t="s">
        <v>1079</v>
      </c>
      <c r="O311" t="s">
        <v>1275</v>
      </c>
      <c r="P311">
        <v>46178</v>
      </c>
      <c r="Q311" t="s">
        <v>1177</v>
      </c>
      <c r="R311" t="s">
        <v>10</v>
      </c>
      <c r="S311" t="s">
        <v>1011</v>
      </c>
      <c r="T311" t="s">
        <v>2422</v>
      </c>
      <c r="U311" t="s">
        <v>2423</v>
      </c>
      <c r="V311">
        <v>19</v>
      </c>
      <c r="W311" t="s">
        <v>1262</v>
      </c>
      <c r="X311" t="s">
        <v>1262</v>
      </c>
      <c r="Y311">
        <v>0</v>
      </c>
      <c r="Z311" t="s">
        <v>1186</v>
      </c>
      <c r="AA311" t="s">
        <v>1177</v>
      </c>
      <c r="AB311" t="s">
        <v>1276</v>
      </c>
      <c r="AC311" t="s">
        <v>1277</v>
      </c>
      <c r="AD311" t="s">
        <v>1278</v>
      </c>
      <c r="AE311" t="s">
        <v>1357</v>
      </c>
      <c r="AF311" t="s">
        <v>1178</v>
      </c>
      <c r="AG311" t="s">
        <v>1190</v>
      </c>
      <c r="AH311" t="s">
        <v>1178</v>
      </c>
      <c r="AI311" t="s">
        <v>1280</v>
      </c>
      <c r="AJ311" t="s">
        <v>1190</v>
      </c>
      <c r="AK311">
        <v>0</v>
      </c>
      <c r="AL311" t="s">
        <v>1262</v>
      </c>
      <c r="AM311">
        <v>45896</v>
      </c>
      <c r="AN311">
        <v>46447</v>
      </c>
      <c r="AO311">
        <v>46184</v>
      </c>
      <c r="AP311">
        <v>46188</v>
      </c>
      <c r="AQ311">
        <v>46188</v>
      </c>
      <c r="AR311">
        <v>46190</v>
      </c>
      <c r="AS311">
        <v>46192</v>
      </c>
      <c r="AT311" t="s">
        <v>1281</v>
      </c>
      <c r="AU311" t="s">
        <v>1177</v>
      </c>
      <c r="AV311" t="s">
        <v>1192</v>
      </c>
      <c r="AW311" t="s">
        <v>1177</v>
      </c>
      <c r="AX311">
        <v>275</v>
      </c>
      <c r="AY311">
        <v>2</v>
      </c>
      <c r="AZ311" t="s">
        <v>1177</v>
      </c>
      <c r="BA311">
        <v>0</v>
      </c>
      <c r="BB311" t="s">
        <v>1262</v>
      </c>
      <c r="BC311" t="e">
        <v>#N/A</v>
      </c>
      <c r="BD311" t="e">
        <v>#N/A</v>
      </c>
      <c r="BE311" t="e">
        <v>#N/A</v>
      </c>
      <c r="BF311" t="e">
        <v>#N/A</v>
      </c>
      <c r="BG311" t="s">
        <v>1212</v>
      </c>
      <c r="BH311" t="s">
        <v>1194</v>
      </c>
      <c r="BI311" t="s">
        <v>2424</v>
      </c>
    </row>
    <row r="312" spans="1:61" x14ac:dyDescent="0.35">
      <c r="A312" s="7" t="str">
        <f t="shared" si="8"/>
        <v>461784300010489</v>
      </c>
      <c r="B312" s="7" t="str">
        <f t="shared" si="9"/>
        <v>GP081478B825</v>
      </c>
      <c r="C312" t="s">
        <v>1177</v>
      </c>
      <c r="D312" t="s">
        <v>1178</v>
      </c>
      <c r="E312" t="s">
        <v>2425</v>
      </c>
      <c r="F312" t="s">
        <v>1363</v>
      </c>
      <c r="G312" t="s">
        <v>1363</v>
      </c>
      <c r="H312" t="s">
        <v>1271</v>
      </c>
      <c r="I312">
        <v>46178</v>
      </c>
      <c r="J312" t="s">
        <v>2426</v>
      </c>
      <c r="K312" t="s">
        <v>1283</v>
      </c>
      <c r="L312" t="s">
        <v>1177</v>
      </c>
      <c r="M312" t="s">
        <v>1274</v>
      </c>
      <c r="N312" t="s">
        <v>1079</v>
      </c>
      <c r="O312" t="s">
        <v>1275</v>
      </c>
      <c r="P312">
        <v>46178</v>
      </c>
      <c r="Q312" t="s">
        <v>1177</v>
      </c>
      <c r="R312" t="s">
        <v>16</v>
      </c>
      <c r="S312" t="s">
        <v>512</v>
      </c>
      <c r="T312" t="s">
        <v>2427</v>
      </c>
      <c r="U312" t="s">
        <v>689</v>
      </c>
      <c r="V312">
        <v>1</v>
      </c>
      <c r="W312" t="s">
        <v>1262</v>
      </c>
      <c r="X312" t="s">
        <v>1262</v>
      </c>
      <c r="Y312">
        <v>0</v>
      </c>
      <c r="Z312" t="s">
        <v>1186</v>
      </c>
      <c r="AA312" t="s">
        <v>1177</v>
      </c>
      <c r="AB312" t="s">
        <v>1286</v>
      </c>
      <c r="AC312" t="s">
        <v>1277</v>
      </c>
      <c r="AD312" t="s">
        <v>1278</v>
      </c>
      <c r="AE312" t="s">
        <v>2166</v>
      </c>
      <c r="AF312" t="s">
        <v>1178</v>
      </c>
      <c r="AG312" t="s">
        <v>1178</v>
      </c>
      <c r="AH312" t="s">
        <v>1178</v>
      </c>
      <c r="AI312" t="s">
        <v>1349</v>
      </c>
      <c r="AJ312" t="s">
        <v>1190</v>
      </c>
      <c r="AK312">
        <v>0</v>
      </c>
      <c r="AL312" t="s">
        <v>1262</v>
      </c>
      <c r="AM312">
        <v>46188</v>
      </c>
      <c r="AN312">
        <v>46429</v>
      </c>
      <c r="AO312">
        <v>46181</v>
      </c>
      <c r="AP312">
        <v>46183</v>
      </c>
      <c r="AQ312">
        <v>46183</v>
      </c>
      <c r="AR312">
        <v>46185</v>
      </c>
      <c r="AS312">
        <v>46189</v>
      </c>
      <c r="AT312" t="s">
        <v>1281</v>
      </c>
      <c r="AU312" t="s">
        <v>1177</v>
      </c>
      <c r="AV312" t="s">
        <v>1192</v>
      </c>
      <c r="AW312" t="s">
        <v>1177</v>
      </c>
      <c r="AX312">
        <v>33</v>
      </c>
      <c r="AY312">
        <v>2</v>
      </c>
      <c r="AZ312" t="s">
        <v>1177</v>
      </c>
      <c r="BA312">
        <v>0</v>
      </c>
      <c r="BB312" t="s">
        <v>1262</v>
      </c>
      <c r="BC312" t="e">
        <v>#N/A</v>
      </c>
      <c r="BD312" t="e">
        <v>#N/A</v>
      </c>
      <c r="BE312" t="e">
        <v>#N/A</v>
      </c>
      <c r="BF312" t="e">
        <v>#N/A</v>
      </c>
      <c r="BG312" t="s">
        <v>126</v>
      </c>
      <c r="BH312" t="s">
        <v>1873</v>
      </c>
      <c r="BI312" t="s">
        <v>126</v>
      </c>
    </row>
    <row r="313" spans="1:61" x14ac:dyDescent="0.35">
      <c r="A313" s="7" t="str">
        <f t="shared" si="8"/>
        <v>461784300010493</v>
      </c>
      <c r="B313" s="7" t="str">
        <f t="shared" si="9"/>
        <v>GP001139B825</v>
      </c>
      <c r="C313" t="s">
        <v>1177</v>
      </c>
      <c r="D313" t="s">
        <v>1178</v>
      </c>
      <c r="E313" t="s">
        <v>2428</v>
      </c>
      <c r="F313" t="s">
        <v>1363</v>
      </c>
      <c r="G313" t="s">
        <v>1363</v>
      </c>
      <c r="H313" t="s">
        <v>1271</v>
      </c>
      <c r="I313">
        <v>46178</v>
      </c>
      <c r="J313" t="s">
        <v>2429</v>
      </c>
      <c r="K313" t="s">
        <v>1282</v>
      </c>
      <c r="L313" t="s">
        <v>1177</v>
      </c>
      <c r="M313" t="s">
        <v>1274</v>
      </c>
      <c r="N313" t="s">
        <v>1079</v>
      </c>
      <c r="O313" t="s">
        <v>1275</v>
      </c>
      <c r="P313">
        <v>46178</v>
      </c>
      <c r="Q313" t="s">
        <v>1177</v>
      </c>
      <c r="R313" t="s">
        <v>16</v>
      </c>
      <c r="S313" t="s">
        <v>512</v>
      </c>
      <c r="T313" t="s">
        <v>731</v>
      </c>
      <c r="U313" t="s">
        <v>732</v>
      </c>
      <c r="V313">
        <v>1</v>
      </c>
      <c r="W313" t="s">
        <v>1262</v>
      </c>
      <c r="X313" t="s">
        <v>1262</v>
      </c>
      <c r="Y313">
        <v>0</v>
      </c>
      <c r="Z313" t="s">
        <v>1186</v>
      </c>
      <c r="AA313" t="s">
        <v>1177</v>
      </c>
      <c r="AB313" t="s">
        <v>1276</v>
      </c>
      <c r="AC313" t="s">
        <v>1277</v>
      </c>
      <c r="AD313" t="s">
        <v>1278</v>
      </c>
      <c r="AE313" t="s">
        <v>1354</v>
      </c>
      <c r="AF313" t="s">
        <v>1178</v>
      </c>
      <c r="AG313" t="s">
        <v>1190</v>
      </c>
      <c r="AH313" t="s">
        <v>1178</v>
      </c>
      <c r="AI313" t="s">
        <v>1349</v>
      </c>
      <c r="AJ313" t="s">
        <v>1190</v>
      </c>
      <c r="AK313">
        <v>0</v>
      </c>
      <c r="AL313" t="s">
        <v>1262</v>
      </c>
      <c r="AM313">
        <v>45935</v>
      </c>
      <c r="AN313">
        <v>46395</v>
      </c>
      <c r="AO313">
        <v>46181</v>
      </c>
      <c r="AP313">
        <v>46183</v>
      </c>
      <c r="AQ313">
        <v>46183</v>
      </c>
      <c r="AR313">
        <v>46185</v>
      </c>
      <c r="AS313">
        <v>46189</v>
      </c>
      <c r="AT313" t="s">
        <v>1281</v>
      </c>
      <c r="AU313" t="s">
        <v>1177</v>
      </c>
      <c r="AV313" t="s">
        <v>1192</v>
      </c>
      <c r="AW313" t="s">
        <v>1177</v>
      </c>
      <c r="AX313">
        <v>249</v>
      </c>
      <c r="AY313">
        <v>2</v>
      </c>
      <c r="AZ313" t="s">
        <v>1177</v>
      </c>
      <c r="BA313">
        <v>0</v>
      </c>
      <c r="BB313" t="s">
        <v>1262</v>
      </c>
      <c r="BC313" t="e">
        <v>#N/A</v>
      </c>
      <c r="BD313" t="e">
        <v>#N/A</v>
      </c>
      <c r="BE313" t="e">
        <v>#N/A</v>
      </c>
      <c r="BF313" t="e">
        <v>#N/A</v>
      </c>
      <c r="BG313" t="s">
        <v>1212</v>
      </c>
      <c r="BH313" t="s">
        <v>1194</v>
      </c>
      <c r="BI313" t="s">
        <v>1212</v>
      </c>
    </row>
    <row r="314" spans="1:61" x14ac:dyDescent="0.35">
      <c r="A314" s="7" t="str">
        <f t="shared" si="8"/>
        <v>461784300010504</v>
      </c>
      <c r="B314" s="7" t="str">
        <f t="shared" si="9"/>
        <v>GP298388B838</v>
      </c>
      <c r="C314" t="s">
        <v>1177</v>
      </c>
      <c r="D314" t="s">
        <v>1178</v>
      </c>
      <c r="E314" t="s">
        <v>2430</v>
      </c>
      <c r="F314" t="s">
        <v>1363</v>
      </c>
      <c r="G314" t="s">
        <v>1363</v>
      </c>
      <c r="H314" t="s">
        <v>1271</v>
      </c>
      <c r="I314">
        <v>46178</v>
      </c>
      <c r="J314" t="s">
        <v>2431</v>
      </c>
      <c r="K314" t="s">
        <v>1282</v>
      </c>
      <c r="L314" t="s">
        <v>1177</v>
      </c>
      <c r="M314" t="s">
        <v>1274</v>
      </c>
      <c r="N314" t="s">
        <v>1079</v>
      </c>
      <c r="O314" t="s">
        <v>1275</v>
      </c>
      <c r="P314">
        <v>46178</v>
      </c>
      <c r="Q314" t="s">
        <v>1177</v>
      </c>
      <c r="R314" t="s">
        <v>48</v>
      </c>
      <c r="S314" t="s">
        <v>745</v>
      </c>
      <c r="T314" t="s">
        <v>2432</v>
      </c>
      <c r="U314" t="s">
        <v>2433</v>
      </c>
      <c r="V314">
        <v>1</v>
      </c>
      <c r="W314" t="s">
        <v>1262</v>
      </c>
      <c r="X314" t="s">
        <v>1262</v>
      </c>
      <c r="Y314">
        <v>0</v>
      </c>
      <c r="Z314" t="s">
        <v>1186</v>
      </c>
      <c r="AA314" t="s">
        <v>1177</v>
      </c>
      <c r="AB314" t="s">
        <v>1276</v>
      </c>
      <c r="AC314" t="s">
        <v>1277</v>
      </c>
      <c r="AD314" t="s">
        <v>1278</v>
      </c>
      <c r="AE314" t="s">
        <v>1378</v>
      </c>
      <c r="AF314" t="s">
        <v>1178</v>
      </c>
      <c r="AG314" t="s">
        <v>1190</v>
      </c>
      <c r="AH314" t="s">
        <v>1178</v>
      </c>
      <c r="AI314" t="s">
        <v>1280</v>
      </c>
      <c r="AJ314" t="s">
        <v>1190</v>
      </c>
      <c r="AK314">
        <v>0</v>
      </c>
      <c r="AL314" t="s">
        <v>1262</v>
      </c>
      <c r="AM314">
        <v>45953</v>
      </c>
      <c r="AN314">
        <v>46184</v>
      </c>
      <c r="AO314">
        <v>46184</v>
      </c>
      <c r="AP314">
        <v>46188</v>
      </c>
      <c r="AQ314">
        <v>46188</v>
      </c>
      <c r="AR314">
        <v>46190</v>
      </c>
      <c r="AS314">
        <v>46192</v>
      </c>
      <c r="AT314" t="s">
        <v>1281</v>
      </c>
      <c r="AU314" t="s">
        <v>1177</v>
      </c>
      <c r="AV314" t="s">
        <v>1192</v>
      </c>
      <c r="AW314" t="s">
        <v>1177</v>
      </c>
      <c r="AX314">
        <v>33</v>
      </c>
      <c r="AY314">
        <v>2</v>
      </c>
      <c r="AZ314" t="s">
        <v>1177</v>
      </c>
      <c r="BA314">
        <v>0</v>
      </c>
      <c r="BB314" t="s">
        <v>1262</v>
      </c>
      <c r="BC314" t="e">
        <v>#N/A</v>
      </c>
      <c r="BD314" t="e">
        <v>#N/A</v>
      </c>
      <c r="BE314" t="e">
        <v>#N/A</v>
      </c>
      <c r="BF314" t="e">
        <v>#N/A</v>
      </c>
      <c r="BG314" t="e">
        <v>#N/A</v>
      </c>
      <c r="BH314" t="e">
        <v>#N/A</v>
      </c>
      <c r="BI314" t="e">
        <v>#N/A</v>
      </c>
    </row>
    <row r="315" spans="1:61" x14ac:dyDescent="0.35">
      <c r="A315" s="7" t="str">
        <f t="shared" si="8"/>
        <v>461784300010513</v>
      </c>
      <c r="B315" s="7" t="str">
        <f t="shared" si="9"/>
        <v>GP081478B825</v>
      </c>
      <c r="C315" t="s">
        <v>1177</v>
      </c>
      <c r="D315" t="s">
        <v>1178</v>
      </c>
      <c r="E315" t="s">
        <v>2436</v>
      </c>
      <c r="F315" t="s">
        <v>1363</v>
      </c>
      <c r="G315" t="s">
        <v>1363</v>
      </c>
      <c r="H315" t="s">
        <v>1271</v>
      </c>
      <c r="I315">
        <v>46178</v>
      </c>
      <c r="J315" t="s">
        <v>2437</v>
      </c>
      <c r="K315" t="s">
        <v>1199</v>
      </c>
      <c r="L315" t="s">
        <v>1177</v>
      </c>
      <c r="M315" t="s">
        <v>1274</v>
      </c>
      <c r="N315" t="s">
        <v>1079</v>
      </c>
      <c r="O315" t="s">
        <v>1275</v>
      </c>
      <c r="P315">
        <v>46178</v>
      </c>
      <c r="Q315" t="s">
        <v>1177</v>
      </c>
      <c r="R315" t="s">
        <v>16</v>
      </c>
      <c r="S315" t="s">
        <v>512</v>
      </c>
      <c r="T315" t="s">
        <v>2427</v>
      </c>
      <c r="U315" t="s">
        <v>689</v>
      </c>
      <c r="V315">
        <v>1</v>
      </c>
      <c r="W315" t="s">
        <v>1262</v>
      </c>
      <c r="X315" t="s">
        <v>1262</v>
      </c>
      <c r="Y315">
        <v>0</v>
      </c>
      <c r="Z315" t="s">
        <v>1186</v>
      </c>
      <c r="AA315" t="s">
        <v>1177</v>
      </c>
      <c r="AB315" t="s">
        <v>1286</v>
      </c>
      <c r="AC315" t="s">
        <v>1277</v>
      </c>
      <c r="AD315" t="s">
        <v>1278</v>
      </c>
      <c r="AE315" t="s">
        <v>2166</v>
      </c>
      <c r="AF315" t="s">
        <v>1178</v>
      </c>
      <c r="AG315" t="s">
        <v>1178</v>
      </c>
      <c r="AH315" t="s">
        <v>1178</v>
      </c>
      <c r="AI315" t="s">
        <v>1349</v>
      </c>
      <c r="AJ315" t="s">
        <v>1190</v>
      </c>
      <c r="AK315">
        <v>0</v>
      </c>
      <c r="AL315" t="s">
        <v>1262</v>
      </c>
      <c r="AM315">
        <v>46230</v>
      </c>
      <c r="AN315">
        <v>46429</v>
      </c>
      <c r="AO315">
        <v>46223</v>
      </c>
      <c r="AP315">
        <v>46225</v>
      </c>
      <c r="AQ315">
        <v>46225</v>
      </c>
      <c r="AR315">
        <v>46227</v>
      </c>
      <c r="AS315">
        <v>46231</v>
      </c>
      <c r="AT315" t="s">
        <v>1281</v>
      </c>
      <c r="AU315" t="s">
        <v>1177</v>
      </c>
      <c r="AV315" t="s">
        <v>1192</v>
      </c>
      <c r="AW315" t="s">
        <v>1177</v>
      </c>
      <c r="AX315">
        <v>33</v>
      </c>
      <c r="AY315">
        <v>2</v>
      </c>
      <c r="AZ315" t="s">
        <v>1177</v>
      </c>
      <c r="BA315">
        <v>0</v>
      </c>
      <c r="BB315" t="s">
        <v>1262</v>
      </c>
      <c r="BC315" t="e">
        <v>#N/A</v>
      </c>
      <c r="BD315" t="e">
        <v>#N/A</v>
      </c>
      <c r="BE315" t="e">
        <v>#N/A</v>
      </c>
      <c r="BF315" t="e">
        <v>#N/A</v>
      </c>
      <c r="BG315" t="s">
        <v>126</v>
      </c>
      <c r="BH315" t="s">
        <v>1873</v>
      </c>
      <c r="BI315" t="s">
        <v>126</v>
      </c>
    </row>
    <row r="316" spans="1:61" x14ac:dyDescent="0.35">
      <c r="A316" s="7" t="str">
        <f t="shared" si="8"/>
        <v>461784300010516</v>
      </c>
      <c r="B316" s="7" t="str">
        <f t="shared" si="9"/>
        <v>GP484762B864</v>
      </c>
      <c r="C316" t="s">
        <v>1177</v>
      </c>
      <c r="D316" t="s">
        <v>1178</v>
      </c>
      <c r="E316" t="s">
        <v>2438</v>
      </c>
      <c r="F316" t="s">
        <v>1363</v>
      </c>
      <c r="G316" t="s">
        <v>1363</v>
      </c>
      <c r="H316" t="s">
        <v>1271</v>
      </c>
      <c r="I316">
        <v>46178</v>
      </c>
      <c r="J316" t="s">
        <v>2439</v>
      </c>
      <c r="K316" t="s">
        <v>1426</v>
      </c>
      <c r="L316" t="s">
        <v>1177</v>
      </c>
      <c r="M316" t="s">
        <v>1274</v>
      </c>
      <c r="N316" t="s">
        <v>1079</v>
      </c>
      <c r="O316" t="s">
        <v>1275</v>
      </c>
      <c r="P316">
        <v>46178</v>
      </c>
      <c r="Q316" t="s">
        <v>1177</v>
      </c>
      <c r="R316" t="s">
        <v>10</v>
      </c>
      <c r="S316" t="s">
        <v>1011</v>
      </c>
      <c r="T316" t="s">
        <v>2441</v>
      </c>
      <c r="U316" t="s">
        <v>833</v>
      </c>
      <c r="V316">
        <v>3</v>
      </c>
      <c r="W316" t="s">
        <v>1262</v>
      </c>
      <c r="X316" t="s">
        <v>1262</v>
      </c>
      <c r="Y316">
        <v>0</v>
      </c>
      <c r="Z316" t="s">
        <v>1186</v>
      </c>
      <c r="AA316" t="s">
        <v>1177</v>
      </c>
      <c r="AB316" t="s">
        <v>1276</v>
      </c>
      <c r="AC316" t="s">
        <v>1277</v>
      </c>
      <c r="AD316" t="s">
        <v>1278</v>
      </c>
      <c r="AE316" t="s">
        <v>1357</v>
      </c>
      <c r="AF316" t="s">
        <v>1178</v>
      </c>
      <c r="AG316" t="s">
        <v>1190</v>
      </c>
      <c r="AH316" t="s">
        <v>1178</v>
      </c>
      <c r="AI316" t="s">
        <v>1280</v>
      </c>
      <c r="AJ316" t="s">
        <v>1190</v>
      </c>
      <c r="AK316">
        <v>0</v>
      </c>
      <c r="AL316" t="s">
        <v>1262</v>
      </c>
      <c r="AM316">
        <v>45939</v>
      </c>
      <c r="AN316">
        <v>46184</v>
      </c>
      <c r="AO316">
        <v>46184</v>
      </c>
      <c r="AP316">
        <v>46188</v>
      </c>
      <c r="AQ316">
        <v>46188</v>
      </c>
      <c r="AR316">
        <v>46190</v>
      </c>
      <c r="AS316">
        <v>46192</v>
      </c>
      <c r="AT316" t="s">
        <v>1281</v>
      </c>
      <c r="AU316" t="s">
        <v>1177</v>
      </c>
      <c r="AV316" t="s">
        <v>1192</v>
      </c>
      <c r="AW316" t="s">
        <v>1177</v>
      </c>
      <c r="AX316">
        <v>33</v>
      </c>
      <c r="AY316">
        <v>2</v>
      </c>
      <c r="AZ316" t="s">
        <v>1177</v>
      </c>
      <c r="BA316">
        <v>0</v>
      </c>
      <c r="BB316" t="s">
        <v>1262</v>
      </c>
      <c r="BC316" t="s">
        <v>1777</v>
      </c>
      <c r="BD316">
        <v>2</v>
      </c>
      <c r="BE316">
        <v>46237</v>
      </c>
      <c r="BF316" t="s">
        <v>1165</v>
      </c>
      <c r="BG316" t="s">
        <v>1212</v>
      </c>
      <c r="BH316" t="s">
        <v>1194</v>
      </c>
      <c r="BI316" t="s">
        <v>2440</v>
      </c>
    </row>
    <row r="317" spans="1:61" x14ac:dyDescent="0.35">
      <c r="A317" s="7" t="str">
        <f t="shared" si="8"/>
        <v>461784300010517</v>
      </c>
      <c r="B317" s="7" t="str">
        <f t="shared" si="9"/>
        <v>GP339425B838</v>
      </c>
      <c r="C317" t="s">
        <v>1177</v>
      </c>
      <c r="D317" t="s">
        <v>1178</v>
      </c>
      <c r="E317" t="s">
        <v>2442</v>
      </c>
      <c r="F317" t="s">
        <v>1363</v>
      </c>
      <c r="G317" t="s">
        <v>1363</v>
      </c>
      <c r="H317" t="s">
        <v>1271</v>
      </c>
      <c r="I317">
        <v>46178</v>
      </c>
      <c r="J317" t="s">
        <v>2443</v>
      </c>
      <c r="K317" t="s">
        <v>1182</v>
      </c>
      <c r="L317" t="s">
        <v>1177</v>
      </c>
      <c r="M317" t="s">
        <v>1274</v>
      </c>
      <c r="N317" t="s">
        <v>1079</v>
      </c>
      <c r="O317" t="s">
        <v>1275</v>
      </c>
      <c r="P317">
        <v>46178</v>
      </c>
      <c r="Q317" t="s">
        <v>1177</v>
      </c>
      <c r="R317" t="s">
        <v>48</v>
      </c>
      <c r="S317" t="s">
        <v>745</v>
      </c>
      <c r="T317" t="s">
        <v>2444</v>
      </c>
      <c r="U317" t="s">
        <v>2445</v>
      </c>
      <c r="V317">
        <v>3</v>
      </c>
      <c r="W317" t="s">
        <v>1262</v>
      </c>
      <c r="X317" t="s">
        <v>1262</v>
      </c>
      <c r="Y317">
        <v>0</v>
      </c>
      <c r="Z317" t="s">
        <v>1186</v>
      </c>
      <c r="AA317" t="s">
        <v>1177</v>
      </c>
      <c r="AB317" t="s">
        <v>1276</v>
      </c>
      <c r="AC317" t="s">
        <v>1277</v>
      </c>
      <c r="AD317" t="s">
        <v>1278</v>
      </c>
      <c r="AE317" t="s">
        <v>1284</v>
      </c>
      <c r="AF317" t="s">
        <v>1178</v>
      </c>
      <c r="AG317" t="s">
        <v>1190</v>
      </c>
      <c r="AH317" t="s">
        <v>1178</v>
      </c>
      <c r="AI317" t="s">
        <v>1280</v>
      </c>
      <c r="AJ317" t="s">
        <v>1190</v>
      </c>
      <c r="AK317">
        <v>0</v>
      </c>
      <c r="AL317" t="s">
        <v>1262</v>
      </c>
      <c r="AM317">
        <v>46000</v>
      </c>
      <c r="AN317">
        <v>46184</v>
      </c>
      <c r="AO317">
        <v>46184</v>
      </c>
      <c r="AP317">
        <v>46188</v>
      </c>
      <c r="AQ317">
        <v>46188</v>
      </c>
      <c r="AR317">
        <v>46190</v>
      </c>
      <c r="AS317">
        <v>46192</v>
      </c>
      <c r="AT317" t="s">
        <v>1281</v>
      </c>
      <c r="AU317" t="s">
        <v>1177</v>
      </c>
      <c r="AV317" t="s">
        <v>1192</v>
      </c>
      <c r="AW317" t="s">
        <v>1177</v>
      </c>
      <c r="AX317">
        <v>33</v>
      </c>
      <c r="AY317">
        <v>2</v>
      </c>
      <c r="AZ317" t="s">
        <v>1177</v>
      </c>
      <c r="BA317">
        <v>0</v>
      </c>
      <c r="BB317" t="s">
        <v>1262</v>
      </c>
      <c r="BC317" t="e">
        <v>#N/A</v>
      </c>
      <c r="BD317" t="e">
        <v>#N/A</v>
      </c>
      <c r="BE317" t="e">
        <v>#N/A</v>
      </c>
      <c r="BF317" t="e">
        <v>#N/A</v>
      </c>
      <c r="BG317" t="e">
        <v>#N/A</v>
      </c>
      <c r="BH317" t="e">
        <v>#N/A</v>
      </c>
      <c r="BI317" t="e">
        <v>#N/A</v>
      </c>
    </row>
    <row r="318" spans="1:61" x14ac:dyDescent="0.35">
      <c r="A318" s="7" t="str">
        <f t="shared" si="8"/>
        <v>461784300010518</v>
      </c>
      <c r="B318" s="7" t="str">
        <f t="shared" si="9"/>
        <v>GP394709B856</v>
      </c>
      <c r="C318" t="s">
        <v>1177</v>
      </c>
      <c r="D318" t="s">
        <v>1178</v>
      </c>
      <c r="E318" t="s">
        <v>2446</v>
      </c>
      <c r="F318" t="s">
        <v>1363</v>
      </c>
      <c r="G318" t="s">
        <v>1363</v>
      </c>
      <c r="H318" t="s">
        <v>1271</v>
      </c>
      <c r="I318">
        <v>46178</v>
      </c>
      <c r="J318" t="s">
        <v>2447</v>
      </c>
      <c r="K318" t="s">
        <v>1182</v>
      </c>
      <c r="L318" t="s">
        <v>1177</v>
      </c>
      <c r="M318" t="s">
        <v>1274</v>
      </c>
      <c r="N318" t="s">
        <v>1079</v>
      </c>
      <c r="O318" t="s">
        <v>1275</v>
      </c>
      <c r="P318">
        <v>46178</v>
      </c>
      <c r="Q318" t="s">
        <v>1177</v>
      </c>
      <c r="R318" t="s">
        <v>21</v>
      </c>
      <c r="S318" t="s">
        <v>853</v>
      </c>
      <c r="T318" t="s">
        <v>2448</v>
      </c>
      <c r="U318" t="s">
        <v>2449</v>
      </c>
      <c r="V318">
        <v>4</v>
      </c>
      <c r="W318" t="s">
        <v>1262</v>
      </c>
      <c r="X318" t="s">
        <v>1262</v>
      </c>
      <c r="Y318">
        <v>0</v>
      </c>
      <c r="Z318" t="s">
        <v>1186</v>
      </c>
      <c r="AA318" t="s">
        <v>1177</v>
      </c>
      <c r="AB318" t="s">
        <v>1276</v>
      </c>
      <c r="AC318" t="s">
        <v>1277</v>
      </c>
      <c r="AD318" t="s">
        <v>1278</v>
      </c>
      <c r="AE318" t="s">
        <v>2450</v>
      </c>
      <c r="AF318" t="s">
        <v>1178</v>
      </c>
      <c r="AG318" t="s">
        <v>1190</v>
      </c>
      <c r="AH318" t="s">
        <v>1178</v>
      </c>
      <c r="AI318" t="s">
        <v>1280</v>
      </c>
      <c r="AJ318" t="s">
        <v>1190</v>
      </c>
      <c r="AK318">
        <v>0</v>
      </c>
      <c r="AL318" t="s">
        <v>1262</v>
      </c>
      <c r="AM318">
        <v>46001</v>
      </c>
      <c r="AN318">
        <v>46184</v>
      </c>
      <c r="AO318">
        <v>46184</v>
      </c>
      <c r="AP318">
        <v>46188</v>
      </c>
      <c r="AQ318">
        <v>46188</v>
      </c>
      <c r="AR318">
        <v>46190</v>
      </c>
      <c r="AS318">
        <v>46190</v>
      </c>
      <c r="AT318" t="s">
        <v>1281</v>
      </c>
      <c r="AU318" t="s">
        <v>1177</v>
      </c>
      <c r="AV318" t="s">
        <v>1192</v>
      </c>
      <c r="AW318" t="s">
        <v>1177</v>
      </c>
      <c r="AX318">
        <v>0</v>
      </c>
      <c r="AY318">
        <v>0</v>
      </c>
      <c r="AZ318" t="s">
        <v>1177</v>
      </c>
      <c r="BA318">
        <v>0</v>
      </c>
      <c r="BB318" t="s">
        <v>1262</v>
      </c>
      <c r="BC318" t="e">
        <v>#N/A</v>
      </c>
      <c r="BD318" t="e">
        <v>#N/A</v>
      </c>
      <c r="BE318" t="e">
        <v>#N/A</v>
      </c>
      <c r="BF318" t="e">
        <v>#N/A</v>
      </c>
      <c r="BG318" t="s">
        <v>1212</v>
      </c>
      <c r="BH318" t="s">
        <v>1194</v>
      </c>
      <c r="BI318" t="s">
        <v>2451</v>
      </c>
    </row>
    <row r="319" spans="1:61" x14ac:dyDescent="0.35">
      <c r="A319" s="7" t="str">
        <f t="shared" si="8"/>
        <v>461784300010523</v>
      </c>
      <c r="B319" s="7" t="str">
        <f t="shared" si="9"/>
        <v>GP556482B856</v>
      </c>
      <c r="C319" t="s">
        <v>1177</v>
      </c>
      <c r="D319" t="s">
        <v>1178</v>
      </c>
      <c r="E319" t="s">
        <v>2452</v>
      </c>
      <c r="F319" t="s">
        <v>1363</v>
      </c>
      <c r="G319" t="s">
        <v>1363</v>
      </c>
      <c r="H319" t="s">
        <v>1271</v>
      </c>
      <c r="I319">
        <v>46178</v>
      </c>
      <c r="J319" t="s">
        <v>2453</v>
      </c>
      <c r="K319" t="s">
        <v>1893</v>
      </c>
      <c r="L319" t="s">
        <v>1177</v>
      </c>
      <c r="M319" t="s">
        <v>1274</v>
      </c>
      <c r="N319" t="s">
        <v>1079</v>
      </c>
      <c r="O319" t="s">
        <v>1275</v>
      </c>
      <c r="P319">
        <v>46178</v>
      </c>
      <c r="Q319" t="s">
        <v>1177</v>
      </c>
      <c r="R319" t="s">
        <v>21</v>
      </c>
      <c r="S319" t="s">
        <v>853</v>
      </c>
      <c r="T319" t="s">
        <v>2454</v>
      </c>
      <c r="U319" t="s">
        <v>2455</v>
      </c>
      <c r="V319">
        <v>8</v>
      </c>
      <c r="W319" t="s">
        <v>1262</v>
      </c>
      <c r="X319" t="s">
        <v>1262</v>
      </c>
      <c r="Y319">
        <v>0</v>
      </c>
      <c r="Z319" t="s">
        <v>1186</v>
      </c>
      <c r="AA319" t="s">
        <v>1177</v>
      </c>
      <c r="AB319" t="s">
        <v>1276</v>
      </c>
      <c r="AC319" t="s">
        <v>1277</v>
      </c>
      <c r="AD319" t="s">
        <v>1278</v>
      </c>
      <c r="AE319" t="s">
        <v>1684</v>
      </c>
      <c r="AF319" t="s">
        <v>1178</v>
      </c>
      <c r="AG319" t="s">
        <v>1190</v>
      </c>
      <c r="AH319" t="s">
        <v>1178</v>
      </c>
      <c r="AI319" t="s">
        <v>1280</v>
      </c>
      <c r="AJ319" t="s">
        <v>1190</v>
      </c>
      <c r="AK319">
        <v>0</v>
      </c>
      <c r="AL319" t="s">
        <v>1262</v>
      </c>
      <c r="AM319">
        <v>45991</v>
      </c>
      <c r="AN319">
        <v>46184</v>
      </c>
      <c r="AO319">
        <v>46184</v>
      </c>
      <c r="AP319">
        <v>46188</v>
      </c>
      <c r="AQ319">
        <v>46188</v>
      </c>
      <c r="AR319">
        <v>46190</v>
      </c>
      <c r="AS319">
        <v>46192</v>
      </c>
      <c r="AT319" t="s">
        <v>1281</v>
      </c>
      <c r="AU319" t="s">
        <v>1177</v>
      </c>
      <c r="AV319" t="s">
        <v>1192</v>
      </c>
      <c r="AW319" t="s">
        <v>1177</v>
      </c>
      <c r="AX319">
        <v>33</v>
      </c>
      <c r="AY319">
        <v>2</v>
      </c>
      <c r="AZ319" t="s">
        <v>1177</v>
      </c>
      <c r="BA319">
        <v>0</v>
      </c>
      <c r="BB319" t="s">
        <v>1262</v>
      </c>
      <c r="BC319" t="e">
        <v>#N/A</v>
      </c>
      <c r="BD319" t="e">
        <v>#N/A</v>
      </c>
      <c r="BE319" t="e">
        <v>#N/A</v>
      </c>
      <c r="BF319" t="e">
        <v>#N/A</v>
      </c>
      <c r="BG319" t="s">
        <v>1212</v>
      </c>
      <c r="BH319" t="s">
        <v>1194</v>
      </c>
      <c r="BI319" t="s">
        <v>1212</v>
      </c>
    </row>
    <row r="320" spans="1:61" x14ac:dyDescent="0.35">
      <c r="A320" s="7" t="str">
        <f t="shared" si="8"/>
        <v>461784300010530</v>
      </c>
      <c r="B320" s="7" t="str">
        <f t="shared" si="9"/>
        <v>P610123B857</v>
      </c>
      <c r="C320" t="s">
        <v>1177</v>
      </c>
      <c r="D320" t="s">
        <v>1178</v>
      </c>
      <c r="E320" t="s">
        <v>2456</v>
      </c>
      <c r="F320" t="s">
        <v>1363</v>
      </c>
      <c r="G320" t="s">
        <v>1363</v>
      </c>
      <c r="H320" t="s">
        <v>1271</v>
      </c>
      <c r="I320">
        <v>46178</v>
      </c>
      <c r="J320" t="s">
        <v>2457</v>
      </c>
      <c r="K320" t="s">
        <v>1808</v>
      </c>
      <c r="L320" t="s">
        <v>1177</v>
      </c>
      <c r="M320" t="s">
        <v>1274</v>
      </c>
      <c r="N320" t="s">
        <v>1079</v>
      </c>
      <c r="O320" t="s">
        <v>1275</v>
      </c>
      <c r="P320">
        <v>46178</v>
      </c>
      <c r="Q320" t="s">
        <v>1177</v>
      </c>
      <c r="R320" t="s">
        <v>23</v>
      </c>
      <c r="S320" t="s">
        <v>959</v>
      </c>
      <c r="T320" t="s">
        <v>957</v>
      </c>
      <c r="U320" t="s">
        <v>1660</v>
      </c>
      <c r="V320">
        <v>42</v>
      </c>
      <c r="W320" t="s">
        <v>1262</v>
      </c>
      <c r="X320" t="s">
        <v>1262</v>
      </c>
      <c r="Y320">
        <v>0</v>
      </c>
      <c r="Z320" t="s">
        <v>1186</v>
      </c>
      <c r="AA320" t="s">
        <v>1177</v>
      </c>
      <c r="AB320" t="s">
        <v>1276</v>
      </c>
      <c r="AC320" t="s">
        <v>1277</v>
      </c>
      <c r="AD320" t="s">
        <v>1278</v>
      </c>
      <c r="AE320" t="s">
        <v>1292</v>
      </c>
      <c r="AF320" t="s">
        <v>1178</v>
      </c>
      <c r="AG320" t="s">
        <v>1190</v>
      </c>
      <c r="AH320" t="s">
        <v>1178</v>
      </c>
      <c r="AI320" t="s">
        <v>1280</v>
      </c>
      <c r="AJ320" t="s">
        <v>1190</v>
      </c>
      <c r="AK320">
        <v>0</v>
      </c>
      <c r="AL320" t="s">
        <v>1262</v>
      </c>
      <c r="AM320">
        <v>45996</v>
      </c>
      <c r="AN320">
        <v>46273</v>
      </c>
      <c r="AO320">
        <v>46184</v>
      </c>
      <c r="AP320">
        <v>46188</v>
      </c>
      <c r="AQ320">
        <v>46188</v>
      </c>
      <c r="AR320">
        <v>46190</v>
      </c>
      <c r="AS320">
        <v>46192</v>
      </c>
      <c r="AT320" t="s">
        <v>1281</v>
      </c>
      <c r="AU320" t="s">
        <v>1177</v>
      </c>
      <c r="AV320" t="s">
        <v>1192</v>
      </c>
      <c r="AW320" t="s">
        <v>1177</v>
      </c>
      <c r="AX320">
        <v>163</v>
      </c>
      <c r="AY320">
        <v>2</v>
      </c>
      <c r="AZ320" t="s">
        <v>1177</v>
      </c>
      <c r="BA320">
        <v>42</v>
      </c>
      <c r="BB320" t="s">
        <v>1262</v>
      </c>
      <c r="BC320" t="s">
        <v>1580</v>
      </c>
      <c r="BD320">
        <v>42</v>
      </c>
      <c r="BE320">
        <v>46191</v>
      </c>
      <c r="BF320" t="s">
        <v>1165</v>
      </c>
      <c r="BG320" t="s">
        <v>1212</v>
      </c>
      <c r="BH320" t="s">
        <v>1194</v>
      </c>
      <c r="BI320" t="s">
        <v>1212</v>
      </c>
    </row>
    <row r="321" spans="1:61" x14ac:dyDescent="0.35">
      <c r="A321" s="7" t="str">
        <f t="shared" si="8"/>
        <v>461784300010534</v>
      </c>
      <c r="B321" s="7" t="str">
        <f t="shared" si="9"/>
        <v>GP288968B825</v>
      </c>
      <c r="C321" t="s">
        <v>1177</v>
      </c>
      <c r="D321" t="s">
        <v>1178</v>
      </c>
      <c r="E321" t="s">
        <v>2458</v>
      </c>
      <c r="F321" t="s">
        <v>1363</v>
      </c>
      <c r="G321" t="s">
        <v>1363</v>
      </c>
      <c r="H321" t="s">
        <v>1271</v>
      </c>
      <c r="I321">
        <v>46178</v>
      </c>
      <c r="J321" t="s">
        <v>2459</v>
      </c>
      <c r="K321" t="s">
        <v>1288</v>
      </c>
      <c r="L321" t="s">
        <v>1177</v>
      </c>
      <c r="M321" t="s">
        <v>1274</v>
      </c>
      <c r="N321" t="s">
        <v>1079</v>
      </c>
      <c r="O321" t="s">
        <v>1275</v>
      </c>
      <c r="P321">
        <v>46178</v>
      </c>
      <c r="Q321" t="s">
        <v>1177</v>
      </c>
      <c r="R321" t="s">
        <v>16</v>
      </c>
      <c r="S321" t="s">
        <v>512</v>
      </c>
      <c r="T321" t="s">
        <v>598</v>
      </c>
      <c r="U321" t="s">
        <v>599</v>
      </c>
      <c r="V321">
        <v>1</v>
      </c>
      <c r="W321" t="s">
        <v>1262</v>
      </c>
      <c r="X321" t="s">
        <v>1262</v>
      </c>
      <c r="Y321">
        <v>0</v>
      </c>
      <c r="Z321" t="s">
        <v>1186</v>
      </c>
      <c r="AA321" t="s">
        <v>1177</v>
      </c>
      <c r="AB321" t="s">
        <v>1276</v>
      </c>
      <c r="AC321" t="s">
        <v>1277</v>
      </c>
      <c r="AD321" t="s">
        <v>1278</v>
      </c>
      <c r="AE321" t="s">
        <v>1657</v>
      </c>
      <c r="AF321" t="s">
        <v>1178</v>
      </c>
      <c r="AG321" t="s">
        <v>1190</v>
      </c>
      <c r="AH321" t="s">
        <v>1178</v>
      </c>
      <c r="AI321" t="s">
        <v>1349</v>
      </c>
      <c r="AJ321" t="s">
        <v>1190</v>
      </c>
      <c r="AK321">
        <v>0</v>
      </c>
      <c r="AL321" t="s">
        <v>1262</v>
      </c>
      <c r="AM321">
        <v>46248</v>
      </c>
      <c r="AN321">
        <v>46311</v>
      </c>
      <c r="AO321">
        <v>46244</v>
      </c>
      <c r="AP321">
        <v>46246</v>
      </c>
      <c r="AQ321">
        <v>46246</v>
      </c>
      <c r="AR321">
        <v>46248</v>
      </c>
      <c r="AS321">
        <v>46252</v>
      </c>
      <c r="AT321" t="s">
        <v>1281</v>
      </c>
      <c r="AU321" t="s">
        <v>1177</v>
      </c>
      <c r="AV321" t="s">
        <v>1192</v>
      </c>
      <c r="AW321" t="s">
        <v>1177</v>
      </c>
      <c r="AX321">
        <v>33</v>
      </c>
      <c r="AY321">
        <v>2</v>
      </c>
      <c r="AZ321" t="s">
        <v>1177</v>
      </c>
      <c r="BA321">
        <v>0</v>
      </c>
      <c r="BB321" t="s">
        <v>1262</v>
      </c>
      <c r="BC321" t="e">
        <v>#N/A</v>
      </c>
      <c r="BD321" t="e">
        <v>#N/A</v>
      </c>
      <c r="BE321" t="e">
        <v>#N/A</v>
      </c>
      <c r="BF321" t="e">
        <v>#N/A</v>
      </c>
      <c r="BG321" t="s">
        <v>126</v>
      </c>
      <c r="BH321" t="s">
        <v>1873</v>
      </c>
      <c r="BI321" t="s">
        <v>126</v>
      </c>
    </row>
    <row r="322" spans="1:61" x14ac:dyDescent="0.35">
      <c r="A322" s="7" t="str">
        <f t="shared" ref="A322:A385" si="10">I322&amp;J322</f>
        <v>461784300010537</v>
      </c>
      <c r="B322" s="7" t="str">
        <f t="shared" ref="B322:B385" si="11">_xlfn.CONCAT(T322,R322)</f>
        <v>GP021038B832</v>
      </c>
      <c r="C322" t="s">
        <v>1177</v>
      </c>
      <c r="D322" t="s">
        <v>1178</v>
      </c>
      <c r="E322" t="s">
        <v>2460</v>
      </c>
      <c r="F322" t="s">
        <v>1363</v>
      </c>
      <c r="G322" t="s">
        <v>1363</v>
      </c>
      <c r="H322" t="s">
        <v>1271</v>
      </c>
      <c r="I322">
        <v>46178</v>
      </c>
      <c r="J322" t="s">
        <v>2461</v>
      </c>
      <c r="K322" t="s">
        <v>1199</v>
      </c>
      <c r="L322" t="s">
        <v>1177</v>
      </c>
      <c r="M322" t="s">
        <v>1274</v>
      </c>
      <c r="N322" t="s">
        <v>1079</v>
      </c>
      <c r="O322" t="s">
        <v>1275</v>
      </c>
      <c r="P322">
        <v>46178</v>
      </c>
      <c r="Q322" t="s">
        <v>1177</v>
      </c>
      <c r="R322" t="s">
        <v>19</v>
      </c>
      <c r="S322" t="s">
        <v>654</v>
      </c>
      <c r="T322" t="s">
        <v>487</v>
      </c>
      <c r="U322" t="s">
        <v>2462</v>
      </c>
      <c r="V322">
        <v>19</v>
      </c>
      <c r="W322" t="s">
        <v>1185</v>
      </c>
      <c r="X322" t="s">
        <v>1185</v>
      </c>
      <c r="Y322">
        <v>0</v>
      </c>
      <c r="Z322" t="s">
        <v>1186</v>
      </c>
      <c r="AA322" t="s">
        <v>1177</v>
      </c>
      <c r="AB322" t="s">
        <v>1177</v>
      </c>
      <c r="AC322" t="s">
        <v>1177</v>
      </c>
      <c r="AD322" t="s">
        <v>1204</v>
      </c>
      <c r="AE322" t="s">
        <v>1438</v>
      </c>
      <c r="AF322" t="s">
        <v>1189</v>
      </c>
      <c r="AG322" t="s">
        <v>1190</v>
      </c>
      <c r="AH322" t="s">
        <v>1178</v>
      </c>
      <c r="AI322" t="s">
        <v>1349</v>
      </c>
      <c r="AJ322" t="s">
        <v>1190</v>
      </c>
      <c r="AK322">
        <v>0</v>
      </c>
      <c r="AL322" t="s">
        <v>1185</v>
      </c>
      <c r="AM322">
        <v>46003</v>
      </c>
      <c r="AN322">
        <v>46240</v>
      </c>
      <c r="AO322">
        <v>46181</v>
      </c>
      <c r="AP322">
        <v>46183</v>
      </c>
      <c r="AQ322">
        <v>46183</v>
      </c>
      <c r="AR322">
        <v>46185</v>
      </c>
      <c r="AS322">
        <v>46189</v>
      </c>
      <c r="AT322" t="s">
        <v>1281</v>
      </c>
      <c r="AU322" t="s">
        <v>1177</v>
      </c>
      <c r="AV322" t="s">
        <v>1192</v>
      </c>
      <c r="AW322" t="s">
        <v>1177</v>
      </c>
      <c r="AX322">
        <v>176</v>
      </c>
      <c r="AY322">
        <v>2</v>
      </c>
      <c r="AZ322" t="s">
        <v>1177</v>
      </c>
      <c r="BA322">
        <v>0</v>
      </c>
      <c r="BB322" t="s">
        <v>1185</v>
      </c>
      <c r="BC322" t="e">
        <v>#N/A</v>
      </c>
      <c r="BD322" t="e">
        <v>#N/A</v>
      </c>
      <c r="BE322" t="e">
        <v>#N/A</v>
      </c>
      <c r="BF322" t="e">
        <v>#N/A</v>
      </c>
      <c r="BG322" t="s">
        <v>1212</v>
      </c>
      <c r="BH322" t="s">
        <v>1194</v>
      </c>
      <c r="BI322" t="s">
        <v>1213</v>
      </c>
    </row>
    <row r="323" spans="1:61" x14ac:dyDescent="0.35">
      <c r="A323" s="7" t="str">
        <f t="shared" si="10"/>
        <v>461784300010548</v>
      </c>
      <c r="B323" s="7" t="str">
        <f t="shared" si="11"/>
        <v>GP427308B867</v>
      </c>
      <c r="C323" t="s">
        <v>1177</v>
      </c>
      <c r="D323" t="s">
        <v>1178</v>
      </c>
      <c r="E323" t="s">
        <v>2463</v>
      </c>
      <c r="F323" t="s">
        <v>1363</v>
      </c>
      <c r="G323" t="s">
        <v>1363</v>
      </c>
      <c r="H323" t="s">
        <v>1271</v>
      </c>
      <c r="I323">
        <v>46178</v>
      </c>
      <c r="J323" t="s">
        <v>2464</v>
      </c>
      <c r="K323" t="s">
        <v>1182</v>
      </c>
      <c r="L323" t="s">
        <v>1177</v>
      </c>
      <c r="M323" t="s">
        <v>1274</v>
      </c>
      <c r="N323" t="s">
        <v>1079</v>
      </c>
      <c r="O323" t="s">
        <v>1275</v>
      </c>
      <c r="P323">
        <v>46178</v>
      </c>
      <c r="Q323" t="s">
        <v>1177</v>
      </c>
      <c r="R323" t="s">
        <v>25</v>
      </c>
      <c r="S323" t="s">
        <v>1060</v>
      </c>
      <c r="T323" t="s">
        <v>2465</v>
      </c>
      <c r="U323" t="s">
        <v>2466</v>
      </c>
      <c r="V323">
        <v>24</v>
      </c>
      <c r="W323" t="s">
        <v>1262</v>
      </c>
      <c r="X323" t="s">
        <v>1262</v>
      </c>
      <c r="Y323">
        <v>0</v>
      </c>
      <c r="Z323" t="s">
        <v>1186</v>
      </c>
      <c r="AA323" t="s">
        <v>1177</v>
      </c>
      <c r="AB323" t="s">
        <v>1276</v>
      </c>
      <c r="AC323" t="s">
        <v>1277</v>
      </c>
      <c r="AD323" t="s">
        <v>1278</v>
      </c>
      <c r="AE323" t="s">
        <v>1378</v>
      </c>
      <c r="AF323" t="s">
        <v>1178</v>
      </c>
      <c r="AG323" t="s">
        <v>1190</v>
      </c>
      <c r="AH323" t="s">
        <v>1178</v>
      </c>
      <c r="AI323" t="s">
        <v>1280</v>
      </c>
      <c r="AJ323" t="s">
        <v>1190</v>
      </c>
      <c r="AK323">
        <v>0</v>
      </c>
      <c r="AL323" t="s">
        <v>1262</v>
      </c>
      <c r="AM323">
        <v>46001</v>
      </c>
      <c r="AN323">
        <v>46184</v>
      </c>
      <c r="AO323">
        <v>46184</v>
      </c>
      <c r="AP323">
        <v>46188</v>
      </c>
      <c r="AQ323">
        <v>46188</v>
      </c>
      <c r="AR323">
        <v>46190</v>
      </c>
      <c r="AS323">
        <v>46192</v>
      </c>
      <c r="AT323" t="s">
        <v>1281</v>
      </c>
      <c r="AU323" t="s">
        <v>1177</v>
      </c>
      <c r="AV323" t="s">
        <v>1192</v>
      </c>
      <c r="AW323" t="s">
        <v>1177</v>
      </c>
      <c r="AX323">
        <v>33</v>
      </c>
      <c r="AY323">
        <v>2</v>
      </c>
      <c r="AZ323" t="s">
        <v>1177</v>
      </c>
      <c r="BA323">
        <v>0</v>
      </c>
      <c r="BB323" t="s">
        <v>1262</v>
      </c>
      <c r="BC323" t="e">
        <v>#N/A</v>
      </c>
      <c r="BD323" t="e">
        <v>#N/A</v>
      </c>
      <c r="BE323" t="e">
        <v>#N/A</v>
      </c>
      <c r="BF323" t="e">
        <v>#N/A</v>
      </c>
      <c r="BG323" t="s">
        <v>1212</v>
      </c>
      <c r="BH323" t="s">
        <v>1194</v>
      </c>
      <c r="BI323" t="s">
        <v>1213</v>
      </c>
    </row>
    <row r="324" spans="1:61" x14ac:dyDescent="0.35">
      <c r="A324" s="7" t="str">
        <f t="shared" si="10"/>
        <v>461784300010550</v>
      </c>
      <c r="B324" s="7" t="str">
        <f t="shared" si="11"/>
        <v>GP024297B864</v>
      </c>
      <c r="C324" t="s">
        <v>1177</v>
      </c>
      <c r="D324" t="s">
        <v>1178</v>
      </c>
      <c r="E324" t="s">
        <v>2467</v>
      </c>
      <c r="F324" t="s">
        <v>1363</v>
      </c>
      <c r="G324" t="s">
        <v>1363</v>
      </c>
      <c r="H324" t="s">
        <v>1271</v>
      </c>
      <c r="I324">
        <v>46178</v>
      </c>
      <c r="J324" t="s">
        <v>2468</v>
      </c>
      <c r="K324" t="s">
        <v>1283</v>
      </c>
      <c r="L324" t="s">
        <v>1177</v>
      </c>
      <c r="M324" t="s">
        <v>1274</v>
      </c>
      <c r="N324" t="s">
        <v>1079</v>
      </c>
      <c r="O324" t="s">
        <v>1275</v>
      </c>
      <c r="P324">
        <v>46178</v>
      </c>
      <c r="Q324" t="s">
        <v>1177</v>
      </c>
      <c r="R324" t="s">
        <v>10</v>
      </c>
      <c r="S324" t="s">
        <v>1011</v>
      </c>
      <c r="T324" t="s">
        <v>374</v>
      </c>
      <c r="U324" t="s">
        <v>375</v>
      </c>
      <c r="V324">
        <v>1</v>
      </c>
      <c r="W324" t="s">
        <v>1262</v>
      </c>
      <c r="X324" t="s">
        <v>1262</v>
      </c>
      <c r="Y324">
        <v>0</v>
      </c>
      <c r="Z324" t="s">
        <v>1186</v>
      </c>
      <c r="AA324" t="s">
        <v>1177</v>
      </c>
      <c r="AB324" t="s">
        <v>1177</v>
      </c>
      <c r="AC324" t="s">
        <v>1177</v>
      </c>
      <c r="AD324" t="s">
        <v>1204</v>
      </c>
      <c r="AE324" t="s">
        <v>2161</v>
      </c>
      <c r="AF324" t="s">
        <v>1189</v>
      </c>
      <c r="AG324" t="s">
        <v>1190</v>
      </c>
      <c r="AH324" t="s">
        <v>1178</v>
      </c>
      <c r="AI324" t="s">
        <v>1280</v>
      </c>
      <c r="AJ324" t="s">
        <v>1190</v>
      </c>
      <c r="AK324">
        <v>0</v>
      </c>
      <c r="AL324" t="s">
        <v>1262</v>
      </c>
      <c r="AM324">
        <v>46085</v>
      </c>
      <c r="AN324">
        <v>46255</v>
      </c>
      <c r="AO324">
        <v>46184</v>
      </c>
      <c r="AP324">
        <v>46188</v>
      </c>
      <c r="AQ324">
        <v>46188</v>
      </c>
      <c r="AR324">
        <v>46190</v>
      </c>
      <c r="AS324">
        <v>46192</v>
      </c>
      <c r="AT324" t="s">
        <v>1281</v>
      </c>
      <c r="AU324" t="s">
        <v>1177</v>
      </c>
      <c r="AV324" t="s">
        <v>1192</v>
      </c>
      <c r="AW324" t="s">
        <v>1177</v>
      </c>
      <c r="AX324">
        <v>109</v>
      </c>
      <c r="AY324">
        <v>2</v>
      </c>
      <c r="AZ324" t="s">
        <v>1177</v>
      </c>
      <c r="BA324">
        <v>0</v>
      </c>
      <c r="BB324" t="s">
        <v>1262</v>
      </c>
      <c r="BC324" t="e">
        <v>#N/A</v>
      </c>
      <c r="BD324" t="e">
        <v>#N/A</v>
      </c>
      <c r="BE324" t="e">
        <v>#N/A</v>
      </c>
      <c r="BF324" t="e">
        <v>#N/A</v>
      </c>
      <c r="BG324" t="s">
        <v>1581</v>
      </c>
      <c r="BH324" t="s">
        <v>1194</v>
      </c>
      <c r="BI324" t="s">
        <v>2469</v>
      </c>
    </row>
    <row r="325" spans="1:61" x14ac:dyDescent="0.35">
      <c r="A325" s="7" t="str">
        <f t="shared" si="10"/>
        <v>461784300010552</v>
      </c>
      <c r="B325" s="7" t="str">
        <f t="shared" si="11"/>
        <v>GP676044B867</v>
      </c>
      <c r="C325" t="s">
        <v>1177</v>
      </c>
      <c r="D325" t="s">
        <v>1178</v>
      </c>
      <c r="E325" t="s">
        <v>2470</v>
      </c>
      <c r="F325" t="s">
        <v>1363</v>
      </c>
      <c r="G325" t="s">
        <v>1363</v>
      </c>
      <c r="H325" t="s">
        <v>1271</v>
      </c>
      <c r="I325">
        <v>46178</v>
      </c>
      <c r="J325" t="s">
        <v>2471</v>
      </c>
      <c r="K325" t="s">
        <v>1199</v>
      </c>
      <c r="L325" t="s">
        <v>1177</v>
      </c>
      <c r="M325" t="s">
        <v>1274</v>
      </c>
      <c r="N325" t="s">
        <v>1079</v>
      </c>
      <c r="O325" t="s">
        <v>1275</v>
      </c>
      <c r="P325">
        <v>46178</v>
      </c>
      <c r="Q325" t="s">
        <v>1177</v>
      </c>
      <c r="R325" t="s">
        <v>25</v>
      </c>
      <c r="S325" t="s">
        <v>1060</v>
      </c>
      <c r="T325" t="s">
        <v>2472</v>
      </c>
      <c r="U325" t="s">
        <v>2473</v>
      </c>
      <c r="V325">
        <v>10</v>
      </c>
      <c r="W325" t="s">
        <v>1262</v>
      </c>
      <c r="X325" t="s">
        <v>1262</v>
      </c>
      <c r="Y325">
        <v>0</v>
      </c>
      <c r="Z325" t="s">
        <v>1186</v>
      </c>
      <c r="AA325" t="s">
        <v>1177</v>
      </c>
      <c r="AB325" t="s">
        <v>1276</v>
      </c>
      <c r="AC325" t="s">
        <v>1277</v>
      </c>
      <c r="AD325" t="s">
        <v>1278</v>
      </c>
      <c r="AE325" t="s">
        <v>2000</v>
      </c>
      <c r="AF325" t="s">
        <v>1178</v>
      </c>
      <c r="AG325" t="s">
        <v>1190</v>
      </c>
      <c r="AH325" t="s">
        <v>1178</v>
      </c>
      <c r="AI325" t="s">
        <v>1280</v>
      </c>
      <c r="AJ325" t="s">
        <v>1189</v>
      </c>
      <c r="AK325">
        <v>10</v>
      </c>
      <c r="AL325" t="s">
        <v>1262</v>
      </c>
      <c r="AM325">
        <v>46400</v>
      </c>
      <c r="AN325">
        <v>46394</v>
      </c>
      <c r="AO325">
        <v>46394</v>
      </c>
      <c r="AP325">
        <v>46398</v>
      </c>
      <c r="AQ325">
        <v>46398</v>
      </c>
      <c r="AR325">
        <v>46400</v>
      </c>
      <c r="AS325">
        <v>46400</v>
      </c>
      <c r="AT325" t="s">
        <v>1281</v>
      </c>
      <c r="AU325" t="s">
        <v>1177</v>
      </c>
      <c r="AV325" t="s">
        <v>1192</v>
      </c>
      <c r="AW325" t="s">
        <v>1177</v>
      </c>
      <c r="AX325">
        <v>0</v>
      </c>
      <c r="AY325">
        <v>0</v>
      </c>
      <c r="AZ325" t="s">
        <v>1177</v>
      </c>
      <c r="BA325">
        <v>0</v>
      </c>
      <c r="BB325" t="s">
        <v>1262</v>
      </c>
      <c r="BC325" t="e">
        <v>#N/A</v>
      </c>
      <c r="BD325" t="e">
        <v>#N/A</v>
      </c>
      <c r="BE325" t="e">
        <v>#N/A</v>
      </c>
      <c r="BF325" t="e">
        <v>#N/A</v>
      </c>
      <c r="BG325" t="s">
        <v>1212</v>
      </c>
      <c r="BH325" t="s">
        <v>1194</v>
      </c>
      <c r="BI325" t="s">
        <v>2474</v>
      </c>
    </row>
    <row r="326" spans="1:61" x14ac:dyDescent="0.35">
      <c r="A326" s="7" t="str">
        <f t="shared" si="10"/>
        <v>461784300010554</v>
      </c>
      <c r="B326" s="7" t="str">
        <f t="shared" si="11"/>
        <v>GP389291B825</v>
      </c>
      <c r="C326" t="s">
        <v>1177</v>
      </c>
      <c r="D326" t="s">
        <v>1178</v>
      </c>
      <c r="E326" t="s">
        <v>2477</v>
      </c>
      <c r="F326" t="s">
        <v>1363</v>
      </c>
      <c r="G326" t="s">
        <v>1363</v>
      </c>
      <c r="H326" t="s">
        <v>1271</v>
      </c>
      <c r="I326">
        <v>46178</v>
      </c>
      <c r="J326" t="s">
        <v>2478</v>
      </c>
      <c r="K326" t="s">
        <v>1285</v>
      </c>
      <c r="L326" t="s">
        <v>1177</v>
      </c>
      <c r="M326" t="s">
        <v>1274</v>
      </c>
      <c r="N326" t="s">
        <v>1079</v>
      </c>
      <c r="O326" t="s">
        <v>1275</v>
      </c>
      <c r="P326">
        <v>46178</v>
      </c>
      <c r="Q326" t="s">
        <v>1177</v>
      </c>
      <c r="R326" t="s">
        <v>16</v>
      </c>
      <c r="S326" t="s">
        <v>512</v>
      </c>
      <c r="T326" t="s">
        <v>613</v>
      </c>
      <c r="U326" t="s">
        <v>614</v>
      </c>
      <c r="V326">
        <v>1</v>
      </c>
      <c r="W326" t="s">
        <v>1262</v>
      </c>
      <c r="X326" t="s">
        <v>1262</v>
      </c>
      <c r="Y326">
        <v>0</v>
      </c>
      <c r="Z326" t="s">
        <v>1186</v>
      </c>
      <c r="AA326" t="s">
        <v>1177</v>
      </c>
      <c r="AB326" t="s">
        <v>1276</v>
      </c>
      <c r="AC326" t="s">
        <v>1277</v>
      </c>
      <c r="AD326" t="s">
        <v>1278</v>
      </c>
      <c r="AE326" t="s">
        <v>1657</v>
      </c>
      <c r="AF326" t="s">
        <v>1178</v>
      </c>
      <c r="AG326" t="s">
        <v>1190</v>
      </c>
      <c r="AH326" t="s">
        <v>1178</v>
      </c>
      <c r="AI326" t="s">
        <v>1349</v>
      </c>
      <c r="AJ326" t="s">
        <v>1190</v>
      </c>
      <c r="AK326">
        <v>0</v>
      </c>
      <c r="AL326" t="s">
        <v>1262</v>
      </c>
      <c r="AM326">
        <v>46035</v>
      </c>
      <c r="AN326">
        <v>46273</v>
      </c>
      <c r="AO326">
        <v>46181</v>
      </c>
      <c r="AP326">
        <v>46183</v>
      </c>
      <c r="AQ326">
        <v>46183</v>
      </c>
      <c r="AR326">
        <v>46185</v>
      </c>
      <c r="AS326">
        <v>46189</v>
      </c>
      <c r="AT326" t="s">
        <v>1281</v>
      </c>
      <c r="AU326" t="s">
        <v>1177</v>
      </c>
      <c r="AV326" t="s">
        <v>1192</v>
      </c>
      <c r="AW326" t="s">
        <v>1177</v>
      </c>
      <c r="AX326">
        <v>33</v>
      </c>
      <c r="AY326">
        <v>2</v>
      </c>
      <c r="AZ326" t="s">
        <v>1177</v>
      </c>
      <c r="BA326">
        <v>0</v>
      </c>
      <c r="BB326" t="s">
        <v>1262</v>
      </c>
      <c r="BC326" t="e">
        <v>#N/A</v>
      </c>
      <c r="BD326" t="e">
        <v>#N/A</v>
      </c>
      <c r="BE326" t="e">
        <v>#N/A</v>
      </c>
      <c r="BF326" t="e">
        <v>#N/A</v>
      </c>
      <c r="BG326" t="s">
        <v>126</v>
      </c>
      <c r="BH326" t="s">
        <v>1873</v>
      </c>
      <c r="BI326" t="s">
        <v>126</v>
      </c>
    </row>
    <row r="327" spans="1:61" x14ac:dyDescent="0.35">
      <c r="A327" s="7" t="str">
        <f t="shared" si="10"/>
        <v>461784300010559</v>
      </c>
      <c r="B327" s="7" t="str">
        <f t="shared" si="11"/>
        <v>GP604859B857</v>
      </c>
      <c r="C327" t="s">
        <v>1177</v>
      </c>
      <c r="D327" t="s">
        <v>1178</v>
      </c>
      <c r="E327" t="s">
        <v>2479</v>
      </c>
      <c r="F327" t="s">
        <v>1363</v>
      </c>
      <c r="G327" t="s">
        <v>1363</v>
      </c>
      <c r="H327" t="s">
        <v>1271</v>
      </c>
      <c r="I327">
        <v>46178</v>
      </c>
      <c r="J327" t="s">
        <v>2480</v>
      </c>
      <c r="K327" t="s">
        <v>1182</v>
      </c>
      <c r="L327" t="s">
        <v>1177</v>
      </c>
      <c r="M327" t="s">
        <v>1274</v>
      </c>
      <c r="N327" t="s">
        <v>1079</v>
      </c>
      <c r="O327" t="s">
        <v>1275</v>
      </c>
      <c r="P327">
        <v>46178</v>
      </c>
      <c r="Q327" t="s">
        <v>1177</v>
      </c>
      <c r="R327" t="s">
        <v>23</v>
      </c>
      <c r="S327" t="s">
        <v>959</v>
      </c>
      <c r="T327" t="s">
        <v>2475</v>
      </c>
      <c r="U327" t="s">
        <v>2476</v>
      </c>
      <c r="V327">
        <v>2</v>
      </c>
      <c r="W327" t="s">
        <v>1262</v>
      </c>
      <c r="X327" t="s">
        <v>1262</v>
      </c>
      <c r="Y327">
        <v>0</v>
      </c>
      <c r="Z327" t="s">
        <v>1186</v>
      </c>
      <c r="AA327" t="s">
        <v>1177</v>
      </c>
      <c r="AB327" t="s">
        <v>1276</v>
      </c>
      <c r="AC327" t="s">
        <v>1277</v>
      </c>
      <c r="AD327" t="s">
        <v>1278</v>
      </c>
      <c r="AE327" t="s">
        <v>1188</v>
      </c>
      <c r="AF327" t="s">
        <v>1178</v>
      </c>
      <c r="AG327" t="s">
        <v>1190</v>
      </c>
      <c r="AH327" t="s">
        <v>1178</v>
      </c>
      <c r="AI327" t="s">
        <v>1280</v>
      </c>
      <c r="AJ327" t="s">
        <v>1189</v>
      </c>
      <c r="AK327">
        <v>2</v>
      </c>
      <c r="AL327" t="s">
        <v>1262</v>
      </c>
      <c r="AM327">
        <v>46400</v>
      </c>
      <c r="AN327">
        <v>46394</v>
      </c>
      <c r="AO327">
        <v>46394</v>
      </c>
      <c r="AP327">
        <v>46398</v>
      </c>
      <c r="AQ327">
        <v>46398</v>
      </c>
      <c r="AR327">
        <v>46400</v>
      </c>
      <c r="AS327">
        <v>46400</v>
      </c>
      <c r="AT327" t="s">
        <v>1281</v>
      </c>
      <c r="AU327" t="s">
        <v>1177</v>
      </c>
      <c r="AV327" t="s">
        <v>1192</v>
      </c>
      <c r="AW327" t="s">
        <v>1177</v>
      </c>
      <c r="AX327">
        <v>0</v>
      </c>
      <c r="AY327">
        <v>0</v>
      </c>
      <c r="AZ327" t="s">
        <v>1177</v>
      </c>
      <c r="BA327">
        <v>0</v>
      </c>
      <c r="BB327" t="s">
        <v>1262</v>
      </c>
      <c r="BC327" t="e">
        <v>#N/A</v>
      </c>
      <c r="BD327" t="e">
        <v>#N/A</v>
      </c>
      <c r="BE327" t="e">
        <v>#N/A</v>
      </c>
      <c r="BF327" t="e">
        <v>#N/A</v>
      </c>
      <c r="BG327" t="s">
        <v>1212</v>
      </c>
      <c r="BH327" t="s">
        <v>1194</v>
      </c>
      <c r="BI327" t="s">
        <v>2055</v>
      </c>
    </row>
    <row r="328" spans="1:61" x14ac:dyDescent="0.35">
      <c r="A328" s="7" t="str">
        <f t="shared" si="10"/>
        <v>461784300010604</v>
      </c>
      <c r="B328" s="7" t="str">
        <f t="shared" si="11"/>
        <v>GP410278B864</v>
      </c>
      <c r="C328" t="s">
        <v>1177</v>
      </c>
      <c r="D328" t="s">
        <v>1178</v>
      </c>
      <c r="E328" t="s">
        <v>2481</v>
      </c>
      <c r="F328" t="s">
        <v>1363</v>
      </c>
      <c r="G328" t="s">
        <v>1363</v>
      </c>
      <c r="H328" t="s">
        <v>1271</v>
      </c>
      <c r="I328">
        <v>46178</v>
      </c>
      <c r="J328" t="s">
        <v>2482</v>
      </c>
      <c r="K328" t="s">
        <v>1182</v>
      </c>
      <c r="L328" t="s">
        <v>1177</v>
      </c>
      <c r="M328" t="s">
        <v>1274</v>
      </c>
      <c r="N328" t="s">
        <v>1079</v>
      </c>
      <c r="O328" t="s">
        <v>1275</v>
      </c>
      <c r="P328">
        <v>46178</v>
      </c>
      <c r="Q328" t="s">
        <v>1177</v>
      </c>
      <c r="R328" t="s">
        <v>10</v>
      </c>
      <c r="S328" t="s">
        <v>1011</v>
      </c>
      <c r="T328" t="s">
        <v>827</v>
      </c>
      <c r="U328" t="s">
        <v>828</v>
      </c>
      <c r="V328">
        <v>1</v>
      </c>
      <c r="W328" t="s">
        <v>1262</v>
      </c>
      <c r="X328" t="s">
        <v>1262</v>
      </c>
      <c r="Y328">
        <v>0</v>
      </c>
      <c r="Z328" t="s">
        <v>1186</v>
      </c>
      <c r="AA328" t="s">
        <v>1177</v>
      </c>
      <c r="AB328" t="s">
        <v>1286</v>
      </c>
      <c r="AC328" t="s">
        <v>1277</v>
      </c>
      <c r="AD328" t="s">
        <v>1278</v>
      </c>
      <c r="AE328" t="s">
        <v>1359</v>
      </c>
      <c r="AF328" t="s">
        <v>1178</v>
      </c>
      <c r="AG328" t="s">
        <v>1178</v>
      </c>
      <c r="AH328" t="s">
        <v>1178</v>
      </c>
      <c r="AI328" t="s">
        <v>1280</v>
      </c>
      <c r="AJ328" t="s">
        <v>1190</v>
      </c>
      <c r="AK328">
        <v>0</v>
      </c>
      <c r="AL328" t="s">
        <v>1262</v>
      </c>
      <c r="AM328">
        <v>46112</v>
      </c>
      <c r="AN328">
        <v>46325</v>
      </c>
      <c r="AO328">
        <v>46184</v>
      </c>
      <c r="AP328">
        <v>46188</v>
      </c>
      <c r="AQ328">
        <v>46188</v>
      </c>
      <c r="AR328">
        <v>46190</v>
      </c>
      <c r="AS328">
        <v>46192</v>
      </c>
      <c r="AT328" t="s">
        <v>1281</v>
      </c>
      <c r="AU328" t="s">
        <v>1177</v>
      </c>
      <c r="AV328" t="s">
        <v>1192</v>
      </c>
      <c r="AW328" t="s">
        <v>1177</v>
      </c>
      <c r="AX328">
        <v>33</v>
      </c>
      <c r="AY328">
        <v>2</v>
      </c>
      <c r="AZ328" t="s">
        <v>1177</v>
      </c>
      <c r="BA328">
        <v>0</v>
      </c>
      <c r="BB328" t="s">
        <v>1262</v>
      </c>
      <c r="BC328" t="e">
        <v>#N/A</v>
      </c>
      <c r="BD328" t="e">
        <v>#N/A</v>
      </c>
      <c r="BE328" t="e">
        <v>#N/A</v>
      </c>
      <c r="BF328" t="e">
        <v>#N/A</v>
      </c>
      <c r="BG328" t="s">
        <v>126</v>
      </c>
      <c r="BH328" t="s">
        <v>1873</v>
      </c>
      <c r="BI328" t="s">
        <v>126</v>
      </c>
    </row>
    <row r="329" spans="1:61" x14ac:dyDescent="0.35">
      <c r="A329" s="7" t="str">
        <f t="shared" si="10"/>
        <v>461784300010607</v>
      </c>
      <c r="B329" s="7" t="str">
        <f t="shared" si="11"/>
        <v>GP237221B832</v>
      </c>
      <c r="C329" t="s">
        <v>1177</v>
      </c>
      <c r="D329" t="s">
        <v>1178</v>
      </c>
      <c r="E329" t="s">
        <v>2483</v>
      </c>
      <c r="F329" t="s">
        <v>1363</v>
      </c>
      <c r="G329" t="s">
        <v>1363</v>
      </c>
      <c r="H329" t="s">
        <v>1271</v>
      </c>
      <c r="I329">
        <v>46178</v>
      </c>
      <c r="J329" t="s">
        <v>2484</v>
      </c>
      <c r="K329" t="s">
        <v>1809</v>
      </c>
      <c r="L329" t="s">
        <v>1177</v>
      </c>
      <c r="M329" t="s">
        <v>1274</v>
      </c>
      <c r="N329" t="s">
        <v>1079</v>
      </c>
      <c r="O329" t="s">
        <v>1275</v>
      </c>
      <c r="P329">
        <v>46178</v>
      </c>
      <c r="Q329" t="s">
        <v>1177</v>
      </c>
      <c r="R329" t="s">
        <v>19</v>
      </c>
      <c r="S329" t="s">
        <v>654</v>
      </c>
      <c r="T329" t="s">
        <v>476</v>
      </c>
      <c r="U329" t="s">
        <v>1725</v>
      </c>
      <c r="V329">
        <v>1</v>
      </c>
      <c r="W329" t="s">
        <v>1262</v>
      </c>
      <c r="X329" t="s">
        <v>1262</v>
      </c>
      <c r="Y329">
        <v>0</v>
      </c>
      <c r="Z329" t="s">
        <v>1186</v>
      </c>
      <c r="AA329" t="s">
        <v>1177</v>
      </c>
      <c r="AB329" t="s">
        <v>1276</v>
      </c>
      <c r="AC329" t="s">
        <v>1277</v>
      </c>
      <c r="AD329" t="s">
        <v>1278</v>
      </c>
      <c r="AE329" t="s">
        <v>1726</v>
      </c>
      <c r="AF329" t="s">
        <v>1178</v>
      </c>
      <c r="AG329" t="s">
        <v>1190</v>
      </c>
      <c r="AH329" t="s">
        <v>1178</v>
      </c>
      <c r="AI329" t="s">
        <v>1349</v>
      </c>
      <c r="AJ329" t="s">
        <v>1190</v>
      </c>
      <c r="AK329">
        <v>0</v>
      </c>
      <c r="AL329" t="s">
        <v>1262</v>
      </c>
      <c r="AM329">
        <v>46083</v>
      </c>
      <c r="AN329">
        <v>46351</v>
      </c>
      <c r="AO329">
        <v>46181</v>
      </c>
      <c r="AP329">
        <v>46183</v>
      </c>
      <c r="AQ329">
        <v>46183</v>
      </c>
      <c r="AR329">
        <v>46185</v>
      </c>
      <c r="AS329">
        <v>46185</v>
      </c>
      <c r="AT329" t="s">
        <v>1281</v>
      </c>
      <c r="AU329" t="s">
        <v>1177</v>
      </c>
      <c r="AV329" t="s">
        <v>1192</v>
      </c>
      <c r="AW329" t="s">
        <v>1177</v>
      </c>
      <c r="AX329">
        <v>0</v>
      </c>
      <c r="AY329">
        <v>0</v>
      </c>
      <c r="AZ329" t="s">
        <v>1177</v>
      </c>
      <c r="BA329">
        <v>0</v>
      </c>
      <c r="BB329" t="s">
        <v>1262</v>
      </c>
      <c r="BC329" t="e">
        <v>#N/A</v>
      </c>
      <c r="BD329" t="e">
        <v>#N/A</v>
      </c>
      <c r="BE329" t="e">
        <v>#N/A</v>
      </c>
      <c r="BF329" t="e">
        <v>#N/A</v>
      </c>
      <c r="BG329" t="s">
        <v>1458</v>
      </c>
      <c r="BH329" t="s">
        <v>1763</v>
      </c>
      <c r="BI329" t="s">
        <v>2485</v>
      </c>
    </row>
    <row r="330" spans="1:61" x14ac:dyDescent="0.35">
      <c r="A330" s="7" t="str">
        <f t="shared" si="10"/>
        <v>461784300010617</v>
      </c>
      <c r="B330" s="7" t="str">
        <f t="shared" si="11"/>
        <v>GP514717B833</v>
      </c>
      <c r="C330" t="s">
        <v>1177</v>
      </c>
      <c r="D330" t="s">
        <v>1178</v>
      </c>
      <c r="E330" t="s">
        <v>2486</v>
      </c>
      <c r="F330" t="s">
        <v>1363</v>
      </c>
      <c r="G330" t="s">
        <v>1363</v>
      </c>
      <c r="H330" t="s">
        <v>1271</v>
      </c>
      <c r="I330">
        <v>46178</v>
      </c>
      <c r="J330" t="s">
        <v>2487</v>
      </c>
      <c r="K330" t="s">
        <v>1199</v>
      </c>
      <c r="L330" t="s">
        <v>1177</v>
      </c>
      <c r="M330" t="s">
        <v>1274</v>
      </c>
      <c r="N330" t="s">
        <v>1079</v>
      </c>
      <c r="O330" t="s">
        <v>1275</v>
      </c>
      <c r="P330">
        <v>46178</v>
      </c>
      <c r="Q330" t="s">
        <v>1177</v>
      </c>
      <c r="R330" t="s">
        <v>697</v>
      </c>
      <c r="S330" t="s">
        <v>699</v>
      </c>
      <c r="T330" t="s">
        <v>724</v>
      </c>
      <c r="U330" t="s">
        <v>725</v>
      </c>
      <c r="V330">
        <v>1</v>
      </c>
      <c r="W330" t="s">
        <v>1185</v>
      </c>
      <c r="X330" t="s">
        <v>1185</v>
      </c>
      <c r="Y330">
        <v>0</v>
      </c>
      <c r="Z330" t="s">
        <v>1186</v>
      </c>
      <c r="AA330" t="s">
        <v>1177</v>
      </c>
      <c r="AB330" t="s">
        <v>1286</v>
      </c>
      <c r="AC330" t="s">
        <v>1277</v>
      </c>
      <c r="AD330" t="s">
        <v>1278</v>
      </c>
      <c r="AE330" t="s">
        <v>1445</v>
      </c>
      <c r="AF330" t="s">
        <v>1178</v>
      </c>
      <c r="AG330" t="s">
        <v>1178</v>
      </c>
      <c r="AH330" t="s">
        <v>1178</v>
      </c>
      <c r="AI330" t="s">
        <v>1349</v>
      </c>
      <c r="AJ330" t="s">
        <v>1190</v>
      </c>
      <c r="AK330">
        <v>0</v>
      </c>
      <c r="AL330" t="s">
        <v>1185</v>
      </c>
      <c r="AM330">
        <v>46079</v>
      </c>
      <c r="AN330">
        <v>46255</v>
      </c>
      <c r="AO330">
        <v>46181</v>
      </c>
      <c r="AP330">
        <v>46183</v>
      </c>
      <c r="AQ330">
        <v>46183</v>
      </c>
      <c r="AR330">
        <v>46185</v>
      </c>
      <c r="AS330">
        <v>46185</v>
      </c>
      <c r="AT330" t="s">
        <v>1281</v>
      </c>
      <c r="AU330" t="s">
        <v>1177</v>
      </c>
      <c r="AV330" t="s">
        <v>1192</v>
      </c>
      <c r="AW330" t="s">
        <v>1177</v>
      </c>
      <c r="AX330">
        <v>0</v>
      </c>
      <c r="AY330">
        <v>0</v>
      </c>
      <c r="AZ330" t="s">
        <v>1177</v>
      </c>
      <c r="BA330">
        <v>0</v>
      </c>
      <c r="BB330" t="s">
        <v>1185</v>
      </c>
      <c r="BC330" t="e">
        <v>#N/A</v>
      </c>
      <c r="BD330" t="e">
        <v>#N/A</v>
      </c>
      <c r="BE330" t="e">
        <v>#N/A</v>
      </c>
      <c r="BF330" t="e">
        <v>#N/A</v>
      </c>
      <c r="BG330" t="s">
        <v>126</v>
      </c>
      <c r="BH330" t="s">
        <v>1194</v>
      </c>
      <c r="BI330" t="s">
        <v>126</v>
      </c>
    </row>
    <row r="331" spans="1:61" x14ac:dyDescent="0.35">
      <c r="A331" s="7" t="str">
        <f t="shared" si="10"/>
        <v>461784300010618</v>
      </c>
      <c r="B331" s="7" t="str">
        <f t="shared" si="11"/>
        <v>GP082783B864</v>
      </c>
      <c r="C331" t="s">
        <v>1177</v>
      </c>
      <c r="D331" t="s">
        <v>1178</v>
      </c>
      <c r="E331" t="s">
        <v>2488</v>
      </c>
      <c r="F331" t="s">
        <v>1363</v>
      </c>
      <c r="G331" t="s">
        <v>1363</v>
      </c>
      <c r="H331" t="s">
        <v>1271</v>
      </c>
      <c r="I331">
        <v>46178</v>
      </c>
      <c r="J331" t="s">
        <v>2489</v>
      </c>
      <c r="K331" t="s">
        <v>1182</v>
      </c>
      <c r="L331" t="s">
        <v>1177</v>
      </c>
      <c r="M331" t="s">
        <v>1274</v>
      </c>
      <c r="N331" t="s">
        <v>1079</v>
      </c>
      <c r="O331" t="s">
        <v>1275</v>
      </c>
      <c r="P331">
        <v>46251</v>
      </c>
      <c r="Q331" t="s">
        <v>1177</v>
      </c>
      <c r="R331" t="s">
        <v>10</v>
      </c>
      <c r="S331" t="s">
        <v>1011</v>
      </c>
      <c r="T331" t="s">
        <v>50</v>
      </c>
      <c r="U331" t="s">
        <v>51</v>
      </c>
      <c r="V331">
        <v>2</v>
      </c>
      <c r="W331" t="s">
        <v>1262</v>
      </c>
      <c r="X331" t="s">
        <v>1262</v>
      </c>
      <c r="Y331">
        <v>0</v>
      </c>
      <c r="Z331" t="s">
        <v>1186</v>
      </c>
      <c r="AA331" t="s">
        <v>1177</v>
      </c>
      <c r="AB331" t="s">
        <v>1276</v>
      </c>
      <c r="AC331" t="s">
        <v>1277</v>
      </c>
      <c r="AD331" t="s">
        <v>1278</v>
      </c>
      <c r="AE331" t="s">
        <v>1618</v>
      </c>
      <c r="AF331" t="s">
        <v>1178</v>
      </c>
      <c r="AG331" t="s">
        <v>1190</v>
      </c>
      <c r="AH331" t="s">
        <v>1178</v>
      </c>
      <c r="AI331" t="s">
        <v>1280</v>
      </c>
      <c r="AJ331" t="s">
        <v>1190</v>
      </c>
      <c r="AK331">
        <v>0</v>
      </c>
      <c r="AL331" t="s">
        <v>1262</v>
      </c>
      <c r="AM331">
        <v>46282</v>
      </c>
      <c r="AN331">
        <v>46288</v>
      </c>
      <c r="AO331">
        <v>46275</v>
      </c>
      <c r="AP331">
        <v>46279</v>
      </c>
      <c r="AQ331">
        <v>46279</v>
      </c>
      <c r="AR331">
        <v>46281</v>
      </c>
      <c r="AS331">
        <v>46283</v>
      </c>
      <c r="AT331" t="s">
        <v>1281</v>
      </c>
      <c r="AU331" t="s">
        <v>1177</v>
      </c>
      <c r="AV331" t="s">
        <v>1192</v>
      </c>
      <c r="AW331" t="s">
        <v>1177</v>
      </c>
      <c r="AX331">
        <v>33</v>
      </c>
      <c r="AY331">
        <v>2</v>
      </c>
      <c r="AZ331" t="s">
        <v>1177</v>
      </c>
      <c r="BA331">
        <v>0</v>
      </c>
      <c r="BB331" t="s">
        <v>1262</v>
      </c>
      <c r="BC331" t="e">
        <v>#N/A</v>
      </c>
      <c r="BD331" t="e">
        <v>#N/A</v>
      </c>
      <c r="BE331" t="e">
        <v>#N/A</v>
      </c>
      <c r="BF331" t="e">
        <v>#N/A</v>
      </c>
      <c r="BG331" t="s">
        <v>126</v>
      </c>
      <c r="BH331" t="s">
        <v>1873</v>
      </c>
      <c r="BI331" t="s">
        <v>126</v>
      </c>
    </row>
    <row r="332" spans="1:61" x14ac:dyDescent="0.35">
      <c r="A332" s="7" t="str">
        <f t="shared" si="10"/>
        <v>461784300010620</v>
      </c>
      <c r="B332" s="7" t="str">
        <f t="shared" si="11"/>
        <v>GP389291B825</v>
      </c>
      <c r="C332" t="s">
        <v>1177</v>
      </c>
      <c r="D332" t="s">
        <v>1178</v>
      </c>
      <c r="E332" t="s">
        <v>2490</v>
      </c>
      <c r="F332" t="s">
        <v>1363</v>
      </c>
      <c r="G332" t="s">
        <v>1363</v>
      </c>
      <c r="H332" t="s">
        <v>1271</v>
      </c>
      <c r="I332">
        <v>46178</v>
      </c>
      <c r="J332" t="s">
        <v>2491</v>
      </c>
      <c r="K332" t="s">
        <v>1285</v>
      </c>
      <c r="L332" t="s">
        <v>1177</v>
      </c>
      <c r="M332" t="s">
        <v>1274</v>
      </c>
      <c r="N332" t="s">
        <v>1079</v>
      </c>
      <c r="O332" t="s">
        <v>1275</v>
      </c>
      <c r="P332">
        <v>46178</v>
      </c>
      <c r="Q332" t="s">
        <v>1177</v>
      </c>
      <c r="R332" t="s">
        <v>16</v>
      </c>
      <c r="S332" t="s">
        <v>512</v>
      </c>
      <c r="T332" t="s">
        <v>613</v>
      </c>
      <c r="U332" t="s">
        <v>614</v>
      </c>
      <c r="V332">
        <v>1</v>
      </c>
      <c r="W332" t="s">
        <v>1262</v>
      </c>
      <c r="X332" t="s">
        <v>1262</v>
      </c>
      <c r="Y332">
        <v>0</v>
      </c>
      <c r="Z332" t="s">
        <v>1186</v>
      </c>
      <c r="AA332" t="s">
        <v>1177</v>
      </c>
      <c r="AB332" t="s">
        <v>1276</v>
      </c>
      <c r="AC332" t="s">
        <v>1277</v>
      </c>
      <c r="AD332" t="s">
        <v>1278</v>
      </c>
      <c r="AE332" t="s">
        <v>1657</v>
      </c>
      <c r="AF332" t="s">
        <v>1178</v>
      </c>
      <c r="AG332" t="s">
        <v>1190</v>
      </c>
      <c r="AH332" t="s">
        <v>1178</v>
      </c>
      <c r="AI332" t="s">
        <v>1349</v>
      </c>
      <c r="AJ332" t="s">
        <v>1190</v>
      </c>
      <c r="AK332">
        <v>0</v>
      </c>
      <c r="AL332" t="s">
        <v>1262</v>
      </c>
      <c r="AM332">
        <v>46134</v>
      </c>
      <c r="AN332">
        <v>46273</v>
      </c>
      <c r="AO332">
        <v>46181</v>
      </c>
      <c r="AP332">
        <v>46183</v>
      </c>
      <c r="AQ332">
        <v>46183</v>
      </c>
      <c r="AR332">
        <v>46185</v>
      </c>
      <c r="AS332">
        <v>46189</v>
      </c>
      <c r="AT332" t="s">
        <v>1281</v>
      </c>
      <c r="AU332" t="s">
        <v>1177</v>
      </c>
      <c r="AV332" t="s">
        <v>1192</v>
      </c>
      <c r="AW332" t="s">
        <v>1177</v>
      </c>
      <c r="AX332">
        <v>33</v>
      </c>
      <c r="AY332">
        <v>2</v>
      </c>
      <c r="AZ332" t="s">
        <v>1177</v>
      </c>
      <c r="BA332">
        <v>0</v>
      </c>
      <c r="BB332" t="s">
        <v>1262</v>
      </c>
      <c r="BC332" t="e">
        <v>#N/A</v>
      </c>
      <c r="BD332" t="e">
        <v>#N/A</v>
      </c>
      <c r="BE332" t="e">
        <v>#N/A</v>
      </c>
      <c r="BF332" t="e">
        <v>#N/A</v>
      </c>
      <c r="BG332" t="s">
        <v>126</v>
      </c>
      <c r="BH332" t="s">
        <v>1873</v>
      </c>
      <c r="BI332" t="s">
        <v>126</v>
      </c>
    </row>
    <row r="333" spans="1:61" x14ac:dyDescent="0.35">
      <c r="A333" s="7" t="str">
        <f t="shared" si="10"/>
        <v>461784300010621</v>
      </c>
      <c r="B333" s="7" t="str">
        <f t="shared" si="11"/>
        <v>GP082783B864</v>
      </c>
      <c r="C333" t="s">
        <v>1177</v>
      </c>
      <c r="D333" t="s">
        <v>1178</v>
      </c>
      <c r="E333" t="s">
        <v>2492</v>
      </c>
      <c r="F333" t="s">
        <v>1363</v>
      </c>
      <c r="G333" t="s">
        <v>1363</v>
      </c>
      <c r="H333" t="s">
        <v>1271</v>
      </c>
      <c r="I333">
        <v>46178</v>
      </c>
      <c r="J333" t="s">
        <v>2493</v>
      </c>
      <c r="K333" t="s">
        <v>1199</v>
      </c>
      <c r="L333" t="s">
        <v>1177</v>
      </c>
      <c r="M333" t="s">
        <v>1274</v>
      </c>
      <c r="N333" t="s">
        <v>1079</v>
      </c>
      <c r="O333" t="s">
        <v>1275</v>
      </c>
      <c r="P333">
        <v>46178</v>
      </c>
      <c r="Q333" t="s">
        <v>1177</v>
      </c>
      <c r="R333" t="s">
        <v>10</v>
      </c>
      <c r="S333" t="s">
        <v>1011</v>
      </c>
      <c r="T333" t="s">
        <v>50</v>
      </c>
      <c r="U333" t="s">
        <v>51</v>
      </c>
      <c r="V333">
        <v>2</v>
      </c>
      <c r="W333" t="s">
        <v>1262</v>
      </c>
      <c r="X333" t="s">
        <v>1262</v>
      </c>
      <c r="Y333">
        <v>0</v>
      </c>
      <c r="Z333" t="s">
        <v>1186</v>
      </c>
      <c r="AA333" t="s">
        <v>1177</v>
      </c>
      <c r="AB333" t="s">
        <v>1276</v>
      </c>
      <c r="AC333" t="s">
        <v>1277</v>
      </c>
      <c r="AD333" t="s">
        <v>1278</v>
      </c>
      <c r="AE333" t="s">
        <v>1618</v>
      </c>
      <c r="AF333" t="s">
        <v>1178</v>
      </c>
      <c r="AG333" t="s">
        <v>1190</v>
      </c>
      <c r="AH333" t="s">
        <v>1178</v>
      </c>
      <c r="AI333" t="s">
        <v>1280</v>
      </c>
      <c r="AJ333" t="s">
        <v>1190</v>
      </c>
      <c r="AK333">
        <v>0</v>
      </c>
      <c r="AL333" t="s">
        <v>1262</v>
      </c>
      <c r="AM333">
        <v>46134</v>
      </c>
      <c r="AN333">
        <v>46204</v>
      </c>
      <c r="AO333">
        <v>46184</v>
      </c>
      <c r="AP333">
        <v>46188</v>
      </c>
      <c r="AQ333">
        <v>46188</v>
      </c>
      <c r="AR333">
        <v>46190</v>
      </c>
      <c r="AS333">
        <v>46192</v>
      </c>
      <c r="AT333" t="s">
        <v>1281</v>
      </c>
      <c r="AU333" t="s">
        <v>1177</v>
      </c>
      <c r="AV333" t="s">
        <v>1192</v>
      </c>
      <c r="AW333" t="s">
        <v>1177</v>
      </c>
      <c r="AX333">
        <v>33</v>
      </c>
      <c r="AY333">
        <v>2</v>
      </c>
      <c r="AZ333" t="s">
        <v>1177</v>
      </c>
      <c r="BA333">
        <v>0</v>
      </c>
      <c r="BB333" t="s">
        <v>1262</v>
      </c>
      <c r="BC333" t="e">
        <v>#N/A</v>
      </c>
      <c r="BD333" t="e">
        <v>#N/A</v>
      </c>
      <c r="BE333" t="e">
        <v>#N/A</v>
      </c>
      <c r="BF333" t="e">
        <v>#N/A</v>
      </c>
      <c r="BG333" t="s">
        <v>126</v>
      </c>
      <c r="BH333" t="s">
        <v>1873</v>
      </c>
      <c r="BI333" t="s">
        <v>126</v>
      </c>
    </row>
    <row r="334" spans="1:61" x14ac:dyDescent="0.35">
      <c r="A334" s="7" t="str">
        <f t="shared" si="10"/>
        <v>461784300010623</v>
      </c>
      <c r="B334" s="7" t="str">
        <f t="shared" si="11"/>
        <v>GP598441B857</v>
      </c>
      <c r="C334" t="s">
        <v>1177</v>
      </c>
      <c r="D334" t="s">
        <v>1178</v>
      </c>
      <c r="E334" t="s">
        <v>2494</v>
      </c>
      <c r="F334" t="s">
        <v>1363</v>
      </c>
      <c r="G334" t="s">
        <v>1363</v>
      </c>
      <c r="H334" t="s">
        <v>1271</v>
      </c>
      <c r="I334">
        <v>46178</v>
      </c>
      <c r="J334" t="s">
        <v>2495</v>
      </c>
      <c r="K334" t="s">
        <v>1282</v>
      </c>
      <c r="L334" t="s">
        <v>1177</v>
      </c>
      <c r="M334" t="s">
        <v>1274</v>
      </c>
      <c r="N334" t="s">
        <v>1079</v>
      </c>
      <c r="O334" t="s">
        <v>1275</v>
      </c>
      <c r="P334">
        <v>46178</v>
      </c>
      <c r="Q334" t="s">
        <v>1177</v>
      </c>
      <c r="R334" t="s">
        <v>23</v>
      </c>
      <c r="S334" t="s">
        <v>959</v>
      </c>
      <c r="T334" t="s">
        <v>2496</v>
      </c>
      <c r="U334" t="s">
        <v>2497</v>
      </c>
      <c r="V334">
        <v>1</v>
      </c>
      <c r="W334" t="s">
        <v>1262</v>
      </c>
      <c r="X334" t="s">
        <v>1262</v>
      </c>
      <c r="Y334">
        <v>0</v>
      </c>
      <c r="Z334" t="s">
        <v>1186</v>
      </c>
      <c r="AA334" t="s">
        <v>1177</v>
      </c>
      <c r="AB334" t="s">
        <v>1276</v>
      </c>
      <c r="AC334" t="s">
        <v>1277</v>
      </c>
      <c r="AD334" t="s">
        <v>1278</v>
      </c>
      <c r="AE334" t="s">
        <v>1657</v>
      </c>
      <c r="AF334" t="s">
        <v>1178</v>
      </c>
      <c r="AG334" t="s">
        <v>1190</v>
      </c>
      <c r="AH334" t="s">
        <v>1178</v>
      </c>
      <c r="AI334" t="s">
        <v>1280</v>
      </c>
      <c r="AJ334" t="s">
        <v>1189</v>
      </c>
      <c r="AK334">
        <v>1</v>
      </c>
      <c r="AL334" t="s">
        <v>1262</v>
      </c>
      <c r="AM334">
        <v>46323</v>
      </c>
      <c r="AN334">
        <v>46317</v>
      </c>
      <c r="AO334">
        <v>46317</v>
      </c>
      <c r="AP334">
        <v>46321</v>
      </c>
      <c r="AQ334">
        <v>46321</v>
      </c>
      <c r="AR334">
        <v>46323</v>
      </c>
      <c r="AS334">
        <v>46323</v>
      </c>
      <c r="AT334" t="s">
        <v>1281</v>
      </c>
      <c r="AU334" t="s">
        <v>1177</v>
      </c>
      <c r="AV334" t="s">
        <v>1192</v>
      </c>
      <c r="AW334" t="s">
        <v>1177</v>
      </c>
      <c r="AX334">
        <v>0</v>
      </c>
      <c r="AY334">
        <v>0</v>
      </c>
      <c r="AZ334" t="s">
        <v>1177</v>
      </c>
      <c r="BA334">
        <v>0</v>
      </c>
      <c r="BB334" t="s">
        <v>1262</v>
      </c>
      <c r="BC334" t="e">
        <v>#N/A</v>
      </c>
      <c r="BD334" t="e">
        <v>#N/A</v>
      </c>
      <c r="BE334" t="e">
        <v>#N/A</v>
      </c>
      <c r="BF334" t="e">
        <v>#N/A</v>
      </c>
      <c r="BG334" t="s">
        <v>1212</v>
      </c>
      <c r="BH334" t="s">
        <v>1194</v>
      </c>
      <c r="BI334" t="s">
        <v>1212</v>
      </c>
    </row>
    <row r="335" spans="1:61" x14ac:dyDescent="0.35">
      <c r="A335" s="7" t="str">
        <f t="shared" si="10"/>
        <v>461784300010627</v>
      </c>
      <c r="B335" s="7" t="str">
        <f t="shared" si="11"/>
        <v>GP043132B825</v>
      </c>
      <c r="C335" t="s">
        <v>1177</v>
      </c>
      <c r="D335" t="s">
        <v>1178</v>
      </c>
      <c r="E335" t="s">
        <v>2502</v>
      </c>
      <c r="F335" t="s">
        <v>1363</v>
      </c>
      <c r="G335" t="s">
        <v>1363</v>
      </c>
      <c r="H335" t="s">
        <v>1271</v>
      </c>
      <c r="I335">
        <v>46178</v>
      </c>
      <c r="J335" t="s">
        <v>2503</v>
      </c>
      <c r="K335" t="s">
        <v>1288</v>
      </c>
      <c r="L335" t="s">
        <v>1177</v>
      </c>
      <c r="M335" t="s">
        <v>1274</v>
      </c>
      <c r="N335" t="s">
        <v>1079</v>
      </c>
      <c r="O335" t="s">
        <v>1275</v>
      </c>
      <c r="P335">
        <v>46178</v>
      </c>
      <c r="Q335" t="s">
        <v>1177</v>
      </c>
      <c r="R335" t="s">
        <v>16</v>
      </c>
      <c r="S335" t="s">
        <v>512</v>
      </c>
      <c r="T335" t="s">
        <v>2504</v>
      </c>
      <c r="U335" t="s">
        <v>2505</v>
      </c>
      <c r="V335">
        <v>2</v>
      </c>
      <c r="W335" t="s">
        <v>1262</v>
      </c>
      <c r="X335" t="s">
        <v>1262</v>
      </c>
      <c r="Y335">
        <v>0</v>
      </c>
      <c r="Z335" t="s">
        <v>1186</v>
      </c>
      <c r="AA335" t="s">
        <v>1177</v>
      </c>
      <c r="AB335" t="s">
        <v>1276</v>
      </c>
      <c r="AC335" t="s">
        <v>1277</v>
      </c>
      <c r="AD335" t="s">
        <v>1278</v>
      </c>
      <c r="AE335" t="s">
        <v>1776</v>
      </c>
      <c r="AF335" t="s">
        <v>1178</v>
      </c>
      <c r="AG335" t="s">
        <v>1190</v>
      </c>
      <c r="AH335" t="s">
        <v>1178</v>
      </c>
      <c r="AI335" t="s">
        <v>1349</v>
      </c>
      <c r="AJ335" t="s">
        <v>1190</v>
      </c>
      <c r="AK335">
        <v>0</v>
      </c>
      <c r="AL335" t="s">
        <v>1262</v>
      </c>
      <c r="AM335">
        <v>46198</v>
      </c>
      <c r="AN335">
        <v>46339</v>
      </c>
      <c r="AO335">
        <v>46188</v>
      </c>
      <c r="AP335">
        <v>46190</v>
      </c>
      <c r="AQ335">
        <v>46190</v>
      </c>
      <c r="AR335">
        <v>46192</v>
      </c>
      <c r="AS335">
        <v>46192</v>
      </c>
      <c r="AT335" t="s">
        <v>1281</v>
      </c>
      <c r="AU335" t="s">
        <v>1177</v>
      </c>
      <c r="AV335" t="s">
        <v>1192</v>
      </c>
      <c r="AW335" t="s">
        <v>1177</v>
      </c>
      <c r="AX335">
        <v>0</v>
      </c>
      <c r="AY335">
        <v>0</v>
      </c>
      <c r="AZ335" t="s">
        <v>1177</v>
      </c>
      <c r="BA335">
        <v>0</v>
      </c>
      <c r="BB335" t="s">
        <v>1262</v>
      </c>
      <c r="BC335" t="s">
        <v>1453</v>
      </c>
      <c r="BD335">
        <v>1</v>
      </c>
      <c r="BE335">
        <v>46230</v>
      </c>
      <c r="BF335" t="s">
        <v>1165</v>
      </c>
      <c r="BG335" t="s">
        <v>1212</v>
      </c>
      <c r="BH335" t="s">
        <v>1194</v>
      </c>
      <c r="BI335" t="s">
        <v>2506</v>
      </c>
    </row>
    <row r="336" spans="1:61" x14ac:dyDescent="0.35">
      <c r="A336" s="7" t="str">
        <f t="shared" si="10"/>
        <v>461784300010632</v>
      </c>
      <c r="B336" s="7" t="str">
        <f t="shared" si="11"/>
        <v>GP265201B867</v>
      </c>
      <c r="C336" t="s">
        <v>1177</v>
      </c>
      <c r="D336" t="s">
        <v>1178</v>
      </c>
      <c r="E336" t="s">
        <v>2507</v>
      </c>
      <c r="F336" t="s">
        <v>1363</v>
      </c>
      <c r="G336" t="s">
        <v>1363</v>
      </c>
      <c r="H336" t="s">
        <v>1271</v>
      </c>
      <c r="I336">
        <v>46178</v>
      </c>
      <c r="J336" t="s">
        <v>2508</v>
      </c>
      <c r="K336" t="s">
        <v>1182</v>
      </c>
      <c r="L336" t="s">
        <v>1177</v>
      </c>
      <c r="M336" t="s">
        <v>1274</v>
      </c>
      <c r="N336" t="s">
        <v>1079</v>
      </c>
      <c r="O336" t="s">
        <v>1275</v>
      </c>
      <c r="P336">
        <v>46178</v>
      </c>
      <c r="Q336" t="s">
        <v>1177</v>
      </c>
      <c r="R336" t="s">
        <v>25</v>
      </c>
      <c r="S336" t="s">
        <v>1060</v>
      </c>
      <c r="T336" t="s">
        <v>873</v>
      </c>
      <c r="U336" t="s">
        <v>874</v>
      </c>
      <c r="V336">
        <v>1</v>
      </c>
      <c r="W336" t="s">
        <v>1202</v>
      </c>
      <c r="X336" t="s">
        <v>1202</v>
      </c>
      <c r="Y336">
        <v>0</v>
      </c>
      <c r="Z336" t="s">
        <v>1186</v>
      </c>
      <c r="AA336" t="s">
        <v>1177</v>
      </c>
      <c r="AB336" t="s">
        <v>1177</v>
      </c>
      <c r="AC336" t="s">
        <v>1177</v>
      </c>
      <c r="AD336" t="s">
        <v>1204</v>
      </c>
      <c r="AE336" t="s">
        <v>1205</v>
      </c>
      <c r="AF336" t="s">
        <v>1189</v>
      </c>
      <c r="AG336" t="s">
        <v>1178</v>
      </c>
      <c r="AH336" t="s">
        <v>1178</v>
      </c>
      <c r="AI336" t="s">
        <v>1280</v>
      </c>
      <c r="AJ336" t="s">
        <v>1190</v>
      </c>
      <c r="AK336">
        <v>0</v>
      </c>
      <c r="AL336" t="s">
        <v>1202</v>
      </c>
      <c r="AM336">
        <v>46140</v>
      </c>
      <c r="AN336">
        <v>46239</v>
      </c>
      <c r="AO336">
        <v>46184</v>
      </c>
      <c r="AP336">
        <v>46188</v>
      </c>
      <c r="AQ336">
        <v>46188</v>
      </c>
      <c r="AR336">
        <v>46190</v>
      </c>
      <c r="AS336">
        <v>46192</v>
      </c>
      <c r="AT336" t="s">
        <v>1281</v>
      </c>
      <c r="AU336" t="s">
        <v>1177</v>
      </c>
      <c r="AV336" t="s">
        <v>1192</v>
      </c>
      <c r="AW336" t="s">
        <v>1177</v>
      </c>
      <c r="AX336">
        <v>33</v>
      </c>
      <c r="AY336">
        <v>2</v>
      </c>
      <c r="AZ336" t="s">
        <v>1177</v>
      </c>
      <c r="BA336">
        <v>0</v>
      </c>
      <c r="BB336" t="s">
        <v>1202</v>
      </c>
      <c r="BC336" t="e">
        <v>#N/A</v>
      </c>
      <c r="BD336" t="e">
        <v>#N/A</v>
      </c>
      <c r="BE336" t="e">
        <v>#N/A</v>
      </c>
      <c r="BF336" t="e">
        <v>#N/A</v>
      </c>
      <c r="BG336" t="s">
        <v>126</v>
      </c>
      <c r="BH336" t="s">
        <v>1873</v>
      </c>
      <c r="BI336" t="s">
        <v>126</v>
      </c>
    </row>
    <row r="337" spans="1:61" x14ac:dyDescent="0.35">
      <c r="A337" s="7" t="str">
        <f t="shared" si="10"/>
        <v>461784300010642</v>
      </c>
      <c r="B337" s="7" t="str">
        <f t="shared" si="11"/>
        <v>GP082783B864</v>
      </c>
      <c r="C337" t="s">
        <v>1177</v>
      </c>
      <c r="D337" t="s">
        <v>1178</v>
      </c>
      <c r="E337" t="s">
        <v>2509</v>
      </c>
      <c r="F337" t="s">
        <v>1363</v>
      </c>
      <c r="G337" t="s">
        <v>1363</v>
      </c>
      <c r="H337" t="s">
        <v>1271</v>
      </c>
      <c r="I337">
        <v>46178</v>
      </c>
      <c r="J337" t="s">
        <v>2510</v>
      </c>
      <c r="K337" t="s">
        <v>1198</v>
      </c>
      <c r="L337" t="s">
        <v>1177</v>
      </c>
      <c r="M337" t="s">
        <v>1274</v>
      </c>
      <c r="N337" t="s">
        <v>1079</v>
      </c>
      <c r="O337" t="s">
        <v>1275</v>
      </c>
      <c r="P337">
        <v>46178</v>
      </c>
      <c r="Q337" t="s">
        <v>1177</v>
      </c>
      <c r="R337" t="s">
        <v>10</v>
      </c>
      <c r="S337" t="s">
        <v>1011</v>
      </c>
      <c r="T337" t="s">
        <v>50</v>
      </c>
      <c r="U337" t="s">
        <v>51</v>
      </c>
      <c r="V337">
        <v>1</v>
      </c>
      <c r="W337" t="s">
        <v>1262</v>
      </c>
      <c r="X337" t="s">
        <v>1262</v>
      </c>
      <c r="Y337">
        <v>0</v>
      </c>
      <c r="Z337" t="s">
        <v>1186</v>
      </c>
      <c r="AA337" t="s">
        <v>1177</v>
      </c>
      <c r="AB337" t="s">
        <v>1276</v>
      </c>
      <c r="AC337" t="s">
        <v>1277</v>
      </c>
      <c r="AD337" t="s">
        <v>1278</v>
      </c>
      <c r="AE337" t="s">
        <v>1618</v>
      </c>
      <c r="AF337" t="s">
        <v>1178</v>
      </c>
      <c r="AG337" t="s">
        <v>1190</v>
      </c>
      <c r="AH337" t="s">
        <v>1178</v>
      </c>
      <c r="AI337" t="s">
        <v>1280</v>
      </c>
      <c r="AJ337" t="s">
        <v>1190</v>
      </c>
      <c r="AK337">
        <v>0</v>
      </c>
      <c r="AL337" t="s">
        <v>1262</v>
      </c>
      <c r="AM337">
        <v>46147</v>
      </c>
      <c r="AN337">
        <v>46204</v>
      </c>
      <c r="AO337">
        <v>46184</v>
      </c>
      <c r="AP337">
        <v>46188</v>
      </c>
      <c r="AQ337">
        <v>46188</v>
      </c>
      <c r="AR337">
        <v>46190</v>
      </c>
      <c r="AS337">
        <v>46192</v>
      </c>
      <c r="AT337" t="s">
        <v>1281</v>
      </c>
      <c r="AU337" t="s">
        <v>1177</v>
      </c>
      <c r="AV337" t="s">
        <v>1192</v>
      </c>
      <c r="AW337" t="s">
        <v>1177</v>
      </c>
      <c r="AX337">
        <v>33</v>
      </c>
      <c r="AY337">
        <v>2</v>
      </c>
      <c r="AZ337" t="s">
        <v>1177</v>
      </c>
      <c r="BA337">
        <v>0</v>
      </c>
      <c r="BB337" t="s">
        <v>1262</v>
      </c>
      <c r="BC337" t="e">
        <v>#N/A</v>
      </c>
      <c r="BD337" t="e">
        <v>#N/A</v>
      </c>
      <c r="BE337" t="e">
        <v>#N/A</v>
      </c>
      <c r="BF337" t="e">
        <v>#N/A</v>
      </c>
      <c r="BG337" t="s">
        <v>126</v>
      </c>
      <c r="BH337" t="s">
        <v>1873</v>
      </c>
      <c r="BI337" t="s">
        <v>126</v>
      </c>
    </row>
    <row r="338" spans="1:61" x14ac:dyDescent="0.35">
      <c r="A338" s="7" t="str">
        <f t="shared" si="10"/>
        <v>461784300010650</v>
      </c>
      <c r="B338" s="7" t="str">
        <f t="shared" si="11"/>
        <v>GP239268B825</v>
      </c>
      <c r="C338" t="s">
        <v>1177</v>
      </c>
      <c r="D338" t="s">
        <v>1178</v>
      </c>
      <c r="E338" t="s">
        <v>2511</v>
      </c>
      <c r="F338" t="s">
        <v>1363</v>
      </c>
      <c r="G338" t="s">
        <v>1363</v>
      </c>
      <c r="H338" t="s">
        <v>1271</v>
      </c>
      <c r="I338">
        <v>46178</v>
      </c>
      <c r="J338" t="s">
        <v>2512</v>
      </c>
      <c r="K338" t="s">
        <v>1182</v>
      </c>
      <c r="L338" t="s">
        <v>1177</v>
      </c>
      <c r="M338" t="s">
        <v>1274</v>
      </c>
      <c r="N338" t="s">
        <v>1079</v>
      </c>
      <c r="O338" t="s">
        <v>1275</v>
      </c>
      <c r="P338">
        <v>46178</v>
      </c>
      <c r="Q338" t="s">
        <v>1177</v>
      </c>
      <c r="R338" t="s">
        <v>16</v>
      </c>
      <c r="S338" t="s">
        <v>512</v>
      </c>
      <c r="T338" t="s">
        <v>2513</v>
      </c>
      <c r="U338" t="s">
        <v>2514</v>
      </c>
      <c r="V338">
        <v>1</v>
      </c>
      <c r="W338" t="s">
        <v>1262</v>
      </c>
      <c r="X338" t="s">
        <v>1262</v>
      </c>
      <c r="Y338">
        <v>0</v>
      </c>
      <c r="Z338" t="s">
        <v>1186</v>
      </c>
      <c r="AA338" t="s">
        <v>1177</v>
      </c>
      <c r="AB338" t="s">
        <v>1276</v>
      </c>
      <c r="AC338" t="s">
        <v>1277</v>
      </c>
      <c r="AD338" t="s">
        <v>1278</v>
      </c>
      <c r="AE338" t="s">
        <v>1354</v>
      </c>
      <c r="AF338" t="s">
        <v>1178</v>
      </c>
      <c r="AG338" t="s">
        <v>1190</v>
      </c>
      <c r="AH338" t="s">
        <v>1178</v>
      </c>
      <c r="AI338" t="s">
        <v>1349</v>
      </c>
      <c r="AJ338" t="s">
        <v>1190</v>
      </c>
      <c r="AK338">
        <v>0</v>
      </c>
      <c r="AL338" t="s">
        <v>1262</v>
      </c>
      <c r="AM338">
        <v>46426</v>
      </c>
      <c r="AN338">
        <v>46478</v>
      </c>
      <c r="AO338">
        <v>46419</v>
      </c>
      <c r="AP338">
        <v>46421</v>
      </c>
      <c r="AQ338">
        <v>46421</v>
      </c>
      <c r="AR338">
        <v>46423</v>
      </c>
      <c r="AS338">
        <v>46423</v>
      </c>
      <c r="AT338" t="s">
        <v>1281</v>
      </c>
      <c r="AU338" t="s">
        <v>1177</v>
      </c>
      <c r="AV338" t="s">
        <v>1192</v>
      </c>
      <c r="AW338" t="s">
        <v>1177</v>
      </c>
      <c r="AX338">
        <v>0</v>
      </c>
      <c r="AY338">
        <v>0</v>
      </c>
      <c r="AZ338" t="s">
        <v>1177</v>
      </c>
      <c r="BA338">
        <v>0</v>
      </c>
      <c r="BB338" t="s">
        <v>1262</v>
      </c>
      <c r="BC338" t="e">
        <v>#N/A</v>
      </c>
      <c r="BD338" t="e">
        <v>#N/A</v>
      </c>
      <c r="BE338" t="e">
        <v>#N/A</v>
      </c>
      <c r="BF338" t="e">
        <v>#N/A</v>
      </c>
      <c r="BG338" t="s">
        <v>2515</v>
      </c>
      <c r="BH338" t="s">
        <v>1194</v>
      </c>
      <c r="BI338" t="s">
        <v>2516</v>
      </c>
    </row>
    <row r="339" spans="1:61" x14ac:dyDescent="0.35">
      <c r="A339" s="7" t="str">
        <f t="shared" si="10"/>
        <v>461784300010652</v>
      </c>
      <c r="B339" s="7" t="str">
        <f t="shared" si="11"/>
        <v>GP571539B856</v>
      </c>
      <c r="C339" t="s">
        <v>1177</v>
      </c>
      <c r="D339" t="s">
        <v>1178</v>
      </c>
      <c r="E339" t="s">
        <v>2517</v>
      </c>
      <c r="F339" t="s">
        <v>1363</v>
      </c>
      <c r="G339" t="s">
        <v>1363</v>
      </c>
      <c r="H339" t="s">
        <v>1271</v>
      </c>
      <c r="I339">
        <v>46178</v>
      </c>
      <c r="J339" t="s">
        <v>2518</v>
      </c>
      <c r="K339" t="s">
        <v>1182</v>
      </c>
      <c r="L339" t="s">
        <v>1177</v>
      </c>
      <c r="M339" t="s">
        <v>1274</v>
      </c>
      <c r="N339" t="s">
        <v>1079</v>
      </c>
      <c r="O339" t="s">
        <v>1080</v>
      </c>
      <c r="P339">
        <v>46181</v>
      </c>
      <c r="Q339" t="s">
        <v>1177</v>
      </c>
      <c r="R339" t="s">
        <v>21</v>
      </c>
      <c r="S339" t="s">
        <v>853</v>
      </c>
      <c r="T339" t="s">
        <v>1111</v>
      </c>
      <c r="U339" t="s">
        <v>1112</v>
      </c>
      <c r="V339">
        <v>1</v>
      </c>
      <c r="W339" t="s">
        <v>1262</v>
      </c>
      <c r="X339" t="s">
        <v>1262</v>
      </c>
      <c r="Y339">
        <v>0</v>
      </c>
      <c r="Z339" t="s">
        <v>1186</v>
      </c>
      <c r="AA339" t="s">
        <v>1177</v>
      </c>
      <c r="AB339" t="s">
        <v>1276</v>
      </c>
      <c r="AC339" t="s">
        <v>1277</v>
      </c>
      <c r="AD339" t="s">
        <v>1278</v>
      </c>
      <c r="AE339" t="s">
        <v>1526</v>
      </c>
      <c r="AF339" t="s">
        <v>1178</v>
      </c>
      <c r="AG339" t="s">
        <v>1190</v>
      </c>
      <c r="AH339" t="s">
        <v>1178</v>
      </c>
      <c r="AI339" t="s">
        <v>1280</v>
      </c>
      <c r="AJ339" t="s">
        <v>1189</v>
      </c>
      <c r="AK339">
        <v>1</v>
      </c>
      <c r="AL339" t="s">
        <v>1262</v>
      </c>
      <c r="AM339">
        <v>46288</v>
      </c>
      <c r="AN339">
        <v>46282</v>
      </c>
      <c r="AO339">
        <v>46282</v>
      </c>
      <c r="AP339">
        <v>46286</v>
      </c>
      <c r="AQ339">
        <v>46286</v>
      </c>
      <c r="AR339">
        <v>46288</v>
      </c>
      <c r="AS339">
        <v>46288</v>
      </c>
      <c r="AT339" t="s">
        <v>1281</v>
      </c>
      <c r="AU339" t="s">
        <v>1177</v>
      </c>
      <c r="AV339" t="s">
        <v>1192</v>
      </c>
      <c r="AW339" t="s">
        <v>1177</v>
      </c>
      <c r="AX339">
        <v>0</v>
      </c>
      <c r="AY339">
        <v>0</v>
      </c>
      <c r="AZ339" t="s">
        <v>1177</v>
      </c>
      <c r="BA339">
        <v>0</v>
      </c>
      <c r="BB339" t="s">
        <v>1262</v>
      </c>
      <c r="BC339" t="s">
        <v>2519</v>
      </c>
      <c r="BD339">
        <v>1</v>
      </c>
      <c r="BE339">
        <v>46195</v>
      </c>
      <c r="BF339" t="s">
        <v>1165</v>
      </c>
      <c r="BG339" t="s">
        <v>1464</v>
      </c>
      <c r="BH339" t="s">
        <v>2169</v>
      </c>
      <c r="BI339" t="s">
        <v>2520</v>
      </c>
    </row>
    <row r="340" spans="1:61" x14ac:dyDescent="0.35">
      <c r="A340" s="7" t="str">
        <f t="shared" si="10"/>
        <v>461784300010653</v>
      </c>
      <c r="B340" s="7" t="str">
        <f t="shared" si="11"/>
        <v>GP265201B867</v>
      </c>
      <c r="C340" t="s">
        <v>1177</v>
      </c>
      <c r="D340" t="s">
        <v>1178</v>
      </c>
      <c r="E340" t="s">
        <v>2523</v>
      </c>
      <c r="F340" t="s">
        <v>1363</v>
      </c>
      <c r="G340" t="s">
        <v>1363</v>
      </c>
      <c r="H340" t="s">
        <v>1271</v>
      </c>
      <c r="I340">
        <v>46178</v>
      </c>
      <c r="J340" t="s">
        <v>2524</v>
      </c>
      <c r="K340" t="s">
        <v>1198</v>
      </c>
      <c r="L340" t="s">
        <v>1177</v>
      </c>
      <c r="M340" t="s">
        <v>1274</v>
      </c>
      <c r="N340" t="s">
        <v>1079</v>
      </c>
      <c r="O340" t="s">
        <v>1275</v>
      </c>
      <c r="P340">
        <v>46178</v>
      </c>
      <c r="Q340" t="s">
        <v>1177</v>
      </c>
      <c r="R340" t="s">
        <v>25</v>
      </c>
      <c r="S340" t="s">
        <v>1060</v>
      </c>
      <c r="T340" t="s">
        <v>873</v>
      </c>
      <c r="U340" t="s">
        <v>874</v>
      </c>
      <c r="V340">
        <v>8</v>
      </c>
      <c r="W340" t="s">
        <v>1202</v>
      </c>
      <c r="X340" t="s">
        <v>1202</v>
      </c>
      <c r="Y340">
        <v>0</v>
      </c>
      <c r="Z340" t="s">
        <v>1186</v>
      </c>
      <c r="AA340" t="s">
        <v>1177</v>
      </c>
      <c r="AB340" t="s">
        <v>1177</v>
      </c>
      <c r="AC340" t="s">
        <v>1177</v>
      </c>
      <c r="AD340" t="s">
        <v>1204</v>
      </c>
      <c r="AE340" t="s">
        <v>1205</v>
      </c>
      <c r="AF340" t="s">
        <v>1189</v>
      </c>
      <c r="AG340" t="s">
        <v>1178</v>
      </c>
      <c r="AH340" t="s">
        <v>1178</v>
      </c>
      <c r="AI340" t="s">
        <v>1280</v>
      </c>
      <c r="AJ340" t="s">
        <v>1190</v>
      </c>
      <c r="AK340">
        <v>0</v>
      </c>
      <c r="AL340" t="s">
        <v>1202</v>
      </c>
      <c r="AM340">
        <v>46234</v>
      </c>
      <c r="AN340">
        <v>46239</v>
      </c>
      <c r="AO340">
        <v>46226</v>
      </c>
      <c r="AP340">
        <v>46230</v>
      </c>
      <c r="AQ340">
        <v>46230</v>
      </c>
      <c r="AR340">
        <v>46232</v>
      </c>
      <c r="AS340">
        <v>46234</v>
      </c>
      <c r="AT340" t="s">
        <v>1281</v>
      </c>
      <c r="AU340" t="s">
        <v>1177</v>
      </c>
      <c r="AV340" t="s">
        <v>1192</v>
      </c>
      <c r="AW340" t="s">
        <v>1177</v>
      </c>
      <c r="AX340">
        <v>33</v>
      </c>
      <c r="AY340">
        <v>2</v>
      </c>
      <c r="AZ340" t="s">
        <v>1177</v>
      </c>
      <c r="BA340">
        <v>0</v>
      </c>
      <c r="BB340" t="s">
        <v>1202</v>
      </c>
      <c r="BC340" t="e">
        <v>#N/A</v>
      </c>
      <c r="BD340" t="e">
        <v>#N/A</v>
      </c>
      <c r="BE340" t="e">
        <v>#N/A</v>
      </c>
      <c r="BF340" t="e">
        <v>#N/A</v>
      </c>
      <c r="BG340" t="s">
        <v>1372</v>
      </c>
      <c r="BH340" t="s">
        <v>1903</v>
      </c>
      <c r="BI340" t="s">
        <v>1551</v>
      </c>
    </row>
    <row r="341" spans="1:61" x14ac:dyDescent="0.35">
      <c r="A341" s="7" t="str">
        <f t="shared" si="10"/>
        <v>461784300010656</v>
      </c>
      <c r="B341" s="7" t="str">
        <f t="shared" si="11"/>
        <v>GP164975B857</v>
      </c>
      <c r="C341" t="s">
        <v>1177</v>
      </c>
      <c r="D341" t="s">
        <v>1178</v>
      </c>
      <c r="E341" t="s">
        <v>2525</v>
      </c>
      <c r="F341" t="s">
        <v>1363</v>
      </c>
      <c r="G341" t="s">
        <v>1363</v>
      </c>
      <c r="H341" t="s">
        <v>1271</v>
      </c>
      <c r="I341">
        <v>46178</v>
      </c>
      <c r="J341" t="s">
        <v>2526</v>
      </c>
      <c r="K341" t="s">
        <v>1182</v>
      </c>
      <c r="L341" t="s">
        <v>1177</v>
      </c>
      <c r="M341" t="s">
        <v>1274</v>
      </c>
      <c r="N341" t="s">
        <v>1079</v>
      </c>
      <c r="O341" t="s">
        <v>1275</v>
      </c>
      <c r="P341">
        <v>46178</v>
      </c>
      <c r="Q341" t="s">
        <v>1177</v>
      </c>
      <c r="R341" t="s">
        <v>23</v>
      </c>
      <c r="S341" t="s">
        <v>959</v>
      </c>
      <c r="T341" t="s">
        <v>706</v>
      </c>
      <c r="U341" t="s">
        <v>707</v>
      </c>
      <c r="V341">
        <v>1</v>
      </c>
      <c r="W341" t="s">
        <v>1262</v>
      </c>
      <c r="X341" t="s">
        <v>1262</v>
      </c>
      <c r="Y341">
        <v>0</v>
      </c>
      <c r="Z341" t="s">
        <v>1186</v>
      </c>
      <c r="AA341" t="s">
        <v>1177</v>
      </c>
      <c r="AB341" t="s">
        <v>1276</v>
      </c>
      <c r="AC341" t="s">
        <v>1277</v>
      </c>
      <c r="AD341" t="s">
        <v>1278</v>
      </c>
      <c r="AE341" t="s">
        <v>1724</v>
      </c>
      <c r="AF341" t="s">
        <v>1178</v>
      </c>
      <c r="AG341" t="s">
        <v>1190</v>
      </c>
      <c r="AH341" t="s">
        <v>1178</v>
      </c>
      <c r="AI341" t="s">
        <v>1280</v>
      </c>
      <c r="AJ341" t="s">
        <v>1190</v>
      </c>
      <c r="AK341">
        <v>0</v>
      </c>
      <c r="AL341" t="s">
        <v>1262</v>
      </c>
      <c r="AM341">
        <v>46154</v>
      </c>
      <c r="AN341">
        <v>46184</v>
      </c>
      <c r="AO341">
        <v>46184</v>
      </c>
      <c r="AP341">
        <v>46188</v>
      </c>
      <c r="AQ341">
        <v>46188</v>
      </c>
      <c r="AR341">
        <v>46190</v>
      </c>
      <c r="AS341">
        <v>46192</v>
      </c>
      <c r="AT341" t="s">
        <v>1281</v>
      </c>
      <c r="AU341" t="s">
        <v>1177</v>
      </c>
      <c r="AV341" t="s">
        <v>1192</v>
      </c>
      <c r="AW341" t="s">
        <v>1177</v>
      </c>
      <c r="AX341">
        <v>33</v>
      </c>
      <c r="AY341">
        <v>2</v>
      </c>
      <c r="AZ341" t="s">
        <v>1177</v>
      </c>
      <c r="BA341">
        <v>1</v>
      </c>
      <c r="BB341" t="s">
        <v>1262</v>
      </c>
      <c r="BC341" t="s">
        <v>1580</v>
      </c>
      <c r="BD341">
        <v>1</v>
      </c>
      <c r="BE341">
        <v>46191</v>
      </c>
      <c r="BF341" t="s">
        <v>1165</v>
      </c>
      <c r="BG341" t="s">
        <v>126</v>
      </c>
      <c r="BH341" t="s">
        <v>1873</v>
      </c>
      <c r="BI341" t="s">
        <v>126</v>
      </c>
    </row>
    <row r="342" spans="1:61" x14ac:dyDescent="0.35">
      <c r="A342" s="7" t="str">
        <f t="shared" si="10"/>
        <v>461784300010666</v>
      </c>
      <c r="B342" s="7" t="str">
        <f t="shared" si="11"/>
        <v>GP082783B857</v>
      </c>
      <c r="C342" t="s">
        <v>1177</v>
      </c>
      <c r="D342" t="s">
        <v>1178</v>
      </c>
      <c r="E342" t="s">
        <v>2527</v>
      </c>
      <c r="F342" t="s">
        <v>1363</v>
      </c>
      <c r="G342" t="s">
        <v>1363</v>
      </c>
      <c r="H342" t="s">
        <v>1271</v>
      </c>
      <c r="I342">
        <v>46178</v>
      </c>
      <c r="J342" t="s">
        <v>2528</v>
      </c>
      <c r="K342" t="s">
        <v>1182</v>
      </c>
      <c r="L342" t="s">
        <v>1177</v>
      </c>
      <c r="M342" t="s">
        <v>1274</v>
      </c>
      <c r="N342" t="s">
        <v>1079</v>
      </c>
      <c r="O342" t="s">
        <v>1275</v>
      </c>
      <c r="P342">
        <v>46178</v>
      </c>
      <c r="Q342" t="s">
        <v>1177</v>
      </c>
      <c r="R342" t="s">
        <v>23</v>
      </c>
      <c r="S342" t="s">
        <v>959</v>
      </c>
      <c r="T342" t="s">
        <v>50</v>
      </c>
      <c r="U342" t="s">
        <v>51</v>
      </c>
      <c r="V342">
        <v>1</v>
      </c>
      <c r="W342" t="s">
        <v>1262</v>
      </c>
      <c r="X342" t="s">
        <v>1262</v>
      </c>
      <c r="Y342">
        <v>0</v>
      </c>
      <c r="Z342" t="s">
        <v>1186</v>
      </c>
      <c r="AA342" t="s">
        <v>1177</v>
      </c>
      <c r="AB342" t="s">
        <v>1276</v>
      </c>
      <c r="AC342" t="s">
        <v>1277</v>
      </c>
      <c r="AD342" t="s">
        <v>1278</v>
      </c>
      <c r="AE342" t="s">
        <v>1618</v>
      </c>
      <c r="AF342" t="s">
        <v>1178</v>
      </c>
      <c r="AG342" t="s">
        <v>1190</v>
      </c>
      <c r="AH342" t="s">
        <v>1178</v>
      </c>
      <c r="AI342" t="s">
        <v>1280</v>
      </c>
      <c r="AJ342" t="s">
        <v>1190</v>
      </c>
      <c r="AK342">
        <v>0</v>
      </c>
      <c r="AL342" t="s">
        <v>1262</v>
      </c>
      <c r="AM342">
        <v>46161</v>
      </c>
      <c r="AN342">
        <v>46204</v>
      </c>
      <c r="AO342">
        <v>46184</v>
      </c>
      <c r="AP342">
        <v>46188</v>
      </c>
      <c r="AQ342">
        <v>46188</v>
      </c>
      <c r="AR342">
        <v>46190</v>
      </c>
      <c r="AS342">
        <v>46192</v>
      </c>
      <c r="AT342" t="s">
        <v>1281</v>
      </c>
      <c r="AU342" t="s">
        <v>1177</v>
      </c>
      <c r="AV342" t="s">
        <v>1192</v>
      </c>
      <c r="AW342" t="s">
        <v>1177</v>
      </c>
      <c r="AX342">
        <v>33</v>
      </c>
      <c r="AY342">
        <v>2</v>
      </c>
      <c r="AZ342" t="s">
        <v>1177</v>
      </c>
      <c r="BA342">
        <v>0</v>
      </c>
      <c r="BB342" t="s">
        <v>1262</v>
      </c>
      <c r="BC342" t="e">
        <v>#N/A</v>
      </c>
      <c r="BD342" t="e">
        <v>#N/A</v>
      </c>
      <c r="BE342" t="e">
        <v>#N/A</v>
      </c>
      <c r="BF342" t="e">
        <v>#N/A</v>
      </c>
      <c r="BG342" t="s">
        <v>126</v>
      </c>
      <c r="BH342" t="s">
        <v>1873</v>
      </c>
      <c r="BI342" t="s">
        <v>126</v>
      </c>
    </row>
    <row r="343" spans="1:61" x14ac:dyDescent="0.35">
      <c r="A343" s="7" t="str">
        <f t="shared" si="10"/>
        <v>461794300010669</v>
      </c>
      <c r="B343" s="7" t="str">
        <f t="shared" si="11"/>
        <v>GP034202B865</v>
      </c>
      <c r="C343" t="s">
        <v>2529</v>
      </c>
      <c r="D343" t="s">
        <v>1646</v>
      </c>
      <c r="E343" t="s">
        <v>1177</v>
      </c>
      <c r="F343" t="s">
        <v>2530</v>
      </c>
      <c r="G343" t="s">
        <v>2368</v>
      </c>
      <c r="H343" t="s">
        <v>1271</v>
      </c>
      <c r="I343">
        <v>46179</v>
      </c>
      <c r="J343" t="s">
        <v>2531</v>
      </c>
      <c r="K343" t="s">
        <v>1646</v>
      </c>
      <c r="L343" t="s">
        <v>1177</v>
      </c>
      <c r="M343" t="s">
        <v>1274</v>
      </c>
      <c r="N343" t="s">
        <v>1079</v>
      </c>
      <c r="O343" t="s">
        <v>1080</v>
      </c>
      <c r="P343">
        <v>46179</v>
      </c>
      <c r="Q343" t="s">
        <v>1177</v>
      </c>
      <c r="R343" t="s">
        <v>7</v>
      </c>
      <c r="S343" t="s">
        <v>1040</v>
      </c>
      <c r="T343" t="s">
        <v>1081</v>
      </c>
      <c r="U343" t="s">
        <v>1082</v>
      </c>
      <c r="V343">
        <v>1</v>
      </c>
      <c r="W343" t="s">
        <v>1202</v>
      </c>
      <c r="X343" t="s">
        <v>1202</v>
      </c>
      <c r="Y343">
        <v>0</v>
      </c>
      <c r="Z343" t="s">
        <v>1186</v>
      </c>
      <c r="AA343" t="s">
        <v>1177</v>
      </c>
      <c r="AB343" t="s">
        <v>1286</v>
      </c>
      <c r="AC343" t="s">
        <v>1277</v>
      </c>
      <c r="AD343" t="s">
        <v>1278</v>
      </c>
      <c r="AE343" t="s">
        <v>1730</v>
      </c>
      <c r="AF343" t="s">
        <v>1178</v>
      </c>
      <c r="AG343" t="s">
        <v>1178</v>
      </c>
      <c r="AH343" t="s">
        <v>1178</v>
      </c>
      <c r="AI343" t="s">
        <v>1349</v>
      </c>
      <c r="AJ343" t="s">
        <v>1189</v>
      </c>
      <c r="AK343">
        <v>1</v>
      </c>
      <c r="AL343" t="s">
        <v>1202</v>
      </c>
      <c r="AM343">
        <v>46206</v>
      </c>
      <c r="AN343">
        <v>46202</v>
      </c>
      <c r="AO343">
        <v>46202</v>
      </c>
      <c r="AP343">
        <v>46204</v>
      </c>
      <c r="AQ343">
        <v>46204</v>
      </c>
      <c r="AR343">
        <v>46206</v>
      </c>
      <c r="AS343">
        <v>46210</v>
      </c>
      <c r="AT343" t="s">
        <v>1281</v>
      </c>
      <c r="AU343" t="s">
        <v>1177</v>
      </c>
      <c r="AV343" t="s">
        <v>1192</v>
      </c>
      <c r="AW343" t="s">
        <v>1177</v>
      </c>
      <c r="AX343">
        <v>154</v>
      </c>
      <c r="AY343">
        <v>2</v>
      </c>
      <c r="AZ343" t="s">
        <v>1177</v>
      </c>
      <c r="BA343">
        <v>0</v>
      </c>
      <c r="BB343" t="s">
        <v>1202</v>
      </c>
      <c r="BC343" t="s">
        <v>2532</v>
      </c>
      <c r="BD343">
        <v>93</v>
      </c>
      <c r="BE343">
        <v>46181</v>
      </c>
      <c r="BF343" t="s">
        <v>1165</v>
      </c>
      <c r="BG343" t="s">
        <v>1458</v>
      </c>
      <c r="BH343" t="e">
        <v>#N/A</v>
      </c>
      <c r="BI343" t="e">
        <v>#N/A</v>
      </c>
    </row>
    <row r="344" spans="1:61" x14ac:dyDescent="0.35">
      <c r="A344" s="7" t="str">
        <f t="shared" si="10"/>
        <v>461814300010675</v>
      </c>
      <c r="B344" s="7" t="str">
        <f t="shared" si="11"/>
        <v>GP440213B867</v>
      </c>
      <c r="C344" t="s">
        <v>2533</v>
      </c>
      <c r="D344" t="s">
        <v>1182</v>
      </c>
      <c r="E344" t="s">
        <v>1177</v>
      </c>
      <c r="F344" t="s">
        <v>2386</v>
      </c>
      <c r="G344" t="s">
        <v>2368</v>
      </c>
      <c r="H344" t="s">
        <v>1271</v>
      </c>
      <c r="I344">
        <v>46181</v>
      </c>
      <c r="J344" t="s">
        <v>2534</v>
      </c>
      <c r="K344" t="s">
        <v>1182</v>
      </c>
      <c r="L344" t="s">
        <v>1177</v>
      </c>
      <c r="M344" t="s">
        <v>1274</v>
      </c>
      <c r="N344" t="s">
        <v>1079</v>
      </c>
      <c r="O344" t="s">
        <v>1275</v>
      </c>
      <c r="P344">
        <v>46181</v>
      </c>
      <c r="Q344" t="s">
        <v>1177</v>
      </c>
      <c r="R344" t="s">
        <v>25</v>
      </c>
      <c r="S344" t="s">
        <v>1060</v>
      </c>
      <c r="T344" t="s">
        <v>2535</v>
      </c>
      <c r="U344" t="s">
        <v>2536</v>
      </c>
      <c r="V344">
        <v>1</v>
      </c>
      <c r="W344" t="s">
        <v>1262</v>
      </c>
      <c r="X344" t="s">
        <v>1262</v>
      </c>
      <c r="Y344">
        <v>0</v>
      </c>
      <c r="Z344" t="s">
        <v>1186</v>
      </c>
      <c r="AA344" t="s">
        <v>1177</v>
      </c>
      <c r="AB344" t="s">
        <v>1177</v>
      </c>
      <c r="AC344" t="s">
        <v>1177</v>
      </c>
      <c r="AD344" t="s">
        <v>2537</v>
      </c>
      <c r="AE344" t="s">
        <v>1354</v>
      </c>
      <c r="AF344" t="s">
        <v>1675</v>
      </c>
      <c r="AG344" t="s">
        <v>1189</v>
      </c>
      <c r="AH344" t="s">
        <v>1178</v>
      </c>
      <c r="AI344" t="s">
        <v>1280</v>
      </c>
      <c r="AJ344" t="s">
        <v>1190</v>
      </c>
      <c r="AK344">
        <v>0</v>
      </c>
      <c r="AL344" t="s">
        <v>1262</v>
      </c>
      <c r="AM344">
        <v>46183</v>
      </c>
      <c r="AN344">
        <v>46184</v>
      </c>
      <c r="AO344">
        <v>46184</v>
      </c>
      <c r="AP344">
        <v>46188</v>
      </c>
      <c r="AQ344">
        <v>46188</v>
      </c>
      <c r="AR344">
        <v>46190</v>
      </c>
      <c r="AS344">
        <v>46190</v>
      </c>
      <c r="AT344" t="s">
        <v>1281</v>
      </c>
      <c r="AU344" t="s">
        <v>1177</v>
      </c>
      <c r="AV344" t="s">
        <v>1192</v>
      </c>
      <c r="AW344" t="s">
        <v>1177</v>
      </c>
      <c r="AX344">
        <v>0</v>
      </c>
      <c r="AY344">
        <v>0</v>
      </c>
      <c r="AZ344" t="s">
        <v>1177</v>
      </c>
      <c r="BA344">
        <v>0</v>
      </c>
      <c r="BB344" t="s">
        <v>1262</v>
      </c>
      <c r="BC344" t="e">
        <v>#N/A</v>
      </c>
      <c r="BD344" t="e">
        <v>#N/A</v>
      </c>
      <c r="BE344" t="e">
        <v>#N/A</v>
      </c>
      <c r="BF344" t="e">
        <v>#N/A</v>
      </c>
      <c r="BG344" t="s">
        <v>1458</v>
      </c>
      <c r="BH344" t="e">
        <v>#N/A</v>
      </c>
      <c r="BI344" t="e">
        <v>#N/A</v>
      </c>
    </row>
    <row r="345" spans="1:61" x14ac:dyDescent="0.35">
      <c r="A345" s="7" t="str">
        <f t="shared" si="10"/>
        <v>461814300010676</v>
      </c>
      <c r="B345" s="7" t="str">
        <f t="shared" si="11"/>
        <v>GP014423B825</v>
      </c>
      <c r="C345" t="s">
        <v>2538</v>
      </c>
      <c r="D345" t="s">
        <v>1182</v>
      </c>
      <c r="E345" t="s">
        <v>1177</v>
      </c>
      <c r="F345" t="s">
        <v>1232</v>
      </c>
      <c r="G345" t="s">
        <v>1233</v>
      </c>
      <c r="H345" t="s">
        <v>1271</v>
      </c>
      <c r="I345">
        <v>46181</v>
      </c>
      <c r="J345" t="s">
        <v>2539</v>
      </c>
      <c r="K345" t="s">
        <v>1182</v>
      </c>
      <c r="L345" t="s">
        <v>1177</v>
      </c>
      <c r="M345" t="s">
        <v>1274</v>
      </c>
      <c r="N345" t="s">
        <v>1079</v>
      </c>
      <c r="O345" t="s">
        <v>1275</v>
      </c>
      <c r="P345">
        <v>46181</v>
      </c>
      <c r="Q345" t="s">
        <v>1177</v>
      </c>
      <c r="R345" t="s">
        <v>16</v>
      </c>
      <c r="S345" t="s">
        <v>512</v>
      </c>
      <c r="T345" t="s">
        <v>470</v>
      </c>
      <c r="U345" t="s">
        <v>2540</v>
      </c>
      <c r="V345">
        <v>4</v>
      </c>
      <c r="W345" t="s">
        <v>1262</v>
      </c>
      <c r="X345" t="s">
        <v>1262</v>
      </c>
      <c r="Y345">
        <v>0</v>
      </c>
      <c r="Z345" t="s">
        <v>1186</v>
      </c>
      <c r="AA345" t="s">
        <v>1177</v>
      </c>
      <c r="AB345" t="s">
        <v>1276</v>
      </c>
      <c r="AC345" t="s">
        <v>1277</v>
      </c>
      <c r="AD345" t="s">
        <v>1278</v>
      </c>
      <c r="AE345" t="s">
        <v>2541</v>
      </c>
      <c r="AF345" t="s">
        <v>1178</v>
      </c>
      <c r="AG345" t="s">
        <v>1190</v>
      </c>
      <c r="AH345" t="s">
        <v>1178</v>
      </c>
      <c r="AI345" t="s">
        <v>1177</v>
      </c>
      <c r="AJ345" t="s">
        <v>1190</v>
      </c>
      <c r="AK345">
        <v>0</v>
      </c>
      <c r="AL345" t="s">
        <v>1262</v>
      </c>
      <c r="AM345">
        <v>46383</v>
      </c>
      <c r="AN345">
        <v>46373</v>
      </c>
      <c r="AO345">
        <v>46371</v>
      </c>
      <c r="AP345">
        <v>46373</v>
      </c>
      <c r="AQ345">
        <v>46373</v>
      </c>
      <c r="AR345">
        <v>46374</v>
      </c>
      <c r="AS345">
        <v>46386</v>
      </c>
      <c r="AT345" t="s">
        <v>1281</v>
      </c>
      <c r="AU345" t="s">
        <v>1177</v>
      </c>
      <c r="AV345" t="s">
        <v>1192</v>
      </c>
      <c r="AW345" t="s">
        <v>1177</v>
      </c>
      <c r="AX345">
        <v>176</v>
      </c>
      <c r="AY345">
        <v>2</v>
      </c>
      <c r="AZ345" t="s">
        <v>1177</v>
      </c>
      <c r="BA345">
        <v>0</v>
      </c>
      <c r="BB345" t="s">
        <v>1262</v>
      </c>
      <c r="BC345" t="s">
        <v>2542</v>
      </c>
      <c r="BD345">
        <v>1</v>
      </c>
      <c r="BE345">
        <v>46188</v>
      </c>
      <c r="BF345" t="s">
        <v>1165</v>
      </c>
      <c r="BG345" t="s">
        <v>1212</v>
      </c>
      <c r="BH345" t="e">
        <v>#N/A</v>
      </c>
      <c r="BI345" t="e">
        <v>#N/A</v>
      </c>
    </row>
    <row r="346" spans="1:61" x14ac:dyDescent="0.35">
      <c r="A346" s="7" t="str">
        <f t="shared" si="10"/>
        <v>461814300010677</v>
      </c>
      <c r="B346" s="7" t="str">
        <f t="shared" si="11"/>
        <v>GP440213B857</v>
      </c>
      <c r="C346" t="s">
        <v>2543</v>
      </c>
      <c r="D346" t="s">
        <v>1182</v>
      </c>
      <c r="E346" t="s">
        <v>1177</v>
      </c>
      <c r="F346" t="s">
        <v>2385</v>
      </c>
      <c r="G346" t="s">
        <v>2368</v>
      </c>
      <c r="H346" t="s">
        <v>1271</v>
      </c>
      <c r="I346">
        <v>46181</v>
      </c>
      <c r="J346" t="s">
        <v>2544</v>
      </c>
      <c r="K346" t="s">
        <v>1182</v>
      </c>
      <c r="L346" t="s">
        <v>1177</v>
      </c>
      <c r="M346" t="s">
        <v>1274</v>
      </c>
      <c r="N346" t="s">
        <v>1079</v>
      </c>
      <c r="O346" t="s">
        <v>1275</v>
      </c>
      <c r="P346">
        <v>46181</v>
      </c>
      <c r="Q346" t="s">
        <v>1177</v>
      </c>
      <c r="R346" t="s">
        <v>23</v>
      </c>
      <c r="S346" t="s">
        <v>959</v>
      </c>
      <c r="T346" t="s">
        <v>2535</v>
      </c>
      <c r="U346" t="s">
        <v>2536</v>
      </c>
      <c r="V346">
        <v>1</v>
      </c>
      <c r="W346" t="s">
        <v>1262</v>
      </c>
      <c r="X346" t="s">
        <v>1262</v>
      </c>
      <c r="Y346">
        <v>0</v>
      </c>
      <c r="Z346" t="s">
        <v>1186</v>
      </c>
      <c r="AA346" t="s">
        <v>1177</v>
      </c>
      <c r="AB346" t="s">
        <v>1177</v>
      </c>
      <c r="AC346" t="s">
        <v>1177</v>
      </c>
      <c r="AD346" t="s">
        <v>1278</v>
      </c>
      <c r="AE346" t="s">
        <v>1354</v>
      </c>
      <c r="AF346" t="s">
        <v>1675</v>
      </c>
      <c r="AG346" t="s">
        <v>1189</v>
      </c>
      <c r="AH346" t="s">
        <v>1178</v>
      </c>
      <c r="AI346" t="s">
        <v>1280</v>
      </c>
      <c r="AJ346" t="s">
        <v>1190</v>
      </c>
      <c r="AK346">
        <v>0</v>
      </c>
      <c r="AL346" t="s">
        <v>1262</v>
      </c>
      <c r="AM346">
        <v>46183</v>
      </c>
      <c r="AN346">
        <v>46184</v>
      </c>
      <c r="AO346">
        <v>46184</v>
      </c>
      <c r="AP346">
        <v>46188</v>
      </c>
      <c r="AQ346">
        <v>46188</v>
      </c>
      <c r="AR346">
        <v>46190</v>
      </c>
      <c r="AS346">
        <v>46190</v>
      </c>
      <c r="AT346" t="s">
        <v>1281</v>
      </c>
      <c r="AU346" t="s">
        <v>1177</v>
      </c>
      <c r="AV346" t="s">
        <v>1192</v>
      </c>
      <c r="AW346" t="s">
        <v>1177</v>
      </c>
      <c r="AX346">
        <v>0</v>
      </c>
      <c r="AY346">
        <v>0</v>
      </c>
      <c r="AZ346" t="s">
        <v>1177</v>
      </c>
      <c r="BA346">
        <v>0</v>
      </c>
      <c r="BB346" t="s">
        <v>1262</v>
      </c>
      <c r="BC346" t="e">
        <v>#N/A</v>
      </c>
      <c r="BD346" t="e">
        <v>#N/A</v>
      </c>
      <c r="BE346" t="e">
        <v>#N/A</v>
      </c>
      <c r="BF346" t="e">
        <v>#N/A</v>
      </c>
      <c r="BG346" t="s">
        <v>1458</v>
      </c>
      <c r="BH346" t="e">
        <v>#N/A</v>
      </c>
      <c r="BI346" t="e">
        <v>#N/A</v>
      </c>
    </row>
    <row r="347" spans="1:61" x14ac:dyDescent="0.35">
      <c r="A347" s="7" t="str">
        <f t="shared" si="10"/>
        <v>461814300010678</v>
      </c>
      <c r="B347" s="7" t="str">
        <f t="shared" si="11"/>
        <v>GP249817B838</v>
      </c>
      <c r="C347" t="s">
        <v>2545</v>
      </c>
      <c r="D347" t="s">
        <v>1182</v>
      </c>
      <c r="E347" t="s">
        <v>1177</v>
      </c>
      <c r="F347" t="s">
        <v>1232</v>
      </c>
      <c r="G347" t="s">
        <v>1233</v>
      </c>
      <c r="H347" t="s">
        <v>1271</v>
      </c>
      <c r="I347">
        <v>46181</v>
      </c>
      <c r="J347" t="s">
        <v>2546</v>
      </c>
      <c r="K347" t="s">
        <v>1182</v>
      </c>
      <c r="L347" t="s">
        <v>1177</v>
      </c>
      <c r="M347" t="s">
        <v>1274</v>
      </c>
      <c r="N347" t="s">
        <v>1079</v>
      </c>
      <c r="O347" t="s">
        <v>1275</v>
      </c>
      <c r="P347">
        <v>46181</v>
      </c>
      <c r="Q347" t="s">
        <v>1177</v>
      </c>
      <c r="R347" t="s">
        <v>48</v>
      </c>
      <c r="S347" t="s">
        <v>745</v>
      </c>
      <c r="T347" t="s">
        <v>72</v>
      </c>
      <c r="U347" t="s">
        <v>73</v>
      </c>
      <c r="V347">
        <v>10</v>
      </c>
      <c r="W347" t="s">
        <v>1262</v>
      </c>
      <c r="X347" t="s">
        <v>1262</v>
      </c>
      <c r="Y347">
        <v>0</v>
      </c>
      <c r="Z347" t="s">
        <v>1186</v>
      </c>
      <c r="AA347" t="s">
        <v>1177</v>
      </c>
      <c r="AB347" t="s">
        <v>1286</v>
      </c>
      <c r="AC347" t="s">
        <v>1277</v>
      </c>
      <c r="AD347" t="s">
        <v>1278</v>
      </c>
      <c r="AE347" t="s">
        <v>1478</v>
      </c>
      <c r="AF347" t="s">
        <v>1177</v>
      </c>
      <c r="AG347" t="s">
        <v>1178</v>
      </c>
      <c r="AH347" t="s">
        <v>1178</v>
      </c>
      <c r="AI347" t="s">
        <v>1280</v>
      </c>
      <c r="AJ347" t="s">
        <v>1190</v>
      </c>
      <c r="AK347">
        <v>0</v>
      </c>
      <c r="AL347" t="s">
        <v>1262</v>
      </c>
      <c r="AM347">
        <v>46272</v>
      </c>
      <c r="AN347">
        <v>46269</v>
      </c>
      <c r="AO347">
        <v>46261</v>
      </c>
      <c r="AP347">
        <v>46265</v>
      </c>
      <c r="AQ347">
        <v>46265</v>
      </c>
      <c r="AR347">
        <v>46267</v>
      </c>
      <c r="AS347">
        <v>46269</v>
      </c>
      <c r="AT347" t="s">
        <v>1281</v>
      </c>
      <c r="AU347" t="s">
        <v>1177</v>
      </c>
      <c r="AV347" t="s">
        <v>1192</v>
      </c>
      <c r="AW347" t="s">
        <v>1177</v>
      </c>
      <c r="AX347">
        <v>33</v>
      </c>
      <c r="AY347">
        <v>2</v>
      </c>
      <c r="AZ347" t="s">
        <v>1177</v>
      </c>
      <c r="BA347">
        <v>0</v>
      </c>
      <c r="BB347" t="s">
        <v>1262</v>
      </c>
      <c r="BC347" t="e">
        <v>#N/A</v>
      </c>
      <c r="BD347" t="e">
        <v>#N/A</v>
      </c>
      <c r="BE347" t="e">
        <v>#N/A</v>
      </c>
      <c r="BF347" t="e">
        <v>#N/A</v>
      </c>
      <c r="BG347" t="e">
        <v>#N/A</v>
      </c>
      <c r="BH347" t="e">
        <v>#N/A</v>
      </c>
      <c r="BI347" t="e">
        <v>#N/A</v>
      </c>
    </row>
    <row r="348" spans="1:61" x14ac:dyDescent="0.35">
      <c r="A348" s="7" t="str">
        <f t="shared" si="10"/>
        <v>461814300010679</v>
      </c>
      <c r="B348" s="7" t="str">
        <f t="shared" si="11"/>
        <v>GP134149B825</v>
      </c>
      <c r="C348" t="s">
        <v>2547</v>
      </c>
      <c r="D348" t="s">
        <v>1182</v>
      </c>
      <c r="E348" t="s">
        <v>1177</v>
      </c>
      <c r="F348" t="s">
        <v>1232</v>
      </c>
      <c r="G348" t="s">
        <v>1233</v>
      </c>
      <c r="H348" t="s">
        <v>1271</v>
      </c>
      <c r="I348">
        <v>46181</v>
      </c>
      <c r="J348" t="s">
        <v>2548</v>
      </c>
      <c r="K348" t="s">
        <v>1182</v>
      </c>
      <c r="L348" t="s">
        <v>1177</v>
      </c>
      <c r="M348" t="s">
        <v>1274</v>
      </c>
      <c r="N348" t="s">
        <v>1079</v>
      </c>
      <c r="O348" t="s">
        <v>1275</v>
      </c>
      <c r="P348">
        <v>46181</v>
      </c>
      <c r="Q348" t="s">
        <v>1177</v>
      </c>
      <c r="R348" t="s">
        <v>16</v>
      </c>
      <c r="S348" t="s">
        <v>512</v>
      </c>
      <c r="T348" t="s">
        <v>179</v>
      </c>
      <c r="U348" t="s">
        <v>180</v>
      </c>
      <c r="V348">
        <v>5</v>
      </c>
      <c r="W348" t="s">
        <v>1262</v>
      </c>
      <c r="X348" t="s">
        <v>1262</v>
      </c>
      <c r="Y348">
        <v>0</v>
      </c>
      <c r="Z348" t="s">
        <v>1186</v>
      </c>
      <c r="AA348" t="s">
        <v>1177</v>
      </c>
      <c r="AB348" t="s">
        <v>1276</v>
      </c>
      <c r="AC348" t="s">
        <v>1277</v>
      </c>
      <c r="AD348" t="s">
        <v>1278</v>
      </c>
      <c r="AE348" t="s">
        <v>1478</v>
      </c>
      <c r="AF348" t="s">
        <v>1178</v>
      </c>
      <c r="AG348" t="s">
        <v>1190</v>
      </c>
      <c r="AH348" t="s">
        <v>1178</v>
      </c>
      <c r="AI348" t="s">
        <v>1349</v>
      </c>
      <c r="AJ348" t="s">
        <v>1190</v>
      </c>
      <c r="AK348">
        <v>0</v>
      </c>
      <c r="AL348" t="s">
        <v>1262</v>
      </c>
      <c r="AM348">
        <v>46271</v>
      </c>
      <c r="AN348">
        <v>46265</v>
      </c>
      <c r="AO348">
        <v>46265</v>
      </c>
      <c r="AP348">
        <v>46267</v>
      </c>
      <c r="AQ348">
        <v>46267</v>
      </c>
      <c r="AR348">
        <v>46269</v>
      </c>
      <c r="AS348">
        <v>46274</v>
      </c>
      <c r="AT348" t="s">
        <v>1281</v>
      </c>
      <c r="AU348" t="s">
        <v>1177</v>
      </c>
      <c r="AV348" t="s">
        <v>1192</v>
      </c>
      <c r="AW348" t="s">
        <v>1177</v>
      </c>
      <c r="AX348">
        <v>33</v>
      </c>
      <c r="AY348">
        <v>2</v>
      </c>
      <c r="AZ348" t="s">
        <v>1177</v>
      </c>
      <c r="BA348">
        <v>5</v>
      </c>
      <c r="BB348" t="s">
        <v>1262</v>
      </c>
      <c r="BC348" t="s">
        <v>1453</v>
      </c>
      <c r="BD348">
        <v>5</v>
      </c>
      <c r="BE348">
        <v>46230</v>
      </c>
      <c r="BF348" t="s">
        <v>1165</v>
      </c>
      <c r="BG348" t="s">
        <v>1212</v>
      </c>
      <c r="BH348" t="e">
        <v>#N/A</v>
      </c>
      <c r="BI348" t="e">
        <v>#N/A</v>
      </c>
    </row>
    <row r="349" spans="1:61" x14ac:dyDescent="0.35">
      <c r="A349" s="7" t="str">
        <f t="shared" si="10"/>
        <v>461814300010682</v>
      </c>
      <c r="B349" s="7" t="str">
        <f t="shared" si="11"/>
        <v>96589B857</v>
      </c>
      <c r="C349" t="s">
        <v>2549</v>
      </c>
      <c r="D349" t="s">
        <v>2140</v>
      </c>
      <c r="E349" t="s">
        <v>1177</v>
      </c>
      <c r="F349" t="s">
        <v>2385</v>
      </c>
      <c r="G349" t="s">
        <v>2368</v>
      </c>
      <c r="H349" t="s">
        <v>1271</v>
      </c>
      <c r="I349">
        <v>46181</v>
      </c>
      <c r="J349" t="s">
        <v>2550</v>
      </c>
      <c r="K349" t="s">
        <v>2140</v>
      </c>
      <c r="L349" t="s">
        <v>1177</v>
      </c>
      <c r="M349" t="s">
        <v>1274</v>
      </c>
      <c r="N349" t="s">
        <v>1079</v>
      </c>
      <c r="O349" t="s">
        <v>1080</v>
      </c>
      <c r="P349">
        <v>46181</v>
      </c>
      <c r="Q349" t="s">
        <v>1177</v>
      </c>
      <c r="R349" t="s">
        <v>23</v>
      </c>
      <c r="S349" t="s">
        <v>959</v>
      </c>
      <c r="T349" t="s">
        <v>2005</v>
      </c>
      <c r="U349" t="s">
        <v>2006</v>
      </c>
      <c r="V349">
        <v>2</v>
      </c>
      <c r="W349" t="s">
        <v>1262</v>
      </c>
      <c r="X349" t="s">
        <v>1262</v>
      </c>
      <c r="Y349">
        <v>0</v>
      </c>
      <c r="Z349" t="s">
        <v>1186</v>
      </c>
      <c r="AA349" t="s">
        <v>1177</v>
      </c>
      <c r="AB349" t="s">
        <v>1177</v>
      </c>
      <c r="AC349" t="s">
        <v>1177</v>
      </c>
      <c r="AD349" t="s">
        <v>1204</v>
      </c>
      <c r="AE349" t="s">
        <v>2007</v>
      </c>
      <c r="AF349" t="s">
        <v>1189</v>
      </c>
      <c r="AG349" t="s">
        <v>1190</v>
      </c>
      <c r="AH349" t="s">
        <v>1178</v>
      </c>
      <c r="AI349" t="s">
        <v>1280</v>
      </c>
      <c r="AJ349" t="s">
        <v>1190</v>
      </c>
      <c r="AK349">
        <v>0</v>
      </c>
      <c r="AL349" t="s">
        <v>1262</v>
      </c>
      <c r="AM349">
        <v>46183</v>
      </c>
      <c r="AN349">
        <v>46184</v>
      </c>
      <c r="AO349">
        <v>46184</v>
      </c>
      <c r="AP349">
        <v>46188</v>
      </c>
      <c r="AQ349">
        <v>46188</v>
      </c>
      <c r="AR349">
        <v>46190</v>
      </c>
      <c r="AS349">
        <v>46213</v>
      </c>
      <c r="AT349" t="s">
        <v>1281</v>
      </c>
      <c r="AU349" t="s">
        <v>1177</v>
      </c>
      <c r="AV349" t="s">
        <v>1192</v>
      </c>
      <c r="AW349" t="s">
        <v>1177</v>
      </c>
      <c r="AX349">
        <v>83</v>
      </c>
      <c r="AY349">
        <v>16</v>
      </c>
      <c r="AZ349" t="s">
        <v>1177</v>
      </c>
      <c r="BA349">
        <v>0</v>
      </c>
      <c r="BB349" t="s">
        <v>1262</v>
      </c>
      <c r="BC349" t="s">
        <v>2551</v>
      </c>
      <c r="BD349">
        <v>2</v>
      </c>
      <c r="BE349">
        <v>46184</v>
      </c>
      <c r="BF349" t="s">
        <v>1165</v>
      </c>
      <c r="BG349" t="s">
        <v>1458</v>
      </c>
      <c r="BH349" t="e">
        <v>#N/A</v>
      </c>
      <c r="BI349" t="e">
        <v>#N/A</v>
      </c>
    </row>
    <row r="350" spans="1:61" x14ac:dyDescent="0.35">
      <c r="A350" s="7" t="str">
        <f t="shared" si="10"/>
        <v>461824300010699</v>
      </c>
      <c r="B350" s="7" t="str">
        <f t="shared" si="11"/>
        <v>96589B825</v>
      </c>
      <c r="C350" t="s">
        <v>1177</v>
      </c>
      <c r="D350" t="s">
        <v>1178</v>
      </c>
      <c r="E350" t="s">
        <v>2552</v>
      </c>
      <c r="F350" t="s">
        <v>1363</v>
      </c>
      <c r="G350" t="s">
        <v>1363</v>
      </c>
      <c r="H350" t="s">
        <v>1271</v>
      </c>
      <c r="I350">
        <v>46182</v>
      </c>
      <c r="J350" t="s">
        <v>2553</v>
      </c>
      <c r="K350" t="s">
        <v>1645</v>
      </c>
      <c r="L350" t="s">
        <v>1177</v>
      </c>
      <c r="M350" t="s">
        <v>1274</v>
      </c>
      <c r="N350" t="s">
        <v>1079</v>
      </c>
      <c r="O350" t="s">
        <v>1275</v>
      </c>
      <c r="P350">
        <v>46182</v>
      </c>
      <c r="Q350" t="s">
        <v>1177</v>
      </c>
      <c r="R350" t="s">
        <v>16</v>
      </c>
      <c r="S350" t="s">
        <v>512</v>
      </c>
      <c r="T350" t="s">
        <v>2005</v>
      </c>
      <c r="U350" t="s">
        <v>2006</v>
      </c>
      <c r="V350">
        <v>4</v>
      </c>
      <c r="W350" t="s">
        <v>1262</v>
      </c>
      <c r="X350" t="s">
        <v>1262</v>
      </c>
      <c r="Y350">
        <v>0</v>
      </c>
      <c r="Z350" t="s">
        <v>1186</v>
      </c>
      <c r="AA350" t="s">
        <v>1177</v>
      </c>
      <c r="AB350" t="s">
        <v>1177</v>
      </c>
      <c r="AC350" t="s">
        <v>1177</v>
      </c>
      <c r="AD350" t="s">
        <v>1204</v>
      </c>
      <c r="AE350" t="s">
        <v>2007</v>
      </c>
      <c r="AF350" t="s">
        <v>1189</v>
      </c>
      <c r="AG350" t="s">
        <v>1190</v>
      </c>
      <c r="AH350" t="s">
        <v>1178</v>
      </c>
      <c r="AI350" t="s">
        <v>1349</v>
      </c>
      <c r="AJ350" t="s">
        <v>1190</v>
      </c>
      <c r="AK350">
        <v>0</v>
      </c>
      <c r="AL350" t="s">
        <v>1262</v>
      </c>
      <c r="AM350">
        <v>45684</v>
      </c>
      <c r="AN350">
        <v>46309</v>
      </c>
      <c r="AO350">
        <v>46188</v>
      </c>
      <c r="AP350">
        <v>46190</v>
      </c>
      <c r="AQ350">
        <v>46190</v>
      </c>
      <c r="AR350">
        <v>46192</v>
      </c>
      <c r="AS350">
        <v>46196</v>
      </c>
      <c r="AT350" t="s">
        <v>1281</v>
      </c>
      <c r="AU350" t="s">
        <v>1177</v>
      </c>
      <c r="AV350" t="s">
        <v>1192</v>
      </c>
      <c r="AW350" t="s">
        <v>1177</v>
      </c>
      <c r="AX350">
        <v>33</v>
      </c>
      <c r="AY350">
        <v>2</v>
      </c>
      <c r="AZ350" t="s">
        <v>1177</v>
      </c>
      <c r="BA350">
        <v>0</v>
      </c>
      <c r="BB350" t="s">
        <v>1262</v>
      </c>
      <c r="BC350" t="e">
        <v>#N/A</v>
      </c>
      <c r="BD350" t="e">
        <v>#N/A</v>
      </c>
      <c r="BE350" t="e">
        <v>#N/A</v>
      </c>
      <c r="BF350" t="e">
        <v>#N/A</v>
      </c>
      <c r="BG350" t="s">
        <v>1458</v>
      </c>
      <c r="BH350" t="s">
        <v>1544</v>
      </c>
      <c r="BI350" t="s">
        <v>2554</v>
      </c>
    </row>
    <row r="351" spans="1:61" x14ac:dyDescent="0.35">
      <c r="A351" s="7" t="str">
        <f t="shared" si="10"/>
        <v>461824300010702</v>
      </c>
      <c r="B351" s="7" t="str">
        <f t="shared" si="11"/>
        <v>GP021038B838</v>
      </c>
      <c r="C351" t="s">
        <v>1177</v>
      </c>
      <c r="D351" t="s">
        <v>1178</v>
      </c>
      <c r="E351" t="s">
        <v>2555</v>
      </c>
      <c r="F351" t="s">
        <v>1363</v>
      </c>
      <c r="G351" t="s">
        <v>1363</v>
      </c>
      <c r="H351" t="s">
        <v>1271</v>
      </c>
      <c r="I351">
        <v>46182</v>
      </c>
      <c r="J351" t="s">
        <v>2556</v>
      </c>
      <c r="K351" t="s">
        <v>1199</v>
      </c>
      <c r="L351" t="s">
        <v>1177</v>
      </c>
      <c r="M351" t="s">
        <v>1274</v>
      </c>
      <c r="N351" t="s">
        <v>1079</v>
      </c>
      <c r="O351" t="s">
        <v>1275</v>
      </c>
      <c r="P351">
        <v>46182</v>
      </c>
      <c r="Q351" t="s">
        <v>1177</v>
      </c>
      <c r="R351" t="s">
        <v>48</v>
      </c>
      <c r="S351" t="s">
        <v>745</v>
      </c>
      <c r="T351" t="s">
        <v>487</v>
      </c>
      <c r="U351" t="s">
        <v>2462</v>
      </c>
      <c r="V351">
        <v>2</v>
      </c>
      <c r="W351" t="s">
        <v>1185</v>
      </c>
      <c r="X351" t="s">
        <v>1185</v>
      </c>
      <c r="Y351">
        <v>0</v>
      </c>
      <c r="Z351" t="s">
        <v>1186</v>
      </c>
      <c r="AA351" t="s">
        <v>1177</v>
      </c>
      <c r="AB351" t="s">
        <v>1177</v>
      </c>
      <c r="AC351" t="s">
        <v>1177</v>
      </c>
      <c r="AD351" t="s">
        <v>1204</v>
      </c>
      <c r="AE351" t="s">
        <v>1438</v>
      </c>
      <c r="AF351" t="s">
        <v>1189</v>
      </c>
      <c r="AG351" t="s">
        <v>1190</v>
      </c>
      <c r="AH351" t="s">
        <v>1178</v>
      </c>
      <c r="AI351" t="s">
        <v>1280</v>
      </c>
      <c r="AJ351" t="s">
        <v>1190</v>
      </c>
      <c r="AK351">
        <v>0</v>
      </c>
      <c r="AL351" t="s">
        <v>1185</v>
      </c>
      <c r="AM351">
        <v>45713</v>
      </c>
      <c r="AN351">
        <v>46245</v>
      </c>
      <c r="AO351">
        <v>46184</v>
      </c>
      <c r="AP351">
        <v>46188</v>
      </c>
      <c r="AQ351">
        <v>46188</v>
      </c>
      <c r="AR351">
        <v>46190</v>
      </c>
      <c r="AS351">
        <v>46191</v>
      </c>
      <c r="AT351" t="s">
        <v>1281</v>
      </c>
      <c r="AU351" t="s">
        <v>1177</v>
      </c>
      <c r="AV351" t="s">
        <v>1192</v>
      </c>
      <c r="AW351" t="s">
        <v>1177</v>
      </c>
      <c r="AX351">
        <v>60</v>
      </c>
      <c r="AY351">
        <v>1</v>
      </c>
      <c r="AZ351" t="s">
        <v>1177</v>
      </c>
      <c r="BA351">
        <v>0</v>
      </c>
      <c r="BB351" t="s">
        <v>1185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e">
        <v>#N/A</v>
      </c>
      <c r="BI351" t="e">
        <v>#N/A</v>
      </c>
    </row>
    <row r="352" spans="1:61" x14ac:dyDescent="0.35">
      <c r="A352" s="7" t="str">
        <f t="shared" si="10"/>
        <v>461824300010704</v>
      </c>
      <c r="B352" s="7" t="str">
        <f t="shared" si="11"/>
        <v>GP485052-003B825</v>
      </c>
      <c r="C352" t="s">
        <v>1177</v>
      </c>
      <c r="D352" t="s">
        <v>1178</v>
      </c>
      <c r="E352" t="s">
        <v>2558</v>
      </c>
      <c r="F352" t="s">
        <v>1363</v>
      </c>
      <c r="G352" t="s">
        <v>1363</v>
      </c>
      <c r="H352" t="s">
        <v>1271</v>
      </c>
      <c r="I352">
        <v>46182</v>
      </c>
      <c r="J352" t="s">
        <v>2559</v>
      </c>
      <c r="K352" t="s">
        <v>1182</v>
      </c>
      <c r="L352" t="s">
        <v>1177</v>
      </c>
      <c r="M352" t="s">
        <v>1274</v>
      </c>
      <c r="N352" t="s">
        <v>1079</v>
      </c>
      <c r="O352" t="s">
        <v>1275</v>
      </c>
      <c r="P352">
        <v>46182</v>
      </c>
      <c r="Q352" t="s">
        <v>1177</v>
      </c>
      <c r="R352" t="s">
        <v>16</v>
      </c>
      <c r="S352" t="s">
        <v>512</v>
      </c>
      <c r="T352" t="s">
        <v>1210</v>
      </c>
      <c r="U352" t="s">
        <v>1211</v>
      </c>
      <c r="V352">
        <v>20</v>
      </c>
      <c r="W352" t="s">
        <v>1185</v>
      </c>
      <c r="X352" t="s">
        <v>1185</v>
      </c>
      <c r="Y352">
        <v>0</v>
      </c>
      <c r="Z352" t="s">
        <v>1186</v>
      </c>
      <c r="AA352" t="s">
        <v>1177</v>
      </c>
      <c r="AB352" t="s">
        <v>1177</v>
      </c>
      <c r="AC352" t="s">
        <v>1177</v>
      </c>
      <c r="AD352" t="s">
        <v>1204</v>
      </c>
      <c r="AE352" t="s">
        <v>1188</v>
      </c>
      <c r="AF352" t="s">
        <v>1189</v>
      </c>
      <c r="AG352" t="s">
        <v>1189</v>
      </c>
      <c r="AH352" t="s">
        <v>1178</v>
      </c>
      <c r="AI352" t="s">
        <v>1349</v>
      </c>
      <c r="AJ352" t="s">
        <v>1190</v>
      </c>
      <c r="AK352">
        <v>0</v>
      </c>
      <c r="AL352" t="s">
        <v>1185</v>
      </c>
      <c r="AM352">
        <v>45838</v>
      </c>
      <c r="AN352">
        <v>46213</v>
      </c>
      <c r="AO352">
        <v>46188</v>
      </c>
      <c r="AP352">
        <v>46190</v>
      </c>
      <c r="AQ352">
        <v>46190</v>
      </c>
      <c r="AR352">
        <v>46192</v>
      </c>
      <c r="AS352">
        <v>46196</v>
      </c>
      <c r="AT352" t="s">
        <v>1281</v>
      </c>
      <c r="AU352" t="s">
        <v>1177</v>
      </c>
      <c r="AV352" t="s">
        <v>1192</v>
      </c>
      <c r="AW352" t="s">
        <v>1177</v>
      </c>
      <c r="AX352">
        <v>33</v>
      </c>
      <c r="AY352">
        <v>2</v>
      </c>
      <c r="AZ352" t="s">
        <v>1177</v>
      </c>
      <c r="BA352">
        <v>0</v>
      </c>
      <c r="BB352" t="s">
        <v>1185</v>
      </c>
      <c r="BC352" t="e">
        <v>#N/A</v>
      </c>
      <c r="BD352" t="e">
        <v>#N/A</v>
      </c>
      <c r="BE352" t="e">
        <v>#N/A</v>
      </c>
      <c r="BF352" t="e">
        <v>#N/A</v>
      </c>
      <c r="BG352" t="s">
        <v>1458</v>
      </c>
      <c r="BH352" t="s">
        <v>1544</v>
      </c>
      <c r="BI352" t="s">
        <v>2560</v>
      </c>
    </row>
    <row r="353" spans="1:61" x14ac:dyDescent="0.35">
      <c r="A353" s="7" t="str">
        <f t="shared" si="10"/>
        <v>461824300010705</v>
      </c>
      <c r="B353" s="7" t="str">
        <f t="shared" si="11"/>
        <v>GP021038B825</v>
      </c>
      <c r="C353" t="s">
        <v>1177</v>
      </c>
      <c r="D353" t="s">
        <v>1178</v>
      </c>
      <c r="E353" t="s">
        <v>2561</v>
      </c>
      <c r="F353" t="s">
        <v>1363</v>
      </c>
      <c r="G353" t="s">
        <v>1363</v>
      </c>
      <c r="H353" t="s">
        <v>1271</v>
      </c>
      <c r="I353">
        <v>46182</v>
      </c>
      <c r="J353" t="s">
        <v>2562</v>
      </c>
      <c r="K353" t="s">
        <v>1198</v>
      </c>
      <c r="L353" t="s">
        <v>1177</v>
      </c>
      <c r="M353" t="s">
        <v>1274</v>
      </c>
      <c r="N353" t="s">
        <v>1079</v>
      </c>
      <c r="O353" t="s">
        <v>1275</v>
      </c>
      <c r="P353">
        <v>46182</v>
      </c>
      <c r="Q353" t="s">
        <v>1177</v>
      </c>
      <c r="R353" t="s">
        <v>16</v>
      </c>
      <c r="S353" t="s">
        <v>512</v>
      </c>
      <c r="T353" t="s">
        <v>487</v>
      </c>
      <c r="U353" t="s">
        <v>2462</v>
      </c>
      <c r="V353">
        <v>1</v>
      </c>
      <c r="W353" t="s">
        <v>1185</v>
      </c>
      <c r="X353" t="s">
        <v>1185</v>
      </c>
      <c r="Y353">
        <v>0</v>
      </c>
      <c r="Z353" t="s">
        <v>1186</v>
      </c>
      <c r="AA353" t="s">
        <v>1177</v>
      </c>
      <c r="AB353" t="s">
        <v>1177</v>
      </c>
      <c r="AC353" t="s">
        <v>1177</v>
      </c>
      <c r="AD353" t="s">
        <v>1204</v>
      </c>
      <c r="AE353" t="s">
        <v>1438</v>
      </c>
      <c r="AF353" t="s">
        <v>1189</v>
      </c>
      <c r="AG353" t="s">
        <v>1190</v>
      </c>
      <c r="AH353" t="s">
        <v>1178</v>
      </c>
      <c r="AI353" t="s">
        <v>1349</v>
      </c>
      <c r="AJ353" t="s">
        <v>1190</v>
      </c>
      <c r="AK353">
        <v>0</v>
      </c>
      <c r="AL353" t="s">
        <v>1185</v>
      </c>
      <c r="AM353">
        <v>45793</v>
      </c>
      <c r="AN353">
        <v>46245</v>
      </c>
      <c r="AO353">
        <v>46188</v>
      </c>
      <c r="AP353">
        <v>46190</v>
      </c>
      <c r="AQ353">
        <v>46190</v>
      </c>
      <c r="AR353">
        <v>46192</v>
      </c>
      <c r="AS353">
        <v>46195</v>
      </c>
      <c r="AT353" t="s">
        <v>1281</v>
      </c>
      <c r="AU353" t="s">
        <v>1177</v>
      </c>
      <c r="AV353" t="s">
        <v>1192</v>
      </c>
      <c r="AW353" t="s">
        <v>1177</v>
      </c>
      <c r="AX353">
        <v>60</v>
      </c>
      <c r="AY353">
        <v>1</v>
      </c>
      <c r="AZ353" t="s">
        <v>1177</v>
      </c>
      <c r="BA353">
        <v>0</v>
      </c>
      <c r="BB353" t="s">
        <v>1185</v>
      </c>
      <c r="BC353" t="e">
        <v>#N/A</v>
      </c>
      <c r="BD353" t="e">
        <v>#N/A</v>
      </c>
      <c r="BE353" t="e">
        <v>#N/A</v>
      </c>
      <c r="BF353" t="e">
        <v>#N/A</v>
      </c>
      <c r="BG353" t="s">
        <v>126</v>
      </c>
      <c r="BH353" t="s">
        <v>1194</v>
      </c>
      <c r="BI353" t="s">
        <v>126</v>
      </c>
    </row>
    <row r="354" spans="1:61" x14ac:dyDescent="0.35">
      <c r="A354" s="7" t="str">
        <f t="shared" si="10"/>
        <v>461824300010707</v>
      </c>
      <c r="B354" s="7" t="str">
        <f t="shared" si="11"/>
        <v>GP235433B838</v>
      </c>
      <c r="C354" t="s">
        <v>1177</v>
      </c>
      <c r="D354" t="s">
        <v>1178</v>
      </c>
      <c r="E354" t="s">
        <v>2563</v>
      </c>
      <c r="F354" t="s">
        <v>1363</v>
      </c>
      <c r="G354" t="s">
        <v>1363</v>
      </c>
      <c r="H354" t="s">
        <v>1271</v>
      </c>
      <c r="I354">
        <v>46182</v>
      </c>
      <c r="J354" t="s">
        <v>2564</v>
      </c>
      <c r="K354" t="s">
        <v>1283</v>
      </c>
      <c r="L354" t="s">
        <v>1177</v>
      </c>
      <c r="M354" t="s">
        <v>1274</v>
      </c>
      <c r="N354" t="s">
        <v>1079</v>
      </c>
      <c r="O354" t="s">
        <v>1275</v>
      </c>
      <c r="P354">
        <v>46182</v>
      </c>
      <c r="Q354" t="s">
        <v>1177</v>
      </c>
      <c r="R354" t="s">
        <v>48</v>
      </c>
      <c r="S354" t="s">
        <v>745</v>
      </c>
      <c r="T354" t="s">
        <v>1091</v>
      </c>
      <c r="U354" t="s">
        <v>2557</v>
      </c>
      <c r="V354">
        <v>54</v>
      </c>
      <c r="W354" t="s">
        <v>1262</v>
      </c>
      <c r="X354" t="s">
        <v>1262</v>
      </c>
      <c r="Y354">
        <v>0</v>
      </c>
      <c r="Z354" t="s">
        <v>1186</v>
      </c>
      <c r="AA354" t="s">
        <v>1177</v>
      </c>
      <c r="AB354" t="s">
        <v>1286</v>
      </c>
      <c r="AC354" t="s">
        <v>1277</v>
      </c>
      <c r="AD354" t="s">
        <v>1278</v>
      </c>
      <c r="AE354" t="s">
        <v>1378</v>
      </c>
      <c r="AF354" t="s">
        <v>1178</v>
      </c>
      <c r="AG354" t="s">
        <v>1178</v>
      </c>
      <c r="AH354" t="s">
        <v>1178</v>
      </c>
      <c r="AI354" t="s">
        <v>1280</v>
      </c>
      <c r="AJ354" t="s">
        <v>1190</v>
      </c>
      <c r="AK354">
        <v>0</v>
      </c>
      <c r="AL354" t="s">
        <v>1262</v>
      </c>
      <c r="AM354">
        <v>45782</v>
      </c>
      <c r="AN354">
        <v>46224</v>
      </c>
      <c r="AO354">
        <v>46184</v>
      </c>
      <c r="AP354">
        <v>46188</v>
      </c>
      <c r="AQ354">
        <v>46188</v>
      </c>
      <c r="AR354">
        <v>46190</v>
      </c>
      <c r="AS354">
        <v>46190</v>
      </c>
      <c r="AT354" t="s">
        <v>1281</v>
      </c>
      <c r="AU354" t="s">
        <v>1177</v>
      </c>
      <c r="AV354" t="s">
        <v>1192</v>
      </c>
      <c r="AW354" t="s">
        <v>1177</v>
      </c>
      <c r="AX354">
        <v>0</v>
      </c>
      <c r="AY354">
        <v>0</v>
      </c>
      <c r="AZ354" t="s">
        <v>1177</v>
      </c>
      <c r="BA354">
        <v>0</v>
      </c>
      <c r="BB354" t="s">
        <v>1262</v>
      </c>
      <c r="BC354" t="e">
        <v>#N/A</v>
      </c>
      <c r="BD354" t="e">
        <v>#N/A</v>
      </c>
      <c r="BE354" t="e">
        <v>#N/A</v>
      </c>
      <c r="BF354" t="e">
        <v>#N/A</v>
      </c>
      <c r="BG354" t="e">
        <v>#N/A</v>
      </c>
      <c r="BH354" t="e">
        <v>#N/A</v>
      </c>
      <c r="BI354" t="e">
        <v>#N/A</v>
      </c>
    </row>
    <row r="355" spans="1:61" x14ac:dyDescent="0.35">
      <c r="A355" s="7" t="str">
        <f t="shared" si="10"/>
        <v>461824300010708</v>
      </c>
      <c r="B355" s="7" t="str">
        <f t="shared" si="11"/>
        <v>GP328005B857</v>
      </c>
      <c r="C355" t="s">
        <v>1177</v>
      </c>
      <c r="D355" t="s">
        <v>1178</v>
      </c>
      <c r="E355" t="s">
        <v>2565</v>
      </c>
      <c r="F355" t="s">
        <v>1363</v>
      </c>
      <c r="G355" t="s">
        <v>1363</v>
      </c>
      <c r="H355" t="s">
        <v>1271</v>
      </c>
      <c r="I355">
        <v>46182</v>
      </c>
      <c r="J355" t="s">
        <v>2566</v>
      </c>
      <c r="K355" t="s">
        <v>1808</v>
      </c>
      <c r="L355" t="s">
        <v>1177</v>
      </c>
      <c r="M355" t="s">
        <v>1274</v>
      </c>
      <c r="N355" t="s">
        <v>1079</v>
      </c>
      <c r="O355" t="s">
        <v>1275</v>
      </c>
      <c r="P355">
        <v>46182</v>
      </c>
      <c r="Q355" t="s">
        <v>1177</v>
      </c>
      <c r="R355" t="s">
        <v>23</v>
      </c>
      <c r="S355" t="s">
        <v>959</v>
      </c>
      <c r="T355" t="s">
        <v>1021</v>
      </c>
      <c r="U355" t="s">
        <v>1022</v>
      </c>
      <c r="V355">
        <v>14</v>
      </c>
      <c r="W355" t="s">
        <v>1262</v>
      </c>
      <c r="X355" t="s">
        <v>1262</v>
      </c>
      <c r="Y355">
        <v>0</v>
      </c>
      <c r="Z355" t="s">
        <v>1186</v>
      </c>
      <c r="AA355" t="s">
        <v>1177</v>
      </c>
      <c r="AB355" t="s">
        <v>1276</v>
      </c>
      <c r="AC355" t="s">
        <v>1277</v>
      </c>
      <c r="AD355" t="s">
        <v>1278</v>
      </c>
      <c r="AE355" t="s">
        <v>1354</v>
      </c>
      <c r="AF355" t="s">
        <v>1178</v>
      </c>
      <c r="AG355" t="s">
        <v>1190</v>
      </c>
      <c r="AH355" t="s">
        <v>1178</v>
      </c>
      <c r="AI355" t="s">
        <v>1280</v>
      </c>
      <c r="AJ355" t="s">
        <v>1190</v>
      </c>
      <c r="AK355">
        <v>0</v>
      </c>
      <c r="AL355" t="s">
        <v>1262</v>
      </c>
      <c r="AM355">
        <v>45799</v>
      </c>
      <c r="AN355">
        <v>46363</v>
      </c>
      <c r="AO355">
        <v>46184</v>
      </c>
      <c r="AP355">
        <v>46188</v>
      </c>
      <c r="AQ355">
        <v>46188</v>
      </c>
      <c r="AR355">
        <v>46190</v>
      </c>
      <c r="AS355">
        <v>46192</v>
      </c>
      <c r="AT355" t="s">
        <v>1281</v>
      </c>
      <c r="AU355" t="s">
        <v>1177</v>
      </c>
      <c r="AV355" t="s">
        <v>1192</v>
      </c>
      <c r="AW355" t="s">
        <v>1177</v>
      </c>
      <c r="AX355">
        <v>163</v>
      </c>
      <c r="AY355">
        <v>2</v>
      </c>
      <c r="AZ355" t="s">
        <v>1177</v>
      </c>
      <c r="BA355">
        <v>0</v>
      </c>
      <c r="BB355" t="s">
        <v>1262</v>
      </c>
      <c r="BC355" t="e">
        <v>#N/A</v>
      </c>
      <c r="BD355" t="e">
        <v>#N/A</v>
      </c>
      <c r="BE355" t="e">
        <v>#N/A</v>
      </c>
      <c r="BF355" t="e">
        <v>#N/A</v>
      </c>
      <c r="BG355" t="s">
        <v>1458</v>
      </c>
      <c r="BH355" t="s">
        <v>1544</v>
      </c>
      <c r="BI355" t="s">
        <v>1458</v>
      </c>
    </row>
    <row r="356" spans="1:61" x14ac:dyDescent="0.35">
      <c r="A356" s="7" t="str">
        <f t="shared" si="10"/>
        <v>461824300010715</v>
      </c>
      <c r="B356" s="7" t="str">
        <f t="shared" si="11"/>
        <v>GP123319-002B856</v>
      </c>
      <c r="C356" t="s">
        <v>1177</v>
      </c>
      <c r="D356" t="s">
        <v>1178</v>
      </c>
      <c r="E356" t="s">
        <v>2567</v>
      </c>
      <c r="F356" t="s">
        <v>1363</v>
      </c>
      <c r="G356" t="s">
        <v>1363</v>
      </c>
      <c r="H356" t="s">
        <v>1271</v>
      </c>
      <c r="I356">
        <v>46182</v>
      </c>
      <c r="J356" t="s">
        <v>2568</v>
      </c>
      <c r="K356" t="s">
        <v>1273</v>
      </c>
      <c r="L356" t="s">
        <v>1177</v>
      </c>
      <c r="M356" t="s">
        <v>1274</v>
      </c>
      <c r="N356" t="s">
        <v>1079</v>
      </c>
      <c r="O356" t="s">
        <v>1275</v>
      </c>
      <c r="P356">
        <v>46182</v>
      </c>
      <c r="Q356" t="s">
        <v>1177</v>
      </c>
      <c r="R356" t="s">
        <v>21</v>
      </c>
      <c r="S356" t="s">
        <v>853</v>
      </c>
      <c r="T356" t="s">
        <v>403</v>
      </c>
      <c r="U356" t="s">
        <v>1811</v>
      </c>
      <c r="V356">
        <v>2</v>
      </c>
      <c r="W356" t="s">
        <v>1262</v>
      </c>
      <c r="X356" t="s">
        <v>1262</v>
      </c>
      <c r="Y356">
        <v>0</v>
      </c>
      <c r="Z356" t="s">
        <v>1186</v>
      </c>
      <c r="AA356" t="s">
        <v>1177</v>
      </c>
      <c r="AB356" t="s">
        <v>1177</v>
      </c>
      <c r="AC356" t="s">
        <v>1177</v>
      </c>
      <c r="AD356" t="s">
        <v>1204</v>
      </c>
      <c r="AE356" t="s">
        <v>1284</v>
      </c>
      <c r="AF356" t="s">
        <v>1189</v>
      </c>
      <c r="AG356" t="s">
        <v>1190</v>
      </c>
      <c r="AH356" t="s">
        <v>1178</v>
      </c>
      <c r="AI356" t="s">
        <v>1280</v>
      </c>
      <c r="AJ356" t="s">
        <v>1190</v>
      </c>
      <c r="AK356">
        <v>0</v>
      </c>
      <c r="AL356" t="s">
        <v>1262</v>
      </c>
      <c r="AM356">
        <v>46006</v>
      </c>
      <c r="AN356">
        <v>46365</v>
      </c>
      <c r="AO356">
        <v>46184</v>
      </c>
      <c r="AP356">
        <v>46188</v>
      </c>
      <c r="AQ356">
        <v>46188</v>
      </c>
      <c r="AR356">
        <v>46190</v>
      </c>
      <c r="AS356">
        <v>46192</v>
      </c>
      <c r="AT356" t="s">
        <v>1281</v>
      </c>
      <c r="AU356" t="s">
        <v>1177</v>
      </c>
      <c r="AV356" t="s">
        <v>1192</v>
      </c>
      <c r="AW356" t="s">
        <v>1177</v>
      </c>
      <c r="AX356">
        <v>206</v>
      </c>
      <c r="AY356">
        <v>2</v>
      </c>
      <c r="AZ356" t="s">
        <v>1177</v>
      </c>
      <c r="BA356">
        <v>0</v>
      </c>
      <c r="BB356" t="s">
        <v>1262</v>
      </c>
      <c r="BC356" t="e">
        <v>#N/A</v>
      </c>
      <c r="BD356" t="e">
        <v>#N/A</v>
      </c>
      <c r="BE356" t="e">
        <v>#N/A</v>
      </c>
      <c r="BF356" t="e">
        <v>#N/A</v>
      </c>
      <c r="BG356" t="s">
        <v>1458</v>
      </c>
      <c r="BH356" t="s">
        <v>1763</v>
      </c>
      <c r="BI356" t="s">
        <v>2569</v>
      </c>
    </row>
    <row r="357" spans="1:61" x14ac:dyDescent="0.35">
      <c r="A357" s="7" t="str">
        <f t="shared" si="10"/>
        <v>461824300010718</v>
      </c>
      <c r="B357" s="7" t="str">
        <f t="shared" si="11"/>
        <v>GP415545B856</v>
      </c>
      <c r="C357" t="s">
        <v>1177</v>
      </c>
      <c r="D357" t="s">
        <v>1178</v>
      </c>
      <c r="E357" t="s">
        <v>2570</v>
      </c>
      <c r="F357" t="s">
        <v>1363</v>
      </c>
      <c r="G357" t="s">
        <v>1363</v>
      </c>
      <c r="H357" t="s">
        <v>1271</v>
      </c>
      <c r="I357">
        <v>46182</v>
      </c>
      <c r="J357" t="s">
        <v>2571</v>
      </c>
      <c r="K357" t="s">
        <v>1199</v>
      </c>
      <c r="L357" t="s">
        <v>1177</v>
      </c>
      <c r="M357" t="s">
        <v>1274</v>
      </c>
      <c r="N357" t="s">
        <v>1079</v>
      </c>
      <c r="O357" t="s">
        <v>1275</v>
      </c>
      <c r="P357">
        <v>46247</v>
      </c>
      <c r="Q357" t="s">
        <v>1177</v>
      </c>
      <c r="R357" t="s">
        <v>21</v>
      </c>
      <c r="S357" t="s">
        <v>853</v>
      </c>
      <c r="T357" t="s">
        <v>2572</v>
      </c>
      <c r="U357" t="s">
        <v>2573</v>
      </c>
      <c r="V357">
        <v>1</v>
      </c>
      <c r="W357" t="s">
        <v>1262</v>
      </c>
      <c r="X357" t="s">
        <v>1262</v>
      </c>
      <c r="Y357">
        <v>0</v>
      </c>
      <c r="Z357" t="s">
        <v>1186</v>
      </c>
      <c r="AA357" t="s">
        <v>1177</v>
      </c>
      <c r="AB357" t="s">
        <v>1276</v>
      </c>
      <c r="AC357" t="s">
        <v>1277</v>
      </c>
      <c r="AD357" t="s">
        <v>1278</v>
      </c>
      <c r="AE357" t="s">
        <v>1354</v>
      </c>
      <c r="AF357" t="s">
        <v>1177</v>
      </c>
      <c r="AG357" t="s">
        <v>1190</v>
      </c>
      <c r="AH357" t="s">
        <v>1178</v>
      </c>
      <c r="AI357" t="s">
        <v>1280</v>
      </c>
      <c r="AJ357" t="s">
        <v>1190</v>
      </c>
      <c r="AK357">
        <v>0</v>
      </c>
      <c r="AL357" t="s">
        <v>1262</v>
      </c>
      <c r="AM357">
        <v>46278</v>
      </c>
      <c r="AN357">
        <v>46267</v>
      </c>
      <c r="AO357">
        <v>46267</v>
      </c>
      <c r="AP357">
        <v>46269</v>
      </c>
      <c r="AQ357">
        <v>46269</v>
      </c>
      <c r="AR357">
        <v>46274</v>
      </c>
      <c r="AS357">
        <v>46276</v>
      </c>
      <c r="AT357" t="s">
        <v>1281</v>
      </c>
      <c r="AU357" t="s">
        <v>1177</v>
      </c>
      <c r="AV357" t="s">
        <v>1192</v>
      </c>
      <c r="AW357" t="s">
        <v>1177</v>
      </c>
      <c r="AX357">
        <v>220</v>
      </c>
      <c r="AY357">
        <v>2</v>
      </c>
      <c r="AZ357" t="s">
        <v>1177</v>
      </c>
      <c r="BA357">
        <v>1</v>
      </c>
      <c r="BB357" t="s">
        <v>1262</v>
      </c>
      <c r="BC357" t="s">
        <v>2574</v>
      </c>
      <c r="BD357">
        <v>1</v>
      </c>
      <c r="BE357">
        <v>46254</v>
      </c>
      <c r="BF357" t="s">
        <v>1165</v>
      </c>
      <c r="BG357" t="s">
        <v>1212</v>
      </c>
      <c r="BH357" t="s">
        <v>1194</v>
      </c>
      <c r="BI357" t="s">
        <v>1213</v>
      </c>
    </row>
    <row r="358" spans="1:61" x14ac:dyDescent="0.35">
      <c r="A358" s="7" t="str">
        <f t="shared" si="10"/>
        <v>461824300010720</v>
      </c>
      <c r="B358" s="7" t="str">
        <f t="shared" si="11"/>
        <v>GP593222B833</v>
      </c>
      <c r="C358" t="s">
        <v>1177</v>
      </c>
      <c r="D358" t="s">
        <v>1178</v>
      </c>
      <c r="E358" t="s">
        <v>2575</v>
      </c>
      <c r="F358" t="s">
        <v>1363</v>
      </c>
      <c r="G358" t="s">
        <v>1363</v>
      </c>
      <c r="H358" t="s">
        <v>1271</v>
      </c>
      <c r="I358">
        <v>46182</v>
      </c>
      <c r="J358" t="s">
        <v>2576</v>
      </c>
      <c r="K358" t="s">
        <v>1426</v>
      </c>
      <c r="L358" t="s">
        <v>1177</v>
      </c>
      <c r="M358" t="s">
        <v>1274</v>
      </c>
      <c r="N358" t="s">
        <v>1079</v>
      </c>
      <c r="O358" t="s">
        <v>1275</v>
      </c>
      <c r="P358">
        <v>46182</v>
      </c>
      <c r="Q358" t="s">
        <v>1177</v>
      </c>
      <c r="R358" t="s">
        <v>697</v>
      </c>
      <c r="S358" t="s">
        <v>699</v>
      </c>
      <c r="T358" t="s">
        <v>2577</v>
      </c>
      <c r="U358" t="s">
        <v>2578</v>
      </c>
      <c r="V358">
        <v>36</v>
      </c>
      <c r="W358" t="s">
        <v>1262</v>
      </c>
      <c r="X358" t="s">
        <v>1262</v>
      </c>
      <c r="Y358">
        <v>0</v>
      </c>
      <c r="Z358" t="s">
        <v>1186</v>
      </c>
      <c r="AA358" t="s">
        <v>1177</v>
      </c>
      <c r="AB358" t="s">
        <v>1276</v>
      </c>
      <c r="AC358" t="s">
        <v>1277</v>
      </c>
      <c r="AD358" t="s">
        <v>1278</v>
      </c>
      <c r="AE358" t="s">
        <v>2579</v>
      </c>
      <c r="AF358" t="s">
        <v>1178</v>
      </c>
      <c r="AG358" t="s">
        <v>1190</v>
      </c>
      <c r="AH358" t="s">
        <v>1178</v>
      </c>
      <c r="AI358" t="s">
        <v>1349</v>
      </c>
      <c r="AJ358" t="s">
        <v>1190</v>
      </c>
      <c r="AK358">
        <v>0</v>
      </c>
      <c r="AL358" t="s">
        <v>1262</v>
      </c>
      <c r="AM358">
        <v>45926</v>
      </c>
      <c r="AN358">
        <v>46188</v>
      </c>
      <c r="AO358">
        <v>46188</v>
      </c>
      <c r="AP358">
        <v>46190</v>
      </c>
      <c r="AQ358">
        <v>46190</v>
      </c>
      <c r="AR358">
        <v>46192</v>
      </c>
      <c r="AS358">
        <v>46196</v>
      </c>
      <c r="AT358" t="s">
        <v>1281</v>
      </c>
      <c r="AU358" t="s">
        <v>1177</v>
      </c>
      <c r="AV358" t="s">
        <v>1192</v>
      </c>
      <c r="AW358" t="s">
        <v>1177</v>
      </c>
      <c r="AX358">
        <v>33</v>
      </c>
      <c r="AY358">
        <v>2</v>
      </c>
      <c r="AZ358" t="s">
        <v>1177</v>
      </c>
      <c r="BA358">
        <v>0</v>
      </c>
      <c r="BB358" t="s">
        <v>1262</v>
      </c>
      <c r="BC358" t="e">
        <v>#N/A</v>
      </c>
      <c r="BD358" t="e">
        <v>#N/A</v>
      </c>
      <c r="BE358" t="e">
        <v>#N/A</v>
      </c>
      <c r="BF358" t="e">
        <v>#N/A</v>
      </c>
      <c r="BG358" t="s">
        <v>1212</v>
      </c>
      <c r="BH358" t="s">
        <v>1194</v>
      </c>
      <c r="BI358" t="s">
        <v>2580</v>
      </c>
    </row>
    <row r="359" spans="1:61" x14ac:dyDescent="0.35">
      <c r="A359" s="7" t="str">
        <f t="shared" si="10"/>
        <v>461824300010722</v>
      </c>
      <c r="B359" s="7" t="str">
        <f t="shared" si="11"/>
        <v>GP485052-003B825</v>
      </c>
      <c r="C359" t="s">
        <v>1177</v>
      </c>
      <c r="D359" t="s">
        <v>1178</v>
      </c>
      <c r="E359" t="s">
        <v>2581</v>
      </c>
      <c r="F359" t="s">
        <v>1363</v>
      </c>
      <c r="G359" t="s">
        <v>1363</v>
      </c>
      <c r="H359" t="s">
        <v>1271</v>
      </c>
      <c r="I359">
        <v>46182</v>
      </c>
      <c r="J359" t="s">
        <v>2582</v>
      </c>
      <c r="K359" t="s">
        <v>1182</v>
      </c>
      <c r="L359" t="s">
        <v>1177</v>
      </c>
      <c r="M359" t="s">
        <v>1274</v>
      </c>
      <c r="N359" t="s">
        <v>1079</v>
      </c>
      <c r="O359" t="s">
        <v>1275</v>
      </c>
      <c r="P359">
        <v>46182</v>
      </c>
      <c r="Q359" t="s">
        <v>1177</v>
      </c>
      <c r="R359" t="s">
        <v>16</v>
      </c>
      <c r="S359" t="s">
        <v>512</v>
      </c>
      <c r="T359" t="s">
        <v>1210</v>
      </c>
      <c r="U359" t="s">
        <v>1211</v>
      </c>
      <c r="V359">
        <v>20</v>
      </c>
      <c r="W359" t="s">
        <v>1185</v>
      </c>
      <c r="X359" t="s">
        <v>1185</v>
      </c>
      <c r="Y359">
        <v>0</v>
      </c>
      <c r="Z359" t="s">
        <v>1186</v>
      </c>
      <c r="AA359" t="s">
        <v>1177</v>
      </c>
      <c r="AB359" t="s">
        <v>1177</v>
      </c>
      <c r="AC359" t="s">
        <v>1177</v>
      </c>
      <c r="AD359" t="s">
        <v>1204</v>
      </c>
      <c r="AE359" t="s">
        <v>1188</v>
      </c>
      <c r="AF359" t="s">
        <v>1189</v>
      </c>
      <c r="AG359" t="s">
        <v>1189</v>
      </c>
      <c r="AH359" t="s">
        <v>1178</v>
      </c>
      <c r="AI359" t="s">
        <v>1349</v>
      </c>
      <c r="AJ359" t="s">
        <v>1190</v>
      </c>
      <c r="AK359">
        <v>0</v>
      </c>
      <c r="AL359" t="s">
        <v>1185</v>
      </c>
      <c r="AM359">
        <v>45845</v>
      </c>
      <c r="AN359">
        <v>46213</v>
      </c>
      <c r="AO359">
        <v>46188</v>
      </c>
      <c r="AP359">
        <v>46190</v>
      </c>
      <c r="AQ359">
        <v>46190</v>
      </c>
      <c r="AR359">
        <v>46192</v>
      </c>
      <c r="AS359">
        <v>46196</v>
      </c>
      <c r="AT359" t="s">
        <v>1281</v>
      </c>
      <c r="AU359" t="s">
        <v>1177</v>
      </c>
      <c r="AV359" t="s">
        <v>1192</v>
      </c>
      <c r="AW359" t="s">
        <v>1177</v>
      </c>
      <c r="AX359">
        <v>33</v>
      </c>
      <c r="AY359">
        <v>2</v>
      </c>
      <c r="AZ359" t="s">
        <v>1177</v>
      </c>
      <c r="BA359">
        <v>0</v>
      </c>
      <c r="BB359" t="s">
        <v>1185</v>
      </c>
      <c r="BC359" t="e">
        <v>#N/A</v>
      </c>
      <c r="BD359" t="e">
        <v>#N/A</v>
      </c>
      <c r="BE359" t="e">
        <v>#N/A</v>
      </c>
      <c r="BF359" t="e">
        <v>#N/A</v>
      </c>
      <c r="BG359" t="s">
        <v>1458</v>
      </c>
      <c r="BH359" t="s">
        <v>1763</v>
      </c>
      <c r="BI359" t="s">
        <v>1458</v>
      </c>
    </row>
    <row r="360" spans="1:61" x14ac:dyDescent="0.35">
      <c r="A360" s="7" t="str">
        <f t="shared" si="10"/>
        <v>461824300010724</v>
      </c>
      <c r="B360" s="7" t="str">
        <f t="shared" si="11"/>
        <v>GP225513B825</v>
      </c>
      <c r="C360" t="s">
        <v>1177</v>
      </c>
      <c r="D360" t="s">
        <v>1178</v>
      </c>
      <c r="E360" t="s">
        <v>2583</v>
      </c>
      <c r="F360" t="s">
        <v>1363</v>
      </c>
      <c r="G360" t="s">
        <v>1363</v>
      </c>
      <c r="H360" t="s">
        <v>1271</v>
      </c>
      <c r="I360">
        <v>46182</v>
      </c>
      <c r="J360" t="s">
        <v>2584</v>
      </c>
      <c r="K360" t="s">
        <v>1285</v>
      </c>
      <c r="L360" t="s">
        <v>1177</v>
      </c>
      <c r="M360" t="s">
        <v>1274</v>
      </c>
      <c r="N360" t="s">
        <v>1079</v>
      </c>
      <c r="O360" t="s">
        <v>1275</v>
      </c>
      <c r="P360">
        <v>46182</v>
      </c>
      <c r="Q360" t="s">
        <v>1177</v>
      </c>
      <c r="R360" t="s">
        <v>16</v>
      </c>
      <c r="S360" t="s">
        <v>512</v>
      </c>
      <c r="T360" t="s">
        <v>2585</v>
      </c>
      <c r="U360" t="s">
        <v>2586</v>
      </c>
      <c r="V360">
        <v>5</v>
      </c>
      <c r="W360" t="s">
        <v>1262</v>
      </c>
      <c r="X360" t="s">
        <v>1262</v>
      </c>
      <c r="Y360">
        <v>0</v>
      </c>
      <c r="Z360" t="s">
        <v>1186</v>
      </c>
      <c r="AA360" t="s">
        <v>1177</v>
      </c>
      <c r="AB360" t="s">
        <v>1276</v>
      </c>
      <c r="AC360" t="s">
        <v>1277</v>
      </c>
      <c r="AD360" t="s">
        <v>1278</v>
      </c>
      <c r="AE360" t="s">
        <v>1438</v>
      </c>
      <c r="AF360" t="s">
        <v>1178</v>
      </c>
      <c r="AG360" t="s">
        <v>1190</v>
      </c>
      <c r="AH360" t="s">
        <v>1178</v>
      </c>
      <c r="AI360" t="s">
        <v>1349</v>
      </c>
      <c r="AJ360" t="s">
        <v>1190</v>
      </c>
      <c r="AK360">
        <v>0</v>
      </c>
      <c r="AL360" t="s">
        <v>1262</v>
      </c>
      <c r="AM360">
        <v>45935</v>
      </c>
      <c r="AN360">
        <v>46188</v>
      </c>
      <c r="AO360">
        <v>46188</v>
      </c>
      <c r="AP360">
        <v>46190</v>
      </c>
      <c r="AQ360">
        <v>46190</v>
      </c>
      <c r="AR360">
        <v>46192</v>
      </c>
      <c r="AS360">
        <v>46192</v>
      </c>
      <c r="AT360" t="s">
        <v>1281</v>
      </c>
      <c r="AU360" t="s">
        <v>1177</v>
      </c>
      <c r="AV360" t="s">
        <v>1192</v>
      </c>
      <c r="AW360" t="s">
        <v>1177</v>
      </c>
      <c r="AX360">
        <v>0</v>
      </c>
      <c r="AY360">
        <v>0</v>
      </c>
      <c r="AZ360" t="s">
        <v>1177</v>
      </c>
      <c r="BA360">
        <v>0</v>
      </c>
      <c r="BB360" t="s">
        <v>1262</v>
      </c>
      <c r="BC360" t="e">
        <v>#N/A</v>
      </c>
      <c r="BD360" t="e">
        <v>#N/A</v>
      </c>
      <c r="BE360" t="e">
        <v>#N/A</v>
      </c>
      <c r="BF360" t="e">
        <v>#N/A</v>
      </c>
      <c r="BG360" t="s">
        <v>1212</v>
      </c>
      <c r="BH360" t="s">
        <v>1194</v>
      </c>
      <c r="BI360" t="s">
        <v>1213</v>
      </c>
    </row>
    <row r="361" spans="1:61" x14ac:dyDescent="0.35">
      <c r="A361" s="7" t="str">
        <f t="shared" si="10"/>
        <v>461824300010754</v>
      </c>
      <c r="B361" s="7" t="str">
        <f t="shared" si="11"/>
        <v>GP519352B867</v>
      </c>
      <c r="C361" t="s">
        <v>1177</v>
      </c>
      <c r="D361" t="s">
        <v>1178</v>
      </c>
      <c r="E361" t="s">
        <v>2587</v>
      </c>
      <c r="F361" t="s">
        <v>1363</v>
      </c>
      <c r="G361" t="s">
        <v>1363</v>
      </c>
      <c r="H361" t="s">
        <v>1271</v>
      </c>
      <c r="I361">
        <v>46182</v>
      </c>
      <c r="J361" t="s">
        <v>2588</v>
      </c>
      <c r="K361" t="s">
        <v>1199</v>
      </c>
      <c r="L361" t="s">
        <v>1177</v>
      </c>
      <c r="M361" t="s">
        <v>1274</v>
      </c>
      <c r="N361" t="s">
        <v>1079</v>
      </c>
      <c r="O361" t="s">
        <v>1275</v>
      </c>
      <c r="P361">
        <v>46182</v>
      </c>
      <c r="Q361" t="s">
        <v>1177</v>
      </c>
      <c r="R361" t="s">
        <v>25</v>
      </c>
      <c r="S361" t="s">
        <v>1060</v>
      </c>
      <c r="T361" t="s">
        <v>2498</v>
      </c>
      <c r="U361" t="s">
        <v>2499</v>
      </c>
      <c r="V361">
        <v>1</v>
      </c>
      <c r="W361" t="s">
        <v>1262</v>
      </c>
      <c r="X361" t="s">
        <v>1262</v>
      </c>
      <c r="Y361">
        <v>0</v>
      </c>
      <c r="Z361" t="s">
        <v>1186</v>
      </c>
      <c r="AA361" t="s">
        <v>1177</v>
      </c>
      <c r="AB361" t="s">
        <v>1177</v>
      </c>
      <c r="AC361" t="s">
        <v>1177</v>
      </c>
      <c r="AD361" t="s">
        <v>1313</v>
      </c>
      <c r="AE361" t="s">
        <v>1478</v>
      </c>
      <c r="AF361" t="s">
        <v>1189</v>
      </c>
      <c r="AG361" t="s">
        <v>1190</v>
      </c>
      <c r="AH361" t="s">
        <v>1178</v>
      </c>
      <c r="AI361" t="s">
        <v>1280</v>
      </c>
      <c r="AJ361" t="s">
        <v>1189</v>
      </c>
      <c r="AK361">
        <v>1</v>
      </c>
      <c r="AL361" t="s">
        <v>1262</v>
      </c>
      <c r="AM361">
        <v>46260</v>
      </c>
      <c r="AN361">
        <v>46254</v>
      </c>
      <c r="AO361">
        <v>46254</v>
      </c>
      <c r="AP361">
        <v>46258</v>
      </c>
      <c r="AQ361">
        <v>46258</v>
      </c>
      <c r="AR361">
        <v>46260</v>
      </c>
      <c r="AS361">
        <v>46260</v>
      </c>
      <c r="AT361" t="s">
        <v>1281</v>
      </c>
      <c r="AU361" t="s">
        <v>1177</v>
      </c>
      <c r="AV361" t="s">
        <v>1192</v>
      </c>
      <c r="AW361" t="s">
        <v>1177</v>
      </c>
      <c r="AX361">
        <v>0</v>
      </c>
      <c r="AY361">
        <v>0</v>
      </c>
      <c r="AZ361" t="s">
        <v>1177</v>
      </c>
      <c r="BA361">
        <v>0</v>
      </c>
      <c r="BB361" t="s">
        <v>1262</v>
      </c>
      <c r="BC361" t="e">
        <v>#N/A</v>
      </c>
      <c r="BD361" t="e">
        <v>#N/A</v>
      </c>
      <c r="BE361" t="e">
        <v>#N/A</v>
      </c>
      <c r="BF361" t="e">
        <v>#N/A</v>
      </c>
      <c r="BG361" t="s">
        <v>1212</v>
      </c>
      <c r="BH361" t="s">
        <v>1194</v>
      </c>
      <c r="BI361" t="s">
        <v>1212</v>
      </c>
    </row>
    <row r="362" spans="1:61" x14ac:dyDescent="0.35">
      <c r="A362" s="7" t="str">
        <f t="shared" si="10"/>
        <v>461824300010755</v>
      </c>
      <c r="B362" s="7" t="str">
        <f t="shared" si="11"/>
        <v>GP253668B857</v>
      </c>
      <c r="C362" t="s">
        <v>1177</v>
      </c>
      <c r="D362" t="s">
        <v>1178</v>
      </c>
      <c r="E362" t="s">
        <v>2589</v>
      </c>
      <c r="F362" t="s">
        <v>1363</v>
      </c>
      <c r="G362" t="s">
        <v>1363</v>
      </c>
      <c r="H362" t="s">
        <v>1271</v>
      </c>
      <c r="I362">
        <v>46182</v>
      </c>
      <c r="J362" t="s">
        <v>2590</v>
      </c>
      <c r="K362" t="s">
        <v>1687</v>
      </c>
      <c r="L362" t="s">
        <v>1177</v>
      </c>
      <c r="M362" t="s">
        <v>1274</v>
      </c>
      <c r="N362" t="s">
        <v>1079</v>
      </c>
      <c r="O362" t="s">
        <v>1275</v>
      </c>
      <c r="P362">
        <v>46182</v>
      </c>
      <c r="Q362" t="s">
        <v>1177</v>
      </c>
      <c r="R362" t="s">
        <v>23</v>
      </c>
      <c r="S362" t="s">
        <v>959</v>
      </c>
      <c r="T362" t="s">
        <v>413</v>
      </c>
      <c r="U362" t="s">
        <v>414</v>
      </c>
      <c r="V362">
        <v>20</v>
      </c>
      <c r="W362" t="s">
        <v>1262</v>
      </c>
      <c r="X362" t="s">
        <v>1262</v>
      </c>
      <c r="Y362">
        <v>0</v>
      </c>
      <c r="Z362" t="s">
        <v>1186</v>
      </c>
      <c r="AA362" t="s">
        <v>1177</v>
      </c>
      <c r="AB362" t="s">
        <v>1276</v>
      </c>
      <c r="AC362" t="s">
        <v>1277</v>
      </c>
      <c r="AD362" t="s">
        <v>1278</v>
      </c>
      <c r="AE362" t="s">
        <v>1284</v>
      </c>
      <c r="AF362" t="s">
        <v>1178</v>
      </c>
      <c r="AG362" t="s">
        <v>1190</v>
      </c>
      <c r="AH362" t="s">
        <v>1178</v>
      </c>
      <c r="AI362" t="s">
        <v>1280</v>
      </c>
      <c r="AJ362" t="s">
        <v>1190</v>
      </c>
      <c r="AK362">
        <v>0</v>
      </c>
      <c r="AL362" t="s">
        <v>1262</v>
      </c>
      <c r="AM362">
        <v>46335</v>
      </c>
      <c r="AN362">
        <v>46323</v>
      </c>
      <c r="AO362">
        <v>46323</v>
      </c>
      <c r="AP362">
        <v>46325</v>
      </c>
      <c r="AQ362">
        <v>46325</v>
      </c>
      <c r="AR362">
        <v>46330</v>
      </c>
      <c r="AS362">
        <v>46332</v>
      </c>
      <c r="AT362" t="s">
        <v>1281</v>
      </c>
      <c r="AU362" t="s">
        <v>1177</v>
      </c>
      <c r="AV362" t="s">
        <v>1192</v>
      </c>
      <c r="AW362" t="s">
        <v>1177</v>
      </c>
      <c r="AX362">
        <v>236</v>
      </c>
      <c r="AY362">
        <v>2</v>
      </c>
      <c r="AZ362" t="s">
        <v>1177</v>
      </c>
      <c r="BA362">
        <v>20</v>
      </c>
      <c r="BB362" t="s">
        <v>1262</v>
      </c>
      <c r="BC362" t="s">
        <v>1580</v>
      </c>
      <c r="BD362">
        <v>20</v>
      </c>
      <c r="BE362">
        <v>46191</v>
      </c>
      <c r="BF362" t="s">
        <v>1165</v>
      </c>
      <c r="BG362" t="s">
        <v>1212</v>
      </c>
      <c r="BH362" t="s">
        <v>1194</v>
      </c>
      <c r="BI362" t="s">
        <v>1212</v>
      </c>
    </row>
    <row r="363" spans="1:61" x14ac:dyDescent="0.35">
      <c r="A363" s="7" t="str">
        <f t="shared" si="10"/>
        <v>461824300010756</v>
      </c>
      <c r="B363" s="7" t="str">
        <f t="shared" si="11"/>
        <v>GP253668B867</v>
      </c>
      <c r="C363" t="s">
        <v>1177</v>
      </c>
      <c r="D363" t="s">
        <v>1178</v>
      </c>
      <c r="E363" t="s">
        <v>2592</v>
      </c>
      <c r="F363" t="s">
        <v>1363</v>
      </c>
      <c r="G363" t="s">
        <v>1363</v>
      </c>
      <c r="H363" t="s">
        <v>1271</v>
      </c>
      <c r="I363">
        <v>46182</v>
      </c>
      <c r="J363" t="s">
        <v>2593</v>
      </c>
      <c r="K363" t="s">
        <v>1713</v>
      </c>
      <c r="L363" t="s">
        <v>1177</v>
      </c>
      <c r="M363" t="s">
        <v>1274</v>
      </c>
      <c r="N363" t="s">
        <v>1079</v>
      </c>
      <c r="O363" t="s">
        <v>1275</v>
      </c>
      <c r="P363">
        <v>46182</v>
      </c>
      <c r="Q363" t="s">
        <v>1177</v>
      </c>
      <c r="R363" t="s">
        <v>25</v>
      </c>
      <c r="S363" t="s">
        <v>1060</v>
      </c>
      <c r="T363" t="s">
        <v>413</v>
      </c>
      <c r="U363" t="s">
        <v>414</v>
      </c>
      <c r="V363">
        <v>20</v>
      </c>
      <c r="W363" t="s">
        <v>1262</v>
      </c>
      <c r="X363" t="s">
        <v>1262</v>
      </c>
      <c r="Y363">
        <v>0</v>
      </c>
      <c r="Z363" t="s">
        <v>1186</v>
      </c>
      <c r="AA363" t="s">
        <v>1177</v>
      </c>
      <c r="AB363" t="s">
        <v>1276</v>
      </c>
      <c r="AC363" t="s">
        <v>1277</v>
      </c>
      <c r="AD363" t="s">
        <v>1278</v>
      </c>
      <c r="AE363" t="s">
        <v>1284</v>
      </c>
      <c r="AF363" t="s">
        <v>1178</v>
      </c>
      <c r="AG363" t="s">
        <v>1190</v>
      </c>
      <c r="AH363" t="s">
        <v>1178</v>
      </c>
      <c r="AI363" t="s">
        <v>1280</v>
      </c>
      <c r="AJ363" t="s">
        <v>1190</v>
      </c>
      <c r="AK363">
        <v>0</v>
      </c>
      <c r="AL363" t="s">
        <v>1262</v>
      </c>
      <c r="AM363">
        <v>46190</v>
      </c>
      <c r="AN363">
        <v>46258</v>
      </c>
      <c r="AO363">
        <v>46184</v>
      </c>
      <c r="AP363">
        <v>46188</v>
      </c>
      <c r="AQ363">
        <v>46188</v>
      </c>
      <c r="AR363">
        <v>46190</v>
      </c>
      <c r="AS363">
        <v>46190</v>
      </c>
      <c r="AT363" t="s">
        <v>1281</v>
      </c>
      <c r="AU363" t="s">
        <v>1177</v>
      </c>
      <c r="AV363" t="s">
        <v>1192</v>
      </c>
      <c r="AW363" t="s">
        <v>1177</v>
      </c>
      <c r="AX363">
        <v>0</v>
      </c>
      <c r="AY363">
        <v>0</v>
      </c>
      <c r="AZ363" t="s">
        <v>1177</v>
      </c>
      <c r="BA363">
        <v>0</v>
      </c>
      <c r="BB363" t="s">
        <v>1262</v>
      </c>
      <c r="BC363" t="e">
        <v>#N/A</v>
      </c>
      <c r="BD363" t="e">
        <v>#N/A</v>
      </c>
      <c r="BE363" t="e">
        <v>#N/A</v>
      </c>
      <c r="BF363" t="e">
        <v>#N/A</v>
      </c>
      <c r="BG363" t="s">
        <v>1212</v>
      </c>
      <c r="BH363" t="s">
        <v>1194</v>
      </c>
      <c r="BI363" t="s">
        <v>1212</v>
      </c>
    </row>
    <row r="364" spans="1:61" x14ac:dyDescent="0.35">
      <c r="A364" s="7" t="str">
        <f t="shared" si="10"/>
        <v>461824300010781</v>
      </c>
      <c r="B364" s="7" t="str">
        <f t="shared" si="11"/>
        <v>GP144559-001B825</v>
      </c>
      <c r="C364" t="s">
        <v>2594</v>
      </c>
      <c r="D364" t="s">
        <v>1182</v>
      </c>
      <c r="E364" t="s">
        <v>1177</v>
      </c>
      <c r="F364" t="s">
        <v>1232</v>
      </c>
      <c r="G364" t="s">
        <v>1233</v>
      </c>
      <c r="H364" t="s">
        <v>1271</v>
      </c>
      <c r="I364">
        <v>46182</v>
      </c>
      <c r="J364" t="s">
        <v>2595</v>
      </c>
      <c r="K364" t="s">
        <v>1182</v>
      </c>
      <c r="L364" t="s">
        <v>1177</v>
      </c>
      <c r="M364" t="s">
        <v>1274</v>
      </c>
      <c r="N364" t="s">
        <v>19</v>
      </c>
      <c r="O364" t="s">
        <v>654</v>
      </c>
      <c r="P364">
        <v>46182</v>
      </c>
      <c r="Q364" t="s">
        <v>1177</v>
      </c>
      <c r="R364" t="s">
        <v>16</v>
      </c>
      <c r="S364" t="s">
        <v>512</v>
      </c>
      <c r="T364" t="s">
        <v>407</v>
      </c>
      <c r="U364" t="s">
        <v>1610</v>
      </c>
      <c r="V364">
        <v>25</v>
      </c>
      <c r="W364" t="s">
        <v>1262</v>
      </c>
      <c r="X364" t="s">
        <v>1262</v>
      </c>
      <c r="Y364">
        <v>0</v>
      </c>
      <c r="Z364" t="s">
        <v>1186</v>
      </c>
      <c r="AA364" t="s">
        <v>1177</v>
      </c>
      <c r="AB364" t="s">
        <v>1177</v>
      </c>
      <c r="AC364" t="s">
        <v>1177</v>
      </c>
      <c r="AD364" t="s">
        <v>1204</v>
      </c>
      <c r="AE364" t="s">
        <v>1188</v>
      </c>
      <c r="AF364" t="s">
        <v>1189</v>
      </c>
      <c r="AG364" t="s">
        <v>1178</v>
      </c>
      <c r="AH364" t="s">
        <v>1178</v>
      </c>
      <c r="AI364" t="s">
        <v>1177</v>
      </c>
      <c r="AJ364" t="s">
        <v>1190</v>
      </c>
      <c r="AK364">
        <v>25</v>
      </c>
      <c r="AL364" t="s">
        <v>1262</v>
      </c>
      <c r="AM364">
        <v>46246</v>
      </c>
      <c r="AN364">
        <v>46246</v>
      </c>
      <c r="AO364">
        <v>46246</v>
      </c>
      <c r="AP364">
        <v>46246</v>
      </c>
      <c r="AQ364">
        <v>46246</v>
      </c>
      <c r="AR364">
        <v>46246</v>
      </c>
      <c r="AS364">
        <v>46248</v>
      </c>
      <c r="AT364" t="s">
        <v>1281</v>
      </c>
      <c r="AU364" t="s">
        <v>1177</v>
      </c>
      <c r="AV364" t="s">
        <v>1192</v>
      </c>
      <c r="AW364" t="s">
        <v>1177</v>
      </c>
      <c r="AX364">
        <v>69</v>
      </c>
      <c r="AY364">
        <v>2</v>
      </c>
      <c r="AZ364" t="s">
        <v>1177</v>
      </c>
      <c r="BA364">
        <v>25</v>
      </c>
      <c r="BB364" t="s">
        <v>1262</v>
      </c>
      <c r="BC364" t="e">
        <v>#N/A</v>
      </c>
      <c r="BD364" t="e">
        <v>#N/A</v>
      </c>
      <c r="BE364" t="e">
        <v>#N/A</v>
      </c>
      <c r="BF364" t="e">
        <v>#N/A</v>
      </c>
      <c r="BG364" t="s">
        <v>1212</v>
      </c>
      <c r="BH364" t="e">
        <v>#N/A</v>
      </c>
      <c r="BI364" t="e">
        <v>#N/A</v>
      </c>
    </row>
    <row r="365" spans="1:61" x14ac:dyDescent="0.35">
      <c r="A365" s="7" t="str">
        <f t="shared" si="10"/>
        <v>461824300010790</v>
      </c>
      <c r="B365" s="7" t="str">
        <f t="shared" si="11"/>
        <v>GP331368B864</v>
      </c>
      <c r="C365" t="s">
        <v>1177</v>
      </c>
      <c r="D365" t="s">
        <v>1178</v>
      </c>
      <c r="E365" t="s">
        <v>2596</v>
      </c>
      <c r="F365" t="s">
        <v>1363</v>
      </c>
      <c r="G365" t="s">
        <v>1363</v>
      </c>
      <c r="H365" t="s">
        <v>1271</v>
      </c>
      <c r="I365">
        <v>46182</v>
      </c>
      <c r="J365" t="s">
        <v>2597</v>
      </c>
      <c r="K365" t="s">
        <v>1198</v>
      </c>
      <c r="L365" t="s">
        <v>1177</v>
      </c>
      <c r="M365" t="s">
        <v>1274</v>
      </c>
      <c r="N365" t="s">
        <v>1079</v>
      </c>
      <c r="O365" t="s">
        <v>1275</v>
      </c>
      <c r="P365">
        <v>46182</v>
      </c>
      <c r="Q365" t="s">
        <v>1177</v>
      </c>
      <c r="R365" t="s">
        <v>10</v>
      </c>
      <c r="S365" t="s">
        <v>1011</v>
      </c>
      <c r="T365" t="s">
        <v>605</v>
      </c>
      <c r="U365" t="s">
        <v>606</v>
      </c>
      <c r="V365">
        <v>1</v>
      </c>
      <c r="W365" t="s">
        <v>1262</v>
      </c>
      <c r="X365" t="s">
        <v>1262</v>
      </c>
      <c r="Y365">
        <v>0</v>
      </c>
      <c r="Z365" t="s">
        <v>1186</v>
      </c>
      <c r="AA365" t="s">
        <v>1177</v>
      </c>
      <c r="AB365" t="s">
        <v>1286</v>
      </c>
      <c r="AC365" t="s">
        <v>1277</v>
      </c>
      <c r="AD365" t="s">
        <v>1278</v>
      </c>
      <c r="AE365" t="s">
        <v>1628</v>
      </c>
      <c r="AF365" t="s">
        <v>1178</v>
      </c>
      <c r="AG365" t="s">
        <v>1178</v>
      </c>
      <c r="AH365" t="s">
        <v>1178</v>
      </c>
      <c r="AI365" t="s">
        <v>1280</v>
      </c>
      <c r="AJ365" t="s">
        <v>1190</v>
      </c>
      <c r="AK365">
        <v>0</v>
      </c>
      <c r="AL365" t="s">
        <v>1262</v>
      </c>
      <c r="AM365">
        <v>45943</v>
      </c>
      <c r="AN365">
        <v>46363</v>
      </c>
      <c r="AO365">
        <v>46184</v>
      </c>
      <c r="AP365">
        <v>46188</v>
      </c>
      <c r="AQ365">
        <v>46188</v>
      </c>
      <c r="AR365">
        <v>46190</v>
      </c>
      <c r="AS365">
        <v>46192</v>
      </c>
      <c r="AT365" t="s">
        <v>1281</v>
      </c>
      <c r="AU365" t="s">
        <v>1177</v>
      </c>
      <c r="AV365" t="s">
        <v>1192</v>
      </c>
      <c r="AW365" t="s">
        <v>1177</v>
      </c>
      <c r="AX365">
        <v>33</v>
      </c>
      <c r="AY365">
        <v>2</v>
      </c>
      <c r="AZ365" t="s">
        <v>1177</v>
      </c>
      <c r="BA365">
        <v>0</v>
      </c>
      <c r="BB365" t="s">
        <v>1262</v>
      </c>
      <c r="BC365" t="e">
        <v>#N/A</v>
      </c>
      <c r="BD365" t="e">
        <v>#N/A</v>
      </c>
      <c r="BE365" t="e">
        <v>#N/A</v>
      </c>
      <c r="BF365" t="e">
        <v>#N/A</v>
      </c>
      <c r="BG365" t="s">
        <v>126</v>
      </c>
      <c r="BH365" t="s">
        <v>1567</v>
      </c>
      <c r="BI365" t="s">
        <v>126</v>
      </c>
    </row>
    <row r="366" spans="1:61" x14ac:dyDescent="0.35">
      <c r="A366" s="7" t="str">
        <f t="shared" si="10"/>
        <v>461824300010794</v>
      </c>
      <c r="B366" s="7" t="str">
        <f t="shared" si="11"/>
        <v>GP189308B865</v>
      </c>
      <c r="C366" t="s">
        <v>1177</v>
      </c>
      <c r="D366" t="s">
        <v>1178</v>
      </c>
      <c r="E366" t="s">
        <v>2598</v>
      </c>
      <c r="F366" t="s">
        <v>1363</v>
      </c>
      <c r="G366" t="s">
        <v>1363</v>
      </c>
      <c r="H366" t="s">
        <v>1271</v>
      </c>
      <c r="I366">
        <v>46182</v>
      </c>
      <c r="J366" t="s">
        <v>2599</v>
      </c>
      <c r="K366" t="s">
        <v>1182</v>
      </c>
      <c r="L366" t="s">
        <v>1177</v>
      </c>
      <c r="M366" t="s">
        <v>1274</v>
      </c>
      <c r="N366" t="s">
        <v>1079</v>
      </c>
      <c r="O366" t="s">
        <v>1275</v>
      </c>
      <c r="P366">
        <v>46217</v>
      </c>
      <c r="Q366" t="s">
        <v>1177</v>
      </c>
      <c r="R366" t="s">
        <v>7</v>
      </c>
      <c r="S366" t="s">
        <v>1040</v>
      </c>
      <c r="T366" t="s">
        <v>183</v>
      </c>
      <c r="U366" t="s">
        <v>2600</v>
      </c>
      <c r="V366">
        <v>1</v>
      </c>
      <c r="W366" t="s">
        <v>1262</v>
      </c>
      <c r="X366" t="s">
        <v>1262</v>
      </c>
      <c r="Y366">
        <v>0</v>
      </c>
      <c r="Z366" t="s">
        <v>1186</v>
      </c>
      <c r="AA366" t="s">
        <v>1177</v>
      </c>
      <c r="AB366" t="s">
        <v>1276</v>
      </c>
      <c r="AC366" t="s">
        <v>1277</v>
      </c>
      <c r="AD366" t="s">
        <v>1278</v>
      </c>
      <c r="AE366" t="s">
        <v>2313</v>
      </c>
      <c r="AF366" t="s">
        <v>1178</v>
      </c>
      <c r="AG366" t="s">
        <v>1190</v>
      </c>
      <c r="AH366" t="s">
        <v>1178</v>
      </c>
      <c r="AI366" t="s">
        <v>1349</v>
      </c>
      <c r="AJ366" t="s">
        <v>1190</v>
      </c>
      <c r="AK366">
        <v>0</v>
      </c>
      <c r="AL366" t="s">
        <v>1262</v>
      </c>
      <c r="AM366">
        <v>46154</v>
      </c>
      <c r="AN366">
        <v>46237</v>
      </c>
      <c r="AO366">
        <v>46188</v>
      </c>
      <c r="AP366">
        <v>46190</v>
      </c>
      <c r="AQ366">
        <v>46190</v>
      </c>
      <c r="AR366">
        <v>46192</v>
      </c>
      <c r="AS366">
        <v>46357</v>
      </c>
      <c r="AT366" t="s">
        <v>1281</v>
      </c>
      <c r="AU366" t="s">
        <v>1177</v>
      </c>
      <c r="AV366" t="s">
        <v>1192</v>
      </c>
      <c r="AW366" t="s">
        <v>1177</v>
      </c>
      <c r="AX366">
        <v>17</v>
      </c>
      <c r="AY366">
        <v>113</v>
      </c>
      <c r="AZ366" t="s">
        <v>1177</v>
      </c>
      <c r="BA366">
        <v>1</v>
      </c>
      <c r="BB366" t="s">
        <v>1262</v>
      </c>
      <c r="BC366" t="s">
        <v>2224</v>
      </c>
      <c r="BD366">
        <v>1</v>
      </c>
      <c r="BE366">
        <v>46223</v>
      </c>
      <c r="BF366" t="s">
        <v>1165</v>
      </c>
      <c r="BG366" t="s">
        <v>126</v>
      </c>
      <c r="BH366" t="s">
        <v>1873</v>
      </c>
      <c r="BI366" t="s">
        <v>126</v>
      </c>
    </row>
    <row r="367" spans="1:61" x14ac:dyDescent="0.35">
      <c r="A367" s="7" t="str">
        <f t="shared" si="10"/>
        <v>461844300010810</v>
      </c>
      <c r="B367" s="7" t="str">
        <f t="shared" si="11"/>
        <v>GP056698B825</v>
      </c>
      <c r="C367" t="s">
        <v>2601</v>
      </c>
      <c r="D367" t="s">
        <v>1288</v>
      </c>
      <c r="E367" t="s">
        <v>1177</v>
      </c>
      <c r="F367" t="s">
        <v>2602</v>
      </c>
      <c r="G367" t="s">
        <v>2603</v>
      </c>
      <c r="H367" t="s">
        <v>1271</v>
      </c>
      <c r="I367">
        <v>46184</v>
      </c>
      <c r="J367" t="s">
        <v>2604</v>
      </c>
      <c r="K367" t="s">
        <v>1407</v>
      </c>
      <c r="L367" t="s">
        <v>1177</v>
      </c>
      <c r="M367" t="s">
        <v>1274</v>
      </c>
      <c r="N367" t="s">
        <v>1079</v>
      </c>
      <c r="O367" t="s">
        <v>1275</v>
      </c>
      <c r="P367">
        <v>46280</v>
      </c>
      <c r="Q367" t="s">
        <v>1177</v>
      </c>
      <c r="R367" t="s">
        <v>16</v>
      </c>
      <c r="S367" t="s">
        <v>512</v>
      </c>
      <c r="T367" t="s">
        <v>967</v>
      </c>
      <c r="U367" t="s">
        <v>2295</v>
      </c>
      <c r="V367">
        <v>2</v>
      </c>
      <c r="W367" t="s">
        <v>1262</v>
      </c>
      <c r="X367" t="s">
        <v>1262</v>
      </c>
      <c r="Y367">
        <v>0</v>
      </c>
      <c r="Z367" t="s">
        <v>1186</v>
      </c>
      <c r="AA367" t="s">
        <v>1177</v>
      </c>
      <c r="AB367" t="s">
        <v>1276</v>
      </c>
      <c r="AC367" t="s">
        <v>1277</v>
      </c>
      <c r="AD367" t="s">
        <v>1278</v>
      </c>
      <c r="AE367" t="s">
        <v>1354</v>
      </c>
      <c r="AF367" t="s">
        <v>1177</v>
      </c>
      <c r="AG367" t="s">
        <v>1190</v>
      </c>
      <c r="AH367" t="s">
        <v>1178</v>
      </c>
      <c r="AI367" t="s">
        <v>1349</v>
      </c>
      <c r="AJ367" t="s">
        <v>1190</v>
      </c>
      <c r="AK367">
        <v>0</v>
      </c>
      <c r="AL367" t="s">
        <v>1262</v>
      </c>
      <c r="AM367">
        <v>46330</v>
      </c>
      <c r="AN367">
        <v>46370</v>
      </c>
      <c r="AO367">
        <v>46321</v>
      </c>
      <c r="AP367">
        <v>46323</v>
      </c>
      <c r="AQ367">
        <v>46323</v>
      </c>
      <c r="AR367">
        <v>46325</v>
      </c>
      <c r="AS367">
        <v>46330</v>
      </c>
      <c r="AT367" t="s">
        <v>1281</v>
      </c>
      <c r="AU367" t="s">
        <v>1177</v>
      </c>
      <c r="AV367" t="s">
        <v>1192</v>
      </c>
      <c r="AW367" t="s">
        <v>1177</v>
      </c>
      <c r="AX367">
        <v>163</v>
      </c>
      <c r="AY367">
        <v>2</v>
      </c>
      <c r="AZ367" t="s">
        <v>1177</v>
      </c>
      <c r="BA367">
        <v>0</v>
      </c>
      <c r="BB367" t="s">
        <v>1262</v>
      </c>
      <c r="BC367" t="s">
        <v>1692</v>
      </c>
      <c r="BD367">
        <v>1</v>
      </c>
      <c r="BE367">
        <v>46209</v>
      </c>
      <c r="BF367" t="s">
        <v>1165</v>
      </c>
      <c r="BG367" t="s">
        <v>1464</v>
      </c>
      <c r="BH367" t="e">
        <v>#N/A</v>
      </c>
      <c r="BI367" t="e">
        <v>#N/A</v>
      </c>
    </row>
    <row r="368" spans="1:61" x14ac:dyDescent="0.35">
      <c r="A368" s="7" t="str">
        <f t="shared" si="10"/>
        <v>461844300010811</v>
      </c>
      <c r="B368" s="7" t="str">
        <f t="shared" si="11"/>
        <v>GP024687B867</v>
      </c>
      <c r="C368" t="s">
        <v>2605</v>
      </c>
      <c r="D368" t="s">
        <v>1182</v>
      </c>
      <c r="E368" t="s">
        <v>1177</v>
      </c>
      <c r="F368" t="s">
        <v>2602</v>
      </c>
      <c r="G368" t="s">
        <v>2603</v>
      </c>
      <c r="H368" t="s">
        <v>1271</v>
      </c>
      <c r="I368">
        <v>46184</v>
      </c>
      <c r="J368" t="s">
        <v>2606</v>
      </c>
      <c r="K368" t="s">
        <v>1182</v>
      </c>
      <c r="L368" t="s">
        <v>1177</v>
      </c>
      <c r="M368" t="s">
        <v>1274</v>
      </c>
      <c r="N368" t="s">
        <v>1079</v>
      </c>
      <c r="O368" t="s">
        <v>1275</v>
      </c>
      <c r="P368">
        <v>46184</v>
      </c>
      <c r="Q368" t="s">
        <v>1185</v>
      </c>
      <c r="R368" t="s">
        <v>25</v>
      </c>
      <c r="S368" t="s">
        <v>1060</v>
      </c>
      <c r="T368" t="s">
        <v>2607</v>
      </c>
      <c r="U368" t="s">
        <v>2608</v>
      </c>
      <c r="V368">
        <v>1</v>
      </c>
      <c r="W368" t="s">
        <v>1262</v>
      </c>
      <c r="X368" t="s">
        <v>1262</v>
      </c>
      <c r="Y368">
        <v>0</v>
      </c>
      <c r="Z368" t="s">
        <v>1186</v>
      </c>
      <c r="AA368" t="s">
        <v>1177</v>
      </c>
      <c r="AB368" t="s">
        <v>1276</v>
      </c>
      <c r="AC368" t="s">
        <v>1277</v>
      </c>
      <c r="AD368" t="s">
        <v>1278</v>
      </c>
      <c r="AE368" t="s">
        <v>1357</v>
      </c>
      <c r="AF368" t="s">
        <v>1178</v>
      </c>
      <c r="AG368" t="s">
        <v>1190</v>
      </c>
      <c r="AH368" t="s">
        <v>1178</v>
      </c>
      <c r="AI368" t="s">
        <v>1177</v>
      </c>
      <c r="AJ368" t="s">
        <v>1190</v>
      </c>
      <c r="AK368">
        <v>0</v>
      </c>
      <c r="AL368" t="s">
        <v>1262</v>
      </c>
      <c r="AM368">
        <v>46182</v>
      </c>
      <c r="AN368">
        <v>46184</v>
      </c>
      <c r="AO368">
        <v>46184</v>
      </c>
      <c r="AP368">
        <v>46188</v>
      </c>
      <c r="AQ368">
        <v>46188</v>
      </c>
      <c r="AR368">
        <v>46190</v>
      </c>
      <c r="AS368">
        <v>46196</v>
      </c>
      <c r="AT368" t="s">
        <v>1281</v>
      </c>
      <c r="AU368" t="s">
        <v>1177</v>
      </c>
      <c r="AV368" t="s">
        <v>1192</v>
      </c>
      <c r="AW368" t="s">
        <v>1177</v>
      </c>
      <c r="AX368">
        <v>0</v>
      </c>
      <c r="AY368">
        <v>0</v>
      </c>
      <c r="AZ368" t="s">
        <v>1177</v>
      </c>
      <c r="BA368">
        <v>0</v>
      </c>
      <c r="BB368" t="s">
        <v>1262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e">
        <v>#N/A</v>
      </c>
      <c r="BI368" t="e">
        <v>#N/A</v>
      </c>
    </row>
    <row r="369" spans="1:61" x14ac:dyDescent="0.35">
      <c r="A369" s="7" t="str">
        <f t="shared" si="10"/>
        <v>461844300010814</v>
      </c>
      <c r="B369" s="7" t="str">
        <f t="shared" si="11"/>
        <v>GP056698B825</v>
      </c>
      <c r="C369" t="s">
        <v>1177</v>
      </c>
      <c r="D369" t="s">
        <v>1178</v>
      </c>
      <c r="E369" t="s">
        <v>1177</v>
      </c>
      <c r="F369" t="s">
        <v>1177</v>
      </c>
      <c r="G369" t="s">
        <v>2610</v>
      </c>
      <c r="H369" t="s">
        <v>1271</v>
      </c>
      <c r="I369">
        <v>46184</v>
      </c>
      <c r="J369" t="s">
        <v>2611</v>
      </c>
      <c r="K369" t="s">
        <v>1198</v>
      </c>
      <c r="L369" t="s">
        <v>1177</v>
      </c>
      <c r="M369" t="s">
        <v>1274</v>
      </c>
      <c r="N369" t="s">
        <v>1079</v>
      </c>
      <c r="O369" t="s">
        <v>1275</v>
      </c>
      <c r="P369">
        <v>46184</v>
      </c>
      <c r="Q369" t="s">
        <v>1185</v>
      </c>
      <c r="R369" t="s">
        <v>16</v>
      </c>
      <c r="S369" t="s">
        <v>512</v>
      </c>
      <c r="T369" t="s">
        <v>967</v>
      </c>
      <c r="U369" t="s">
        <v>2295</v>
      </c>
      <c r="V369">
        <v>1</v>
      </c>
      <c r="W369" t="s">
        <v>1262</v>
      </c>
      <c r="X369" t="s">
        <v>1262</v>
      </c>
      <c r="Y369">
        <v>0</v>
      </c>
      <c r="Z369" t="s">
        <v>1186</v>
      </c>
      <c r="AA369" t="s">
        <v>1177</v>
      </c>
      <c r="AB369" t="s">
        <v>1286</v>
      </c>
      <c r="AC369" t="s">
        <v>1277</v>
      </c>
      <c r="AD369" t="s">
        <v>1278</v>
      </c>
      <c r="AE369" t="s">
        <v>1354</v>
      </c>
      <c r="AF369" t="s">
        <v>1178</v>
      </c>
      <c r="AG369" t="s">
        <v>1178</v>
      </c>
      <c r="AH369" t="s">
        <v>1178</v>
      </c>
      <c r="AI369" t="s">
        <v>1349</v>
      </c>
      <c r="AJ369" t="s">
        <v>1189</v>
      </c>
      <c r="AK369">
        <v>1</v>
      </c>
      <c r="AL369" t="s">
        <v>1262</v>
      </c>
      <c r="AM369">
        <v>46346</v>
      </c>
      <c r="AN369">
        <v>46342</v>
      </c>
      <c r="AO369">
        <v>46342</v>
      </c>
      <c r="AP369">
        <v>46344</v>
      </c>
      <c r="AQ369">
        <v>46344</v>
      </c>
      <c r="AR369">
        <v>46346</v>
      </c>
      <c r="AS369">
        <v>46350</v>
      </c>
      <c r="AT369" t="s">
        <v>1281</v>
      </c>
      <c r="AU369" t="s">
        <v>1177</v>
      </c>
      <c r="AV369" t="s">
        <v>1192</v>
      </c>
      <c r="AW369" t="s">
        <v>1177</v>
      </c>
      <c r="AX369">
        <v>163</v>
      </c>
      <c r="AY369">
        <v>2</v>
      </c>
      <c r="AZ369" t="s">
        <v>1177</v>
      </c>
      <c r="BA369">
        <v>0</v>
      </c>
      <c r="BB369" t="s">
        <v>1262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e">
        <v>#N/A</v>
      </c>
      <c r="BI369" t="e">
        <v>#N/A</v>
      </c>
    </row>
    <row r="370" spans="1:61" x14ac:dyDescent="0.35">
      <c r="A370" s="7" t="str">
        <f t="shared" si="10"/>
        <v>461844300010816</v>
      </c>
      <c r="B370" s="7" t="str">
        <f t="shared" si="11"/>
        <v>GP134605B856</v>
      </c>
      <c r="C370" t="s">
        <v>1177</v>
      </c>
      <c r="D370" t="s">
        <v>1178</v>
      </c>
      <c r="E370" t="s">
        <v>2612</v>
      </c>
      <c r="F370" t="s">
        <v>1363</v>
      </c>
      <c r="G370" t="s">
        <v>1363</v>
      </c>
      <c r="H370" t="s">
        <v>1271</v>
      </c>
      <c r="I370">
        <v>46184</v>
      </c>
      <c r="J370" t="s">
        <v>2613</v>
      </c>
      <c r="K370" t="s">
        <v>1182</v>
      </c>
      <c r="L370" t="s">
        <v>1177</v>
      </c>
      <c r="M370" t="s">
        <v>1274</v>
      </c>
      <c r="N370" t="s">
        <v>1079</v>
      </c>
      <c r="O370" t="s">
        <v>1275</v>
      </c>
      <c r="P370">
        <v>46184</v>
      </c>
      <c r="Q370" t="s">
        <v>1177</v>
      </c>
      <c r="R370" t="s">
        <v>21</v>
      </c>
      <c r="S370" t="s">
        <v>853</v>
      </c>
      <c r="T370" t="s">
        <v>1552</v>
      </c>
      <c r="U370" t="s">
        <v>1553</v>
      </c>
      <c r="V370">
        <v>1410</v>
      </c>
      <c r="W370" t="s">
        <v>1404</v>
      </c>
      <c r="X370" t="s">
        <v>1404</v>
      </c>
      <c r="Y370">
        <v>0</v>
      </c>
      <c r="Z370" t="s">
        <v>1186</v>
      </c>
      <c r="AA370" t="s">
        <v>1177</v>
      </c>
      <c r="AB370" t="s">
        <v>1286</v>
      </c>
      <c r="AC370" t="s">
        <v>1277</v>
      </c>
      <c r="AD370" t="s">
        <v>1278</v>
      </c>
      <c r="AE370" t="s">
        <v>1554</v>
      </c>
      <c r="AF370" t="s">
        <v>1178</v>
      </c>
      <c r="AG370" t="s">
        <v>1178</v>
      </c>
      <c r="AH370" t="s">
        <v>1178</v>
      </c>
      <c r="AI370" t="s">
        <v>1280</v>
      </c>
      <c r="AJ370" t="s">
        <v>1226</v>
      </c>
      <c r="AK370">
        <v>847.04700000000003</v>
      </c>
      <c r="AL370" t="s">
        <v>1404</v>
      </c>
      <c r="AM370">
        <v>46414</v>
      </c>
      <c r="AN370">
        <v>46402</v>
      </c>
      <c r="AO370">
        <v>46408</v>
      </c>
      <c r="AP370">
        <v>46412</v>
      </c>
      <c r="AQ370">
        <v>46412</v>
      </c>
      <c r="AR370">
        <v>46414</v>
      </c>
      <c r="AS370">
        <v>46414</v>
      </c>
      <c r="AT370" t="s">
        <v>1281</v>
      </c>
      <c r="AU370" t="s">
        <v>1177</v>
      </c>
      <c r="AV370" t="s">
        <v>1192</v>
      </c>
      <c r="AW370" t="s">
        <v>1177</v>
      </c>
      <c r="AX370">
        <v>0</v>
      </c>
      <c r="AY370">
        <v>0</v>
      </c>
      <c r="AZ370" t="s">
        <v>1177</v>
      </c>
      <c r="BA370">
        <v>0</v>
      </c>
      <c r="BB370" t="s">
        <v>1404</v>
      </c>
      <c r="BC370" t="s">
        <v>1473</v>
      </c>
      <c r="BD370">
        <v>255</v>
      </c>
      <c r="BE370">
        <v>46219</v>
      </c>
      <c r="BF370" t="s">
        <v>1165</v>
      </c>
      <c r="BG370" t="s">
        <v>1372</v>
      </c>
      <c r="BH370" t="s">
        <v>1373</v>
      </c>
      <c r="BI370" t="s">
        <v>1372</v>
      </c>
    </row>
    <row r="371" spans="1:61" x14ac:dyDescent="0.35">
      <c r="A371" s="7" t="str">
        <f t="shared" si="10"/>
        <v>461844300010820</v>
      </c>
      <c r="B371" s="7" t="str">
        <f t="shared" si="11"/>
        <v>GP119052B832</v>
      </c>
      <c r="C371" t="s">
        <v>1177</v>
      </c>
      <c r="D371" t="s">
        <v>1178</v>
      </c>
      <c r="E371" t="s">
        <v>2614</v>
      </c>
      <c r="F371" t="s">
        <v>1363</v>
      </c>
      <c r="G371" t="s">
        <v>1363</v>
      </c>
      <c r="H371" t="s">
        <v>1271</v>
      </c>
      <c r="I371">
        <v>46184</v>
      </c>
      <c r="J371" t="s">
        <v>2615</v>
      </c>
      <c r="K371" t="s">
        <v>1285</v>
      </c>
      <c r="L371" t="s">
        <v>1177</v>
      </c>
      <c r="M371" t="s">
        <v>1274</v>
      </c>
      <c r="N371" t="s">
        <v>1079</v>
      </c>
      <c r="O371" t="s">
        <v>1275</v>
      </c>
      <c r="P371">
        <v>46281</v>
      </c>
      <c r="Q371" t="s">
        <v>1177</v>
      </c>
      <c r="R371" t="s">
        <v>19</v>
      </c>
      <c r="S371" t="s">
        <v>654</v>
      </c>
      <c r="T371" t="s">
        <v>175</v>
      </c>
      <c r="U371" t="s">
        <v>1733</v>
      </c>
      <c r="V371">
        <v>1</v>
      </c>
      <c r="W371" t="s">
        <v>1262</v>
      </c>
      <c r="X371" t="s">
        <v>1262</v>
      </c>
      <c r="Y371">
        <v>0</v>
      </c>
      <c r="Z371" t="s">
        <v>1186</v>
      </c>
      <c r="AA371" t="s">
        <v>1177</v>
      </c>
      <c r="AB371" t="s">
        <v>1286</v>
      </c>
      <c r="AC371" t="s">
        <v>1277</v>
      </c>
      <c r="AD371" t="s">
        <v>1278</v>
      </c>
      <c r="AE371" t="s">
        <v>1734</v>
      </c>
      <c r="AF371" t="s">
        <v>1178</v>
      </c>
      <c r="AG371" t="s">
        <v>1178</v>
      </c>
      <c r="AH371" t="s">
        <v>1178</v>
      </c>
      <c r="AI371" t="s">
        <v>1349</v>
      </c>
      <c r="AJ371" t="s">
        <v>1190</v>
      </c>
      <c r="AK371">
        <v>0</v>
      </c>
      <c r="AL371" t="s">
        <v>1262</v>
      </c>
      <c r="AM371">
        <v>46311</v>
      </c>
      <c r="AN371">
        <v>46300</v>
      </c>
      <c r="AO371">
        <v>46300</v>
      </c>
      <c r="AP371">
        <v>46302</v>
      </c>
      <c r="AQ371">
        <v>46302</v>
      </c>
      <c r="AR371">
        <v>46304</v>
      </c>
      <c r="AS371">
        <v>46309</v>
      </c>
      <c r="AT371" t="s">
        <v>1281</v>
      </c>
      <c r="AU371" t="s">
        <v>1177</v>
      </c>
      <c r="AV371" t="s">
        <v>1192</v>
      </c>
      <c r="AW371" t="s">
        <v>1177</v>
      </c>
      <c r="AX371">
        <v>33</v>
      </c>
      <c r="AY371">
        <v>2</v>
      </c>
      <c r="AZ371" t="s">
        <v>1177</v>
      </c>
      <c r="BA371">
        <v>0</v>
      </c>
      <c r="BB371" t="s">
        <v>1262</v>
      </c>
      <c r="BC371" t="s">
        <v>1812</v>
      </c>
      <c r="BD371">
        <v>4</v>
      </c>
      <c r="BE371">
        <v>46223</v>
      </c>
      <c r="BF371" t="s">
        <v>1165</v>
      </c>
      <c r="BG371" t="s">
        <v>126</v>
      </c>
      <c r="BH371" t="s">
        <v>1194</v>
      </c>
      <c r="BI371" t="s">
        <v>126</v>
      </c>
    </row>
    <row r="372" spans="1:61" x14ac:dyDescent="0.35">
      <c r="A372" s="7" t="str">
        <f t="shared" si="10"/>
        <v>461844300010848</v>
      </c>
      <c r="B372" s="7" t="str">
        <f t="shared" si="11"/>
        <v>GP325623B857</v>
      </c>
      <c r="C372" t="s">
        <v>1177</v>
      </c>
      <c r="D372" t="s">
        <v>1178</v>
      </c>
      <c r="E372" t="s">
        <v>2616</v>
      </c>
      <c r="F372" t="s">
        <v>1363</v>
      </c>
      <c r="G372" t="s">
        <v>1363</v>
      </c>
      <c r="H372" t="s">
        <v>1271</v>
      </c>
      <c r="I372">
        <v>46184</v>
      </c>
      <c r="J372" t="s">
        <v>2617</v>
      </c>
      <c r="K372" t="s">
        <v>1739</v>
      </c>
      <c r="L372" t="s">
        <v>1177</v>
      </c>
      <c r="M372" t="s">
        <v>1274</v>
      </c>
      <c r="N372" t="s">
        <v>1079</v>
      </c>
      <c r="O372" t="s">
        <v>1275</v>
      </c>
      <c r="P372">
        <v>46184</v>
      </c>
      <c r="Q372" t="s">
        <v>1177</v>
      </c>
      <c r="R372" t="s">
        <v>23</v>
      </c>
      <c r="S372" t="s">
        <v>959</v>
      </c>
      <c r="T372" t="s">
        <v>983</v>
      </c>
      <c r="U372" t="s">
        <v>984</v>
      </c>
      <c r="V372">
        <v>2</v>
      </c>
      <c r="W372" t="s">
        <v>1262</v>
      </c>
      <c r="X372" t="s">
        <v>1262</v>
      </c>
      <c r="Y372">
        <v>0</v>
      </c>
      <c r="Z372" t="s">
        <v>1186</v>
      </c>
      <c r="AA372" t="s">
        <v>1177</v>
      </c>
      <c r="AB372" t="s">
        <v>1276</v>
      </c>
      <c r="AC372" t="s">
        <v>1277</v>
      </c>
      <c r="AD372" t="s">
        <v>1278</v>
      </c>
      <c r="AE372" t="s">
        <v>1279</v>
      </c>
      <c r="AF372" t="s">
        <v>1178</v>
      </c>
      <c r="AG372" t="s">
        <v>1190</v>
      </c>
      <c r="AH372" t="s">
        <v>1178</v>
      </c>
      <c r="AI372" t="s">
        <v>1177</v>
      </c>
      <c r="AJ372" t="s">
        <v>1190</v>
      </c>
      <c r="AK372">
        <v>0</v>
      </c>
      <c r="AL372" t="s">
        <v>1262</v>
      </c>
      <c r="AM372">
        <v>45859</v>
      </c>
      <c r="AN372">
        <v>46276</v>
      </c>
      <c r="AO372">
        <v>46185</v>
      </c>
      <c r="AP372">
        <v>46188</v>
      </c>
      <c r="AQ372">
        <v>46188</v>
      </c>
      <c r="AR372">
        <v>46190</v>
      </c>
      <c r="AS372">
        <v>46199</v>
      </c>
      <c r="AT372" t="s">
        <v>1281</v>
      </c>
      <c r="AU372" t="s">
        <v>1177</v>
      </c>
      <c r="AV372" t="s">
        <v>1192</v>
      </c>
      <c r="AW372" t="s">
        <v>1177</v>
      </c>
      <c r="AX372">
        <v>33</v>
      </c>
      <c r="AY372">
        <v>2</v>
      </c>
      <c r="AZ372" t="s">
        <v>1177</v>
      </c>
      <c r="BA372">
        <v>0</v>
      </c>
      <c r="BB372" t="s">
        <v>1262</v>
      </c>
      <c r="BC372" t="e">
        <v>#N/A</v>
      </c>
      <c r="BD372" t="e">
        <v>#N/A</v>
      </c>
      <c r="BE372" t="e">
        <v>#N/A</v>
      </c>
      <c r="BF372" t="e">
        <v>#N/A</v>
      </c>
      <c r="BG372" t="s">
        <v>126</v>
      </c>
      <c r="BH372" t="s">
        <v>1194</v>
      </c>
      <c r="BI372" t="s">
        <v>126</v>
      </c>
    </row>
    <row r="373" spans="1:61" x14ac:dyDescent="0.35">
      <c r="A373" s="7" t="str">
        <f t="shared" si="10"/>
        <v>461844300010850</v>
      </c>
      <c r="B373" s="7" t="str">
        <f t="shared" si="11"/>
        <v>GP108091B856</v>
      </c>
      <c r="C373" t="s">
        <v>1177</v>
      </c>
      <c r="D373" t="s">
        <v>1178</v>
      </c>
      <c r="E373" t="s">
        <v>2618</v>
      </c>
      <c r="F373" t="s">
        <v>1363</v>
      </c>
      <c r="G373" t="s">
        <v>1363</v>
      </c>
      <c r="H373" t="s">
        <v>1271</v>
      </c>
      <c r="I373">
        <v>46184</v>
      </c>
      <c r="J373" t="s">
        <v>2619</v>
      </c>
      <c r="K373" t="s">
        <v>1285</v>
      </c>
      <c r="L373" t="s">
        <v>1177</v>
      </c>
      <c r="M373" t="s">
        <v>1274</v>
      </c>
      <c r="N373" t="s">
        <v>1079</v>
      </c>
      <c r="O373" t="s">
        <v>1275</v>
      </c>
      <c r="P373">
        <v>46184</v>
      </c>
      <c r="Q373" t="s">
        <v>1177</v>
      </c>
      <c r="R373" t="s">
        <v>21</v>
      </c>
      <c r="S373" t="s">
        <v>853</v>
      </c>
      <c r="T373" t="s">
        <v>1055</v>
      </c>
      <c r="U373" t="s">
        <v>2620</v>
      </c>
      <c r="V373">
        <v>1</v>
      </c>
      <c r="W373" t="s">
        <v>1262</v>
      </c>
      <c r="X373" t="s">
        <v>1262</v>
      </c>
      <c r="Y373">
        <v>0</v>
      </c>
      <c r="Z373" t="s">
        <v>1186</v>
      </c>
      <c r="AA373" t="s">
        <v>1177</v>
      </c>
      <c r="AB373" t="s">
        <v>1276</v>
      </c>
      <c r="AC373" t="s">
        <v>1277</v>
      </c>
      <c r="AD373" t="s">
        <v>1278</v>
      </c>
      <c r="AE373" t="s">
        <v>1734</v>
      </c>
      <c r="AF373" t="s">
        <v>1178</v>
      </c>
      <c r="AG373" t="s">
        <v>1190</v>
      </c>
      <c r="AH373" t="s">
        <v>1178</v>
      </c>
      <c r="AI373" t="s">
        <v>1177</v>
      </c>
      <c r="AJ373" t="s">
        <v>1190</v>
      </c>
      <c r="AK373">
        <v>0</v>
      </c>
      <c r="AL373" t="s">
        <v>1262</v>
      </c>
      <c r="AM373">
        <v>45820</v>
      </c>
      <c r="AN373">
        <v>46378</v>
      </c>
      <c r="AO373">
        <v>46185</v>
      </c>
      <c r="AP373">
        <v>46188</v>
      </c>
      <c r="AQ373">
        <v>46188</v>
      </c>
      <c r="AR373">
        <v>46190</v>
      </c>
      <c r="AS373">
        <v>46199</v>
      </c>
      <c r="AT373" t="s">
        <v>1281</v>
      </c>
      <c r="AU373" t="s">
        <v>1177</v>
      </c>
      <c r="AV373" t="s">
        <v>1192</v>
      </c>
      <c r="AW373" t="s">
        <v>1177</v>
      </c>
      <c r="AX373">
        <v>176</v>
      </c>
      <c r="AY373">
        <v>2</v>
      </c>
      <c r="AZ373" t="s">
        <v>1177</v>
      </c>
      <c r="BA373">
        <v>0</v>
      </c>
      <c r="BB373" t="s">
        <v>1262</v>
      </c>
      <c r="BC373" t="e">
        <v>#N/A</v>
      </c>
      <c r="BD373" t="e">
        <v>#N/A</v>
      </c>
      <c r="BE373" t="e">
        <v>#N/A</v>
      </c>
      <c r="BF373" t="e">
        <v>#N/A</v>
      </c>
      <c r="BG373" t="s">
        <v>126</v>
      </c>
      <c r="BH373" t="s">
        <v>1194</v>
      </c>
      <c r="BI373" t="s">
        <v>126</v>
      </c>
    </row>
    <row r="374" spans="1:61" x14ac:dyDescent="0.35">
      <c r="A374" s="7" t="str">
        <f t="shared" si="10"/>
        <v>461844300010867</v>
      </c>
      <c r="B374" s="7" t="str">
        <f t="shared" si="11"/>
        <v>GP021038B856</v>
      </c>
      <c r="C374" t="s">
        <v>1177</v>
      </c>
      <c r="D374" t="s">
        <v>1178</v>
      </c>
      <c r="E374" t="s">
        <v>2621</v>
      </c>
      <c r="F374" t="s">
        <v>1363</v>
      </c>
      <c r="G374" t="s">
        <v>1363</v>
      </c>
      <c r="H374" t="s">
        <v>1271</v>
      </c>
      <c r="I374">
        <v>46184</v>
      </c>
      <c r="J374" t="s">
        <v>2622</v>
      </c>
      <c r="K374" t="s">
        <v>1288</v>
      </c>
      <c r="L374" t="s">
        <v>1177</v>
      </c>
      <c r="M374" t="s">
        <v>1274</v>
      </c>
      <c r="N374" t="s">
        <v>1079</v>
      </c>
      <c r="O374" t="s">
        <v>1275</v>
      </c>
      <c r="P374">
        <v>46184</v>
      </c>
      <c r="Q374" t="s">
        <v>1177</v>
      </c>
      <c r="R374" t="s">
        <v>21</v>
      </c>
      <c r="S374" t="s">
        <v>853</v>
      </c>
      <c r="T374" t="s">
        <v>487</v>
      </c>
      <c r="U374" t="s">
        <v>2462</v>
      </c>
      <c r="V374">
        <v>19</v>
      </c>
      <c r="W374" t="s">
        <v>1185</v>
      </c>
      <c r="X374" t="s">
        <v>1185</v>
      </c>
      <c r="Y374">
        <v>0</v>
      </c>
      <c r="Z374" t="s">
        <v>1186</v>
      </c>
      <c r="AA374" t="s">
        <v>1177</v>
      </c>
      <c r="AB374" t="s">
        <v>1177</v>
      </c>
      <c r="AC374" t="s">
        <v>1177</v>
      </c>
      <c r="AD374" t="s">
        <v>1204</v>
      </c>
      <c r="AE374" t="s">
        <v>1438</v>
      </c>
      <c r="AF374" t="s">
        <v>1189</v>
      </c>
      <c r="AG374" t="s">
        <v>1190</v>
      </c>
      <c r="AH374" t="s">
        <v>1178</v>
      </c>
      <c r="AI374" t="s">
        <v>1177</v>
      </c>
      <c r="AJ374" t="s">
        <v>1190</v>
      </c>
      <c r="AK374">
        <v>0</v>
      </c>
      <c r="AL374" t="s">
        <v>1185</v>
      </c>
      <c r="AM374">
        <v>45814</v>
      </c>
      <c r="AN374">
        <v>46246</v>
      </c>
      <c r="AO374">
        <v>46185</v>
      </c>
      <c r="AP374">
        <v>46188</v>
      </c>
      <c r="AQ374">
        <v>46188</v>
      </c>
      <c r="AR374">
        <v>46190</v>
      </c>
      <c r="AS374">
        <v>46198</v>
      </c>
      <c r="AT374" t="s">
        <v>1281</v>
      </c>
      <c r="AU374" t="s">
        <v>1177</v>
      </c>
      <c r="AV374" t="s">
        <v>1192</v>
      </c>
      <c r="AW374" t="s">
        <v>1177</v>
      </c>
      <c r="AX374">
        <v>60</v>
      </c>
      <c r="AY374">
        <v>1</v>
      </c>
      <c r="AZ374" t="s">
        <v>1177</v>
      </c>
      <c r="BA374">
        <v>0</v>
      </c>
      <c r="BB374" t="s">
        <v>1185</v>
      </c>
      <c r="BC374" t="e">
        <v>#N/A</v>
      </c>
      <c r="BD374" t="e">
        <v>#N/A</v>
      </c>
      <c r="BE374" t="e">
        <v>#N/A</v>
      </c>
      <c r="BF374" t="e">
        <v>#N/A</v>
      </c>
      <c r="BG374" t="s">
        <v>1458</v>
      </c>
      <c r="BH374" t="s">
        <v>1763</v>
      </c>
      <c r="BI374" t="s">
        <v>1458</v>
      </c>
    </row>
    <row r="375" spans="1:61" x14ac:dyDescent="0.35">
      <c r="A375" s="7" t="str">
        <f t="shared" si="10"/>
        <v>461844300010871</v>
      </c>
      <c r="B375" s="7" t="str">
        <f t="shared" si="11"/>
        <v>GP134605B838</v>
      </c>
      <c r="C375" t="s">
        <v>1177</v>
      </c>
      <c r="D375" t="s">
        <v>1178</v>
      </c>
      <c r="E375" t="s">
        <v>2623</v>
      </c>
      <c r="F375" t="s">
        <v>1363</v>
      </c>
      <c r="G375" t="s">
        <v>1363</v>
      </c>
      <c r="H375" t="s">
        <v>1271</v>
      </c>
      <c r="I375">
        <v>46184</v>
      </c>
      <c r="J375" t="s">
        <v>2624</v>
      </c>
      <c r="K375" t="s">
        <v>1285</v>
      </c>
      <c r="L375" t="s">
        <v>1177</v>
      </c>
      <c r="M375" t="s">
        <v>1274</v>
      </c>
      <c r="N375" t="s">
        <v>1079</v>
      </c>
      <c r="O375" t="s">
        <v>1275</v>
      </c>
      <c r="P375">
        <v>46184</v>
      </c>
      <c r="Q375" t="s">
        <v>1177</v>
      </c>
      <c r="R375" t="s">
        <v>48</v>
      </c>
      <c r="S375" t="s">
        <v>745</v>
      </c>
      <c r="T375" t="s">
        <v>1552</v>
      </c>
      <c r="U375" t="s">
        <v>1553</v>
      </c>
      <c r="V375">
        <v>4.4000000000000004</v>
      </c>
      <c r="W375" t="s">
        <v>1404</v>
      </c>
      <c r="X375" t="s">
        <v>1404</v>
      </c>
      <c r="Y375">
        <v>0</v>
      </c>
      <c r="Z375" t="s">
        <v>1186</v>
      </c>
      <c r="AA375" t="s">
        <v>1177</v>
      </c>
      <c r="AB375" t="s">
        <v>1286</v>
      </c>
      <c r="AC375" t="s">
        <v>1277</v>
      </c>
      <c r="AD375" t="s">
        <v>1278</v>
      </c>
      <c r="AE375" t="s">
        <v>1554</v>
      </c>
      <c r="AF375" t="s">
        <v>1178</v>
      </c>
      <c r="AG375" t="s">
        <v>1178</v>
      </c>
      <c r="AH375" t="s">
        <v>1178</v>
      </c>
      <c r="AI375" t="s">
        <v>1280</v>
      </c>
      <c r="AJ375" t="s">
        <v>1190</v>
      </c>
      <c r="AK375">
        <v>0</v>
      </c>
      <c r="AL375" t="s">
        <v>1404</v>
      </c>
      <c r="AM375">
        <v>46265</v>
      </c>
      <c r="AN375">
        <v>46402</v>
      </c>
      <c r="AO375">
        <v>46254</v>
      </c>
      <c r="AP375">
        <v>46258</v>
      </c>
      <c r="AQ375">
        <v>46258</v>
      </c>
      <c r="AR375">
        <v>46260</v>
      </c>
      <c r="AS375">
        <v>46260</v>
      </c>
      <c r="AT375" t="s">
        <v>1281</v>
      </c>
      <c r="AU375" t="s">
        <v>1177</v>
      </c>
      <c r="AV375" t="s">
        <v>1192</v>
      </c>
      <c r="AW375" t="s">
        <v>1177</v>
      </c>
      <c r="AX375">
        <v>0</v>
      </c>
      <c r="AY375">
        <v>0</v>
      </c>
      <c r="AZ375" t="s">
        <v>1177</v>
      </c>
      <c r="BA375">
        <v>0</v>
      </c>
      <c r="BB375" t="s">
        <v>1404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e">
        <v>#N/A</v>
      </c>
      <c r="BI375" t="e">
        <v>#N/A</v>
      </c>
    </row>
    <row r="376" spans="1:61" x14ac:dyDescent="0.35">
      <c r="A376" s="7" t="str">
        <f t="shared" si="10"/>
        <v>461844300010876</v>
      </c>
      <c r="B376" s="7" t="str">
        <f t="shared" si="11"/>
        <v>GP615120B857</v>
      </c>
      <c r="C376" t="s">
        <v>1177</v>
      </c>
      <c r="D376" t="s">
        <v>1178</v>
      </c>
      <c r="E376" t="s">
        <v>2625</v>
      </c>
      <c r="F376" t="s">
        <v>1363</v>
      </c>
      <c r="G376" t="s">
        <v>1363</v>
      </c>
      <c r="H376" t="s">
        <v>1271</v>
      </c>
      <c r="I376">
        <v>46184</v>
      </c>
      <c r="J376" t="s">
        <v>2626</v>
      </c>
      <c r="K376" t="s">
        <v>1199</v>
      </c>
      <c r="L376" t="s">
        <v>1177</v>
      </c>
      <c r="M376" t="s">
        <v>1274</v>
      </c>
      <c r="N376" t="s">
        <v>1079</v>
      </c>
      <c r="O376" t="s">
        <v>1275</v>
      </c>
      <c r="P376">
        <v>46184</v>
      </c>
      <c r="Q376" t="s">
        <v>1177</v>
      </c>
      <c r="R376" t="s">
        <v>23</v>
      </c>
      <c r="S376" t="s">
        <v>959</v>
      </c>
      <c r="T376" t="s">
        <v>1117</v>
      </c>
      <c r="U376" t="s">
        <v>1118</v>
      </c>
      <c r="V376">
        <v>1</v>
      </c>
      <c r="W376" t="s">
        <v>1262</v>
      </c>
      <c r="X376" t="s">
        <v>1262</v>
      </c>
      <c r="Y376">
        <v>0</v>
      </c>
      <c r="Z376" t="s">
        <v>1186</v>
      </c>
      <c r="AA376" t="s">
        <v>1177</v>
      </c>
      <c r="AB376" t="s">
        <v>1286</v>
      </c>
      <c r="AC376" t="s">
        <v>1277</v>
      </c>
      <c r="AD376" t="s">
        <v>1278</v>
      </c>
      <c r="AE376" t="s">
        <v>1997</v>
      </c>
      <c r="AF376" t="s">
        <v>1178</v>
      </c>
      <c r="AG376" t="s">
        <v>1178</v>
      </c>
      <c r="AH376" t="s">
        <v>1178</v>
      </c>
      <c r="AI376" t="s">
        <v>1177</v>
      </c>
      <c r="AJ376" t="s">
        <v>1190</v>
      </c>
      <c r="AK376">
        <v>0</v>
      </c>
      <c r="AL376" t="s">
        <v>1262</v>
      </c>
      <c r="AM376">
        <v>45841</v>
      </c>
      <c r="AN376">
        <v>46240</v>
      </c>
      <c r="AO376">
        <v>46185</v>
      </c>
      <c r="AP376">
        <v>46188</v>
      </c>
      <c r="AQ376">
        <v>46188</v>
      </c>
      <c r="AR376">
        <v>46190</v>
      </c>
      <c r="AS376">
        <v>46199</v>
      </c>
      <c r="AT376" t="s">
        <v>1281</v>
      </c>
      <c r="AU376" t="s">
        <v>1177</v>
      </c>
      <c r="AV376" t="s">
        <v>1192</v>
      </c>
      <c r="AW376" t="s">
        <v>1177</v>
      </c>
      <c r="AX376">
        <v>86</v>
      </c>
      <c r="AY376">
        <v>2</v>
      </c>
      <c r="AZ376" t="s">
        <v>1177</v>
      </c>
      <c r="BA376">
        <v>0</v>
      </c>
      <c r="BB376" t="s">
        <v>1262</v>
      </c>
      <c r="BC376" t="e">
        <v>#N/A</v>
      </c>
      <c r="BD376" t="e">
        <v>#N/A</v>
      </c>
      <c r="BE376" t="e">
        <v>#N/A</v>
      </c>
      <c r="BF376" t="e">
        <v>#N/A</v>
      </c>
      <c r="BG376" t="s">
        <v>1651</v>
      </c>
      <c r="BH376" t="s">
        <v>1194</v>
      </c>
      <c r="BI376" t="s">
        <v>2627</v>
      </c>
    </row>
    <row r="377" spans="1:61" x14ac:dyDescent="0.35">
      <c r="A377" s="7" t="str">
        <f t="shared" si="10"/>
        <v>461844300010877</v>
      </c>
      <c r="B377" s="7" t="str">
        <f t="shared" si="11"/>
        <v>GP238523B838</v>
      </c>
      <c r="C377" t="s">
        <v>1177</v>
      </c>
      <c r="D377" t="s">
        <v>1178</v>
      </c>
      <c r="E377" t="s">
        <v>2628</v>
      </c>
      <c r="F377" t="s">
        <v>1363</v>
      </c>
      <c r="G377" t="s">
        <v>1363</v>
      </c>
      <c r="H377" t="s">
        <v>1271</v>
      </c>
      <c r="I377">
        <v>46184</v>
      </c>
      <c r="J377" t="s">
        <v>2629</v>
      </c>
      <c r="K377" t="s">
        <v>1283</v>
      </c>
      <c r="L377" t="s">
        <v>1177</v>
      </c>
      <c r="M377" t="s">
        <v>1274</v>
      </c>
      <c r="N377" t="s">
        <v>1079</v>
      </c>
      <c r="O377" t="s">
        <v>1275</v>
      </c>
      <c r="P377">
        <v>46184</v>
      </c>
      <c r="Q377" t="s">
        <v>1177</v>
      </c>
      <c r="R377" t="s">
        <v>48</v>
      </c>
      <c r="S377" t="s">
        <v>745</v>
      </c>
      <c r="T377" t="s">
        <v>2630</v>
      </c>
      <c r="U377" t="s">
        <v>2631</v>
      </c>
      <c r="V377">
        <v>2</v>
      </c>
      <c r="W377" t="s">
        <v>1262</v>
      </c>
      <c r="X377" t="s">
        <v>1262</v>
      </c>
      <c r="Y377">
        <v>0</v>
      </c>
      <c r="Z377" t="s">
        <v>1186</v>
      </c>
      <c r="AA377" t="s">
        <v>1177</v>
      </c>
      <c r="AB377" t="s">
        <v>1276</v>
      </c>
      <c r="AC377" t="s">
        <v>1277</v>
      </c>
      <c r="AD377" t="s">
        <v>1278</v>
      </c>
      <c r="AE377" t="s">
        <v>2632</v>
      </c>
      <c r="AF377" t="s">
        <v>1178</v>
      </c>
      <c r="AG377" t="s">
        <v>1190</v>
      </c>
      <c r="AH377" t="s">
        <v>1178</v>
      </c>
      <c r="AI377" t="s">
        <v>1177</v>
      </c>
      <c r="AJ377" t="s">
        <v>1190</v>
      </c>
      <c r="AK377">
        <v>0</v>
      </c>
      <c r="AL377" t="s">
        <v>1262</v>
      </c>
      <c r="AM377">
        <v>46008</v>
      </c>
      <c r="AN377">
        <v>46447</v>
      </c>
      <c r="AO377">
        <v>46185</v>
      </c>
      <c r="AP377">
        <v>46188</v>
      </c>
      <c r="AQ377">
        <v>46188</v>
      </c>
      <c r="AR377">
        <v>46190</v>
      </c>
      <c r="AS377">
        <v>46359</v>
      </c>
      <c r="AT377" t="s">
        <v>1281</v>
      </c>
      <c r="AU377" t="s">
        <v>1177</v>
      </c>
      <c r="AV377" t="s">
        <v>1192</v>
      </c>
      <c r="AW377" t="s">
        <v>1177</v>
      </c>
      <c r="AX377">
        <v>92</v>
      </c>
      <c r="AY377">
        <v>113</v>
      </c>
      <c r="AZ377" t="s">
        <v>1177</v>
      </c>
      <c r="BA377">
        <v>0</v>
      </c>
      <c r="BB377" t="s">
        <v>1262</v>
      </c>
      <c r="BC377" t="e">
        <v>#N/A</v>
      </c>
      <c r="BD377" t="e">
        <v>#N/A</v>
      </c>
      <c r="BE377" t="e">
        <v>#N/A</v>
      </c>
      <c r="BF377" t="e">
        <v>#N/A</v>
      </c>
      <c r="BG377" t="e">
        <v>#N/A</v>
      </c>
      <c r="BH377" t="e">
        <v>#N/A</v>
      </c>
      <c r="BI377" t="e">
        <v>#N/A</v>
      </c>
    </row>
    <row r="378" spans="1:61" x14ac:dyDescent="0.35">
      <c r="A378" s="7" t="str">
        <f t="shared" si="10"/>
        <v>461844300010886</v>
      </c>
      <c r="B378" s="7" t="str">
        <f t="shared" si="11"/>
        <v>GP084260B832</v>
      </c>
      <c r="C378" t="s">
        <v>1177</v>
      </c>
      <c r="D378" t="s">
        <v>1178</v>
      </c>
      <c r="E378" t="s">
        <v>2633</v>
      </c>
      <c r="F378" t="s">
        <v>1363</v>
      </c>
      <c r="G378" t="s">
        <v>1363</v>
      </c>
      <c r="H378" t="s">
        <v>1271</v>
      </c>
      <c r="I378">
        <v>46184</v>
      </c>
      <c r="J378" t="s">
        <v>2634</v>
      </c>
      <c r="K378" t="s">
        <v>1182</v>
      </c>
      <c r="L378" t="s">
        <v>1177</v>
      </c>
      <c r="M378" t="s">
        <v>1274</v>
      </c>
      <c r="N378" t="s">
        <v>1079</v>
      </c>
      <c r="O378" t="s">
        <v>1275</v>
      </c>
      <c r="P378">
        <v>46184</v>
      </c>
      <c r="Q378" t="s">
        <v>1177</v>
      </c>
      <c r="R378" t="s">
        <v>19</v>
      </c>
      <c r="S378" t="s">
        <v>654</v>
      </c>
      <c r="T378" t="s">
        <v>2635</v>
      </c>
      <c r="U378" t="s">
        <v>2636</v>
      </c>
      <c r="V378">
        <v>4</v>
      </c>
      <c r="W378" t="s">
        <v>1262</v>
      </c>
      <c r="X378" t="s">
        <v>1262</v>
      </c>
      <c r="Y378">
        <v>0</v>
      </c>
      <c r="Z378" t="s">
        <v>1186</v>
      </c>
      <c r="AA378" t="s">
        <v>1177</v>
      </c>
      <c r="AB378" t="s">
        <v>1177</v>
      </c>
      <c r="AC378" t="s">
        <v>1177</v>
      </c>
      <c r="AD378" t="s">
        <v>1204</v>
      </c>
      <c r="AE378" t="s">
        <v>1824</v>
      </c>
      <c r="AF378" t="s">
        <v>1189</v>
      </c>
      <c r="AG378" t="s">
        <v>1178</v>
      </c>
      <c r="AH378" t="s">
        <v>1178</v>
      </c>
      <c r="AI378" t="s">
        <v>1349</v>
      </c>
      <c r="AJ378" t="s">
        <v>1190</v>
      </c>
      <c r="AK378">
        <v>0</v>
      </c>
      <c r="AL378" t="s">
        <v>1262</v>
      </c>
      <c r="AM378">
        <v>45911</v>
      </c>
      <c r="AN378">
        <v>46373</v>
      </c>
      <c r="AO378">
        <v>46188</v>
      </c>
      <c r="AP378">
        <v>46190</v>
      </c>
      <c r="AQ378">
        <v>46190</v>
      </c>
      <c r="AR378">
        <v>46192</v>
      </c>
      <c r="AS378">
        <v>46357</v>
      </c>
      <c r="AT378" t="s">
        <v>1281</v>
      </c>
      <c r="AU378" t="s">
        <v>1177</v>
      </c>
      <c r="AV378" t="s">
        <v>1192</v>
      </c>
      <c r="AW378" t="s">
        <v>1177</v>
      </c>
      <c r="AX378">
        <v>56</v>
      </c>
      <c r="AY378">
        <v>113</v>
      </c>
      <c r="AZ378" t="s">
        <v>1177</v>
      </c>
      <c r="BA378">
        <v>0</v>
      </c>
      <c r="BB378" t="s">
        <v>1262</v>
      </c>
      <c r="BC378" t="s">
        <v>1523</v>
      </c>
      <c r="BD378">
        <v>31</v>
      </c>
      <c r="BE378">
        <v>46251</v>
      </c>
      <c r="BF378" t="s">
        <v>1165</v>
      </c>
      <c r="BG378" t="s">
        <v>1581</v>
      </c>
      <c r="BH378" t="s">
        <v>1194</v>
      </c>
      <c r="BI378" t="s">
        <v>2637</v>
      </c>
    </row>
    <row r="379" spans="1:61" x14ac:dyDescent="0.35">
      <c r="A379" s="7" t="str">
        <f t="shared" si="10"/>
        <v>461844300010887</v>
      </c>
      <c r="B379" s="7" t="str">
        <f t="shared" si="11"/>
        <v>GP015070B833</v>
      </c>
      <c r="C379" t="s">
        <v>1177</v>
      </c>
      <c r="D379" t="s">
        <v>1178</v>
      </c>
      <c r="E379" t="s">
        <v>2638</v>
      </c>
      <c r="F379" t="s">
        <v>1363</v>
      </c>
      <c r="G379" t="s">
        <v>1363</v>
      </c>
      <c r="H379" t="s">
        <v>1271</v>
      </c>
      <c r="I379">
        <v>46184</v>
      </c>
      <c r="J379" t="s">
        <v>2639</v>
      </c>
      <c r="K379" t="s">
        <v>1199</v>
      </c>
      <c r="L379" t="s">
        <v>1177</v>
      </c>
      <c r="M379" t="s">
        <v>1274</v>
      </c>
      <c r="N379" t="s">
        <v>1079</v>
      </c>
      <c r="O379" t="s">
        <v>1275</v>
      </c>
      <c r="P379">
        <v>46245</v>
      </c>
      <c r="Q379" t="s">
        <v>1177</v>
      </c>
      <c r="R379" t="s">
        <v>697</v>
      </c>
      <c r="S379" t="s">
        <v>699</v>
      </c>
      <c r="T379" t="s">
        <v>231</v>
      </c>
      <c r="U379" t="s">
        <v>2096</v>
      </c>
      <c r="V379">
        <v>22</v>
      </c>
      <c r="W379" t="s">
        <v>1262</v>
      </c>
      <c r="X379" t="s">
        <v>1262</v>
      </c>
      <c r="Y379">
        <v>0</v>
      </c>
      <c r="Z379" t="s">
        <v>1186</v>
      </c>
      <c r="AA379" t="s">
        <v>1177</v>
      </c>
      <c r="AB379" t="s">
        <v>1286</v>
      </c>
      <c r="AC379" t="s">
        <v>1277</v>
      </c>
      <c r="AD379" t="s">
        <v>1278</v>
      </c>
      <c r="AE379" t="s">
        <v>1284</v>
      </c>
      <c r="AF379" t="s">
        <v>1178</v>
      </c>
      <c r="AG379" t="s">
        <v>1178</v>
      </c>
      <c r="AH379" t="s">
        <v>1178</v>
      </c>
      <c r="AI379" t="s">
        <v>1349</v>
      </c>
      <c r="AJ379" t="s">
        <v>1190</v>
      </c>
      <c r="AK379">
        <v>0</v>
      </c>
      <c r="AL379" t="s">
        <v>1262</v>
      </c>
      <c r="AM379">
        <v>44085</v>
      </c>
      <c r="AN379">
        <v>46251</v>
      </c>
      <c r="AO379">
        <v>46251</v>
      </c>
      <c r="AP379">
        <v>46253</v>
      </c>
      <c r="AQ379">
        <v>46253</v>
      </c>
      <c r="AR379">
        <v>46255</v>
      </c>
      <c r="AS379">
        <v>46259</v>
      </c>
      <c r="AT379" t="s">
        <v>1281</v>
      </c>
      <c r="AU379" t="s">
        <v>1177</v>
      </c>
      <c r="AV379" t="s">
        <v>1192</v>
      </c>
      <c r="AW379" t="s">
        <v>1177</v>
      </c>
      <c r="AX379">
        <v>71</v>
      </c>
      <c r="AY379">
        <v>2</v>
      </c>
      <c r="AZ379" t="s">
        <v>1177</v>
      </c>
      <c r="BA379">
        <v>22</v>
      </c>
      <c r="BB379" t="s">
        <v>1262</v>
      </c>
      <c r="BC379" t="s">
        <v>2640</v>
      </c>
      <c r="BD379">
        <v>22</v>
      </c>
      <c r="BE379">
        <v>46251</v>
      </c>
      <c r="BF379" t="s">
        <v>1165</v>
      </c>
      <c r="BG379" t="s">
        <v>1581</v>
      </c>
      <c r="BH379" t="s">
        <v>1194</v>
      </c>
      <c r="BI379" t="s">
        <v>2641</v>
      </c>
    </row>
    <row r="380" spans="1:61" x14ac:dyDescent="0.35">
      <c r="A380" s="7" t="str">
        <f t="shared" si="10"/>
        <v>461844300010893</v>
      </c>
      <c r="B380" s="7" t="str">
        <f t="shared" si="11"/>
        <v>GP311217B867</v>
      </c>
      <c r="C380" t="s">
        <v>1177</v>
      </c>
      <c r="D380" t="s">
        <v>1178</v>
      </c>
      <c r="E380" t="s">
        <v>2642</v>
      </c>
      <c r="F380" t="s">
        <v>1363</v>
      </c>
      <c r="G380" t="s">
        <v>1363</v>
      </c>
      <c r="H380" t="s">
        <v>1271</v>
      </c>
      <c r="I380">
        <v>46184</v>
      </c>
      <c r="J380" t="s">
        <v>2643</v>
      </c>
      <c r="K380" t="s">
        <v>1199</v>
      </c>
      <c r="L380" t="s">
        <v>1177</v>
      </c>
      <c r="M380" t="s">
        <v>1274</v>
      </c>
      <c r="N380" t="s">
        <v>1079</v>
      </c>
      <c r="O380" t="s">
        <v>1275</v>
      </c>
      <c r="P380">
        <v>46184</v>
      </c>
      <c r="Q380" t="s">
        <v>1177</v>
      </c>
      <c r="R380" t="s">
        <v>25</v>
      </c>
      <c r="S380" t="s">
        <v>1060</v>
      </c>
      <c r="T380" t="s">
        <v>804</v>
      </c>
      <c r="U380" t="s">
        <v>2227</v>
      </c>
      <c r="V380">
        <v>6</v>
      </c>
      <c r="W380" t="s">
        <v>1262</v>
      </c>
      <c r="X380" t="s">
        <v>1262</v>
      </c>
      <c r="Y380">
        <v>0</v>
      </c>
      <c r="Z380" t="s">
        <v>1186</v>
      </c>
      <c r="AA380" t="s">
        <v>1177</v>
      </c>
      <c r="AB380" t="s">
        <v>1276</v>
      </c>
      <c r="AC380" t="s">
        <v>1277</v>
      </c>
      <c r="AD380" t="s">
        <v>1278</v>
      </c>
      <c r="AE380" t="s">
        <v>1910</v>
      </c>
      <c r="AF380" t="s">
        <v>1178</v>
      </c>
      <c r="AG380" t="s">
        <v>1190</v>
      </c>
      <c r="AH380" t="s">
        <v>1178</v>
      </c>
      <c r="AI380" t="s">
        <v>1177</v>
      </c>
      <c r="AJ380" t="s">
        <v>1190</v>
      </c>
      <c r="AK380">
        <v>0</v>
      </c>
      <c r="AL380" t="s">
        <v>1262</v>
      </c>
      <c r="AM380">
        <v>45920</v>
      </c>
      <c r="AN380">
        <v>46541</v>
      </c>
      <c r="AO380">
        <v>46185</v>
      </c>
      <c r="AP380">
        <v>46188</v>
      </c>
      <c r="AQ380">
        <v>46188</v>
      </c>
      <c r="AR380">
        <v>46190</v>
      </c>
      <c r="AS380">
        <v>46199</v>
      </c>
      <c r="AT380" t="s">
        <v>1281</v>
      </c>
      <c r="AU380" t="s">
        <v>1177</v>
      </c>
      <c r="AV380" t="s">
        <v>1192</v>
      </c>
      <c r="AW380" t="s">
        <v>1177</v>
      </c>
      <c r="AX380">
        <v>406</v>
      </c>
      <c r="AY380">
        <v>2</v>
      </c>
      <c r="AZ380" t="s">
        <v>1177</v>
      </c>
      <c r="BA380">
        <v>0</v>
      </c>
      <c r="BB380" t="s">
        <v>1262</v>
      </c>
      <c r="BC380" t="e">
        <v>#N/A</v>
      </c>
      <c r="BD380" t="e">
        <v>#N/A</v>
      </c>
      <c r="BE380" t="e">
        <v>#N/A</v>
      </c>
      <c r="BF380" t="e">
        <v>#N/A</v>
      </c>
      <c r="BG380" t="s">
        <v>1212</v>
      </c>
      <c r="BH380" t="s">
        <v>1194</v>
      </c>
      <c r="BI380" t="s">
        <v>1213</v>
      </c>
    </row>
    <row r="381" spans="1:61" x14ac:dyDescent="0.35">
      <c r="A381" s="7" t="str">
        <f t="shared" si="10"/>
        <v>461844300010894</v>
      </c>
      <c r="B381" s="7" t="str">
        <f t="shared" si="11"/>
        <v>GP628539B856</v>
      </c>
      <c r="C381" t="s">
        <v>1177</v>
      </c>
      <c r="D381" t="s">
        <v>1178</v>
      </c>
      <c r="E381" t="s">
        <v>2644</v>
      </c>
      <c r="F381" t="s">
        <v>1363</v>
      </c>
      <c r="G381" t="s">
        <v>1363</v>
      </c>
      <c r="H381" t="s">
        <v>1271</v>
      </c>
      <c r="I381">
        <v>46184</v>
      </c>
      <c r="J381" t="s">
        <v>2645</v>
      </c>
      <c r="K381" t="s">
        <v>1199</v>
      </c>
      <c r="L381" t="s">
        <v>1177</v>
      </c>
      <c r="M381" t="s">
        <v>1274</v>
      </c>
      <c r="N381" t="s">
        <v>1079</v>
      </c>
      <c r="O381" t="s">
        <v>1275</v>
      </c>
      <c r="P381">
        <v>46184</v>
      </c>
      <c r="Q381" t="s">
        <v>1177</v>
      </c>
      <c r="R381" t="s">
        <v>21</v>
      </c>
      <c r="S381" t="s">
        <v>853</v>
      </c>
      <c r="T381" t="s">
        <v>2648</v>
      </c>
      <c r="U381" t="s">
        <v>2649</v>
      </c>
      <c r="V381">
        <v>1</v>
      </c>
      <c r="W381" t="s">
        <v>1262</v>
      </c>
      <c r="X381" t="s">
        <v>1262</v>
      </c>
      <c r="Y381">
        <v>0</v>
      </c>
      <c r="Z381" t="s">
        <v>1186</v>
      </c>
      <c r="AA381" t="s">
        <v>1177</v>
      </c>
      <c r="AB381" t="s">
        <v>1177</v>
      </c>
      <c r="AC381" t="s">
        <v>1177</v>
      </c>
      <c r="AD381" t="s">
        <v>1313</v>
      </c>
      <c r="AE381" t="s">
        <v>2646</v>
      </c>
      <c r="AF381" t="s">
        <v>1189</v>
      </c>
      <c r="AG381" t="s">
        <v>1190</v>
      </c>
      <c r="AH381" t="s">
        <v>1178</v>
      </c>
      <c r="AI381" t="s">
        <v>1177</v>
      </c>
      <c r="AJ381" t="s">
        <v>1190</v>
      </c>
      <c r="AK381">
        <v>0</v>
      </c>
      <c r="AL381" t="s">
        <v>1262</v>
      </c>
      <c r="AM381">
        <v>45841</v>
      </c>
      <c r="AN381">
        <v>46352</v>
      </c>
      <c r="AO381">
        <v>46185</v>
      </c>
      <c r="AP381">
        <v>46188</v>
      </c>
      <c r="AQ381">
        <v>46188</v>
      </c>
      <c r="AR381">
        <v>46190</v>
      </c>
      <c r="AS381">
        <v>46199</v>
      </c>
      <c r="AT381" t="s">
        <v>1281</v>
      </c>
      <c r="AU381" t="s">
        <v>1177</v>
      </c>
      <c r="AV381" t="s">
        <v>1192</v>
      </c>
      <c r="AW381" t="s">
        <v>1177</v>
      </c>
      <c r="AX381">
        <v>176</v>
      </c>
      <c r="AY381">
        <v>2</v>
      </c>
      <c r="AZ381" t="s">
        <v>1177</v>
      </c>
      <c r="BA381">
        <v>0</v>
      </c>
      <c r="BB381" t="s">
        <v>1262</v>
      </c>
      <c r="BC381" t="s">
        <v>1479</v>
      </c>
      <c r="BD381">
        <v>1</v>
      </c>
      <c r="BE381">
        <v>46233</v>
      </c>
      <c r="BF381" t="s">
        <v>1165</v>
      </c>
      <c r="BG381" t="s">
        <v>1212</v>
      </c>
      <c r="BH381" t="s">
        <v>1194</v>
      </c>
      <c r="BI381" t="s">
        <v>2647</v>
      </c>
    </row>
    <row r="382" spans="1:61" x14ac:dyDescent="0.35">
      <c r="A382" s="7" t="str">
        <f t="shared" si="10"/>
        <v>461844300010896</v>
      </c>
      <c r="B382" s="7" t="str">
        <f t="shared" si="11"/>
        <v>GP613233B857</v>
      </c>
      <c r="C382" t="s">
        <v>1177</v>
      </c>
      <c r="D382" t="s">
        <v>1178</v>
      </c>
      <c r="E382" t="s">
        <v>2650</v>
      </c>
      <c r="F382" t="s">
        <v>1363</v>
      </c>
      <c r="G382" t="s">
        <v>1363</v>
      </c>
      <c r="H382" t="s">
        <v>1271</v>
      </c>
      <c r="I382">
        <v>46184</v>
      </c>
      <c r="J382" t="s">
        <v>2651</v>
      </c>
      <c r="K382" t="s">
        <v>1282</v>
      </c>
      <c r="L382" t="s">
        <v>1177</v>
      </c>
      <c r="M382" t="s">
        <v>1274</v>
      </c>
      <c r="N382" t="s">
        <v>1079</v>
      </c>
      <c r="O382" t="s">
        <v>1275</v>
      </c>
      <c r="P382">
        <v>46280</v>
      </c>
      <c r="Q382" t="s">
        <v>1177</v>
      </c>
      <c r="R382" t="s">
        <v>23</v>
      </c>
      <c r="S382" t="s">
        <v>959</v>
      </c>
      <c r="T382" t="s">
        <v>1113</v>
      </c>
      <c r="U382" t="s">
        <v>1114</v>
      </c>
      <c r="V382">
        <v>1</v>
      </c>
      <c r="W382" t="s">
        <v>1262</v>
      </c>
      <c r="X382" t="s">
        <v>1262</v>
      </c>
      <c r="Y382">
        <v>0</v>
      </c>
      <c r="Z382" t="s">
        <v>1186</v>
      </c>
      <c r="AA382" t="s">
        <v>1177</v>
      </c>
      <c r="AB382" t="s">
        <v>1286</v>
      </c>
      <c r="AC382" t="s">
        <v>1277</v>
      </c>
      <c r="AD382" t="s">
        <v>1278</v>
      </c>
      <c r="AE382" t="s">
        <v>1677</v>
      </c>
      <c r="AF382" t="s">
        <v>1178</v>
      </c>
      <c r="AG382" t="s">
        <v>1178</v>
      </c>
      <c r="AH382" t="s">
        <v>1178</v>
      </c>
      <c r="AI382" t="s">
        <v>1177</v>
      </c>
      <c r="AJ382" t="s">
        <v>1190</v>
      </c>
      <c r="AK382">
        <v>0</v>
      </c>
      <c r="AL382" t="s">
        <v>1262</v>
      </c>
      <c r="AM382">
        <v>45920</v>
      </c>
      <c r="AN382">
        <v>46318</v>
      </c>
      <c r="AO382">
        <v>46185</v>
      </c>
      <c r="AP382">
        <v>46188</v>
      </c>
      <c r="AQ382">
        <v>46188</v>
      </c>
      <c r="AR382">
        <v>46190</v>
      </c>
      <c r="AS382">
        <v>46199</v>
      </c>
      <c r="AT382" t="s">
        <v>1281</v>
      </c>
      <c r="AU382" t="s">
        <v>1177</v>
      </c>
      <c r="AV382" t="s">
        <v>1192</v>
      </c>
      <c r="AW382" t="s">
        <v>1177</v>
      </c>
      <c r="AX382">
        <v>161</v>
      </c>
      <c r="AY382">
        <v>2</v>
      </c>
      <c r="AZ382" t="s">
        <v>1177</v>
      </c>
      <c r="BA382">
        <v>0</v>
      </c>
      <c r="BB382" t="s">
        <v>1262</v>
      </c>
      <c r="BC382" t="e">
        <v>#N/A</v>
      </c>
      <c r="BD382" t="e">
        <v>#N/A</v>
      </c>
      <c r="BE382" t="e">
        <v>#N/A</v>
      </c>
      <c r="BF382" t="e">
        <v>#N/A</v>
      </c>
      <c r="BG382" t="s">
        <v>1212</v>
      </c>
      <c r="BH382" t="s">
        <v>1194</v>
      </c>
      <c r="BI382" t="s">
        <v>1212</v>
      </c>
    </row>
    <row r="383" spans="1:61" x14ac:dyDescent="0.35">
      <c r="A383" s="7" t="str">
        <f t="shared" si="10"/>
        <v>461844300010916</v>
      </c>
      <c r="B383" s="7" t="str">
        <f t="shared" si="11"/>
        <v>GP399872B856</v>
      </c>
      <c r="C383" t="s">
        <v>1177</v>
      </c>
      <c r="D383" t="s">
        <v>1178</v>
      </c>
      <c r="E383" t="s">
        <v>2652</v>
      </c>
      <c r="F383" t="s">
        <v>1363</v>
      </c>
      <c r="G383" t="s">
        <v>1363</v>
      </c>
      <c r="H383" t="s">
        <v>1271</v>
      </c>
      <c r="I383">
        <v>46184</v>
      </c>
      <c r="J383" t="s">
        <v>2653</v>
      </c>
      <c r="K383" t="s">
        <v>1198</v>
      </c>
      <c r="L383" t="s">
        <v>1177</v>
      </c>
      <c r="M383" t="s">
        <v>1274</v>
      </c>
      <c r="N383" t="s">
        <v>1079</v>
      </c>
      <c r="O383" t="s">
        <v>1275</v>
      </c>
      <c r="P383">
        <v>46184</v>
      </c>
      <c r="Q383" t="s">
        <v>1177</v>
      </c>
      <c r="R383" t="s">
        <v>21</v>
      </c>
      <c r="S383" t="s">
        <v>853</v>
      </c>
      <c r="T383" t="s">
        <v>2654</v>
      </c>
      <c r="U383" t="s">
        <v>2655</v>
      </c>
      <c r="V383">
        <v>1</v>
      </c>
      <c r="W383" t="s">
        <v>1262</v>
      </c>
      <c r="X383" t="s">
        <v>1262</v>
      </c>
      <c r="Y383">
        <v>0</v>
      </c>
      <c r="Z383" t="s">
        <v>1186</v>
      </c>
      <c r="AA383" t="s">
        <v>1177</v>
      </c>
      <c r="AB383" t="s">
        <v>1286</v>
      </c>
      <c r="AC383" t="s">
        <v>1277</v>
      </c>
      <c r="AD383" t="s">
        <v>1278</v>
      </c>
      <c r="AE383" t="s">
        <v>1357</v>
      </c>
      <c r="AF383" t="s">
        <v>1178</v>
      </c>
      <c r="AG383" t="s">
        <v>1178</v>
      </c>
      <c r="AH383" t="s">
        <v>1178</v>
      </c>
      <c r="AI383" t="s">
        <v>1177</v>
      </c>
      <c r="AJ383" t="s">
        <v>1190</v>
      </c>
      <c r="AK383">
        <v>0</v>
      </c>
      <c r="AL383" t="s">
        <v>1262</v>
      </c>
      <c r="AM383">
        <v>45939</v>
      </c>
      <c r="AN383">
        <v>46226</v>
      </c>
      <c r="AO383">
        <v>46185</v>
      </c>
      <c r="AP383">
        <v>46188</v>
      </c>
      <c r="AQ383">
        <v>46188</v>
      </c>
      <c r="AR383">
        <v>46190</v>
      </c>
      <c r="AS383">
        <v>46199</v>
      </c>
      <c r="AT383" t="s">
        <v>1281</v>
      </c>
      <c r="AU383" t="s">
        <v>1177</v>
      </c>
      <c r="AV383" t="s">
        <v>1192</v>
      </c>
      <c r="AW383" t="s">
        <v>1177</v>
      </c>
      <c r="AX383">
        <v>71</v>
      </c>
      <c r="AY383">
        <v>2</v>
      </c>
      <c r="AZ383" t="s">
        <v>1177</v>
      </c>
      <c r="BA383">
        <v>0</v>
      </c>
      <c r="BB383" t="s">
        <v>1262</v>
      </c>
      <c r="BC383" t="s">
        <v>1727</v>
      </c>
      <c r="BD383">
        <v>2</v>
      </c>
      <c r="BE383">
        <v>46233</v>
      </c>
      <c r="BF383" t="s">
        <v>1165</v>
      </c>
      <c r="BG383" t="e">
        <v>#N/A</v>
      </c>
      <c r="BH383" t="e">
        <v>#N/A</v>
      </c>
      <c r="BI383" t="e">
        <v>#N/A</v>
      </c>
    </row>
    <row r="384" spans="1:61" x14ac:dyDescent="0.35">
      <c r="A384" s="7" t="str">
        <f t="shared" si="10"/>
        <v>461844300010917</v>
      </c>
      <c r="B384" s="7" t="str">
        <f t="shared" si="11"/>
        <v>GP326350B833</v>
      </c>
      <c r="C384" t="s">
        <v>1177</v>
      </c>
      <c r="D384" t="s">
        <v>1178</v>
      </c>
      <c r="E384" t="s">
        <v>2656</v>
      </c>
      <c r="F384" t="s">
        <v>1363</v>
      </c>
      <c r="G384" t="s">
        <v>1363</v>
      </c>
      <c r="H384" t="s">
        <v>1271</v>
      </c>
      <c r="I384">
        <v>46184</v>
      </c>
      <c r="J384" t="s">
        <v>2657</v>
      </c>
      <c r="K384" t="s">
        <v>1182</v>
      </c>
      <c r="L384" t="s">
        <v>1177</v>
      </c>
      <c r="M384" t="s">
        <v>1274</v>
      </c>
      <c r="N384" t="s">
        <v>1079</v>
      </c>
      <c r="O384" t="s">
        <v>1275</v>
      </c>
      <c r="P384">
        <v>46184</v>
      </c>
      <c r="Q384" t="s">
        <v>1177</v>
      </c>
      <c r="R384" t="s">
        <v>697</v>
      </c>
      <c r="S384" t="s">
        <v>699</v>
      </c>
      <c r="T384" t="s">
        <v>2658</v>
      </c>
      <c r="U384" t="s">
        <v>2659</v>
      </c>
      <c r="V384">
        <v>92</v>
      </c>
      <c r="W384" t="s">
        <v>1262</v>
      </c>
      <c r="X384" t="s">
        <v>1262</v>
      </c>
      <c r="Y384">
        <v>0</v>
      </c>
      <c r="Z384" t="s">
        <v>1186</v>
      </c>
      <c r="AA384" t="s">
        <v>1177</v>
      </c>
      <c r="AB384" t="s">
        <v>1276</v>
      </c>
      <c r="AC384" t="s">
        <v>1277</v>
      </c>
      <c r="AD384" t="s">
        <v>1278</v>
      </c>
      <c r="AE384" t="s">
        <v>1292</v>
      </c>
      <c r="AF384" t="s">
        <v>1178</v>
      </c>
      <c r="AG384" t="s">
        <v>1190</v>
      </c>
      <c r="AH384" t="s">
        <v>1178</v>
      </c>
      <c r="AI384" t="s">
        <v>1349</v>
      </c>
      <c r="AJ384" t="s">
        <v>1190</v>
      </c>
      <c r="AK384">
        <v>0</v>
      </c>
      <c r="AL384" t="s">
        <v>1262</v>
      </c>
      <c r="AM384">
        <v>45940</v>
      </c>
      <c r="AN384">
        <v>46258</v>
      </c>
      <c r="AO384">
        <v>46188</v>
      </c>
      <c r="AP384">
        <v>46190</v>
      </c>
      <c r="AQ384">
        <v>46190</v>
      </c>
      <c r="AR384">
        <v>46192</v>
      </c>
      <c r="AS384">
        <v>46196</v>
      </c>
      <c r="AT384" t="s">
        <v>1281</v>
      </c>
      <c r="AU384" t="s">
        <v>1177</v>
      </c>
      <c r="AV384" t="s">
        <v>1192</v>
      </c>
      <c r="AW384" t="s">
        <v>1177</v>
      </c>
      <c r="AX384">
        <v>176</v>
      </c>
      <c r="AY384">
        <v>2</v>
      </c>
      <c r="AZ384" t="s">
        <v>1177</v>
      </c>
      <c r="BA384">
        <v>92</v>
      </c>
      <c r="BB384" t="s">
        <v>1262</v>
      </c>
      <c r="BC384" t="s">
        <v>2640</v>
      </c>
      <c r="BD384">
        <v>92</v>
      </c>
      <c r="BE384">
        <v>46251</v>
      </c>
      <c r="BF384" t="s">
        <v>1165</v>
      </c>
      <c r="BG384" t="s">
        <v>1212</v>
      </c>
      <c r="BH384" t="s">
        <v>1194</v>
      </c>
      <c r="BI384" t="s">
        <v>2660</v>
      </c>
    </row>
    <row r="385" spans="1:61" x14ac:dyDescent="0.35">
      <c r="A385" s="7" t="str">
        <f t="shared" si="10"/>
        <v>461844300010918</v>
      </c>
      <c r="B385" s="7" t="str">
        <f t="shared" si="11"/>
        <v>50785B864</v>
      </c>
      <c r="C385" t="s">
        <v>1177</v>
      </c>
      <c r="D385" t="s">
        <v>1178</v>
      </c>
      <c r="E385" t="s">
        <v>2661</v>
      </c>
      <c r="F385" t="s">
        <v>1363</v>
      </c>
      <c r="G385" t="s">
        <v>1363</v>
      </c>
      <c r="H385" t="s">
        <v>1271</v>
      </c>
      <c r="I385">
        <v>46184</v>
      </c>
      <c r="J385" t="s">
        <v>2662</v>
      </c>
      <c r="K385" t="s">
        <v>1199</v>
      </c>
      <c r="L385" t="s">
        <v>1177</v>
      </c>
      <c r="M385" t="s">
        <v>1274</v>
      </c>
      <c r="N385" t="s">
        <v>1079</v>
      </c>
      <c r="O385" t="s">
        <v>1275</v>
      </c>
      <c r="P385">
        <v>46184</v>
      </c>
      <c r="Q385" t="s">
        <v>1177</v>
      </c>
      <c r="R385" t="s">
        <v>10</v>
      </c>
      <c r="S385" t="s">
        <v>1011</v>
      </c>
      <c r="T385" t="s">
        <v>2663</v>
      </c>
      <c r="U385" t="s">
        <v>2664</v>
      </c>
      <c r="V385">
        <v>3</v>
      </c>
      <c r="W385" t="s">
        <v>1262</v>
      </c>
      <c r="X385" t="s">
        <v>1262</v>
      </c>
      <c r="Y385">
        <v>0</v>
      </c>
      <c r="Z385" t="s">
        <v>1186</v>
      </c>
      <c r="AA385" t="s">
        <v>1177</v>
      </c>
      <c r="AB385" t="s">
        <v>1276</v>
      </c>
      <c r="AC385" t="s">
        <v>1277</v>
      </c>
      <c r="AD385" t="s">
        <v>1278</v>
      </c>
      <c r="AE385" t="s">
        <v>1682</v>
      </c>
      <c r="AF385" t="s">
        <v>1178</v>
      </c>
      <c r="AG385" t="s">
        <v>1190</v>
      </c>
      <c r="AH385" t="s">
        <v>1178</v>
      </c>
      <c r="AI385" t="s">
        <v>1177</v>
      </c>
      <c r="AJ385" t="s">
        <v>1190</v>
      </c>
      <c r="AK385">
        <v>0</v>
      </c>
      <c r="AL385" t="s">
        <v>1262</v>
      </c>
      <c r="AM385">
        <v>45971</v>
      </c>
      <c r="AN385">
        <v>46185</v>
      </c>
      <c r="AO385">
        <v>46185</v>
      </c>
      <c r="AP385">
        <v>46188</v>
      </c>
      <c r="AQ385">
        <v>46188</v>
      </c>
      <c r="AR385">
        <v>46190</v>
      </c>
      <c r="AS385">
        <v>46199</v>
      </c>
      <c r="AT385" t="s">
        <v>1281</v>
      </c>
      <c r="AU385" t="s">
        <v>1177</v>
      </c>
      <c r="AV385" t="s">
        <v>1192</v>
      </c>
      <c r="AW385" t="s">
        <v>1177</v>
      </c>
      <c r="AX385">
        <v>168</v>
      </c>
      <c r="AY385">
        <v>2</v>
      </c>
      <c r="AZ385" t="s">
        <v>1177</v>
      </c>
      <c r="BA385">
        <v>3</v>
      </c>
      <c r="BB385" t="s">
        <v>1262</v>
      </c>
      <c r="BC385" t="s">
        <v>2665</v>
      </c>
      <c r="BD385">
        <v>3</v>
      </c>
      <c r="BE385">
        <v>46198</v>
      </c>
      <c r="BF385" t="s">
        <v>1165</v>
      </c>
      <c r="BG385" t="s">
        <v>1212</v>
      </c>
      <c r="BH385" t="s">
        <v>1194</v>
      </c>
      <c r="BI385" t="s">
        <v>2112</v>
      </c>
    </row>
    <row r="386" spans="1:61" x14ac:dyDescent="0.35">
      <c r="A386" s="7" t="str">
        <f t="shared" ref="A386:A449" si="12">I386&amp;J386</f>
        <v>461844300010930</v>
      </c>
      <c r="B386" s="7" t="str">
        <f t="shared" ref="B386:B449" si="13">_xlfn.CONCAT(T386,R386)</f>
        <v>GP321119B857</v>
      </c>
      <c r="C386" t="s">
        <v>1177</v>
      </c>
      <c r="D386" t="s">
        <v>1178</v>
      </c>
      <c r="E386" t="s">
        <v>2666</v>
      </c>
      <c r="F386" t="s">
        <v>1363</v>
      </c>
      <c r="G386" t="s">
        <v>1363</v>
      </c>
      <c r="H386" t="s">
        <v>1271</v>
      </c>
      <c r="I386">
        <v>46184</v>
      </c>
      <c r="J386" t="s">
        <v>2667</v>
      </c>
      <c r="K386" t="s">
        <v>1576</v>
      </c>
      <c r="L386" t="s">
        <v>1177</v>
      </c>
      <c r="M386" t="s">
        <v>1274</v>
      </c>
      <c r="N386" t="s">
        <v>1079</v>
      </c>
      <c r="O386" t="s">
        <v>1275</v>
      </c>
      <c r="P386">
        <v>46184</v>
      </c>
      <c r="Q386" t="s">
        <v>1177</v>
      </c>
      <c r="R386" t="s">
        <v>23</v>
      </c>
      <c r="S386" t="s">
        <v>959</v>
      </c>
      <c r="T386" t="s">
        <v>2668</v>
      </c>
      <c r="U386" t="s">
        <v>2669</v>
      </c>
      <c r="V386">
        <v>1</v>
      </c>
      <c r="W386" t="s">
        <v>1262</v>
      </c>
      <c r="X386" t="s">
        <v>1262</v>
      </c>
      <c r="Y386">
        <v>0</v>
      </c>
      <c r="Z386" t="s">
        <v>1186</v>
      </c>
      <c r="AA386" t="s">
        <v>1177</v>
      </c>
      <c r="AB386" t="s">
        <v>1276</v>
      </c>
      <c r="AC386" t="s">
        <v>1277</v>
      </c>
      <c r="AD386" t="s">
        <v>1278</v>
      </c>
      <c r="AE386" t="s">
        <v>2632</v>
      </c>
      <c r="AF386" t="s">
        <v>1178</v>
      </c>
      <c r="AG386" t="s">
        <v>1190</v>
      </c>
      <c r="AH386" t="s">
        <v>1178</v>
      </c>
      <c r="AI386" t="s">
        <v>1177</v>
      </c>
      <c r="AJ386" t="s">
        <v>1190</v>
      </c>
      <c r="AK386">
        <v>0</v>
      </c>
      <c r="AL386" t="s">
        <v>1262</v>
      </c>
      <c r="AM386">
        <v>45989</v>
      </c>
      <c r="AN386">
        <v>46185</v>
      </c>
      <c r="AO386">
        <v>46185</v>
      </c>
      <c r="AP386">
        <v>46188</v>
      </c>
      <c r="AQ386">
        <v>46188</v>
      </c>
      <c r="AR386">
        <v>46190</v>
      </c>
      <c r="AS386">
        <v>46199</v>
      </c>
      <c r="AT386" t="s">
        <v>1281</v>
      </c>
      <c r="AU386" t="s">
        <v>1177</v>
      </c>
      <c r="AV386" t="s">
        <v>1192</v>
      </c>
      <c r="AW386" t="s">
        <v>1177</v>
      </c>
      <c r="AX386">
        <v>33</v>
      </c>
      <c r="AY386">
        <v>2</v>
      </c>
      <c r="AZ386" t="s">
        <v>1177</v>
      </c>
      <c r="BA386">
        <v>0</v>
      </c>
      <c r="BB386" t="s">
        <v>1262</v>
      </c>
      <c r="BC386" t="s">
        <v>1864</v>
      </c>
      <c r="BD386">
        <v>3</v>
      </c>
      <c r="BE386">
        <v>46233</v>
      </c>
      <c r="BF386" t="s">
        <v>1165</v>
      </c>
      <c r="BG386" t="s">
        <v>1212</v>
      </c>
      <c r="BH386" t="s">
        <v>1194</v>
      </c>
      <c r="BI386" t="s">
        <v>1212</v>
      </c>
    </row>
    <row r="387" spans="1:61" x14ac:dyDescent="0.35">
      <c r="A387" s="7" t="str">
        <f t="shared" si="12"/>
        <v>461844300010931</v>
      </c>
      <c r="B387" s="7" t="str">
        <f t="shared" si="13"/>
        <v>GP467178B825</v>
      </c>
      <c r="C387" t="s">
        <v>1177</v>
      </c>
      <c r="D387" t="s">
        <v>1178</v>
      </c>
      <c r="E387" t="s">
        <v>2670</v>
      </c>
      <c r="F387" t="s">
        <v>1363</v>
      </c>
      <c r="G387" t="s">
        <v>1363</v>
      </c>
      <c r="H387" t="s">
        <v>1271</v>
      </c>
      <c r="I387">
        <v>46184</v>
      </c>
      <c r="J387" t="s">
        <v>2671</v>
      </c>
      <c r="K387" t="s">
        <v>1285</v>
      </c>
      <c r="L387" t="s">
        <v>1177</v>
      </c>
      <c r="M387" t="s">
        <v>1274</v>
      </c>
      <c r="N387" t="s">
        <v>1079</v>
      </c>
      <c r="O387" t="s">
        <v>1275</v>
      </c>
      <c r="P387">
        <v>46245</v>
      </c>
      <c r="Q387" t="s">
        <v>1177</v>
      </c>
      <c r="R387" t="s">
        <v>16</v>
      </c>
      <c r="S387" t="s">
        <v>512</v>
      </c>
      <c r="T387" t="s">
        <v>619</v>
      </c>
      <c r="U387" t="s">
        <v>620</v>
      </c>
      <c r="V387">
        <v>1</v>
      </c>
      <c r="W387" t="s">
        <v>1262</v>
      </c>
      <c r="X387" t="s">
        <v>1262</v>
      </c>
      <c r="Y387">
        <v>0</v>
      </c>
      <c r="Z387" t="s">
        <v>1186</v>
      </c>
      <c r="AA387" t="s">
        <v>1177</v>
      </c>
      <c r="AB387" t="s">
        <v>1286</v>
      </c>
      <c r="AC387" t="s">
        <v>1277</v>
      </c>
      <c r="AD387" t="s">
        <v>1278</v>
      </c>
      <c r="AE387" t="s">
        <v>1354</v>
      </c>
      <c r="AF387" t="s">
        <v>1178</v>
      </c>
      <c r="AG387" t="s">
        <v>1178</v>
      </c>
      <c r="AH387" t="s">
        <v>1178</v>
      </c>
      <c r="AI387" t="s">
        <v>1349</v>
      </c>
      <c r="AJ387" t="s">
        <v>1190</v>
      </c>
      <c r="AK387">
        <v>0</v>
      </c>
      <c r="AL387" t="s">
        <v>1262</v>
      </c>
      <c r="AM387">
        <v>46276</v>
      </c>
      <c r="AN387">
        <v>46265</v>
      </c>
      <c r="AO387">
        <v>46265</v>
      </c>
      <c r="AP387">
        <v>46267</v>
      </c>
      <c r="AQ387">
        <v>46267</v>
      </c>
      <c r="AR387">
        <v>46269</v>
      </c>
      <c r="AS387">
        <v>46274</v>
      </c>
      <c r="AT387" t="s">
        <v>1281</v>
      </c>
      <c r="AU387" t="s">
        <v>1177</v>
      </c>
      <c r="AV387" t="s">
        <v>1192</v>
      </c>
      <c r="AW387" t="s">
        <v>1177</v>
      </c>
      <c r="AX387">
        <v>33</v>
      </c>
      <c r="AY387">
        <v>2</v>
      </c>
      <c r="AZ387" t="s">
        <v>1177</v>
      </c>
      <c r="BA387">
        <v>1</v>
      </c>
      <c r="BB387" t="s">
        <v>1262</v>
      </c>
      <c r="BC387" t="s">
        <v>2305</v>
      </c>
      <c r="BD387">
        <v>1</v>
      </c>
      <c r="BE387">
        <v>46251</v>
      </c>
      <c r="BF387" t="s">
        <v>1165</v>
      </c>
      <c r="BG387" t="s">
        <v>126</v>
      </c>
      <c r="BH387" t="s">
        <v>1873</v>
      </c>
      <c r="BI387" t="s">
        <v>126</v>
      </c>
    </row>
    <row r="388" spans="1:61" x14ac:dyDescent="0.35">
      <c r="A388" s="7" t="str">
        <f t="shared" si="12"/>
        <v>461844300010933</v>
      </c>
      <c r="B388" s="7" t="str">
        <f t="shared" si="13"/>
        <v>GP021038-001B825</v>
      </c>
      <c r="C388" t="s">
        <v>1177</v>
      </c>
      <c r="D388" t="s">
        <v>1178</v>
      </c>
      <c r="E388" t="s">
        <v>2672</v>
      </c>
      <c r="F388" t="s">
        <v>1363</v>
      </c>
      <c r="G388" t="s">
        <v>1363</v>
      </c>
      <c r="H388" t="s">
        <v>1271</v>
      </c>
      <c r="I388">
        <v>46184</v>
      </c>
      <c r="J388" t="s">
        <v>2673</v>
      </c>
      <c r="K388" t="s">
        <v>1282</v>
      </c>
      <c r="L388" t="s">
        <v>1177</v>
      </c>
      <c r="M388" t="s">
        <v>1274</v>
      </c>
      <c r="N388" t="s">
        <v>1079</v>
      </c>
      <c r="O388" t="s">
        <v>1275</v>
      </c>
      <c r="P388">
        <v>46184</v>
      </c>
      <c r="Q388" t="s">
        <v>1185</v>
      </c>
      <c r="R388" t="s">
        <v>16</v>
      </c>
      <c r="S388" t="s">
        <v>512</v>
      </c>
      <c r="T388" t="s">
        <v>370</v>
      </c>
      <c r="U388" t="s">
        <v>1437</v>
      </c>
      <c r="V388">
        <v>19</v>
      </c>
      <c r="W388" t="s">
        <v>1262</v>
      </c>
      <c r="X388" t="s">
        <v>1262</v>
      </c>
      <c r="Y388">
        <v>0</v>
      </c>
      <c r="Z388" t="s">
        <v>1186</v>
      </c>
      <c r="AA388" t="s">
        <v>1177</v>
      </c>
      <c r="AB388" t="s">
        <v>1177</v>
      </c>
      <c r="AC388" t="s">
        <v>1177</v>
      </c>
      <c r="AD388" t="s">
        <v>1204</v>
      </c>
      <c r="AE388" t="s">
        <v>1438</v>
      </c>
      <c r="AF388" t="s">
        <v>1189</v>
      </c>
      <c r="AG388" t="s">
        <v>1190</v>
      </c>
      <c r="AH388" t="s">
        <v>1178</v>
      </c>
      <c r="AI388" t="s">
        <v>1349</v>
      </c>
      <c r="AJ388" t="s">
        <v>1190</v>
      </c>
      <c r="AK388">
        <v>0</v>
      </c>
      <c r="AL388" t="s">
        <v>1262</v>
      </c>
      <c r="AM388">
        <v>46070</v>
      </c>
      <c r="AN388">
        <v>46188</v>
      </c>
      <c r="AO388">
        <v>46188</v>
      </c>
      <c r="AP388">
        <v>46190</v>
      </c>
      <c r="AQ388">
        <v>46190</v>
      </c>
      <c r="AR388">
        <v>46192</v>
      </c>
      <c r="AS388">
        <v>46196</v>
      </c>
      <c r="AT388" t="s">
        <v>1281</v>
      </c>
      <c r="AU388" t="s">
        <v>1177</v>
      </c>
      <c r="AV388" t="s">
        <v>1192</v>
      </c>
      <c r="AW388" t="s">
        <v>1177</v>
      </c>
      <c r="AX388">
        <v>33</v>
      </c>
      <c r="AY388">
        <v>2</v>
      </c>
      <c r="AZ388" t="s">
        <v>1177</v>
      </c>
      <c r="BA388">
        <v>0</v>
      </c>
      <c r="BB388" t="s">
        <v>1262</v>
      </c>
      <c r="BC388" t="e">
        <v>#N/A</v>
      </c>
      <c r="BD388" t="e">
        <v>#N/A</v>
      </c>
      <c r="BE388" t="e">
        <v>#N/A</v>
      </c>
      <c r="BF388" t="e">
        <v>#N/A</v>
      </c>
      <c r="BG388" t="s">
        <v>126</v>
      </c>
      <c r="BH388" t="s">
        <v>1873</v>
      </c>
      <c r="BI388" t="s">
        <v>126</v>
      </c>
    </row>
    <row r="389" spans="1:61" x14ac:dyDescent="0.35">
      <c r="A389" s="7" t="str">
        <f t="shared" si="12"/>
        <v>461844300010934</v>
      </c>
      <c r="B389" s="7" t="str">
        <f t="shared" si="13"/>
        <v>GP585072B867</v>
      </c>
      <c r="C389" t="s">
        <v>1177</v>
      </c>
      <c r="D389" t="s">
        <v>1178</v>
      </c>
      <c r="E389" t="s">
        <v>2674</v>
      </c>
      <c r="F389" t="s">
        <v>1363</v>
      </c>
      <c r="G389" t="s">
        <v>1363</v>
      </c>
      <c r="H389" t="s">
        <v>1271</v>
      </c>
      <c r="I389">
        <v>46184</v>
      </c>
      <c r="J389" t="s">
        <v>2675</v>
      </c>
      <c r="K389" t="s">
        <v>1198</v>
      </c>
      <c r="L389" t="s">
        <v>1177</v>
      </c>
      <c r="M389" t="s">
        <v>1274</v>
      </c>
      <c r="N389" t="s">
        <v>1079</v>
      </c>
      <c r="O389" t="s">
        <v>1275</v>
      </c>
      <c r="P389">
        <v>46184</v>
      </c>
      <c r="Q389" t="s">
        <v>1177</v>
      </c>
      <c r="R389" t="s">
        <v>25</v>
      </c>
      <c r="S389" t="s">
        <v>1060</v>
      </c>
      <c r="T389" t="s">
        <v>2434</v>
      </c>
      <c r="U389" t="s">
        <v>2435</v>
      </c>
      <c r="V389">
        <v>3</v>
      </c>
      <c r="W389" t="s">
        <v>1262</v>
      </c>
      <c r="X389" t="s">
        <v>1262</v>
      </c>
      <c r="Y389">
        <v>0</v>
      </c>
      <c r="Z389" t="s">
        <v>1186</v>
      </c>
      <c r="AA389" t="s">
        <v>1177</v>
      </c>
      <c r="AB389" t="s">
        <v>1276</v>
      </c>
      <c r="AC389" t="s">
        <v>1277</v>
      </c>
      <c r="AD389" t="s">
        <v>1278</v>
      </c>
      <c r="AE389" t="s">
        <v>1614</v>
      </c>
      <c r="AF389" t="s">
        <v>1178</v>
      </c>
      <c r="AG389" t="s">
        <v>1190</v>
      </c>
      <c r="AH389" t="s">
        <v>1178</v>
      </c>
      <c r="AI389" t="s">
        <v>1177</v>
      </c>
      <c r="AJ389" t="s">
        <v>1190</v>
      </c>
      <c r="AK389">
        <v>0</v>
      </c>
      <c r="AL389" t="s">
        <v>1262</v>
      </c>
      <c r="AM389">
        <v>45996</v>
      </c>
      <c r="AN389">
        <v>46185</v>
      </c>
      <c r="AO389">
        <v>46185</v>
      </c>
      <c r="AP389">
        <v>46188</v>
      </c>
      <c r="AQ389">
        <v>46188</v>
      </c>
      <c r="AR389">
        <v>46190</v>
      </c>
      <c r="AS389">
        <v>46199</v>
      </c>
      <c r="AT389" t="s">
        <v>1281</v>
      </c>
      <c r="AU389" t="s">
        <v>1177</v>
      </c>
      <c r="AV389" t="s">
        <v>1192</v>
      </c>
      <c r="AW389" t="s">
        <v>1177</v>
      </c>
      <c r="AX389">
        <v>33</v>
      </c>
      <c r="AY389">
        <v>2</v>
      </c>
      <c r="AZ389" t="s">
        <v>1177</v>
      </c>
      <c r="BA389">
        <v>0</v>
      </c>
      <c r="BB389" t="s">
        <v>1262</v>
      </c>
      <c r="BC389" t="e">
        <v>#N/A</v>
      </c>
      <c r="BD389" t="e">
        <v>#N/A</v>
      </c>
      <c r="BE389" t="e">
        <v>#N/A</v>
      </c>
      <c r="BF389" t="e">
        <v>#N/A</v>
      </c>
      <c r="BG389" t="s">
        <v>1212</v>
      </c>
      <c r="BH389" t="s">
        <v>1194</v>
      </c>
      <c r="BI389" t="s">
        <v>1212</v>
      </c>
    </row>
    <row r="390" spans="1:61" x14ac:dyDescent="0.35">
      <c r="A390" s="7" t="str">
        <f t="shared" si="12"/>
        <v>461844300010935</v>
      </c>
      <c r="B390" s="7" t="str">
        <f t="shared" si="13"/>
        <v>F200007B856</v>
      </c>
      <c r="C390" t="s">
        <v>1177</v>
      </c>
      <c r="D390" t="s">
        <v>1178</v>
      </c>
      <c r="E390" t="s">
        <v>2676</v>
      </c>
      <c r="F390" t="s">
        <v>1363</v>
      </c>
      <c r="G390" t="s">
        <v>1363</v>
      </c>
      <c r="H390" t="s">
        <v>1271</v>
      </c>
      <c r="I390">
        <v>46184</v>
      </c>
      <c r="J390" t="s">
        <v>2677</v>
      </c>
      <c r="K390" t="s">
        <v>1182</v>
      </c>
      <c r="L390" t="s">
        <v>1177</v>
      </c>
      <c r="M390" t="s">
        <v>1274</v>
      </c>
      <c r="N390" t="s">
        <v>1079</v>
      </c>
      <c r="O390" t="s">
        <v>1275</v>
      </c>
      <c r="P390">
        <v>46184</v>
      </c>
      <c r="Q390" t="s">
        <v>1177</v>
      </c>
      <c r="R390" t="s">
        <v>21</v>
      </c>
      <c r="S390" t="s">
        <v>853</v>
      </c>
      <c r="T390" t="s">
        <v>2678</v>
      </c>
      <c r="U390" t="s">
        <v>2679</v>
      </c>
      <c r="V390">
        <v>94</v>
      </c>
      <c r="W390" t="s">
        <v>1262</v>
      </c>
      <c r="X390" t="s">
        <v>1262</v>
      </c>
      <c r="Y390">
        <v>0</v>
      </c>
      <c r="Z390" t="s">
        <v>1186</v>
      </c>
      <c r="AA390" t="s">
        <v>1177</v>
      </c>
      <c r="AB390" t="s">
        <v>1276</v>
      </c>
      <c r="AC390" t="s">
        <v>1277</v>
      </c>
      <c r="AD390" t="s">
        <v>1278</v>
      </c>
      <c r="AE390" t="s">
        <v>2680</v>
      </c>
      <c r="AF390" t="s">
        <v>1178</v>
      </c>
      <c r="AG390" t="s">
        <v>1190</v>
      </c>
      <c r="AH390" t="s">
        <v>1178</v>
      </c>
      <c r="AI390" t="s">
        <v>1280</v>
      </c>
      <c r="AJ390" t="s">
        <v>1189</v>
      </c>
      <c r="AK390">
        <v>94</v>
      </c>
      <c r="AL390" t="s">
        <v>1262</v>
      </c>
      <c r="AM390">
        <v>46260</v>
      </c>
      <c r="AN390">
        <v>46254</v>
      </c>
      <c r="AO390">
        <v>46254</v>
      </c>
      <c r="AP390">
        <v>46258</v>
      </c>
      <c r="AQ390">
        <v>46258</v>
      </c>
      <c r="AR390">
        <v>46260</v>
      </c>
      <c r="AS390">
        <v>46260</v>
      </c>
      <c r="AT390" t="s">
        <v>1281</v>
      </c>
      <c r="AU390" t="s">
        <v>1177</v>
      </c>
      <c r="AV390" t="s">
        <v>1192</v>
      </c>
      <c r="AW390" t="s">
        <v>1177</v>
      </c>
      <c r="AX390">
        <v>0</v>
      </c>
      <c r="AY390">
        <v>0</v>
      </c>
      <c r="AZ390" t="s">
        <v>1177</v>
      </c>
      <c r="BA390">
        <v>0</v>
      </c>
      <c r="BB390" t="s">
        <v>1262</v>
      </c>
      <c r="BC390" t="s">
        <v>2681</v>
      </c>
      <c r="BD390">
        <v>47</v>
      </c>
      <c r="BE390">
        <v>46223</v>
      </c>
      <c r="BF390" t="s">
        <v>1165</v>
      </c>
      <c r="BG390" t="s">
        <v>1372</v>
      </c>
      <c r="BH390" t="s">
        <v>1903</v>
      </c>
      <c r="BI390" t="s">
        <v>2682</v>
      </c>
    </row>
    <row r="391" spans="1:61" x14ac:dyDescent="0.35">
      <c r="A391" s="7" t="str">
        <f t="shared" si="12"/>
        <v>461844300010936</v>
      </c>
      <c r="B391" s="7" t="str">
        <f t="shared" si="13"/>
        <v>GP549302B857</v>
      </c>
      <c r="C391" t="s">
        <v>1177</v>
      </c>
      <c r="D391" t="s">
        <v>1178</v>
      </c>
      <c r="E391" t="s">
        <v>2685</v>
      </c>
      <c r="F391" t="s">
        <v>1363</v>
      </c>
      <c r="G391" t="s">
        <v>1363</v>
      </c>
      <c r="H391" t="s">
        <v>1271</v>
      </c>
      <c r="I391">
        <v>46184</v>
      </c>
      <c r="J391" t="s">
        <v>2686</v>
      </c>
      <c r="K391" t="s">
        <v>1283</v>
      </c>
      <c r="L391" t="s">
        <v>1177</v>
      </c>
      <c r="M391" t="s">
        <v>1274</v>
      </c>
      <c r="N391" t="s">
        <v>1079</v>
      </c>
      <c r="O391" t="s">
        <v>1275</v>
      </c>
      <c r="P391">
        <v>46184</v>
      </c>
      <c r="Q391" t="s">
        <v>1177</v>
      </c>
      <c r="R391" t="s">
        <v>23</v>
      </c>
      <c r="S391" t="s">
        <v>959</v>
      </c>
      <c r="T391" t="s">
        <v>2683</v>
      </c>
      <c r="U391" t="s">
        <v>2684</v>
      </c>
      <c r="V391">
        <v>648</v>
      </c>
      <c r="W391" t="s">
        <v>1262</v>
      </c>
      <c r="X391" t="s">
        <v>1262</v>
      </c>
      <c r="Y391">
        <v>0</v>
      </c>
      <c r="Z391" t="s">
        <v>1186</v>
      </c>
      <c r="AA391" t="s">
        <v>1177</v>
      </c>
      <c r="AB391" t="s">
        <v>1276</v>
      </c>
      <c r="AC391" t="s">
        <v>1277</v>
      </c>
      <c r="AD391" t="s">
        <v>1278</v>
      </c>
      <c r="AE391" t="s">
        <v>1383</v>
      </c>
      <c r="AF391" t="s">
        <v>1178</v>
      </c>
      <c r="AG391" t="s">
        <v>1190</v>
      </c>
      <c r="AH391" t="s">
        <v>1178</v>
      </c>
      <c r="AI391" t="s">
        <v>1280</v>
      </c>
      <c r="AJ391" t="s">
        <v>1189</v>
      </c>
      <c r="AK391">
        <v>648</v>
      </c>
      <c r="AL391" t="s">
        <v>1262</v>
      </c>
      <c r="AM391">
        <v>46260</v>
      </c>
      <c r="AN391">
        <v>46254</v>
      </c>
      <c r="AO391">
        <v>46254</v>
      </c>
      <c r="AP391">
        <v>46258</v>
      </c>
      <c r="AQ391">
        <v>46258</v>
      </c>
      <c r="AR391">
        <v>46260</v>
      </c>
      <c r="AS391">
        <v>46260</v>
      </c>
      <c r="AT391" t="s">
        <v>1281</v>
      </c>
      <c r="AU391" t="s">
        <v>1177</v>
      </c>
      <c r="AV391" t="s">
        <v>1192</v>
      </c>
      <c r="AW391" t="s">
        <v>1177</v>
      </c>
      <c r="AX391">
        <v>0</v>
      </c>
      <c r="AY391">
        <v>0</v>
      </c>
      <c r="AZ391" t="s">
        <v>1177</v>
      </c>
      <c r="BA391">
        <v>0</v>
      </c>
      <c r="BB391" t="s">
        <v>1262</v>
      </c>
      <c r="BC391" t="e">
        <v>#N/A</v>
      </c>
      <c r="BD391" t="e">
        <v>#N/A</v>
      </c>
      <c r="BE391" t="e">
        <v>#N/A</v>
      </c>
      <c r="BF391" t="e">
        <v>#N/A</v>
      </c>
      <c r="BG391" t="s">
        <v>1372</v>
      </c>
      <c r="BH391" t="s">
        <v>1903</v>
      </c>
      <c r="BI391" t="s">
        <v>2682</v>
      </c>
    </row>
    <row r="392" spans="1:61" x14ac:dyDescent="0.35">
      <c r="A392" s="7" t="str">
        <f t="shared" si="12"/>
        <v>461844300010941</v>
      </c>
      <c r="B392" s="7" t="str">
        <f t="shared" si="13"/>
        <v>GP260708B825</v>
      </c>
      <c r="C392" t="s">
        <v>1177</v>
      </c>
      <c r="D392" t="s">
        <v>1178</v>
      </c>
      <c r="E392" t="s">
        <v>2687</v>
      </c>
      <c r="F392" t="s">
        <v>1363</v>
      </c>
      <c r="G392" t="s">
        <v>1363</v>
      </c>
      <c r="H392" t="s">
        <v>1271</v>
      </c>
      <c r="I392">
        <v>46184</v>
      </c>
      <c r="J392" t="s">
        <v>2688</v>
      </c>
      <c r="K392" t="s">
        <v>1182</v>
      </c>
      <c r="L392" t="s">
        <v>1177</v>
      </c>
      <c r="M392" t="s">
        <v>1274</v>
      </c>
      <c r="N392" t="s">
        <v>1079</v>
      </c>
      <c r="O392" t="s">
        <v>1275</v>
      </c>
      <c r="P392">
        <v>46184</v>
      </c>
      <c r="Q392" t="s">
        <v>1177</v>
      </c>
      <c r="R392" t="s">
        <v>16</v>
      </c>
      <c r="S392" t="s">
        <v>512</v>
      </c>
      <c r="T392" t="s">
        <v>2689</v>
      </c>
      <c r="U392" t="s">
        <v>2690</v>
      </c>
      <c r="V392">
        <v>12</v>
      </c>
      <c r="W392" t="s">
        <v>1262</v>
      </c>
      <c r="X392" t="s">
        <v>1262</v>
      </c>
      <c r="Y392">
        <v>0</v>
      </c>
      <c r="Z392" t="s">
        <v>1186</v>
      </c>
      <c r="AA392" t="s">
        <v>1177</v>
      </c>
      <c r="AB392" t="s">
        <v>1276</v>
      </c>
      <c r="AC392" t="s">
        <v>1277</v>
      </c>
      <c r="AD392" t="s">
        <v>1278</v>
      </c>
      <c r="AE392" t="s">
        <v>1726</v>
      </c>
      <c r="AF392" t="s">
        <v>1178</v>
      </c>
      <c r="AG392" t="s">
        <v>1190</v>
      </c>
      <c r="AH392" t="s">
        <v>1178</v>
      </c>
      <c r="AI392" t="s">
        <v>1349</v>
      </c>
      <c r="AJ392" t="s">
        <v>1190</v>
      </c>
      <c r="AK392">
        <v>0</v>
      </c>
      <c r="AL392" t="s">
        <v>1262</v>
      </c>
      <c r="AM392">
        <v>46162</v>
      </c>
      <c r="AN392">
        <v>46258</v>
      </c>
      <c r="AO392">
        <v>46188</v>
      </c>
      <c r="AP392">
        <v>46190</v>
      </c>
      <c r="AQ392">
        <v>46190</v>
      </c>
      <c r="AR392">
        <v>46192</v>
      </c>
      <c r="AS392">
        <v>46196</v>
      </c>
      <c r="AT392" t="s">
        <v>1281</v>
      </c>
      <c r="AU392" t="s">
        <v>1177</v>
      </c>
      <c r="AV392" t="s">
        <v>1192</v>
      </c>
      <c r="AW392" t="s">
        <v>1177</v>
      </c>
      <c r="AX392">
        <v>163</v>
      </c>
      <c r="AY392">
        <v>2</v>
      </c>
      <c r="AZ392" t="s">
        <v>1177</v>
      </c>
      <c r="BA392">
        <v>12</v>
      </c>
      <c r="BB392" t="s">
        <v>1262</v>
      </c>
      <c r="BC392" t="s">
        <v>1453</v>
      </c>
      <c r="BD392">
        <v>12</v>
      </c>
      <c r="BE392">
        <v>46230</v>
      </c>
      <c r="BF392" t="s">
        <v>1165</v>
      </c>
      <c r="BG392" t="s">
        <v>1212</v>
      </c>
      <c r="BH392" t="s">
        <v>1194</v>
      </c>
      <c r="BI392" t="s">
        <v>2691</v>
      </c>
    </row>
    <row r="393" spans="1:61" x14ac:dyDescent="0.35">
      <c r="A393" s="7" t="str">
        <f t="shared" si="12"/>
        <v>461844300010960</v>
      </c>
      <c r="B393" s="7" t="str">
        <f t="shared" si="13"/>
        <v>F200007B867</v>
      </c>
      <c r="C393" t="s">
        <v>1177</v>
      </c>
      <c r="D393" t="s">
        <v>1178</v>
      </c>
      <c r="E393" t="s">
        <v>2692</v>
      </c>
      <c r="F393" t="s">
        <v>1363</v>
      </c>
      <c r="G393" t="s">
        <v>1363</v>
      </c>
      <c r="H393" t="s">
        <v>1271</v>
      </c>
      <c r="I393">
        <v>46184</v>
      </c>
      <c r="J393" t="s">
        <v>2693</v>
      </c>
      <c r="K393" t="s">
        <v>1182</v>
      </c>
      <c r="L393" t="s">
        <v>1177</v>
      </c>
      <c r="M393" t="s">
        <v>1274</v>
      </c>
      <c r="N393" t="s">
        <v>1079</v>
      </c>
      <c r="O393" t="s">
        <v>1275</v>
      </c>
      <c r="P393">
        <v>46184</v>
      </c>
      <c r="Q393" t="s">
        <v>1177</v>
      </c>
      <c r="R393" t="s">
        <v>25</v>
      </c>
      <c r="S393" t="s">
        <v>1060</v>
      </c>
      <c r="T393" t="s">
        <v>2678</v>
      </c>
      <c r="U393" t="s">
        <v>2679</v>
      </c>
      <c r="V393">
        <v>88</v>
      </c>
      <c r="W393" t="s">
        <v>1262</v>
      </c>
      <c r="X393" t="s">
        <v>1262</v>
      </c>
      <c r="Y393">
        <v>0</v>
      </c>
      <c r="Z393" t="s">
        <v>1186</v>
      </c>
      <c r="AA393" t="s">
        <v>1177</v>
      </c>
      <c r="AB393" t="s">
        <v>1276</v>
      </c>
      <c r="AC393" t="s">
        <v>1277</v>
      </c>
      <c r="AD393" t="s">
        <v>1278</v>
      </c>
      <c r="AE393" t="s">
        <v>2680</v>
      </c>
      <c r="AF393" t="s">
        <v>1178</v>
      </c>
      <c r="AG393" t="s">
        <v>1190</v>
      </c>
      <c r="AH393" t="s">
        <v>1178</v>
      </c>
      <c r="AI393" t="s">
        <v>1280</v>
      </c>
      <c r="AJ393" t="s">
        <v>1189</v>
      </c>
      <c r="AK393">
        <v>88</v>
      </c>
      <c r="AL393" t="s">
        <v>1262</v>
      </c>
      <c r="AM393">
        <v>46260</v>
      </c>
      <c r="AN393">
        <v>46254</v>
      </c>
      <c r="AO393">
        <v>46254</v>
      </c>
      <c r="AP393">
        <v>46258</v>
      </c>
      <c r="AQ393">
        <v>46258</v>
      </c>
      <c r="AR393">
        <v>46260</v>
      </c>
      <c r="AS393">
        <v>46262</v>
      </c>
      <c r="AT393" t="s">
        <v>1281</v>
      </c>
      <c r="AU393" t="s">
        <v>1177</v>
      </c>
      <c r="AV393" t="s">
        <v>1192</v>
      </c>
      <c r="AW393" t="s">
        <v>1177</v>
      </c>
      <c r="AX393">
        <v>33</v>
      </c>
      <c r="AY393">
        <v>2</v>
      </c>
      <c r="AZ393" t="s">
        <v>1177</v>
      </c>
      <c r="BA393">
        <v>0</v>
      </c>
      <c r="BB393" t="s">
        <v>1262</v>
      </c>
      <c r="BC393" t="e">
        <v>#N/A</v>
      </c>
      <c r="BD393" t="e">
        <v>#N/A</v>
      </c>
      <c r="BE393" t="e">
        <v>#N/A</v>
      </c>
      <c r="BF393" t="e">
        <v>#N/A</v>
      </c>
      <c r="BG393" t="s">
        <v>1372</v>
      </c>
      <c r="BH393" t="s">
        <v>1903</v>
      </c>
      <c r="BI393" t="s">
        <v>2682</v>
      </c>
    </row>
    <row r="394" spans="1:61" x14ac:dyDescent="0.35">
      <c r="A394" s="7" t="str">
        <f t="shared" si="12"/>
        <v>461844300010962</v>
      </c>
      <c r="B394" s="7" t="str">
        <f t="shared" si="13"/>
        <v>GP269918B857</v>
      </c>
      <c r="C394" t="s">
        <v>1177</v>
      </c>
      <c r="D394" t="s">
        <v>1178</v>
      </c>
      <c r="E394" t="s">
        <v>2694</v>
      </c>
      <c r="F394" t="s">
        <v>1363</v>
      </c>
      <c r="G394" t="s">
        <v>1363</v>
      </c>
      <c r="H394" t="s">
        <v>1271</v>
      </c>
      <c r="I394">
        <v>46184</v>
      </c>
      <c r="J394" t="s">
        <v>2695</v>
      </c>
      <c r="K394" t="s">
        <v>1288</v>
      </c>
      <c r="L394" t="s">
        <v>1177</v>
      </c>
      <c r="M394" t="s">
        <v>1274</v>
      </c>
      <c r="N394" t="s">
        <v>1079</v>
      </c>
      <c r="O394" t="s">
        <v>1275</v>
      </c>
      <c r="P394">
        <v>46184</v>
      </c>
      <c r="Q394" t="s">
        <v>1177</v>
      </c>
      <c r="R394" t="s">
        <v>23</v>
      </c>
      <c r="S394" t="s">
        <v>959</v>
      </c>
      <c r="T394" t="s">
        <v>2057</v>
      </c>
      <c r="U394" t="s">
        <v>2058</v>
      </c>
      <c r="V394">
        <v>2</v>
      </c>
      <c r="W394" t="s">
        <v>1262</v>
      </c>
      <c r="X394" t="s">
        <v>1262</v>
      </c>
      <c r="Y394">
        <v>0</v>
      </c>
      <c r="Z394" t="s">
        <v>1186</v>
      </c>
      <c r="AA394" t="s">
        <v>1177</v>
      </c>
      <c r="AB394" t="s">
        <v>1276</v>
      </c>
      <c r="AC394" t="s">
        <v>1277</v>
      </c>
      <c r="AD394" t="s">
        <v>1278</v>
      </c>
      <c r="AE394" t="s">
        <v>1883</v>
      </c>
      <c r="AF394" t="s">
        <v>1178</v>
      </c>
      <c r="AG394" t="s">
        <v>1190</v>
      </c>
      <c r="AH394" t="s">
        <v>1178</v>
      </c>
      <c r="AI394" t="s">
        <v>1177</v>
      </c>
      <c r="AJ394" t="s">
        <v>1190</v>
      </c>
      <c r="AK394">
        <v>0</v>
      </c>
      <c r="AL394" t="s">
        <v>1262</v>
      </c>
      <c r="AM394">
        <v>46084</v>
      </c>
      <c r="AN394">
        <v>46346</v>
      </c>
      <c r="AO394">
        <v>46185</v>
      </c>
      <c r="AP394">
        <v>46188</v>
      </c>
      <c r="AQ394">
        <v>46188</v>
      </c>
      <c r="AR394">
        <v>46190</v>
      </c>
      <c r="AS394">
        <v>46199</v>
      </c>
      <c r="AT394" t="s">
        <v>1281</v>
      </c>
      <c r="AU394" t="s">
        <v>1177</v>
      </c>
      <c r="AV394" t="s">
        <v>1192</v>
      </c>
      <c r="AW394" t="s">
        <v>1177</v>
      </c>
      <c r="AX394">
        <v>163</v>
      </c>
      <c r="AY394">
        <v>2</v>
      </c>
      <c r="AZ394" t="s">
        <v>1177</v>
      </c>
      <c r="BA394">
        <v>0</v>
      </c>
      <c r="BB394" t="s">
        <v>1262</v>
      </c>
      <c r="BC394" t="s">
        <v>1992</v>
      </c>
      <c r="BD394">
        <v>4</v>
      </c>
      <c r="BE394">
        <v>46254</v>
      </c>
      <c r="BF394" t="s">
        <v>1165</v>
      </c>
      <c r="BG394" t="s">
        <v>1212</v>
      </c>
      <c r="BH394" t="s">
        <v>1194</v>
      </c>
      <c r="BI394" t="s">
        <v>2055</v>
      </c>
    </row>
    <row r="395" spans="1:61" x14ac:dyDescent="0.35">
      <c r="A395" s="7" t="str">
        <f t="shared" si="12"/>
        <v>461844300010965</v>
      </c>
      <c r="B395" s="7" t="str">
        <f t="shared" si="13"/>
        <v>149301B832</v>
      </c>
      <c r="C395" t="s">
        <v>1177</v>
      </c>
      <c r="D395" t="s">
        <v>1178</v>
      </c>
      <c r="E395" t="s">
        <v>2696</v>
      </c>
      <c r="F395" t="s">
        <v>1363</v>
      </c>
      <c r="G395" t="s">
        <v>1363</v>
      </c>
      <c r="H395" t="s">
        <v>1271</v>
      </c>
      <c r="I395">
        <v>46184</v>
      </c>
      <c r="J395" t="s">
        <v>2697</v>
      </c>
      <c r="K395" t="s">
        <v>1841</v>
      </c>
      <c r="L395" t="s">
        <v>1177</v>
      </c>
      <c r="M395" t="s">
        <v>1274</v>
      </c>
      <c r="N395" t="s">
        <v>1079</v>
      </c>
      <c r="O395" t="s">
        <v>1275</v>
      </c>
      <c r="P395">
        <v>46184</v>
      </c>
      <c r="Q395" t="s">
        <v>1185</v>
      </c>
      <c r="R395" t="s">
        <v>19</v>
      </c>
      <c r="S395" t="s">
        <v>654</v>
      </c>
      <c r="T395" t="s">
        <v>2085</v>
      </c>
      <c r="U395" t="s">
        <v>2086</v>
      </c>
      <c r="V395">
        <v>310</v>
      </c>
      <c r="W395" t="s">
        <v>1262</v>
      </c>
      <c r="X395" t="s">
        <v>1262</v>
      </c>
      <c r="Y395">
        <v>0</v>
      </c>
      <c r="Z395" t="s">
        <v>1186</v>
      </c>
      <c r="AA395" t="s">
        <v>1177</v>
      </c>
      <c r="AB395" t="s">
        <v>1276</v>
      </c>
      <c r="AC395" t="s">
        <v>1277</v>
      </c>
      <c r="AD395" t="s">
        <v>1278</v>
      </c>
      <c r="AE395" t="s">
        <v>2087</v>
      </c>
      <c r="AF395" t="s">
        <v>1178</v>
      </c>
      <c r="AG395" t="s">
        <v>1190</v>
      </c>
      <c r="AH395" t="s">
        <v>1178</v>
      </c>
      <c r="AI395" t="s">
        <v>1349</v>
      </c>
      <c r="AJ395" t="s">
        <v>1190</v>
      </c>
      <c r="AK395">
        <v>0</v>
      </c>
      <c r="AL395" t="s">
        <v>1262</v>
      </c>
      <c r="AM395">
        <v>46143</v>
      </c>
      <c r="AN395">
        <v>46188</v>
      </c>
      <c r="AO395">
        <v>46188</v>
      </c>
      <c r="AP395">
        <v>46190</v>
      </c>
      <c r="AQ395">
        <v>46190</v>
      </c>
      <c r="AR395">
        <v>46192</v>
      </c>
      <c r="AS395">
        <v>46196</v>
      </c>
      <c r="AT395" t="s">
        <v>1281</v>
      </c>
      <c r="AU395" t="s">
        <v>1177</v>
      </c>
      <c r="AV395" t="s">
        <v>1192</v>
      </c>
      <c r="AW395" t="s">
        <v>1177</v>
      </c>
      <c r="AX395">
        <v>163</v>
      </c>
      <c r="AY395">
        <v>2</v>
      </c>
      <c r="AZ395" t="s">
        <v>1177</v>
      </c>
      <c r="BA395">
        <v>0</v>
      </c>
      <c r="BB395" t="s">
        <v>1262</v>
      </c>
      <c r="BC395" t="s">
        <v>1523</v>
      </c>
      <c r="BD395">
        <v>31</v>
      </c>
      <c r="BE395">
        <v>46251</v>
      </c>
      <c r="BF395" t="s">
        <v>1165</v>
      </c>
      <c r="BG395" t="s">
        <v>1581</v>
      </c>
      <c r="BH395" t="s">
        <v>1194</v>
      </c>
      <c r="BI395" t="s">
        <v>2698</v>
      </c>
    </row>
    <row r="396" spans="1:61" x14ac:dyDescent="0.35">
      <c r="A396" s="7" t="str">
        <f t="shared" si="12"/>
        <v>461844300010966</v>
      </c>
      <c r="B396" s="7" t="str">
        <f t="shared" si="13"/>
        <v>149301B833</v>
      </c>
      <c r="C396" t="s">
        <v>1177</v>
      </c>
      <c r="D396" t="s">
        <v>1178</v>
      </c>
      <c r="E396" t="s">
        <v>2699</v>
      </c>
      <c r="F396" t="s">
        <v>1363</v>
      </c>
      <c r="G396" t="s">
        <v>1363</v>
      </c>
      <c r="H396" t="s">
        <v>1271</v>
      </c>
      <c r="I396">
        <v>46184</v>
      </c>
      <c r="J396" t="s">
        <v>2700</v>
      </c>
      <c r="K396" t="s">
        <v>1808</v>
      </c>
      <c r="L396" t="s">
        <v>1177</v>
      </c>
      <c r="M396" t="s">
        <v>1274</v>
      </c>
      <c r="N396" t="s">
        <v>1079</v>
      </c>
      <c r="O396" t="s">
        <v>1275</v>
      </c>
      <c r="P396">
        <v>46184</v>
      </c>
      <c r="Q396" t="s">
        <v>1185</v>
      </c>
      <c r="R396" t="s">
        <v>697</v>
      </c>
      <c r="S396" t="s">
        <v>699</v>
      </c>
      <c r="T396" t="s">
        <v>2085</v>
      </c>
      <c r="U396" t="s">
        <v>2086</v>
      </c>
      <c r="V396">
        <v>230</v>
      </c>
      <c r="W396" t="s">
        <v>1262</v>
      </c>
      <c r="X396" t="s">
        <v>1262</v>
      </c>
      <c r="Y396">
        <v>0</v>
      </c>
      <c r="Z396" t="s">
        <v>1186</v>
      </c>
      <c r="AA396" t="s">
        <v>1177</v>
      </c>
      <c r="AB396" t="s">
        <v>1276</v>
      </c>
      <c r="AC396" t="s">
        <v>1277</v>
      </c>
      <c r="AD396" t="s">
        <v>1278</v>
      </c>
      <c r="AE396" t="s">
        <v>2087</v>
      </c>
      <c r="AF396" t="s">
        <v>1178</v>
      </c>
      <c r="AG396" t="s">
        <v>1190</v>
      </c>
      <c r="AH396" t="s">
        <v>1178</v>
      </c>
      <c r="AI396" t="s">
        <v>1349</v>
      </c>
      <c r="AJ396" t="s">
        <v>1190</v>
      </c>
      <c r="AK396">
        <v>0</v>
      </c>
      <c r="AL396" t="s">
        <v>1262</v>
      </c>
      <c r="AM396">
        <v>46156</v>
      </c>
      <c r="AN396">
        <v>46188</v>
      </c>
      <c r="AO396">
        <v>46188</v>
      </c>
      <c r="AP396">
        <v>46190</v>
      </c>
      <c r="AQ396">
        <v>46190</v>
      </c>
      <c r="AR396">
        <v>46192</v>
      </c>
      <c r="AS396">
        <v>46196</v>
      </c>
      <c r="AT396" t="s">
        <v>1281</v>
      </c>
      <c r="AU396" t="s">
        <v>1177</v>
      </c>
      <c r="AV396" t="s">
        <v>1192</v>
      </c>
      <c r="AW396" t="s">
        <v>1177</v>
      </c>
      <c r="AX396">
        <v>163</v>
      </c>
      <c r="AY396">
        <v>2</v>
      </c>
      <c r="AZ396" t="s">
        <v>1177</v>
      </c>
      <c r="BA396">
        <v>0</v>
      </c>
      <c r="BB396" t="s">
        <v>1262</v>
      </c>
      <c r="BC396" t="s">
        <v>2640</v>
      </c>
      <c r="BD396">
        <v>23</v>
      </c>
      <c r="BE396">
        <v>46251</v>
      </c>
      <c r="BF396" t="s">
        <v>1165</v>
      </c>
      <c r="BG396" t="s">
        <v>1581</v>
      </c>
      <c r="BH396" t="s">
        <v>1194</v>
      </c>
      <c r="BI396" t="s">
        <v>2701</v>
      </c>
    </row>
    <row r="397" spans="1:61" x14ac:dyDescent="0.35">
      <c r="A397" s="7" t="str">
        <f t="shared" si="12"/>
        <v>461844300010967</v>
      </c>
      <c r="B397" s="7" t="str">
        <f t="shared" si="13"/>
        <v>GP268208B838</v>
      </c>
      <c r="C397" t="s">
        <v>1177</v>
      </c>
      <c r="D397" t="s">
        <v>1178</v>
      </c>
      <c r="E397" t="s">
        <v>2702</v>
      </c>
      <c r="F397" t="s">
        <v>1363</v>
      </c>
      <c r="G397" t="s">
        <v>1363</v>
      </c>
      <c r="H397" t="s">
        <v>1271</v>
      </c>
      <c r="I397">
        <v>46184</v>
      </c>
      <c r="J397" t="s">
        <v>2703</v>
      </c>
      <c r="K397" t="s">
        <v>1295</v>
      </c>
      <c r="L397" t="s">
        <v>1177</v>
      </c>
      <c r="M397" t="s">
        <v>1274</v>
      </c>
      <c r="N397" t="s">
        <v>1079</v>
      </c>
      <c r="O397" t="s">
        <v>1275</v>
      </c>
      <c r="P397">
        <v>46282</v>
      </c>
      <c r="Q397" t="s">
        <v>1177</v>
      </c>
      <c r="R397" t="s">
        <v>48</v>
      </c>
      <c r="S397" t="s">
        <v>745</v>
      </c>
      <c r="T397" t="s">
        <v>497</v>
      </c>
      <c r="U397" t="s">
        <v>498</v>
      </c>
      <c r="V397">
        <v>8</v>
      </c>
      <c r="W397" t="s">
        <v>1262</v>
      </c>
      <c r="X397" t="s">
        <v>1262</v>
      </c>
      <c r="Y397">
        <v>0</v>
      </c>
      <c r="Z397" t="s">
        <v>1186</v>
      </c>
      <c r="AA397" t="s">
        <v>1177</v>
      </c>
      <c r="AB397" t="s">
        <v>1177</v>
      </c>
      <c r="AC397" t="s">
        <v>1177</v>
      </c>
      <c r="AD397" t="s">
        <v>1204</v>
      </c>
      <c r="AE397" t="s">
        <v>1579</v>
      </c>
      <c r="AF397" t="s">
        <v>1189</v>
      </c>
      <c r="AG397" t="s">
        <v>1178</v>
      </c>
      <c r="AH397" t="s">
        <v>1178</v>
      </c>
      <c r="AI397" t="s">
        <v>1280</v>
      </c>
      <c r="AJ397" t="s">
        <v>1190</v>
      </c>
      <c r="AK397">
        <v>0</v>
      </c>
      <c r="AL397" t="s">
        <v>1262</v>
      </c>
      <c r="AM397">
        <v>46309</v>
      </c>
      <c r="AN397">
        <v>46296</v>
      </c>
      <c r="AO397">
        <v>46296</v>
      </c>
      <c r="AP397">
        <v>46300</v>
      </c>
      <c r="AQ397">
        <v>46300</v>
      </c>
      <c r="AR397">
        <v>46302</v>
      </c>
      <c r="AS397">
        <v>46304</v>
      </c>
      <c r="AT397" t="s">
        <v>1281</v>
      </c>
      <c r="AU397" t="s">
        <v>1177</v>
      </c>
      <c r="AV397" t="s">
        <v>1192</v>
      </c>
      <c r="AW397" t="s">
        <v>1177</v>
      </c>
      <c r="AX397">
        <v>121</v>
      </c>
      <c r="AY397">
        <v>2</v>
      </c>
      <c r="AZ397" t="s">
        <v>1177</v>
      </c>
      <c r="BA397">
        <v>0</v>
      </c>
      <c r="BB397" t="s">
        <v>1262</v>
      </c>
      <c r="BC397" t="s">
        <v>2285</v>
      </c>
      <c r="BD397">
        <v>130</v>
      </c>
      <c r="BE397">
        <v>46191</v>
      </c>
      <c r="BF397" t="s">
        <v>1165</v>
      </c>
      <c r="BG397" t="e">
        <v>#N/A</v>
      </c>
      <c r="BH397" t="e">
        <v>#N/A</v>
      </c>
      <c r="BI397" t="e">
        <v>#N/A</v>
      </c>
    </row>
    <row r="398" spans="1:61" x14ac:dyDescent="0.35">
      <c r="A398" s="7" t="str">
        <f t="shared" si="12"/>
        <v>461844300010971</v>
      </c>
      <c r="B398" s="7" t="str">
        <f t="shared" si="13"/>
        <v>GP144559-001B867</v>
      </c>
      <c r="C398" t="s">
        <v>1177</v>
      </c>
      <c r="D398" t="s">
        <v>1178</v>
      </c>
      <c r="E398" t="s">
        <v>2704</v>
      </c>
      <c r="F398" t="s">
        <v>1363</v>
      </c>
      <c r="G398" t="s">
        <v>1363</v>
      </c>
      <c r="H398" t="s">
        <v>1271</v>
      </c>
      <c r="I398">
        <v>46184</v>
      </c>
      <c r="J398" t="s">
        <v>2705</v>
      </c>
      <c r="K398" t="s">
        <v>1182</v>
      </c>
      <c r="L398" t="s">
        <v>1177</v>
      </c>
      <c r="M398" t="s">
        <v>1274</v>
      </c>
      <c r="N398" t="s">
        <v>1079</v>
      </c>
      <c r="O398" t="s">
        <v>1275</v>
      </c>
      <c r="P398">
        <v>46184</v>
      </c>
      <c r="Q398" t="s">
        <v>1177</v>
      </c>
      <c r="R398" t="s">
        <v>25</v>
      </c>
      <c r="S398" t="s">
        <v>1060</v>
      </c>
      <c r="T398" t="s">
        <v>407</v>
      </c>
      <c r="U398" t="s">
        <v>1610</v>
      </c>
      <c r="V398">
        <v>72</v>
      </c>
      <c r="W398" t="s">
        <v>1262</v>
      </c>
      <c r="X398" t="s">
        <v>1262</v>
      </c>
      <c r="Y398">
        <v>0</v>
      </c>
      <c r="Z398" t="s">
        <v>1186</v>
      </c>
      <c r="AA398" t="s">
        <v>1177</v>
      </c>
      <c r="AB398" t="s">
        <v>1177</v>
      </c>
      <c r="AC398" t="s">
        <v>1177</v>
      </c>
      <c r="AD398" t="s">
        <v>1204</v>
      </c>
      <c r="AE398" t="s">
        <v>1188</v>
      </c>
      <c r="AF398" t="s">
        <v>1189</v>
      </c>
      <c r="AG398" t="s">
        <v>1178</v>
      </c>
      <c r="AH398" t="s">
        <v>1178</v>
      </c>
      <c r="AI398" t="s">
        <v>1177</v>
      </c>
      <c r="AJ398" t="s">
        <v>1190</v>
      </c>
      <c r="AK398">
        <v>0</v>
      </c>
      <c r="AL398" t="s">
        <v>1262</v>
      </c>
      <c r="AM398">
        <v>46082</v>
      </c>
      <c r="AN398">
        <v>46206</v>
      </c>
      <c r="AO398">
        <v>46185</v>
      </c>
      <c r="AP398">
        <v>46188</v>
      </c>
      <c r="AQ398">
        <v>46188</v>
      </c>
      <c r="AR398">
        <v>46190</v>
      </c>
      <c r="AS398">
        <v>46199</v>
      </c>
      <c r="AT398" t="s">
        <v>1281</v>
      </c>
      <c r="AU398" t="s">
        <v>1177</v>
      </c>
      <c r="AV398" t="s">
        <v>1192</v>
      </c>
      <c r="AW398" t="s">
        <v>1177</v>
      </c>
      <c r="AX398">
        <v>69</v>
      </c>
      <c r="AY398">
        <v>2</v>
      </c>
      <c r="AZ398" t="s">
        <v>1177</v>
      </c>
      <c r="BA398">
        <v>0</v>
      </c>
      <c r="BB398" t="s">
        <v>1262</v>
      </c>
      <c r="BC398" t="e">
        <v>#N/A</v>
      </c>
      <c r="BD398" t="e">
        <v>#N/A</v>
      </c>
      <c r="BE398" t="e">
        <v>#N/A</v>
      </c>
      <c r="BF398" t="e">
        <v>#N/A</v>
      </c>
      <c r="BG398" t="s">
        <v>1581</v>
      </c>
      <c r="BH398" t="s">
        <v>1194</v>
      </c>
      <c r="BI398" t="s">
        <v>1581</v>
      </c>
    </row>
    <row r="399" spans="1:61" x14ac:dyDescent="0.35">
      <c r="A399" s="7" t="str">
        <f t="shared" si="12"/>
        <v>461844300010978</v>
      </c>
      <c r="B399" s="7" t="str">
        <f t="shared" si="13"/>
        <v>GP082783B825</v>
      </c>
      <c r="C399" t="s">
        <v>1177</v>
      </c>
      <c r="D399" t="s">
        <v>1178</v>
      </c>
      <c r="E399" t="s">
        <v>2706</v>
      </c>
      <c r="F399" t="s">
        <v>1363</v>
      </c>
      <c r="G399" t="s">
        <v>1363</v>
      </c>
      <c r="H399" t="s">
        <v>1271</v>
      </c>
      <c r="I399">
        <v>46184</v>
      </c>
      <c r="J399" t="s">
        <v>2707</v>
      </c>
      <c r="K399" t="s">
        <v>1199</v>
      </c>
      <c r="L399" t="s">
        <v>1177</v>
      </c>
      <c r="M399" t="s">
        <v>1274</v>
      </c>
      <c r="N399" t="s">
        <v>1079</v>
      </c>
      <c r="O399" t="s">
        <v>1275</v>
      </c>
      <c r="P399">
        <v>46184</v>
      </c>
      <c r="Q399" t="s">
        <v>1177</v>
      </c>
      <c r="R399" t="s">
        <v>16</v>
      </c>
      <c r="S399" t="s">
        <v>512</v>
      </c>
      <c r="T399" t="s">
        <v>50</v>
      </c>
      <c r="U399" t="s">
        <v>51</v>
      </c>
      <c r="V399">
        <v>1</v>
      </c>
      <c r="W399" t="s">
        <v>1262</v>
      </c>
      <c r="X399" t="s">
        <v>1262</v>
      </c>
      <c r="Y399">
        <v>0</v>
      </c>
      <c r="Z399" t="s">
        <v>1186</v>
      </c>
      <c r="AA399" t="s">
        <v>1177</v>
      </c>
      <c r="AB399" t="s">
        <v>1276</v>
      </c>
      <c r="AC399" t="s">
        <v>1277</v>
      </c>
      <c r="AD399" t="s">
        <v>1278</v>
      </c>
      <c r="AE399" t="s">
        <v>1618</v>
      </c>
      <c r="AF399" t="s">
        <v>1178</v>
      </c>
      <c r="AG399" t="s">
        <v>1190</v>
      </c>
      <c r="AH399" t="s">
        <v>1178</v>
      </c>
      <c r="AI399" t="s">
        <v>1349</v>
      </c>
      <c r="AJ399" t="s">
        <v>1190</v>
      </c>
      <c r="AK399">
        <v>0</v>
      </c>
      <c r="AL399" t="s">
        <v>1262</v>
      </c>
      <c r="AM399">
        <v>46042</v>
      </c>
      <c r="AN399">
        <v>46204</v>
      </c>
      <c r="AO399">
        <v>46188</v>
      </c>
      <c r="AP399">
        <v>46190</v>
      </c>
      <c r="AQ399">
        <v>46190</v>
      </c>
      <c r="AR399">
        <v>46192</v>
      </c>
      <c r="AS399">
        <v>46196</v>
      </c>
      <c r="AT399" t="s">
        <v>1281</v>
      </c>
      <c r="AU399" t="s">
        <v>1177</v>
      </c>
      <c r="AV399" t="s">
        <v>1192</v>
      </c>
      <c r="AW399" t="s">
        <v>1177</v>
      </c>
      <c r="AX399">
        <v>33</v>
      </c>
      <c r="AY399">
        <v>2</v>
      </c>
      <c r="AZ399" t="s">
        <v>1177</v>
      </c>
      <c r="BA399">
        <v>0</v>
      </c>
      <c r="BB399" t="s">
        <v>1262</v>
      </c>
      <c r="BC399" t="e">
        <v>#N/A</v>
      </c>
      <c r="BD399" t="e">
        <v>#N/A</v>
      </c>
      <c r="BE399" t="e">
        <v>#N/A</v>
      </c>
      <c r="BF399" t="e">
        <v>#N/A</v>
      </c>
      <c r="BG399" t="s">
        <v>126</v>
      </c>
      <c r="BH399" t="s">
        <v>1873</v>
      </c>
      <c r="BI399" t="s">
        <v>126</v>
      </c>
    </row>
    <row r="400" spans="1:61" x14ac:dyDescent="0.35">
      <c r="A400" s="7" t="str">
        <f t="shared" si="12"/>
        <v>461844300010981</v>
      </c>
      <c r="B400" s="7" t="str">
        <f t="shared" si="13"/>
        <v>GP004263B825</v>
      </c>
      <c r="C400" t="s">
        <v>1177</v>
      </c>
      <c r="D400" t="s">
        <v>1178</v>
      </c>
      <c r="E400" t="s">
        <v>2708</v>
      </c>
      <c r="F400" t="s">
        <v>1363</v>
      </c>
      <c r="G400" t="s">
        <v>1363</v>
      </c>
      <c r="H400" t="s">
        <v>1271</v>
      </c>
      <c r="I400">
        <v>46184</v>
      </c>
      <c r="J400" t="s">
        <v>2709</v>
      </c>
      <c r="K400" t="s">
        <v>1282</v>
      </c>
      <c r="L400" t="s">
        <v>1177</v>
      </c>
      <c r="M400" t="s">
        <v>1274</v>
      </c>
      <c r="N400" t="s">
        <v>1079</v>
      </c>
      <c r="O400" t="s">
        <v>1275</v>
      </c>
      <c r="P400">
        <v>46184</v>
      </c>
      <c r="Q400" t="s">
        <v>1185</v>
      </c>
      <c r="R400" t="s">
        <v>16</v>
      </c>
      <c r="S400" t="s">
        <v>512</v>
      </c>
      <c r="T400" t="s">
        <v>14</v>
      </c>
      <c r="U400" t="s">
        <v>15</v>
      </c>
      <c r="V400">
        <v>30</v>
      </c>
      <c r="W400" t="s">
        <v>1262</v>
      </c>
      <c r="X400" t="s">
        <v>1262</v>
      </c>
      <c r="Y400">
        <v>0</v>
      </c>
      <c r="Z400" t="s">
        <v>1186</v>
      </c>
      <c r="AA400" t="s">
        <v>1177</v>
      </c>
      <c r="AB400" t="s">
        <v>1276</v>
      </c>
      <c r="AC400" t="s">
        <v>1277</v>
      </c>
      <c r="AD400" t="s">
        <v>1278</v>
      </c>
      <c r="AE400" t="s">
        <v>1677</v>
      </c>
      <c r="AF400" t="s">
        <v>1178</v>
      </c>
      <c r="AG400" t="s">
        <v>1190</v>
      </c>
      <c r="AH400" t="s">
        <v>1178</v>
      </c>
      <c r="AI400" t="s">
        <v>1349</v>
      </c>
      <c r="AJ400" t="s">
        <v>1190</v>
      </c>
      <c r="AK400">
        <v>0</v>
      </c>
      <c r="AL400" t="s">
        <v>1262</v>
      </c>
      <c r="AM400">
        <v>46055</v>
      </c>
      <c r="AN400">
        <v>46204</v>
      </c>
      <c r="AO400">
        <v>46188</v>
      </c>
      <c r="AP400">
        <v>46190</v>
      </c>
      <c r="AQ400">
        <v>46190</v>
      </c>
      <c r="AR400">
        <v>46192</v>
      </c>
      <c r="AS400">
        <v>46196</v>
      </c>
      <c r="AT400" t="s">
        <v>1281</v>
      </c>
      <c r="AU400" t="s">
        <v>1177</v>
      </c>
      <c r="AV400" t="s">
        <v>1192</v>
      </c>
      <c r="AW400" t="s">
        <v>1177</v>
      </c>
      <c r="AX400">
        <v>33</v>
      </c>
      <c r="AY400">
        <v>2</v>
      </c>
      <c r="AZ400" t="s">
        <v>1177</v>
      </c>
      <c r="BA400">
        <v>0</v>
      </c>
      <c r="BB400" t="s">
        <v>1262</v>
      </c>
      <c r="BC400" t="s">
        <v>1453</v>
      </c>
      <c r="BD400">
        <v>2</v>
      </c>
      <c r="BE400">
        <v>46230</v>
      </c>
      <c r="BF400" t="s">
        <v>1165</v>
      </c>
      <c r="BG400" t="s">
        <v>1212</v>
      </c>
      <c r="BH400" t="s">
        <v>1194</v>
      </c>
      <c r="BI400" t="s">
        <v>1212</v>
      </c>
    </row>
    <row r="401" spans="1:61" x14ac:dyDescent="0.35">
      <c r="A401" s="7" t="str">
        <f t="shared" si="12"/>
        <v>461844300010993</v>
      </c>
      <c r="B401" s="7" t="str">
        <f t="shared" si="13"/>
        <v>GP144559-001B856</v>
      </c>
      <c r="C401" t="s">
        <v>1177</v>
      </c>
      <c r="D401" t="s">
        <v>1178</v>
      </c>
      <c r="E401" t="s">
        <v>2710</v>
      </c>
      <c r="F401" t="s">
        <v>1363</v>
      </c>
      <c r="G401" t="s">
        <v>1363</v>
      </c>
      <c r="H401" t="s">
        <v>1271</v>
      </c>
      <c r="I401">
        <v>46184</v>
      </c>
      <c r="J401" t="s">
        <v>2711</v>
      </c>
      <c r="K401" t="s">
        <v>1182</v>
      </c>
      <c r="L401" t="s">
        <v>1177</v>
      </c>
      <c r="M401" t="s">
        <v>1274</v>
      </c>
      <c r="N401" t="s">
        <v>1079</v>
      </c>
      <c r="O401" t="s">
        <v>1275</v>
      </c>
      <c r="P401">
        <v>46184</v>
      </c>
      <c r="Q401" t="s">
        <v>1177</v>
      </c>
      <c r="R401" t="s">
        <v>21</v>
      </c>
      <c r="S401" t="s">
        <v>853</v>
      </c>
      <c r="T401" t="s">
        <v>407</v>
      </c>
      <c r="U401" t="s">
        <v>1610</v>
      </c>
      <c r="V401">
        <v>94</v>
      </c>
      <c r="W401" t="s">
        <v>1262</v>
      </c>
      <c r="X401" t="s">
        <v>1262</v>
      </c>
      <c r="Y401">
        <v>0</v>
      </c>
      <c r="Z401" t="s">
        <v>1186</v>
      </c>
      <c r="AA401" t="s">
        <v>1177</v>
      </c>
      <c r="AB401" t="s">
        <v>1177</v>
      </c>
      <c r="AC401" t="s">
        <v>1177</v>
      </c>
      <c r="AD401" t="s">
        <v>1204</v>
      </c>
      <c r="AE401" t="s">
        <v>1188</v>
      </c>
      <c r="AF401" t="s">
        <v>1189</v>
      </c>
      <c r="AG401" t="s">
        <v>1178</v>
      </c>
      <c r="AH401" t="s">
        <v>1178</v>
      </c>
      <c r="AI401" t="s">
        <v>1280</v>
      </c>
      <c r="AJ401" t="s">
        <v>1189</v>
      </c>
      <c r="AK401">
        <v>94</v>
      </c>
      <c r="AL401" t="s">
        <v>1262</v>
      </c>
      <c r="AM401">
        <v>46295</v>
      </c>
      <c r="AN401">
        <v>46289</v>
      </c>
      <c r="AO401">
        <v>46289</v>
      </c>
      <c r="AP401">
        <v>46293</v>
      </c>
      <c r="AQ401">
        <v>46293</v>
      </c>
      <c r="AR401">
        <v>46295</v>
      </c>
      <c r="AS401">
        <v>46297</v>
      </c>
      <c r="AT401" t="s">
        <v>1281</v>
      </c>
      <c r="AU401" t="s">
        <v>1177</v>
      </c>
      <c r="AV401" t="s">
        <v>1192</v>
      </c>
      <c r="AW401" t="s">
        <v>1177</v>
      </c>
      <c r="AX401">
        <v>69</v>
      </c>
      <c r="AY401">
        <v>2</v>
      </c>
      <c r="AZ401" t="s">
        <v>1177</v>
      </c>
      <c r="BA401">
        <v>0</v>
      </c>
      <c r="BB401" t="s">
        <v>1262</v>
      </c>
      <c r="BC401" t="e">
        <v>#N/A</v>
      </c>
      <c r="BD401" t="e">
        <v>#N/A</v>
      </c>
      <c r="BE401" t="e">
        <v>#N/A</v>
      </c>
      <c r="BF401" t="e">
        <v>#N/A</v>
      </c>
      <c r="BG401" t="s">
        <v>1581</v>
      </c>
      <c r="BH401" t="s">
        <v>1194</v>
      </c>
      <c r="BI401" t="s">
        <v>2712</v>
      </c>
    </row>
    <row r="402" spans="1:61" x14ac:dyDescent="0.35">
      <c r="A402" s="7" t="str">
        <f t="shared" si="12"/>
        <v>461844300010994</v>
      </c>
      <c r="B402" s="7" t="str">
        <f t="shared" si="13"/>
        <v>GP144559-001B857</v>
      </c>
      <c r="C402" t="s">
        <v>1177</v>
      </c>
      <c r="D402" t="s">
        <v>1178</v>
      </c>
      <c r="E402" t="s">
        <v>2713</v>
      </c>
      <c r="F402" t="s">
        <v>1363</v>
      </c>
      <c r="G402" t="s">
        <v>1363</v>
      </c>
      <c r="H402" t="s">
        <v>1271</v>
      </c>
      <c r="I402">
        <v>46184</v>
      </c>
      <c r="J402" t="s">
        <v>2714</v>
      </c>
      <c r="K402" t="s">
        <v>1182</v>
      </c>
      <c r="L402" t="s">
        <v>1177</v>
      </c>
      <c r="M402" t="s">
        <v>1274</v>
      </c>
      <c r="N402" t="s">
        <v>1079</v>
      </c>
      <c r="O402" t="s">
        <v>1275</v>
      </c>
      <c r="P402">
        <v>46184</v>
      </c>
      <c r="Q402" t="s">
        <v>1177</v>
      </c>
      <c r="R402" t="s">
        <v>23</v>
      </c>
      <c r="S402" t="s">
        <v>959</v>
      </c>
      <c r="T402" t="s">
        <v>407</v>
      </c>
      <c r="U402" t="s">
        <v>1610</v>
      </c>
      <c r="V402">
        <v>72</v>
      </c>
      <c r="W402" t="s">
        <v>1262</v>
      </c>
      <c r="X402" t="s">
        <v>1262</v>
      </c>
      <c r="Y402">
        <v>0</v>
      </c>
      <c r="Z402" t="s">
        <v>1186</v>
      </c>
      <c r="AA402" t="s">
        <v>1177</v>
      </c>
      <c r="AB402" t="s">
        <v>1177</v>
      </c>
      <c r="AC402" t="s">
        <v>1177</v>
      </c>
      <c r="AD402" t="s">
        <v>1204</v>
      </c>
      <c r="AE402" t="s">
        <v>1188</v>
      </c>
      <c r="AF402" t="s">
        <v>1189</v>
      </c>
      <c r="AG402" t="s">
        <v>1178</v>
      </c>
      <c r="AH402" t="s">
        <v>1178</v>
      </c>
      <c r="AI402" t="s">
        <v>1280</v>
      </c>
      <c r="AJ402" t="s">
        <v>1189</v>
      </c>
      <c r="AK402">
        <v>72</v>
      </c>
      <c r="AL402" t="s">
        <v>1262</v>
      </c>
      <c r="AM402">
        <v>46323</v>
      </c>
      <c r="AN402">
        <v>46317</v>
      </c>
      <c r="AO402">
        <v>46317</v>
      </c>
      <c r="AP402">
        <v>46321</v>
      </c>
      <c r="AQ402">
        <v>46321</v>
      </c>
      <c r="AR402">
        <v>46323</v>
      </c>
      <c r="AS402">
        <v>46325</v>
      </c>
      <c r="AT402" t="s">
        <v>1281</v>
      </c>
      <c r="AU402" t="s">
        <v>1177</v>
      </c>
      <c r="AV402" t="s">
        <v>1192</v>
      </c>
      <c r="AW402" t="s">
        <v>1177</v>
      </c>
      <c r="AX402">
        <v>69</v>
      </c>
      <c r="AY402">
        <v>2</v>
      </c>
      <c r="AZ402" t="s">
        <v>1177</v>
      </c>
      <c r="BA402">
        <v>0</v>
      </c>
      <c r="BB402" t="s">
        <v>1262</v>
      </c>
      <c r="BC402" t="e">
        <v>#N/A</v>
      </c>
      <c r="BD402" t="e">
        <v>#N/A</v>
      </c>
      <c r="BE402" t="e">
        <v>#N/A</v>
      </c>
      <c r="BF402" t="e">
        <v>#N/A</v>
      </c>
      <c r="BG402" t="s">
        <v>1581</v>
      </c>
      <c r="BH402" t="s">
        <v>1194</v>
      </c>
      <c r="BI402" t="s">
        <v>2715</v>
      </c>
    </row>
    <row r="403" spans="1:61" x14ac:dyDescent="0.35">
      <c r="A403" s="7" t="str">
        <f t="shared" si="12"/>
        <v>461844300010995</v>
      </c>
      <c r="B403" s="7" t="str">
        <f t="shared" si="13"/>
        <v>GP144559-001B864</v>
      </c>
      <c r="C403" t="s">
        <v>1177</v>
      </c>
      <c r="D403" t="s">
        <v>1178</v>
      </c>
      <c r="E403" t="s">
        <v>2716</v>
      </c>
      <c r="F403" t="s">
        <v>1363</v>
      </c>
      <c r="G403" t="s">
        <v>1363</v>
      </c>
      <c r="H403" t="s">
        <v>1271</v>
      </c>
      <c r="I403">
        <v>46184</v>
      </c>
      <c r="J403" t="s">
        <v>2717</v>
      </c>
      <c r="K403" t="s">
        <v>1182</v>
      </c>
      <c r="L403" t="s">
        <v>1177</v>
      </c>
      <c r="M403" t="s">
        <v>1274</v>
      </c>
      <c r="N403" t="s">
        <v>1079</v>
      </c>
      <c r="O403" t="s">
        <v>1275</v>
      </c>
      <c r="P403">
        <v>46184</v>
      </c>
      <c r="Q403" t="s">
        <v>1177</v>
      </c>
      <c r="R403" t="s">
        <v>10</v>
      </c>
      <c r="S403" t="s">
        <v>1011</v>
      </c>
      <c r="T403" t="s">
        <v>407</v>
      </c>
      <c r="U403" t="s">
        <v>1610</v>
      </c>
      <c r="V403">
        <v>38</v>
      </c>
      <c r="W403" t="s">
        <v>1262</v>
      </c>
      <c r="X403" t="s">
        <v>1262</v>
      </c>
      <c r="Y403">
        <v>0</v>
      </c>
      <c r="Z403" t="s">
        <v>1186</v>
      </c>
      <c r="AA403" t="s">
        <v>1177</v>
      </c>
      <c r="AB403" t="s">
        <v>1177</v>
      </c>
      <c r="AC403" t="s">
        <v>1177</v>
      </c>
      <c r="AD403" t="s">
        <v>1204</v>
      </c>
      <c r="AE403" t="s">
        <v>1188</v>
      </c>
      <c r="AF403" t="s">
        <v>1189</v>
      </c>
      <c r="AG403" t="s">
        <v>1178</v>
      </c>
      <c r="AH403" t="s">
        <v>1178</v>
      </c>
      <c r="AI403" t="s">
        <v>1280</v>
      </c>
      <c r="AJ403" t="s">
        <v>1189</v>
      </c>
      <c r="AK403">
        <v>38</v>
      </c>
      <c r="AL403" t="s">
        <v>1262</v>
      </c>
      <c r="AM403">
        <v>46260</v>
      </c>
      <c r="AN403">
        <v>46254</v>
      </c>
      <c r="AO403">
        <v>46254</v>
      </c>
      <c r="AP403">
        <v>46258</v>
      </c>
      <c r="AQ403">
        <v>46258</v>
      </c>
      <c r="AR403">
        <v>46260</v>
      </c>
      <c r="AS403">
        <v>46262</v>
      </c>
      <c r="AT403" t="s">
        <v>1281</v>
      </c>
      <c r="AU403" t="s">
        <v>1177</v>
      </c>
      <c r="AV403" t="s">
        <v>1192</v>
      </c>
      <c r="AW403" t="s">
        <v>1177</v>
      </c>
      <c r="AX403">
        <v>69</v>
      </c>
      <c r="AY403">
        <v>2</v>
      </c>
      <c r="AZ403" t="s">
        <v>1177</v>
      </c>
      <c r="BA403">
        <v>0</v>
      </c>
      <c r="BB403" t="s">
        <v>1262</v>
      </c>
      <c r="BC403" t="e">
        <v>#N/A</v>
      </c>
      <c r="BD403" t="e">
        <v>#N/A</v>
      </c>
      <c r="BE403" t="e">
        <v>#N/A</v>
      </c>
      <c r="BF403" t="e">
        <v>#N/A</v>
      </c>
      <c r="BG403" t="s">
        <v>1581</v>
      </c>
      <c r="BH403" t="s">
        <v>1194</v>
      </c>
      <c r="BI403" t="s">
        <v>2190</v>
      </c>
    </row>
    <row r="404" spans="1:61" x14ac:dyDescent="0.35">
      <c r="A404" s="7" t="str">
        <f t="shared" si="12"/>
        <v>461844300011002</v>
      </c>
      <c r="B404" s="7" t="str">
        <f t="shared" si="13"/>
        <v>GP119052B825</v>
      </c>
      <c r="C404" t="s">
        <v>1177</v>
      </c>
      <c r="D404" t="s">
        <v>1178</v>
      </c>
      <c r="E404" t="s">
        <v>2718</v>
      </c>
      <c r="F404" t="s">
        <v>1363</v>
      </c>
      <c r="G404" t="s">
        <v>1363</v>
      </c>
      <c r="H404" t="s">
        <v>1271</v>
      </c>
      <c r="I404">
        <v>46184</v>
      </c>
      <c r="J404" t="s">
        <v>2719</v>
      </c>
      <c r="K404" t="s">
        <v>1182</v>
      </c>
      <c r="L404" t="s">
        <v>1177</v>
      </c>
      <c r="M404" t="s">
        <v>1274</v>
      </c>
      <c r="N404" t="s">
        <v>1079</v>
      </c>
      <c r="O404" t="s">
        <v>1275</v>
      </c>
      <c r="P404">
        <v>46280</v>
      </c>
      <c r="Q404" t="s">
        <v>1177</v>
      </c>
      <c r="R404" t="s">
        <v>16</v>
      </c>
      <c r="S404" t="s">
        <v>512</v>
      </c>
      <c r="T404" t="s">
        <v>175</v>
      </c>
      <c r="U404" t="s">
        <v>1733</v>
      </c>
      <c r="V404">
        <v>1</v>
      </c>
      <c r="W404" t="s">
        <v>1262</v>
      </c>
      <c r="X404" t="s">
        <v>1262</v>
      </c>
      <c r="Y404">
        <v>0</v>
      </c>
      <c r="Z404" t="s">
        <v>1186</v>
      </c>
      <c r="AA404" t="s">
        <v>1177</v>
      </c>
      <c r="AB404" t="s">
        <v>1276</v>
      </c>
      <c r="AC404" t="s">
        <v>1277</v>
      </c>
      <c r="AD404" t="s">
        <v>1278</v>
      </c>
      <c r="AE404" t="s">
        <v>1734</v>
      </c>
      <c r="AF404" t="s">
        <v>1178</v>
      </c>
      <c r="AG404" t="s">
        <v>1190</v>
      </c>
      <c r="AH404" t="s">
        <v>1178</v>
      </c>
      <c r="AI404" t="s">
        <v>1349</v>
      </c>
      <c r="AJ404" t="s">
        <v>1189</v>
      </c>
      <c r="AK404">
        <v>1</v>
      </c>
      <c r="AL404" t="s">
        <v>1262</v>
      </c>
      <c r="AM404">
        <v>46318</v>
      </c>
      <c r="AN404">
        <v>46314</v>
      </c>
      <c r="AO404">
        <v>46314</v>
      </c>
      <c r="AP404">
        <v>46316</v>
      </c>
      <c r="AQ404">
        <v>46316</v>
      </c>
      <c r="AR404">
        <v>46318</v>
      </c>
      <c r="AS404">
        <v>46322</v>
      </c>
      <c r="AT404" t="s">
        <v>1281</v>
      </c>
      <c r="AU404" t="s">
        <v>1177</v>
      </c>
      <c r="AV404" t="s">
        <v>1192</v>
      </c>
      <c r="AW404" t="s">
        <v>1177</v>
      </c>
      <c r="AX404">
        <v>33</v>
      </c>
      <c r="AY404">
        <v>2</v>
      </c>
      <c r="AZ404" t="s">
        <v>1177</v>
      </c>
      <c r="BA404">
        <v>0</v>
      </c>
      <c r="BB404" t="s">
        <v>1262</v>
      </c>
      <c r="BC404" t="s">
        <v>2720</v>
      </c>
      <c r="BD404">
        <v>1</v>
      </c>
      <c r="BE404">
        <v>46295</v>
      </c>
      <c r="BF404" t="s">
        <v>1165</v>
      </c>
      <c r="BG404" t="s">
        <v>126</v>
      </c>
      <c r="BH404" t="s">
        <v>1873</v>
      </c>
      <c r="BI404" t="s">
        <v>126</v>
      </c>
    </row>
    <row r="405" spans="1:61" x14ac:dyDescent="0.35">
      <c r="A405" s="7" t="str">
        <f t="shared" si="12"/>
        <v>461844300011019</v>
      </c>
      <c r="B405" s="7" t="str">
        <f t="shared" si="13"/>
        <v>GP265248B832</v>
      </c>
      <c r="C405" t="s">
        <v>1177</v>
      </c>
      <c r="D405" t="s">
        <v>1178</v>
      </c>
      <c r="E405" t="s">
        <v>2721</v>
      </c>
      <c r="F405" t="s">
        <v>1363</v>
      </c>
      <c r="G405" t="s">
        <v>1363</v>
      </c>
      <c r="H405" t="s">
        <v>1271</v>
      </c>
      <c r="I405">
        <v>46184</v>
      </c>
      <c r="J405" t="s">
        <v>2722</v>
      </c>
      <c r="K405" t="s">
        <v>1285</v>
      </c>
      <c r="L405" t="s">
        <v>1177</v>
      </c>
      <c r="M405" t="s">
        <v>1274</v>
      </c>
      <c r="N405" t="s">
        <v>1079</v>
      </c>
      <c r="O405" t="s">
        <v>1275</v>
      </c>
      <c r="P405">
        <v>46184</v>
      </c>
      <c r="Q405" t="s">
        <v>1177</v>
      </c>
      <c r="R405" t="s">
        <v>19</v>
      </c>
      <c r="S405" t="s">
        <v>654</v>
      </c>
      <c r="T405" t="s">
        <v>416</v>
      </c>
      <c r="U405" t="s">
        <v>417</v>
      </c>
      <c r="V405">
        <v>93</v>
      </c>
      <c r="W405" t="s">
        <v>1262</v>
      </c>
      <c r="X405" t="s">
        <v>1262</v>
      </c>
      <c r="Y405">
        <v>0</v>
      </c>
      <c r="Z405" t="s">
        <v>1186</v>
      </c>
      <c r="AA405" t="s">
        <v>1177</v>
      </c>
      <c r="AB405" t="s">
        <v>1286</v>
      </c>
      <c r="AC405" t="s">
        <v>1277</v>
      </c>
      <c r="AD405" t="s">
        <v>1278</v>
      </c>
      <c r="AE405" t="s">
        <v>1284</v>
      </c>
      <c r="AF405" t="s">
        <v>1178</v>
      </c>
      <c r="AG405" t="s">
        <v>1178</v>
      </c>
      <c r="AH405" t="s">
        <v>1178</v>
      </c>
      <c r="AI405" t="s">
        <v>1349</v>
      </c>
      <c r="AJ405" t="s">
        <v>1189</v>
      </c>
      <c r="AK405">
        <v>93</v>
      </c>
      <c r="AL405" t="s">
        <v>1262</v>
      </c>
      <c r="AM405">
        <v>46325</v>
      </c>
      <c r="AN405">
        <v>46321</v>
      </c>
      <c r="AO405">
        <v>46321</v>
      </c>
      <c r="AP405">
        <v>46323</v>
      </c>
      <c r="AQ405">
        <v>46323</v>
      </c>
      <c r="AR405">
        <v>46325</v>
      </c>
      <c r="AS405">
        <v>46330</v>
      </c>
      <c r="AT405" t="s">
        <v>1281</v>
      </c>
      <c r="AU405" t="s">
        <v>1177</v>
      </c>
      <c r="AV405" t="s">
        <v>1192</v>
      </c>
      <c r="AW405" t="s">
        <v>1177</v>
      </c>
      <c r="AX405">
        <v>69</v>
      </c>
      <c r="AY405">
        <v>2</v>
      </c>
      <c r="AZ405" t="s">
        <v>1177</v>
      </c>
      <c r="BA405">
        <v>0</v>
      </c>
      <c r="BB405" t="s">
        <v>1262</v>
      </c>
      <c r="BC405" t="e">
        <v>#N/A</v>
      </c>
      <c r="BD405" t="e">
        <v>#N/A</v>
      </c>
      <c r="BE405" t="e">
        <v>#N/A</v>
      </c>
      <c r="BF405" t="e">
        <v>#N/A</v>
      </c>
      <c r="BG405" t="s">
        <v>1212</v>
      </c>
      <c r="BH405" t="s">
        <v>1194</v>
      </c>
      <c r="BI405" t="s">
        <v>1212</v>
      </c>
    </row>
    <row r="406" spans="1:61" x14ac:dyDescent="0.35">
      <c r="A406" s="7" t="str">
        <f t="shared" si="12"/>
        <v>461844300011029</v>
      </c>
      <c r="B406" s="7" t="str">
        <f t="shared" si="13"/>
        <v>GP021038B857</v>
      </c>
      <c r="C406" t="s">
        <v>1177</v>
      </c>
      <c r="D406" t="s">
        <v>1178</v>
      </c>
      <c r="E406" t="s">
        <v>2723</v>
      </c>
      <c r="F406" t="s">
        <v>1363</v>
      </c>
      <c r="G406" t="s">
        <v>1363</v>
      </c>
      <c r="H406" t="s">
        <v>1271</v>
      </c>
      <c r="I406">
        <v>46184</v>
      </c>
      <c r="J406" t="s">
        <v>2724</v>
      </c>
      <c r="K406" t="s">
        <v>1810</v>
      </c>
      <c r="L406" t="s">
        <v>1177</v>
      </c>
      <c r="M406" t="s">
        <v>1274</v>
      </c>
      <c r="N406" t="s">
        <v>1079</v>
      </c>
      <c r="O406" t="s">
        <v>1275</v>
      </c>
      <c r="P406">
        <v>46184</v>
      </c>
      <c r="Q406" t="s">
        <v>1177</v>
      </c>
      <c r="R406" t="s">
        <v>23</v>
      </c>
      <c r="S406" t="s">
        <v>959</v>
      </c>
      <c r="T406" t="s">
        <v>487</v>
      </c>
      <c r="U406" t="s">
        <v>2462</v>
      </c>
      <c r="V406">
        <v>19</v>
      </c>
      <c r="W406" t="s">
        <v>1185</v>
      </c>
      <c r="X406" t="s">
        <v>1185</v>
      </c>
      <c r="Y406">
        <v>0</v>
      </c>
      <c r="Z406" t="s">
        <v>1186</v>
      </c>
      <c r="AA406" t="s">
        <v>1177</v>
      </c>
      <c r="AB406" t="s">
        <v>1177</v>
      </c>
      <c r="AC406" t="s">
        <v>1177</v>
      </c>
      <c r="AD406" t="s">
        <v>1204</v>
      </c>
      <c r="AE406" t="s">
        <v>1438</v>
      </c>
      <c r="AF406" t="s">
        <v>1189</v>
      </c>
      <c r="AG406" t="s">
        <v>1190</v>
      </c>
      <c r="AH406" t="s">
        <v>1178</v>
      </c>
      <c r="AI406" t="s">
        <v>1177</v>
      </c>
      <c r="AJ406" t="s">
        <v>1190</v>
      </c>
      <c r="AK406">
        <v>0</v>
      </c>
      <c r="AL406" t="s">
        <v>1185</v>
      </c>
      <c r="AM406">
        <v>46078</v>
      </c>
      <c r="AN406">
        <v>46246</v>
      </c>
      <c r="AO406">
        <v>46185</v>
      </c>
      <c r="AP406">
        <v>46188</v>
      </c>
      <c r="AQ406">
        <v>46188</v>
      </c>
      <c r="AR406">
        <v>46190</v>
      </c>
      <c r="AS406">
        <v>46198</v>
      </c>
      <c r="AT406" t="s">
        <v>1281</v>
      </c>
      <c r="AU406" t="s">
        <v>1177</v>
      </c>
      <c r="AV406" t="s">
        <v>1192</v>
      </c>
      <c r="AW406" t="s">
        <v>1177</v>
      </c>
      <c r="AX406">
        <v>60</v>
      </c>
      <c r="AY406">
        <v>1</v>
      </c>
      <c r="AZ406" t="s">
        <v>1177</v>
      </c>
      <c r="BA406">
        <v>0</v>
      </c>
      <c r="BB406" t="s">
        <v>1185</v>
      </c>
      <c r="BC406" t="e">
        <v>#N/A</v>
      </c>
      <c r="BD406" t="e">
        <v>#N/A</v>
      </c>
      <c r="BE406" t="e">
        <v>#N/A</v>
      </c>
      <c r="BF406" t="e">
        <v>#N/A</v>
      </c>
      <c r="BG406" t="s">
        <v>1458</v>
      </c>
      <c r="BH406" t="s">
        <v>1763</v>
      </c>
      <c r="BI406" t="s">
        <v>2725</v>
      </c>
    </row>
    <row r="407" spans="1:61" x14ac:dyDescent="0.35">
      <c r="A407" s="7" t="str">
        <f t="shared" si="12"/>
        <v>461844300011037</v>
      </c>
      <c r="B407" s="7" t="str">
        <f t="shared" si="13"/>
        <v>GP004975B825</v>
      </c>
      <c r="C407" t="s">
        <v>1177</v>
      </c>
      <c r="D407" t="s">
        <v>1178</v>
      </c>
      <c r="E407" t="s">
        <v>2726</v>
      </c>
      <c r="F407" t="s">
        <v>1363</v>
      </c>
      <c r="G407" t="s">
        <v>1363</v>
      </c>
      <c r="H407" t="s">
        <v>1271</v>
      </c>
      <c r="I407">
        <v>46184</v>
      </c>
      <c r="J407" t="s">
        <v>2727</v>
      </c>
      <c r="K407" t="s">
        <v>1182</v>
      </c>
      <c r="L407" t="s">
        <v>1177</v>
      </c>
      <c r="M407" t="s">
        <v>1274</v>
      </c>
      <c r="N407" t="s">
        <v>1079</v>
      </c>
      <c r="O407" t="s">
        <v>1275</v>
      </c>
      <c r="P407">
        <v>46184</v>
      </c>
      <c r="Q407" t="s">
        <v>1185</v>
      </c>
      <c r="R407" t="s">
        <v>16</v>
      </c>
      <c r="S407" t="s">
        <v>512</v>
      </c>
      <c r="T407" t="s">
        <v>32</v>
      </c>
      <c r="U407" t="s">
        <v>33</v>
      </c>
      <c r="V407">
        <v>1</v>
      </c>
      <c r="W407" t="s">
        <v>1262</v>
      </c>
      <c r="X407" t="s">
        <v>1262</v>
      </c>
      <c r="Y407">
        <v>0</v>
      </c>
      <c r="Z407" t="s">
        <v>1186</v>
      </c>
      <c r="AA407" t="s">
        <v>1177</v>
      </c>
      <c r="AB407" t="s">
        <v>1276</v>
      </c>
      <c r="AC407" t="s">
        <v>1277</v>
      </c>
      <c r="AD407" t="s">
        <v>1278</v>
      </c>
      <c r="AE407" t="s">
        <v>2728</v>
      </c>
      <c r="AF407" t="s">
        <v>1178</v>
      </c>
      <c r="AG407" t="s">
        <v>1190</v>
      </c>
      <c r="AH407" t="s">
        <v>1178</v>
      </c>
      <c r="AI407" t="s">
        <v>1349</v>
      </c>
      <c r="AJ407" t="s">
        <v>1190</v>
      </c>
      <c r="AK407">
        <v>0</v>
      </c>
      <c r="AL407" t="s">
        <v>1262</v>
      </c>
      <c r="AM407">
        <v>46119</v>
      </c>
      <c r="AN407">
        <v>46479</v>
      </c>
      <c r="AO407">
        <v>46188</v>
      </c>
      <c r="AP407">
        <v>46190</v>
      </c>
      <c r="AQ407">
        <v>46190</v>
      </c>
      <c r="AR407">
        <v>46192</v>
      </c>
      <c r="AS407">
        <v>46196</v>
      </c>
      <c r="AT407" t="s">
        <v>1281</v>
      </c>
      <c r="AU407" t="s">
        <v>1177</v>
      </c>
      <c r="AV407" t="s">
        <v>1192</v>
      </c>
      <c r="AW407" t="s">
        <v>1177</v>
      </c>
      <c r="AX407">
        <v>33</v>
      </c>
      <c r="AY407">
        <v>2</v>
      </c>
      <c r="AZ407" t="s">
        <v>1177</v>
      </c>
      <c r="BA407">
        <v>0</v>
      </c>
      <c r="BB407" t="s">
        <v>1262</v>
      </c>
      <c r="BC407" t="e">
        <v>#N/A</v>
      </c>
      <c r="BD407" t="e">
        <v>#N/A</v>
      </c>
      <c r="BE407" t="e">
        <v>#N/A</v>
      </c>
      <c r="BF407" t="e">
        <v>#N/A</v>
      </c>
      <c r="BG407" t="s">
        <v>126</v>
      </c>
      <c r="BH407" t="s">
        <v>1873</v>
      </c>
      <c r="BI407" t="s">
        <v>126</v>
      </c>
    </row>
    <row r="408" spans="1:61" x14ac:dyDescent="0.35">
      <c r="A408" s="7" t="str">
        <f t="shared" si="12"/>
        <v>461844300011040</v>
      </c>
      <c r="B408" s="7" t="str">
        <f t="shared" si="13"/>
        <v>GP311217B867</v>
      </c>
      <c r="C408" t="s">
        <v>1177</v>
      </c>
      <c r="D408" t="s">
        <v>1178</v>
      </c>
      <c r="E408" t="s">
        <v>2729</v>
      </c>
      <c r="F408" t="s">
        <v>1363</v>
      </c>
      <c r="G408" t="s">
        <v>1363</v>
      </c>
      <c r="H408" t="s">
        <v>1271</v>
      </c>
      <c r="I408">
        <v>46184</v>
      </c>
      <c r="J408" t="s">
        <v>2730</v>
      </c>
      <c r="K408" t="s">
        <v>1199</v>
      </c>
      <c r="L408" t="s">
        <v>1177</v>
      </c>
      <c r="M408" t="s">
        <v>1274</v>
      </c>
      <c r="N408" t="s">
        <v>1079</v>
      </c>
      <c r="O408" t="s">
        <v>1275</v>
      </c>
      <c r="P408">
        <v>46184</v>
      </c>
      <c r="Q408" t="s">
        <v>1177</v>
      </c>
      <c r="R408" t="s">
        <v>25</v>
      </c>
      <c r="S408" t="s">
        <v>1060</v>
      </c>
      <c r="T408" t="s">
        <v>804</v>
      </c>
      <c r="U408" t="s">
        <v>2227</v>
      </c>
      <c r="V408">
        <v>6</v>
      </c>
      <c r="W408" t="s">
        <v>1262</v>
      </c>
      <c r="X408" t="s">
        <v>1262</v>
      </c>
      <c r="Y408">
        <v>0</v>
      </c>
      <c r="Z408" t="s">
        <v>1186</v>
      </c>
      <c r="AA408" t="s">
        <v>1177</v>
      </c>
      <c r="AB408" t="s">
        <v>1276</v>
      </c>
      <c r="AC408" t="s">
        <v>1277</v>
      </c>
      <c r="AD408" t="s">
        <v>1278</v>
      </c>
      <c r="AE408" t="s">
        <v>1910</v>
      </c>
      <c r="AF408" t="s">
        <v>1178</v>
      </c>
      <c r="AG408" t="s">
        <v>1190</v>
      </c>
      <c r="AH408" t="s">
        <v>1178</v>
      </c>
      <c r="AI408" t="s">
        <v>1280</v>
      </c>
      <c r="AJ408" t="s">
        <v>1190</v>
      </c>
      <c r="AK408">
        <v>0</v>
      </c>
      <c r="AL408" t="s">
        <v>1262</v>
      </c>
      <c r="AM408">
        <v>46505</v>
      </c>
      <c r="AN408">
        <v>46541</v>
      </c>
      <c r="AO408">
        <v>46499</v>
      </c>
      <c r="AP408">
        <v>46503</v>
      </c>
      <c r="AQ408">
        <v>46503</v>
      </c>
      <c r="AR408">
        <v>46505</v>
      </c>
      <c r="AS408">
        <v>46507</v>
      </c>
      <c r="AT408" t="s">
        <v>1281</v>
      </c>
      <c r="AU408" t="s">
        <v>1177</v>
      </c>
      <c r="AV408" t="s">
        <v>1192</v>
      </c>
      <c r="AW408" t="s">
        <v>1177</v>
      </c>
      <c r="AX408">
        <v>406</v>
      </c>
      <c r="AY408">
        <v>2</v>
      </c>
      <c r="AZ408" t="s">
        <v>1177</v>
      </c>
      <c r="BA408">
        <v>0</v>
      </c>
      <c r="BB408" t="s">
        <v>1262</v>
      </c>
      <c r="BC408" t="e">
        <v>#N/A</v>
      </c>
      <c r="BD408" t="e">
        <v>#N/A</v>
      </c>
      <c r="BE408" t="e">
        <v>#N/A</v>
      </c>
      <c r="BF408" t="e">
        <v>#N/A</v>
      </c>
      <c r="BG408" t="s">
        <v>1212</v>
      </c>
      <c r="BH408" t="s">
        <v>1873</v>
      </c>
      <c r="BI408" t="s">
        <v>1213</v>
      </c>
    </row>
    <row r="409" spans="1:61" x14ac:dyDescent="0.35">
      <c r="A409" s="7" t="str">
        <f t="shared" si="12"/>
        <v>461844300011041</v>
      </c>
      <c r="B409" s="7" t="str">
        <f t="shared" si="13"/>
        <v>A9B10400285B856</v>
      </c>
      <c r="C409" t="s">
        <v>1177</v>
      </c>
      <c r="D409" t="s">
        <v>1178</v>
      </c>
      <c r="E409" t="s">
        <v>2731</v>
      </c>
      <c r="F409" t="s">
        <v>1363</v>
      </c>
      <c r="G409" t="s">
        <v>1363</v>
      </c>
      <c r="H409" t="s">
        <v>1271</v>
      </c>
      <c r="I409">
        <v>46184</v>
      </c>
      <c r="J409" t="s">
        <v>2732</v>
      </c>
      <c r="K409" t="s">
        <v>1182</v>
      </c>
      <c r="L409" t="s">
        <v>1177</v>
      </c>
      <c r="M409" t="s">
        <v>1274</v>
      </c>
      <c r="N409" t="s">
        <v>1079</v>
      </c>
      <c r="O409" t="s">
        <v>1275</v>
      </c>
      <c r="P409">
        <v>46184</v>
      </c>
      <c r="Q409" t="s">
        <v>1177</v>
      </c>
      <c r="R409" t="s">
        <v>21</v>
      </c>
      <c r="S409" t="s">
        <v>853</v>
      </c>
      <c r="T409" t="s">
        <v>2733</v>
      </c>
      <c r="U409" t="s">
        <v>2734</v>
      </c>
      <c r="V409">
        <v>7</v>
      </c>
      <c r="W409" t="s">
        <v>1262</v>
      </c>
      <c r="X409" t="s">
        <v>1262</v>
      </c>
      <c r="Y409">
        <v>0</v>
      </c>
      <c r="Z409" t="s">
        <v>1186</v>
      </c>
      <c r="AA409" t="s">
        <v>1177</v>
      </c>
      <c r="AB409" t="s">
        <v>1276</v>
      </c>
      <c r="AC409" t="s">
        <v>1277</v>
      </c>
      <c r="AD409" t="s">
        <v>1278</v>
      </c>
      <c r="AE409" t="s">
        <v>2735</v>
      </c>
      <c r="AF409" t="s">
        <v>1178</v>
      </c>
      <c r="AG409" t="s">
        <v>1190</v>
      </c>
      <c r="AH409" t="s">
        <v>1178</v>
      </c>
      <c r="AI409" t="s">
        <v>1280</v>
      </c>
      <c r="AJ409" t="s">
        <v>1190</v>
      </c>
      <c r="AK409">
        <v>0</v>
      </c>
      <c r="AL409" t="s">
        <v>1262</v>
      </c>
      <c r="AM409">
        <v>46268</v>
      </c>
      <c r="AN409">
        <v>46449</v>
      </c>
      <c r="AO409">
        <v>46261</v>
      </c>
      <c r="AP409">
        <v>46265</v>
      </c>
      <c r="AQ409">
        <v>46265</v>
      </c>
      <c r="AR409">
        <v>46267</v>
      </c>
      <c r="AS409">
        <v>46267</v>
      </c>
      <c r="AT409" t="s">
        <v>1281</v>
      </c>
      <c r="AU409" t="s">
        <v>1177</v>
      </c>
      <c r="AV409" t="s">
        <v>1192</v>
      </c>
      <c r="AW409" t="s">
        <v>1177</v>
      </c>
      <c r="AX409">
        <v>0</v>
      </c>
      <c r="AY409">
        <v>0</v>
      </c>
      <c r="AZ409" t="s">
        <v>1177</v>
      </c>
      <c r="BA409">
        <v>0</v>
      </c>
      <c r="BB409" t="s">
        <v>1262</v>
      </c>
      <c r="BC409" t="e">
        <v>#N/A</v>
      </c>
      <c r="BD409" t="e">
        <v>#N/A</v>
      </c>
      <c r="BE409" t="e">
        <v>#N/A</v>
      </c>
      <c r="BF409" t="e">
        <v>#N/A</v>
      </c>
      <c r="BG409" t="s">
        <v>1651</v>
      </c>
      <c r="BH409" t="s">
        <v>2169</v>
      </c>
      <c r="BI409" t="s">
        <v>2297</v>
      </c>
    </row>
    <row r="410" spans="1:61" x14ac:dyDescent="0.35">
      <c r="A410" s="7" t="str">
        <f t="shared" si="12"/>
        <v>461844300011045</v>
      </c>
      <c r="B410" s="7" t="str">
        <f t="shared" si="13"/>
        <v>GP007548B856</v>
      </c>
      <c r="C410" t="s">
        <v>1177</v>
      </c>
      <c r="D410" t="s">
        <v>1178</v>
      </c>
      <c r="E410" t="s">
        <v>2736</v>
      </c>
      <c r="F410" t="s">
        <v>1363</v>
      </c>
      <c r="G410" t="s">
        <v>1363</v>
      </c>
      <c r="H410" t="s">
        <v>1271</v>
      </c>
      <c r="I410">
        <v>46184</v>
      </c>
      <c r="J410" t="s">
        <v>2737</v>
      </c>
      <c r="K410" t="s">
        <v>1199</v>
      </c>
      <c r="L410" t="s">
        <v>1177</v>
      </c>
      <c r="M410" t="s">
        <v>1274</v>
      </c>
      <c r="N410" t="s">
        <v>1079</v>
      </c>
      <c r="O410" t="s">
        <v>1275</v>
      </c>
      <c r="P410">
        <v>46184</v>
      </c>
      <c r="Q410" t="s">
        <v>1177</v>
      </c>
      <c r="R410" t="s">
        <v>21</v>
      </c>
      <c r="S410" t="s">
        <v>853</v>
      </c>
      <c r="T410" t="s">
        <v>225</v>
      </c>
      <c r="U410" t="s">
        <v>2738</v>
      </c>
      <c r="V410">
        <v>1</v>
      </c>
      <c r="W410" t="s">
        <v>1262</v>
      </c>
      <c r="X410" t="s">
        <v>1262</v>
      </c>
      <c r="Y410">
        <v>0</v>
      </c>
      <c r="Z410" t="s">
        <v>1186</v>
      </c>
      <c r="AA410" t="s">
        <v>1177</v>
      </c>
      <c r="AB410" t="s">
        <v>1276</v>
      </c>
      <c r="AC410" t="s">
        <v>1277</v>
      </c>
      <c r="AD410" t="s">
        <v>1278</v>
      </c>
      <c r="AE410" t="s">
        <v>1750</v>
      </c>
      <c r="AF410" t="s">
        <v>1178</v>
      </c>
      <c r="AG410" t="s">
        <v>1190</v>
      </c>
      <c r="AH410" t="s">
        <v>1178</v>
      </c>
      <c r="AI410" t="s">
        <v>1177</v>
      </c>
      <c r="AJ410" t="s">
        <v>1190</v>
      </c>
      <c r="AK410">
        <v>0</v>
      </c>
      <c r="AL410" t="s">
        <v>1262</v>
      </c>
      <c r="AM410">
        <v>46126</v>
      </c>
      <c r="AN410">
        <v>46185</v>
      </c>
      <c r="AO410">
        <v>46185</v>
      </c>
      <c r="AP410">
        <v>46188</v>
      </c>
      <c r="AQ410">
        <v>46188</v>
      </c>
      <c r="AR410">
        <v>46190</v>
      </c>
      <c r="AS410">
        <v>46199</v>
      </c>
      <c r="AT410" t="s">
        <v>1281</v>
      </c>
      <c r="AU410" t="s">
        <v>1177</v>
      </c>
      <c r="AV410" t="s">
        <v>1192</v>
      </c>
      <c r="AW410" t="s">
        <v>1177</v>
      </c>
      <c r="AX410">
        <v>33</v>
      </c>
      <c r="AY410">
        <v>2</v>
      </c>
      <c r="AZ410" t="s">
        <v>1177</v>
      </c>
      <c r="BA410">
        <v>0</v>
      </c>
      <c r="BB410" t="s">
        <v>1262</v>
      </c>
      <c r="BC410" t="s">
        <v>1479</v>
      </c>
      <c r="BD410">
        <v>2</v>
      </c>
      <c r="BE410">
        <v>46233</v>
      </c>
      <c r="BF410" t="s">
        <v>1165</v>
      </c>
      <c r="BG410" t="s">
        <v>126</v>
      </c>
      <c r="BH410" t="s">
        <v>1873</v>
      </c>
      <c r="BI410" t="s">
        <v>126</v>
      </c>
    </row>
    <row r="411" spans="1:61" x14ac:dyDescent="0.35">
      <c r="A411" s="7" t="str">
        <f t="shared" si="12"/>
        <v>461844300011054</v>
      </c>
      <c r="B411" s="7" t="str">
        <f t="shared" si="13"/>
        <v>GP389291B825</v>
      </c>
      <c r="C411" t="s">
        <v>1177</v>
      </c>
      <c r="D411" t="s">
        <v>1178</v>
      </c>
      <c r="E411" t="s">
        <v>2739</v>
      </c>
      <c r="F411" t="s">
        <v>1363</v>
      </c>
      <c r="G411" t="s">
        <v>1363</v>
      </c>
      <c r="H411" t="s">
        <v>1271</v>
      </c>
      <c r="I411">
        <v>46184</v>
      </c>
      <c r="J411" t="s">
        <v>2740</v>
      </c>
      <c r="K411" t="s">
        <v>1282</v>
      </c>
      <c r="L411" t="s">
        <v>1177</v>
      </c>
      <c r="M411" t="s">
        <v>1274</v>
      </c>
      <c r="N411" t="s">
        <v>1079</v>
      </c>
      <c r="O411" t="s">
        <v>1275</v>
      </c>
      <c r="P411">
        <v>46184</v>
      </c>
      <c r="Q411" t="s">
        <v>1177</v>
      </c>
      <c r="R411" t="s">
        <v>16</v>
      </c>
      <c r="S411" t="s">
        <v>512</v>
      </c>
      <c r="T411" t="s">
        <v>613</v>
      </c>
      <c r="U411" t="s">
        <v>614</v>
      </c>
      <c r="V411">
        <v>1</v>
      </c>
      <c r="W411" t="s">
        <v>1262</v>
      </c>
      <c r="X411" t="s">
        <v>1262</v>
      </c>
      <c r="Y411">
        <v>0</v>
      </c>
      <c r="Z411" t="s">
        <v>1186</v>
      </c>
      <c r="AA411" t="s">
        <v>1177</v>
      </c>
      <c r="AB411" t="s">
        <v>1276</v>
      </c>
      <c r="AC411" t="s">
        <v>1277</v>
      </c>
      <c r="AD411" t="s">
        <v>1278</v>
      </c>
      <c r="AE411" t="s">
        <v>1657</v>
      </c>
      <c r="AF411" t="s">
        <v>1178</v>
      </c>
      <c r="AG411" t="s">
        <v>1190</v>
      </c>
      <c r="AH411" t="s">
        <v>1178</v>
      </c>
      <c r="AI411" t="s">
        <v>1349</v>
      </c>
      <c r="AJ411" t="s">
        <v>1190</v>
      </c>
      <c r="AK411">
        <v>0</v>
      </c>
      <c r="AL411" t="s">
        <v>1262</v>
      </c>
      <c r="AM411">
        <v>46140</v>
      </c>
      <c r="AN411">
        <v>46276</v>
      </c>
      <c r="AO411">
        <v>46188</v>
      </c>
      <c r="AP411">
        <v>46190</v>
      </c>
      <c r="AQ411">
        <v>46190</v>
      </c>
      <c r="AR411">
        <v>46192</v>
      </c>
      <c r="AS411">
        <v>46196</v>
      </c>
      <c r="AT411" t="s">
        <v>1281</v>
      </c>
      <c r="AU411" t="s">
        <v>1177</v>
      </c>
      <c r="AV411" t="s">
        <v>1192</v>
      </c>
      <c r="AW411" t="s">
        <v>1177</v>
      </c>
      <c r="AX411">
        <v>33</v>
      </c>
      <c r="AY411">
        <v>2</v>
      </c>
      <c r="AZ411" t="s">
        <v>1177</v>
      </c>
      <c r="BA411">
        <v>0</v>
      </c>
      <c r="BB411" t="s">
        <v>1262</v>
      </c>
      <c r="BC411" t="e">
        <v>#N/A</v>
      </c>
      <c r="BD411" t="e">
        <v>#N/A</v>
      </c>
      <c r="BE411" t="e">
        <v>#N/A</v>
      </c>
      <c r="BF411" t="e">
        <v>#N/A</v>
      </c>
      <c r="BG411" t="s">
        <v>126</v>
      </c>
      <c r="BH411" t="s">
        <v>1873</v>
      </c>
      <c r="BI411" t="s">
        <v>126</v>
      </c>
    </row>
    <row r="412" spans="1:61" x14ac:dyDescent="0.35">
      <c r="A412" s="7" t="str">
        <f t="shared" si="12"/>
        <v>461844300011070</v>
      </c>
      <c r="B412" s="7" t="str">
        <f t="shared" si="13"/>
        <v>GP056698B838</v>
      </c>
      <c r="C412" t="s">
        <v>1177</v>
      </c>
      <c r="D412" t="s">
        <v>1178</v>
      </c>
      <c r="E412" t="s">
        <v>2741</v>
      </c>
      <c r="F412" t="s">
        <v>1363</v>
      </c>
      <c r="G412" t="s">
        <v>1363</v>
      </c>
      <c r="H412" t="s">
        <v>1271</v>
      </c>
      <c r="I412">
        <v>46184</v>
      </c>
      <c r="J412" t="s">
        <v>2742</v>
      </c>
      <c r="K412" t="s">
        <v>1199</v>
      </c>
      <c r="L412" t="s">
        <v>1177</v>
      </c>
      <c r="M412" t="s">
        <v>1274</v>
      </c>
      <c r="N412" t="s">
        <v>1079</v>
      </c>
      <c r="O412" t="s">
        <v>1275</v>
      </c>
      <c r="P412">
        <v>46184</v>
      </c>
      <c r="Q412" t="s">
        <v>1177</v>
      </c>
      <c r="R412" t="s">
        <v>48</v>
      </c>
      <c r="S412" t="s">
        <v>745</v>
      </c>
      <c r="T412" t="s">
        <v>967</v>
      </c>
      <c r="U412" t="s">
        <v>2295</v>
      </c>
      <c r="V412">
        <v>4</v>
      </c>
      <c r="W412" t="s">
        <v>1262</v>
      </c>
      <c r="X412" t="s">
        <v>1262</v>
      </c>
      <c r="Y412">
        <v>0</v>
      </c>
      <c r="Z412" t="s">
        <v>1186</v>
      </c>
      <c r="AA412" t="s">
        <v>1177</v>
      </c>
      <c r="AB412" t="s">
        <v>1286</v>
      </c>
      <c r="AC412" t="s">
        <v>1277</v>
      </c>
      <c r="AD412" t="s">
        <v>1278</v>
      </c>
      <c r="AE412" t="s">
        <v>1354</v>
      </c>
      <c r="AF412" t="s">
        <v>1178</v>
      </c>
      <c r="AG412" t="s">
        <v>1178</v>
      </c>
      <c r="AH412" t="s">
        <v>1178</v>
      </c>
      <c r="AI412" t="s">
        <v>1280</v>
      </c>
      <c r="AJ412" t="s">
        <v>1190</v>
      </c>
      <c r="AK412">
        <v>0</v>
      </c>
      <c r="AL412" t="s">
        <v>1262</v>
      </c>
      <c r="AM412">
        <v>46301</v>
      </c>
      <c r="AN412">
        <v>46364</v>
      </c>
      <c r="AO412">
        <v>46289</v>
      </c>
      <c r="AP412">
        <v>46293</v>
      </c>
      <c r="AQ412">
        <v>46293</v>
      </c>
      <c r="AR412">
        <v>46295</v>
      </c>
      <c r="AS412">
        <v>46295</v>
      </c>
      <c r="AT412" t="s">
        <v>1281</v>
      </c>
      <c r="AU412" t="s">
        <v>1177</v>
      </c>
      <c r="AV412" t="s">
        <v>1192</v>
      </c>
      <c r="AW412" t="s">
        <v>1177</v>
      </c>
      <c r="AX412">
        <v>0</v>
      </c>
      <c r="AY412">
        <v>0</v>
      </c>
      <c r="AZ412" t="s">
        <v>1177</v>
      </c>
      <c r="BA412">
        <v>0</v>
      </c>
      <c r="BB412" t="s">
        <v>1262</v>
      </c>
      <c r="BC412" t="s">
        <v>2743</v>
      </c>
      <c r="BD412">
        <v>1</v>
      </c>
      <c r="BE412">
        <v>46247</v>
      </c>
      <c r="BF412" t="s">
        <v>1165</v>
      </c>
      <c r="BG412" t="e">
        <v>#N/A</v>
      </c>
      <c r="BH412" t="e">
        <v>#N/A</v>
      </c>
      <c r="BI412" t="e">
        <v>#N/A</v>
      </c>
    </row>
    <row r="413" spans="1:61" x14ac:dyDescent="0.35">
      <c r="A413" s="7" t="str">
        <f t="shared" si="12"/>
        <v>461844300011076</v>
      </c>
      <c r="B413" s="7" t="str">
        <f t="shared" si="13"/>
        <v>GP371842B825</v>
      </c>
      <c r="C413" t="s">
        <v>1177</v>
      </c>
      <c r="D413" t="s">
        <v>1178</v>
      </c>
      <c r="E413" t="s">
        <v>2744</v>
      </c>
      <c r="F413" t="s">
        <v>1363</v>
      </c>
      <c r="G413" t="s">
        <v>1363</v>
      </c>
      <c r="H413" t="s">
        <v>1271</v>
      </c>
      <c r="I413">
        <v>46184</v>
      </c>
      <c r="J413" t="s">
        <v>2745</v>
      </c>
      <c r="K413" t="s">
        <v>1182</v>
      </c>
      <c r="L413" t="s">
        <v>1177</v>
      </c>
      <c r="M413" t="s">
        <v>1274</v>
      </c>
      <c r="N413" t="s">
        <v>1079</v>
      </c>
      <c r="O413" t="s">
        <v>1275</v>
      </c>
      <c r="P413">
        <v>46184</v>
      </c>
      <c r="Q413" t="s">
        <v>1185</v>
      </c>
      <c r="R413" t="s">
        <v>16</v>
      </c>
      <c r="S413" t="s">
        <v>512</v>
      </c>
      <c r="T413" t="s">
        <v>95</v>
      </c>
      <c r="U413" t="s">
        <v>96</v>
      </c>
      <c r="V413">
        <v>1</v>
      </c>
      <c r="W413" t="s">
        <v>1262</v>
      </c>
      <c r="X413" t="s">
        <v>1262</v>
      </c>
      <c r="Y413">
        <v>0</v>
      </c>
      <c r="Z413" t="s">
        <v>1186</v>
      </c>
      <c r="AA413" t="s">
        <v>1177</v>
      </c>
      <c r="AB413" t="s">
        <v>1276</v>
      </c>
      <c r="AC413" t="s">
        <v>1277</v>
      </c>
      <c r="AD413" t="s">
        <v>1278</v>
      </c>
      <c r="AE413" t="s">
        <v>1279</v>
      </c>
      <c r="AF413" t="s">
        <v>1178</v>
      </c>
      <c r="AG413" t="s">
        <v>1190</v>
      </c>
      <c r="AH413" t="s">
        <v>1178</v>
      </c>
      <c r="AI413" t="s">
        <v>1349</v>
      </c>
      <c r="AJ413" t="s">
        <v>1190</v>
      </c>
      <c r="AK413">
        <v>0</v>
      </c>
      <c r="AL413" t="s">
        <v>1262</v>
      </c>
      <c r="AM413">
        <v>46154</v>
      </c>
      <c r="AN413">
        <v>46188</v>
      </c>
      <c r="AO413">
        <v>46188</v>
      </c>
      <c r="AP413">
        <v>46190</v>
      </c>
      <c r="AQ413">
        <v>46190</v>
      </c>
      <c r="AR413">
        <v>46192</v>
      </c>
      <c r="AS413">
        <v>46196</v>
      </c>
      <c r="AT413" t="s">
        <v>1281</v>
      </c>
      <c r="AU413" t="s">
        <v>1177</v>
      </c>
      <c r="AV413" t="s">
        <v>1192</v>
      </c>
      <c r="AW413" t="s">
        <v>1177</v>
      </c>
      <c r="AX413">
        <v>33</v>
      </c>
      <c r="AY413">
        <v>2</v>
      </c>
      <c r="AZ413" t="s">
        <v>1177</v>
      </c>
      <c r="BA413">
        <v>0</v>
      </c>
      <c r="BB413" t="s">
        <v>1262</v>
      </c>
      <c r="BC413" t="s">
        <v>1782</v>
      </c>
      <c r="BD413">
        <v>1</v>
      </c>
      <c r="BE413">
        <v>46223</v>
      </c>
      <c r="BF413" t="s">
        <v>1165</v>
      </c>
      <c r="BG413" t="s">
        <v>126</v>
      </c>
      <c r="BH413" t="s">
        <v>1873</v>
      </c>
      <c r="BI413" t="s">
        <v>126</v>
      </c>
    </row>
    <row r="414" spans="1:61" x14ac:dyDescent="0.35">
      <c r="A414" s="7" t="str">
        <f t="shared" si="12"/>
        <v>461844300011081</v>
      </c>
      <c r="B414" s="7" t="str">
        <f t="shared" si="13"/>
        <v>GP007339B867</v>
      </c>
      <c r="C414" t="s">
        <v>1177</v>
      </c>
      <c r="D414" t="s">
        <v>1178</v>
      </c>
      <c r="E414" t="s">
        <v>2747</v>
      </c>
      <c r="F414" t="s">
        <v>1363</v>
      </c>
      <c r="G414" t="s">
        <v>1363</v>
      </c>
      <c r="H414" t="s">
        <v>1271</v>
      </c>
      <c r="I414">
        <v>46184</v>
      </c>
      <c r="J414" t="s">
        <v>2748</v>
      </c>
      <c r="K414" t="s">
        <v>1840</v>
      </c>
      <c r="L414" t="s">
        <v>1177</v>
      </c>
      <c r="M414" t="s">
        <v>1274</v>
      </c>
      <c r="N414" t="s">
        <v>1079</v>
      </c>
      <c r="O414" t="s">
        <v>1275</v>
      </c>
      <c r="P414">
        <v>46184</v>
      </c>
      <c r="Q414" t="s">
        <v>1177</v>
      </c>
      <c r="R414" t="s">
        <v>25</v>
      </c>
      <c r="S414" t="s">
        <v>1060</v>
      </c>
      <c r="T414" t="s">
        <v>221</v>
      </c>
      <c r="U414" t="s">
        <v>1672</v>
      </c>
      <c r="V414">
        <v>88</v>
      </c>
      <c r="W414" t="s">
        <v>1262</v>
      </c>
      <c r="X414" t="s">
        <v>1262</v>
      </c>
      <c r="Y414">
        <v>0</v>
      </c>
      <c r="Z414" t="s">
        <v>1186</v>
      </c>
      <c r="AA414" t="s">
        <v>1177</v>
      </c>
      <c r="AB414" t="s">
        <v>1177</v>
      </c>
      <c r="AC414" t="s">
        <v>1177</v>
      </c>
      <c r="AD414" t="s">
        <v>1313</v>
      </c>
      <c r="AE414" t="s">
        <v>1292</v>
      </c>
      <c r="AF414" t="s">
        <v>1189</v>
      </c>
      <c r="AG414" t="s">
        <v>1178</v>
      </c>
      <c r="AH414" t="s">
        <v>1178</v>
      </c>
      <c r="AI414" t="s">
        <v>1280</v>
      </c>
      <c r="AJ414" t="s">
        <v>1189</v>
      </c>
      <c r="AK414">
        <v>88</v>
      </c>
      <c r="AL414" t="s">
        <v>1262</v>
      </c>
      <c r="AM414">
        <v>46442</v>
      </c>
      <c r="AN414">
        <v>46436</v>
      </c>
      <c r="AO414">
        <v>46436</v>
      </c>
      <c r="AP414">
        <v>46440</v>
      </c>
      <c r="AQ414">
        <v>46440</v>
      </c>
      <c r="AR414">
        <v>46442</v>
      </c>
      <c r="AS414">
        <v>46444</v>
      </c>
      <c r="AT414" t="s">
        <v>1281</v>
      </c>
      <c r="AU414" t="s">
        <v>1177</v>
      </c>
      <c r="AV414" t="s">
        <v>1192</v>
      </c>
      <c r="AW414" t="s">
        <v>1177</v>
      </c>
      <c r="AX414">
        <v>54</v>
      </c>
      <c r="AY414">
        <v>2</v>
      </c>
      <c r="AZ414" t="s">
        <v>1177</v>
      </c>
      <c r="BA414">
        <v>0</v>
      </c>
      <c r="BB414" t="s">
        <v>1262</v>
      </c>
      <c r="BC414" t="e">
        <v>#N/A</v>
      </c>
      <c r="BD414" t="e">
        <v>#N/A</v>
      </c>
      <c r="BE414" t="e">
        <v>#N/A</v>
      </c>
      <c r="BF414" t="e">
        <v>#N/A</v>
      </c>
      <c r="BG414" t="s">
        <v>1581</v>
      </c>
      <c r="BH414" t="s">
        <v>1194</v>
      </c>
      <c r="BI414" t="s">
        <v>2749</v>
      </c>
    </row>
    <row r="415" spans="1:61" x14ac:dyDescent="0.35">
      <c r="A415" s="7" t="str">
        <f t="shared" si="12"/>
        <v>461844300011082</v>
      </c>
      <c r="B415" s="7" t="str">
        <f t="shared" si="13"/>
        <v>218150B838</v>
      </c>
      <c r="C415" t="s">
        <v>1177</v>
      </c>
      <c r="D415" t="s">
        <v>1178</v>
      </c>
      <c r="E415" t="s">
        <v>2750</v>
      </c>
      <c r="F415" t="s">
        <v>1363</v>
      </c>
      <c r="G415" t="s">
        <v>1363</v>
      </c>
      <c r="H415" t="s">
        <v>1271</v>
      </c>
      <c r="I415">
        <v>46184</v>
      </c>
      <c r="J415" t="s">
        <v>2751</v>
      </c>
      <c r="K415" t="s">
        <v>1423</v>
      </c>
      <c r="L415" t="s">
        <v>1177</v>
      </c>
      <c r="M415" t="s">
        <v>1274</v>
      </c>
      <c r="N415" t="s">
        <v>1079</v>
      </c>
      <c r="O415" t="s">
        <v>1275</v>
      </c>
      <c r="P415">
        <v>46184</v>
      </c>
      <c r="Q415" t="s">
        <v>1177</v>
      </c>
      <c r="R415" t="s">
        <v>48</v>
      </c>
      <c r="S415" t="s">
        <v>745</v>
      </c>
      <c r="T415" t="s">
        <v>1311</v>
      </c>
      <c r="U415" t="s">
        <v>1312</v>
      </c>
      <c r="V415">
        <v>13</v>
      </c>
      <c r="W415" t="s">
        <v>1262</v>
      </c>
      <c r="X415" t="s">
        <v>1262</v>
      </c>
      <c r="Y415">
        <v>0</v>
      </c>
      <c r="Z415" t="s">
        <v>1186</v>
      </c>
      <c r="AA415" t="s">
        <v>1177</v>
      </c>
      <c r="AB415" t="s">
        <v>1177</v>
      </c>
      <c r="AC415" t="s">
        <v>1177</v>
      </c>
      <c r="AD415" t="s">
        <v>1313</v>
      </c>
      <c r="AE415" t="s">
        <v>1314</v>
      </c>
      <c r="AF415" t="s">
        <v>1189</v>
      </c>
      <c r="AG415" t="s">
        <v>1178</v>
      </c>
      <c r="AH415" t="s">
        <v>1178</v>
      </c>
      <c r="AI415" t="s">
        <v>1280</v>
      </c>
      <c r="AJ415" t="s">
        <v>1189</v>
      </c>
      <c r="AK415">
        <v>13</v>
      </c>
      <c r="AL415" t="s">
        <v>1262</v>
      </c>
      <c r="AM415">
        <v>46477</v>
      </c>
      <c r="AN415">
        <v>46470</v>
      </c>
      <c r="AO415">
        <v>46470</v>
      </c>
      <c r="AP415">
        <v>46475</v>
      </c>
      <c r="AQ415">
        <v>46475</v>
      </c>
      <c r="AR415">
        <v>46477</v>
      </c>
      <c r="AS415">
        <v>46479</v>
      </c>
      <c r="AT415" t="s">
        <v>1281</v>
      </c>
      <c r="AU415" t="s">
        <v>1177</v>
      </c>
      <c r="AV415" t="s">
        <v>1192</v>
      </c>
      <c r="AW415" t="s">
        <v>1177</v>
      </c>
      <c r="AX415">
        <v>84</v>
      </c>
      <c r="AY415">
        <v>2</v>
      </c>
      <c r="AZ415" t="s">
        <v>1177</v>
      </c>
      <c r="BA415">
        <v>0</v>
      </c>
      <c r="BB415" t="s">
        <v>1262</v>
      </c>
      <c r="BC415" t="e">
        <v>#N/A</v>
      </c>
      <c r="BD415" t="e">
        <v>#N/A</v>
      </c>
      <c r="BE415" t="e">
        <v>#N/A</v>
      </c>
      <c r="BF415" t="e">
        <v>#N/A</v>
      </c>
      <c r="BG415" t="e">
        <v>#N/A</v>
      </c>
      <c r="BH415" t="e">
        <v>#N/A</v>
      </c>
      <c r="BI415" t="e">
        <v>#N/A</v>
      </c>
    </row>
    <row r="416" spans="1:61" x14ac:dyDescent="0.35">
      <c r="A416" s="7" t="str">
        <f t="shared" si="12"/>
        <v>461844300011084</v>
      </c>
      <c r="B416" s="7" t="str">
        <f t="shared" si="13"/>
        <v>218150B833</v>
      </c>
      <c r="C416" t="s">
        <v>1177</v>
      </c>
      <c r="D416" t="s">
        <v>1178</v>
      </c>
      <c r="E416" t="s">
        <v>2752</v>
      </c>
      <c r="F416" t="s">
        <v>1363</v>
      </c>
      <c r="G416" t="s">
        <v>1363</v>
      </c>
      <c r="H416" t="s">
        <v>1271</v>
      </c>
      <c r="I416">
        <v>46184</v>
      </c>
      <c r="J416" t="s">
        <v>2753</v>
      </c>
      <c r="K416" t="s">
        <v>1380</v>
      </c>
      <c r="L416" t="s">
        <v>1177</v>
      </c>
      <c r="M416" t="s">
        <v>1274</v>
      </c>
      <c r="N416" t="s">
        <v>1079</v>
      </c>
      <c r="O416" t="s">
        <v>1275</v>
      </c>
      <c r="P416">
        <v>46184</v>
      </c>
      <c r="Q416" t="s">
        <v>1177</v>
      </c>
      <c r="R416" t="s">
        <v>697</v>
      </c>
      <c r="S416" t="s">
        <v>699</v>
      </c>
      <c r="T416" t="s">
        <v>1311</v>
      </c>
      <c r="U416" t="s">
        <v>1312</v>
      </c>
      <c r="V416">
        <v>23</v>
      </c>
      <c r="W416" t="s">
        <v>1262</v>
      </c>
      <c r="X416" t="s">
        <v>1262</v>
      </c>
      <c r="Y416">
        <v>0</v>
      </c>
      <c r="Z416" t="s">
        <v>1186</v>
      </c>
      <c r="AA416" t="s">
        <v>1177</v>
      </c>
      <c r="AB416" t="s">
        <v>1177</v>
      </c>
      <c r="AC416" t="s">
        <v>1177</v>
      </c>
      <c r="AD416" t="s">
        <v>1313</v>
      </c>
      <c r="AE416" t="s">
        <v>1314</v>
      </c>
      <c r="AF416" t="s">
        <v>1189</v>
      </c>
      <c r="AG416" t="s">
        <v>1178</v>
      </c>
      <c r="AH416" t="s">
        <v>1178</v>
      </c>
      <c r="AI416" t="s">
        <v>1349</v>
      </c>
      <c r="AJ416" t="s">
        <v>1189</v>
      </c>
      <c r="AK416">
        <v>23</v>
      </c>
      <c r="AL416" t="s">
        <v>1262</v>
      </c>
      <c r="AM416">
        <v>46507</v>
      </c>
      <c r="AN416">
        <v>46503</v>
      </c>
      <c r="AO416">
        <v>46503</v>
      </c>
      <c r="AP416">
        <v>46505</v>
      </c>
      <c r="AQ416">
        <v>46505</v>
      </c>
      <c r="AR416">
        <v>46507</v>
      </c>
      <c r="AS416">
        <v>46511</v>
      </c>
      <c r="AT416" t="s">
        <v>1281</v>
      </c>
      <c r="AU416" t="s">
        <v>1177</v>
      </c>
      <c r="AV416" t="s">
        <v>1192</v>
      </c>
      <c r="AW416" t="s">
        <v>1177</v>
      </c>
      <c r="AX416">
        <v>84</v>
      </c>
      <c r="AY416">
        <v>2</v>
      </c>
      <c r="AZ416" t="s">
        <v>1177</v>
      </c>
      <c r="BA416">
        <v>0</v>
      </c>
      <c r="BB416" t="s">
        <v>1262</v>
      </c>
      <c r="BC416" t="e">
        <v>#N/A</v>
      </c>
      <c r="BD416" t="e">
        <v>#N/A</v>
      </c>
      <c r="BE416" t="e">
        <v>#N/A</v>
      </c>
      <c r="BF416" t="e">
        <v>#N/A</v>
      </c>
      <c r="BG416" t="s">
        <v>1581</v>
      </c>
      <c r="BH416" t="s">
        <v>1194</v>
      </c>
      <c r="BI416" t="s">
        <v>2351</v>
      </c>
    </row>
    <row r="417" spans="1:61" x14ac:dyDescent="0.35">
      <c r="A417" s="7" t="str">
        <f t="shared" si="12"/>
        <v>461844300011085</v>
      </c>
      <c r="B417" s="7" t="str">
        <f t="shared" si="13"/>
        <v>218150B825</v>
      </c>
      <c r="C417" t="s">
        <v>1177</v>
      </c>
      <c r="D417" t="s">
        <v>1178</v>
      </c>
      <c r="E417" t="s">
        <v>2754</v>
      </c>
      <c r="F417" t="s">
        <v>1363</v>
      </c>
      <c r="G417" t="s">
        <v>1363</v>
      </c>
      <c r="H417" t="s">
        <v>1271</v>
      </c>
      <c r="I417">
        <v>46184</v>
      </c>
      <c r="J417" t="s">
        <v>2755</v>
      </c>
      <c r="K417" t="s">
        <v>1406</v>
      </c>
      <c r="L417" t="s">
        <v>1177</v>
      </c>
      <c r="M417" t="s">
        <v>1274</v>
      </c>
      <c r="N417" t="s">
        <v>1079</v>
      </c>
      <c r="O417" t="s">
        <v>1275</v>
      </c>
      <c r="P417">
        <v>46184</v>
      </c>
      <c r="Q417" t="s">
        <v>1177</v>
      </c>
      <c r="R417" t="s">
        <v>16</v>
      </c>
      <c r="S417" t="s">
        <v>512</v>
      </c>
      <c r="T417" t="s">
        <v>1311</v>
      </c>
      <c r="U417" t="s">
        <v>1312</v>
      </c>
      <c r="V417">
        <v>110</v>
      </c>
      <c r="W417" t="s">
        <v>1262</v>
      </c>
      <c r="X417" t="s">
        <v>1262</v>
      </c>
      <c r="Y417">
        <v>0</v>
      </c>
      <c r="Z417" t="s">
        <v>1186</v>
      </c>
      <c r="AA417" t="s">
        <v>1177</v>
      </c>
      <c r="AB417" t="s">
        <v>1177</v>
      </c>
      <c r="AC417" t="s">
        <v>1177</v>
      </c>
      <c r="AD417" t="s">
        <v>1313</v>
      </c>
      <c r="AE417" t="s">
        <v>1314</v>
      </c>
      <c r="AF417" t="s">
        <v>1189</v>
      </c>
      <c r="AG417" t="s">
        <v>1178</v>
      </c>
      <c r="AH417" t="s">
        <v>1178</v>
      </c>
      <c r="AI417" t="s">
        <v>1349</v>
      </c>
      <c r="AJ417" t="s">
        <v>1189</v>
      </c>
      <c r="AK417">
        <v>110</v>
      </c>
      <c r="AL417" t="s">
        <v>1262</v>
      </c>
      <c r="AM417">
        <v>46444</v>
      </c>
      <c r="AN417">
        <v>46440</v>
      </c>
      <c r="AO417">
        <v>46440</v>
      </c>
      <c r="AP417">
        <v>46442</v>
      </c>
      <c r="AQ417">
        <v>46442</v>
      </c>
      <c r="AR417">
        <v>46444</v>
      </c>
      <c r="AS417">
        <v>46448</v>
      </c>
      <c r="AT417" t="s">
        <v>1281</v>
      </c>
      <c r="AU417" t="s">
        <v>1177</v>
      </c>
      <c r="AV417" t="s">
        <v>1192</v>
      </c>
      <c r="AW417" t="s">
        <v>1177</v>
      </c>
      <c r="AX417">
        <v>84</v>
      </c>
      <c r="AY417">
        <v>2</v>
      </c>
      <c r="AZ417" t="s">
        <v>1177</v>
      </c>
      <c r="BA417">
        <v>0</v>
      </c>
      <c r="BB417" t="s">
        <v>1262</v>
      </c>
      <c r="BC417" t="e">
        <v>#N/A</v>
      </c>
      <c r="BD417" t="e">
        <v>#N/A</v>
      </c>
      <c r="BE417" t="e">
        <v>#N/A</v>
      </c>
      <c r="BF417" t="e">
        <v>#N/A</v>
      </c>
      <c r="BG417" t="s">
        <v>1581</v>
      </c>
      <c r="BH417" t="s">
        <v>1194</v>
      </c>
      <c r="BI417" t="s">
        <v>2756</v>
      </c>
    </row>
    <row r="418" spans="1:61" x14ac:dyDescent="0.35">
      <c r="A418" s="7" t="str">
        <f t="shared" si="12"/>
        <v>461844300011090</v>
      </c>
      <c r="B418" s="7" t="str">
        <f t="shared" si="13"/>
        <v>GP029282B864</v>
      </c>
      <c r="C418" t="s">
        <v>1177</v>
      </c>
      <c r="D418" t="s">
        <v>1178</v>
      </c>
      <c r="E418" t="s">
        <v>2757</v>
      </c>
      <c r="F418" t="s">
        <v>1363</v>
      </c>
      <c r="G418" t="s">
        <v>1363</v>
      </c>
      <c r="H418" t="s">
        <v>1271</v>
      </c>
      <c r="I418">
        <v>46184</v>
      </c>
      <c r="J418" t="s">
        <v>2758</v>
      </c>
      <c r="K418" t="s">
        <v>1199</v>
      </c>
      <c r="L418" t="s">
        <v>1177</v>
      </c>
      <c r="M418" t="s">
        <v>1274</v>
      </c>
      <c r="N418" t="s">
        <v>1079</v>
      </c>
      <c r="O418" t="s">
        <v>1275</v>
      </c>
      <c r="P418">
        <v>46191</v>
      </c>
      <c r="Q418" t="s">
        <v>1177</v>
      </c>
      <c r="R418" t="s">
        <v>10</v>
      </c>
      <c r="S418" t="s">
        <v>1011</v>
      </c>
      <c r="T418" t="s">
        <v>378</v>
      </c>
      <c r="U418" t="s">
        <v>2759</v>
      </c>
      <c r="V418">
        <v>12</v>
      </c>
      <c r="W418" t="s">
        <v>1262</v>
      </c>
      <c r="X418" t="s">
        <v>1262</v>
      </c>
      <c r="Y418">
        <v>0</v>
      </c>
      <c r="Z418" t="s">
        <v>1186</v>
      </c>
      <c r="AA418" t="s">
        <v>1177</v>
      </c>
      <c r="AB418" t="s">
        <v>1286</v>
      </c>
      <c r="AC418" t="s">
        <v>1277</v>
      </c>
      <c r="AD418" t="s">
        <v>1278</v>
      </c>
      <c r="AE418" t="s">
        <v>1383</v>
      </c>
      <c r="AF418" t="s">
        <v>1178</v>
      </c>
      <c r="AG418" t="s">
        <v>1178</v>
      </c>
      <c r="AH418" t="s">
        <v>1178</v>
      </c>
      <c r="AI418" t="s">
        <v>1177</v>
      </c>
      <c r="AJ418" t="s">
        <v>1190</v>
      </c>
      <c r="AK418">
        <v>0</v>
      </c>
      <c r="AL418" t="s">
        <v>1262</v>
      </c>
      <c r="AM418">
        <v>46199</v>
      </c>
      <c r="AN418">
        <v>46189</v>
      </c>
      <c r="AO418">
        <v>46189</v>
      </c>
      <c r="AP418">
        <v>46191</v>
      </c>
      <c r="AQ418">
        <v>46191</v>
      </c>
      <c r="AR418">
        <v>46192</v>
      </c>
      <c r="AS418">
        <v>46203</v>
      </c>
      <c r="AT418" t="s">
        <v>1281</v>
      </c>
      <c r="AU418" t="s">
        <v>1177</v>
      </c>
      <c r="AV418" t="s">
        <v>1192</v>
      </c>
      <c r="AW418" t="s">
        <v>1177</v>
      </c>
      <c r="AX418">
        <v>71</v>
      </c>
      <c r="AY418">
        <v>2</v>
      </c>
      <c r="AZ418" t="s">
        <v>1177</v>
      </c>
      <c r="BA418">
        <v>12</v>
      </c>
      <c r="BB418" t="s">
        <v>1262</v>
      </c>
      <c r="BC418" t="s">
        <v>2665</v>
      </c>
      <c r="BD418">
        <v>12</v>
      </c>
      <c r="BE418">
        <v>46202</v>
      </c>
      <c r="BF418" t="s">
        <v>1165</v>
      </c>
      <c r="BG418" t="s">
        <v>1458</v>
      </c>
      <c r="BH418" t="s">
        <v>1194</v>
      </c>
      <c r="BI418" t="s">
        <v>2361</v>
      </c>
    </row>
    <row r="419" spans="1:61" x14ac:dyDescent="0.35">
      <c r="A419" s="7" t="str">
        <f t="shared" si="12"/>
        <v>461844300011091</v>
      </c>
      <c r="B419" s="7" t="str">
        <f t="shared" si="13"/>
        <v>GP263048B838</v>
      </c>
      <c r="C419" t="s">
        <v>1177</v>
      </c>
      <c r="D419" t="s">
        <v>1178</v>
      </c>
      <c r="E419" t="s">
        <v>2760</v>
      </c>
      <c r="F419" t="s">
        <v>1363</v>
      </c>
      <c r="G419" t="s">
        <v>1363</v>
      </c>
      <c r="H419" t="s">
        <v>1271</v>
      </c>
      <c r="I419">
        <v>46184</v>
      </c>
      <c r="J419" t="s">
        <v>2761</v>
      </c>
      <c r="K419" t="s">
        <v>1182</v>
      </c>
      <c r="L419" t="s">
        <v>1177</v>
      </c>
      <c r="M419" t="s">
        <v>1274</v>
      </c>
      <c r="N419" t="s">
        <v>1079</v>
      </c>
      <c r="O419" t="s">
        <v>1275</v>
      </c>
      <c r="P419">
        <v>46184</v>
      </c>
      <c r="Q419" t="s">
        <v>1177</v>
      </c>
      <c r="R419" t="s">
        <v>48</v>
      </c>
      <c r="S419" t="s">
        <v>745</v>
      </c>
      <c r="T419" t="s">
        <v>327</v>
      </c>
      <c r="U419" t="s">
        <v>328</v>
      </c>
      <c r="V419">
        <v>2</v>
      </c>
      <c r="W419" t="s">
        <v>1262</v>
      </c>
      <c r="X419" t="s">
        <v>1262</v>
      </c>
      <c r="Y419">
        <v>0</v>
      </c>
      <c r="Z419" t="s">
        <v>1186</v>
      </c>
      <c r="AA419" t="s">
        <v>1177</v>
      </c>
      <c r="AB419" t="s">
        <v>1276</v>
      </c>
      <c r="AC419" t="s">
        <v>1277</v>
      </c>
      <c r="AD419" t="s">
        <v>1278</v>
      </c>
      <c r="AE419" t="s">
        <v>1359</v>
      </c>
      <c r="AF419" t="s">
        <v>1178</v>
      </c>
      <c r="AG419" t="s">
        <v>1190</v>
      </c>
      <c r="AH419" t="s">
        <v>1178</v>
      </c>
      <c r="AI419" t="s">
        <v>1177</v>
      </c>
      <c r="AJ419" t="s">
        <v>1190</v>
      </c>
      <c r="AK419">
        <v>0</v>
      </c>
      <c r="AL419" t="s">
        <v>1262</v>
      </c>
      <c r="AM419">
        <v>46161</v>
      </c>
      <c r="AN419">
        <v>46378</v>
      </c>
      <c r="AO419">
        <v>46185</v>
      </c>
      <c r="AP419">
        <v>46188</v>
      </c>
      <c r="AQ419">
        <v>46188</v>
      </c>
      <c r="AR419">
        <v>46190</v>
      </c>
      <c r="AS419">
        <v>46199</v>
      </c>
      <c r="AT419" t="s">
        <v>1281</v>
      </c>
      <c r="AU419" t="s">
        <v>1177</v>
      </c>
      <c r="AV419" t="s">
        <v>1192</v>
      </c>
      <c r="AW419" t="s">
        <v>1177</v>
      </c>
      <c r="AX419">
        <v>33</v>
      </c>
      <c r="AY419">
        <v>2</v>
      </c>
      <c r="AZ419" t="s">
        <v>1177</v>
      </c>
      <c r="BA419">
        <v>0</v>
      </c>
      <c r="BB419" t="s">
        <v>1262</v>
      </c>
      <c r="BC419" t="e">
        <v>#N/A</v>
      </c>
      <c r="BD419" t="e">
        <v>#N/A</v>
      </c>
      <c r="BE419" t="e">
        <v>#N/A</v>
      </c>
      <c r="BF419" t="e">
        <v>#N/A</v>
      </c>
      <c r="BG419" t="e">
        <v>#N/A</v>
      </c>
      <c r="BH419" t="e">
        <v>#N/A</v>
      </c>
      <c r="BI419" t="e">
        <v>#N/A</v>
      </c>
    </row>
    <row r="420" spans="1:61" x14ac:dyDescent="0.35">
      <c r="A420" s="7" t="str">
        <f t="shared" si="12"/>
        <v>461844300011094</v>
      </c>
      <c r="B420" s="7" t="str">
        <f t="shared" si="13"/>
        <v>GP525859B857</v>
      </c>
      <c r="C420" t="s">
        <v>1177</v>
      </c>
      <c r="D420" t="s">
        <v>1178</v>
      </c>
      <c r="E420" t="s">
        <v>2762</v>
      </c>
      <c r="F420" t="s">
        <v>1363</v>
      </c>
      <c r="G420" t="s">
        <v>1363</v>
      </c>
      <c r="H420" t="s">
        <v>1271</v>
      </c>
      <c r="I420">
        <v>46184</v>
      </c>
      <c r="J420" t="s">
        <v>2763</v>
      </c>
      <c r="K420" t="s">
        <v>1182</v>
      </c>
      <c r="L420" t="s">
        <v>1177</v>
      </c>
      <c r="M420" t="s">
        <v>1274</v>
      </c>
      <c r="N420" t="s">
        <v>1079</v>
      </c>
      <c r="O420" t="s">
        <v>1275</v>
      </c>
      <c r="P420">
        <v>46184</v>
      </c>
      <c r="Q420" t="s">
        <v>1177</v>
      </c>
      <c r="R420" t="s">
        <v>23</v>
      </c>
      <c r="S420" t="s">
        <v>959</v>
      </c>
      <c r="T420" t="s">
        <v>110</v>
      </c>
      <c r="U420" t="s">
        <v>111</v>
      </c>
      <c r="V420">
        <v>30</v>
      </c>
      <c r="W420" t="s">
        <v>1262</v>
      </c>
      <c r="X420" t="s">
        <v>1262</v>
      </c>
      <c r="Y420">
        <v>0</v>
      </c>
      <c r="Z420" t="s">
        <v>1186</v>
      </c>
      <c r="AA420" t="s">
        <v>1177</v>
      </c>
      <c r="AB420" t="s">
        <v>1276</v>
      </c>
      <c r="AC420" t="s">
        <v>1277</v>
      </c>
      <c r="AD420" t="s">
        <v>1278</v>
      </c>
      <c r="AE420" t="s">
        <v>1284</v>
      </c>
      <c r="AF420" t="s">
        <v>1178</v>
      </c>
      <c r="AG420" t="s">
        <v>1190</v>
      </c>
      <c r="AH420" t="s">
        <v>1178</v>
      </c>
      <c r="AI420" t="s">
        <v>1280</v>
      </c>
      <c r="AJ420" t="s">
        <v>1190</v>
      </c>
      <c r="AK420">
        <v>0</v>
      </c>
      <c r="AL420" t="s">
        <v>1262</v>
      </c>
      <c r="AM420">
        <v>46253</v>
      </c>
      <c r="AN420">
        <v>46352</v>
      </c>
      <c r="AO420">
        <v>46247</v>
      </c>
      <c r="AP420">
        <v>46251</v>
      </c>
      <c r="AQ420">
        <v>46251</v>
      </c>
      <c r="AR420">
        <v>46253</v>
      </c>
      <c r="AS420">
        <v>46255</v>
      </c>
      <c r="AT420" t="s">
        <v>1281</v>
      </c>
      <c r="AU420" t="s">
        <v>1177</v>
      </c>
      <c r="AV420" t="s">
        <v>1192</v>
      </c>
      <c r="AW420" t="s">
        <v>1177</v>
      </c>
      <c r="AX420">
        <v>33</v>
      </c>
      <c r="AY420">
        <v>2</v>
      </c>
      <c r="AZ420" t="s">
        <v>1177</v>
      </c>
      <c r="BA420">
        <v>0</v>
      </c>
      <c r="BB420" t="s">
        <v>1262</v>
      </c>
      <c r="BC420" t="e">
        <v>#N/A</v>
      </c>
      <c r="BD420" t="e">
        <v>#N/A</v>
      </c>
      <c r="BE420" t="e">
        <v>#N/A</v>
      </c>
      <c r="BF420" t="e">
        <v>#N/A</v>
      </c>
      <c r="BG420" t="s">
        <v>1212</v>
      </c>
      <c r="BH420" t="s">
        <v>1194</v>
      </c>
      <c r="BI420" t="s">
        <v>2764</v>
      </c>
    </row>
    <row r="421" spans="1:61" x14ac:dyDescent="0.35">
      <c r="A421" s="7" t="str">
        <f t="shared" si="12"/>
        <v>461844300011095</v>
      </c>
      <c r="B421" s="7" t="str">
        <f t="shared" si="13"/>
        <v>GP082783B867</v>
      </c>
      <c r="C421" t="s">
        <v>1177</v>
      </c>
      <c r="D421" t="s">
        <v>1178</v>
      </c>
      <c r="E421" t="s">
        <v>2766</v>
      </c>
      <c r="F421" t="s">
        <v>1363</v>
      </c>
      <c r="G421" t="s">
        <v>1363</v>
      </c>
      <c r="H421" t="s">
        <v>1271</v>
      </c>
      <c r="I421">
        <v>46184</v>
      </c>
      <c r="J421" t="s">
        <v>2767</v>
      </c>
      <c r="K421" t="s">
        <v>1406</v>
      </c>
      <c r="L421" t="s">
        <v>1177</v>
      </c>
      <c r="M421" t="s">
        <v>1274</v>
      </c>
      <c r="N421" t="s">
        <v>1079</v>
      </c>
      <c r="O421" t="s">
        <v>1275</v>
      </c>
      <c r="P421">
        <v>46184</v>
      </c>
      <c r="Q421" t="s">
        <v>1177</v>
      </c>
      <c r="R421" t="s">
        <v>25</v>
      </c>
      <c r="S421" t="s">
        <v>1060</v>
      </c>
      <c r="T421" t="s">
        <v>50</v>
      </c>
      <c r="U421" t="s">
        <v>51</v>
      </c>
      <c r="V421">
        <v>10</v>
      </c>
      <c r="W421" t="s">
        <v>1262</v>
      </c>
      <c r="X421" t="s">
        <v>1262</v>
      </c>
      <c r="Y421">
        <v>0</v>
      </c>
      <c r="Z421" t="s">
        <v>1186</v>
      </c>
      <c r="AA421" t="s">
        <v>1177</v>
      </c>
      <c r="AB421" t="s">
        <v>1276</v>
      </c>
      <c r="AC421" t="s">
        <v>1277</v>
      </c>
      <c r="AD421" t="s">
        <v>1278</v>
      </c>
      <c r="AE421" t="s">
        <v>1618</v>
      </c>
      <c r="AF421" t="s">
        <v>1178</v>
      </c>
      <c r="AG421" t="s">
        <v>1190</v>
      </c>
      <c r="AH421" t="s">
        <v>1178</v>
      </c>
      <c r="AI421" t="s">
        <v>1280</v>
      </c>
      <c r="AJ421" t="s">
        <v>1190</v>
      </c>
      <c r="AK421">
        <v>0</v>
      </c>
      <c r="AL421" t="s">
        <v>1262</v>
      </c>
      <c r="AM421">
        <v>46253</v>
      </c>
      <c r="AN421">
        <v>46247</v>
      </c>
      <c r="AO421">
        <v>46247</v>
      </c>
      <c r="AP421">
        <v>46251</v>
      </c>
      <c r="AQ421">
        <v>46251</v>
      </c>
      <c r="AR421">
        <v>46253</v>
      </c>
      <c r="AS421">
        <v>46255</v>
      </c>
      <c r="AT421" t="s">
        <v>1281</v>
      </c>
      <c r="AU421" t="s">
        <v>1177</v>
      </c>
      <c r="AV421" t="s">
        <v>1192</v>
      </c>
      <c r="AW421" t="s">
        <v>1177</v>
      </c>
      <c r="AX421">
        <v>33</v>
      </c>
      <c r="AY421">
        <v>2</v>
      </c>
      <c r="AZ421" t="s">
        <v>1177</v>
      </c>
      <c r="BA421">
        <v>0</v>
      </c>
      <c r="BB421" t="s">
        <v>1262</v>
      </c>
      <c r="BC421" t="s">
        <v>1621</v>
      </c>
      <c r="BD421">
        <v>3</v>
      </c>
      <c r="BE421">
        <v>46237</v>
      </c>
      <c r="BF421" t="s">
        <v>1165</v>
      </c>
      <c r="BG421" t="s">
        <v>1212</v>
      </c>
      <c r="BH421" t="s">
        <v>1194</v>
      </c>
      <c r="BI421" t="s">
        <v>2768</v>
      </c>
    </row>
    <row r="422" spans="1:61" x14ac:dyDescent="0.35">
      <c r="A422" s="7" t="str">
        <f t="shared" si="12"/>
        <v>461854300011100</v>
      </c>
      <c r="B422" s="7" t="str">
        <f t="shared" si="13"/>
        <v>GP202343B833</v>
      </c>
      <c r="C422" t="s">
        <v>2770</v>
      </c>
      <c r="D422" t="s">
        <v>1426</v>
      </c>
      <c r="E422" t="s">
        <v>1177</v>
      </c>
      <c r="F422" t="s">
        <v>2380</v>
      </c>
      <c r="G422" t="s">
        <v>2368</v>
      </c>
      <c r="H422" t="s">
        <v>1271</v>
      </c>
      <c r="I422">
        <v>46185</v>
      </c>
      <c r="J422" t="s">
        <v>2771</v>
      </c>
      <c r="K422" t="s">
        <v>1426</v>
      </c>
      <c r="L422" t="s">
        <v>1177</v>
      </c>
      <c r="M422" t="s">
        <v>1274</v>
      </c>
      <c r="N422" t="s">
        <v>1079</v>
      </c>
      <c r="O422" t="s">
        <v>1080</v>
      </c>
      <c r="P422">
        <v>46185</v>
      </c>
      <c r="Q422" t="s">
        <v>1177</v>
      </c>
      <c r="R422" t="s">
        <v>697</v>
      </c>
      <c r="S422" t="s">
        <v>699</v>
      </c>
      <c r="T422" t="s">
        <v>184</v>
      </c>
      <c r="U422" t="s">
        <v>1823</v>
      </c>
      <c r="V422">
        <v>20</v>
      </c>
      <c r="W422" t="s">
        <v>1185</v>
      </c>
      <c r="X422" t="s">
        <v>1185</v>
      </c>
      <c r="Y422">
        <v>0</v>
      </c>
      <c r="Z422" t="s">
        <v>1186</v>
      </c>
      <c r="AA422" t="s">
        <v>1177</v>
      </c>
      <c r="AB422" t="s">
        <v>1177</v>
      </c>
      <c r="AC422" t="s">
        <v>1177</v>
      </c>
      <c r="AD422" t="s">
        <v>1204</v>
      </c>
      <c r="AE422" t="s">
        <v>1824</v>
      </c>
      <c r="AF422" t="s">
        <v>1189</v>
      </c>
      <c r="AG422" t="s">
        <v>1178</v>
      </c>
      <c r="AH422" t="s">
        <v>1178</v>
      </c>
      <c r="AI422" t="s">
        <v>1349</v>
      </c>
      <c r="AJ422" t="s">
        <v>1189</v>
      </c>
      <c r="AK422">
        <v>20</v>
      </c>
      <c r="AL422" t="s">
        <v>1185</v>
      </c>
      <c r="AM422">
        <v>46241</v>
      </c>
      <c r="AN422">
        <v>46237</v>
      </c>
      <c r="AO422">
        <v>46237</v>
      </c>
      <c r="AP422">
        <v>46239</v>
      </c>
      <c r="AQ422">
        <v>46239</v>
      </c>
      <c r="AR422">
        <v>46241</v>
      </c>
      <c r="AS422">
        <v>46245</v>
      </c>
      <c r="AT422" t="s">
        <v>1281</v>
      </c>
      <c r="AU422" t="s">
        <v>1177</v>
      </c>
      <c r="AV422" t="s">
        <v>1192</v>
      </c>
      <c r="AW422" t="s">
        <v>1177</v>
      </c>
      <c r="AX422">
        <v>62</v>
      </c>
      <c r="AY422">
        <v>2</v>
      </c>
      <c r="AZ422" t="s">
        <v>1177</v>
      </c>
      <c r="BA422">
        <v>0</v>
      </c>
      <c r="BB422" t="s">
        <v>1185</v>
      </c>
      <c r="BC422" t="s">
        <v>2772</v>
      </c>
      <c r="BD422">
        <v>190</v>
      </c>
      <c r="BE422">
        <v>46188</v>
      </c>
      <c r="BF422" t="s">
        <v>1165</v>
      </c>
      <c r="BG422" t="s">
        <v>1458</v>
      </c>
      <c r="BH422" t="e">
        <v>#N/A</v>
      </c>
      <c r="BI422" t="e">
        <v>#N/A</v>
      </c>
    </row>
    <row r="423" spans="1:61" x14ac:dyDescent="0.35">
      <c r="A423" s="7" t="str">
        <f t="shared" si="12"/>
        <v>461854300011103</v>
      </c>
      <c r="B423" s="7" t="str">
        <f t="shared" si="13"/>
        <v>GP440909B857</v>
      </c>
      <c r="C423" t="s">
        <v>1177</v>
      </c>
      <c r="D423" t="s">
        <v>1178</v>
      </c>
      <c r="E423" t="s">
        <v>1944</v>
      </c>
      <c r="F423" t="s">
        <v>1363</v>
      </c>
      <c r="G423" t="s">
        <v>1363</v>
      </c>
      <c r="H423" t="s">
        <v>1271</v>
      </c>
      <c r="I423">
        <v>46185</v>
      </c>
      <c r="J423" t="s">
        <v>2775</v>
      </c>
      <c r="K423" t="s">
        <v>1182</v>
      </c>
      <c r="L423" t="s">
        <v>1177</v>
      </c>
      <c r="M423" t="s">
        <v>1274</v>
      </c>
      <c r="N423" t="s">
        <v>1079</v>
      </c>
      <c r="O423" t="s">
        <v>1275</v>
      </c>
      <c r="P423">
        <v>46185</v>
      </c>
      <c r="Q423" t="s">
        <v>1177</v>
      </c>
      <c r="R423" t="s">
        <v>23</v>
      </c>
      <c r="S423" t="s">
        <v>959</v>
      </c>
      <c r="T423" t="s">
        <v>1945</v>
      </c>
      <c r="U423" t="s">
        <v>1946</v>
      </c>
      <c r="V423">
        <v>4</v>
      </c>
      <c r="W423" t="s">
        <v>1262</v>
      </c>
      <c r="X423" t="s">
        <v>1262</v>
      </c>
      <c r="Y423">
        <v>0</v>
      </c>
      <c r="Z423" t="s">
        <v>1186</v>
      </c>
      <c r="AA423" t="s">
        <v>1177</v>
      </c>
      <c r="AB423" t="s">
        <v>1276</v>
      </c>
      <c r="AC423" t="s">
        <v>1277</v>
      </c>
      <c r="AD423" t="s">
        <v>1278</v>
      </c>
      <c r="AE423" t="s">
        <v>1623</v>
      </c>
      <c r="AF423" t="s">
        <v>1178</v>
      </c>
      <c r="AG423" t="s">
        <v>1190</v>
      </c>
      <c r="AH423" t="s">
        <v>1178</v>
      </c>
      <c r="AI423" t="s">
        <v>1177</v>
      </c>
      <c r="AJ423" t="s">
        <v>1190</v>
      </c>
      <c r="AK423">
        <v>0</v>
      </c>
      <c r="AL423" t="s">
        <v>1262</v>
      </c>
      <c r="AM423">
        <v>45992</v>
      </c>
      <c r="AN423">
        <v>46456</v>
      </c>
      <c r="AO423">
        <v>46188</v>
      </c>
      <c r="AP423">
        <v>46190</v>
      </c>
      <c r="AQ423">
        <v>46190</v>
      </c>
      <c r="AR423">
        <v>46191</v>
      </c>
      <c r="AS423">
        <v>46200</v>
      </c>
      <c r="AT423" t="s">
        <v>1281</v>
      </c>
      <c r="AU423" t="s">
        <v>1177</v>
      </c>
      <c r="AV423" t="s">
        <v>1192</v>
      </c>
      <c r="AW423" t="s">
        <v>1177</v>
      </c>
      <c r="AX423">
        <v>249</v>
      </c>
      <c r="AY423">
        <v>2</v>
      </c>
      <c r="AZ423" t="s">
        <v>1177</v>
      </c>
      <c r="BA423">
        <v>0</v>
      </c>
      <c r="BB423" t="s">
        <v>1262</v>
      </c>
      <c r="BC423" t="s">
        <v>2776</v>
      </c>
      <c r="BD423">
        <v>2</v>
      </c>
      <c r="BE423">
        <v>46293</v>
      </c>
      <c r="BF423" t="s">
        <v>1165</v>
      </c>
      <c r="BG423" t="s">
        <v>1212</v>
      </c>
      <c r="BH423" t="s">
        <v>1194</v>
      </c>
      <c r="BI423" t="s">
        <v>1212</v>
      </c>
    </row>
    <row r="424" spans="1:61" x14ac:dyDescent="0.35">
      <c r="A424" s="7" t="str">
        <f t="shared" si="12"/>
        <v>461854300011104</v>
      </c>
      <c r="B424" s="7" t="str">
        <f t="shared" si="13"/>
        <v>GP440220B867</v>
      </c>
      <c r="C424" t="s">
        <v>1177</v>
      </c>
      <c r="D424" t="s">
        <v>1178</v>
      </c>
      <c r="E424" t="s">
        <v>1947</v>
      </c>
      <c r="F424" t="s">
        <v>1363</v>
      </c>
      <c r="G424" t="s">
        <v>1363</v>
      </c>
      <c r="H424" t="s">
        <v>1271</v>
      </c>
      <c r="I424">
        <v>46185</v>
      </c>
      <c r="J424" t="s">
        <v>2777</v>
      </c>
      <c r="K424" t="s">
        <v>1198</v>
      </c>
      <c r="L424" t="s">
        <v>1177</v>
      </c>
      <c r="M424" t="s">
        <v>1274</v>
      </c>
      <c r="N424" t="s">
        <v>1079</v>
      </c>
      <c r="O424" t="s">
        <v>1275</v>
      </c>
      <c r="P424">
        <v>46185</v>
      </c>
      <c r="Q424" t="s">
        <v>1177</v>
      </c>
      <c r="R424" t="s">
        <v>25</v>
      </c>
      <c r="S424" t="s">
        <v>1060</v>
      </c>
      <c r="T424" t="s">
        <v>1056</v>
      </c>
      <c r="U424" t="s">
        <v>1057</v>
      </c>
      <c r="V424">
        <v>6</v>
      </c>
      <c r="W424" t="s">
        <v>1262</v>
      </c>
      <c r="X424" t="s">
        <v>1262</v>
      </c>
      <c r="Y424">
        <v>0</v>
      </c>
      <c r="Z424" t="s">
        <v>1186</v>
      </c>
      <c r="AA424" t="s">
        <v>1177</v>
      </c>
      <c r="AB424" t="s">
        <v>1276</v>
      </c>
      <c r="AC424" t="s">
        <v>1277</v>
      </c>
      <c r="AD424" t="s">
        <v>1278</v>
      </c>
      <c r="AE424" t="s">
        <v>1284</v>
      </c>
      <c r="AF424" t="s">
        <v>1178</v>
      </c>
      <c r="AG424" t="s">
        <v>1190</v>
      </c>
      <c r="AH424" t="s">
        <v>1178</v>
      </c>
      <c r="AI424" t="s">
        <v>1177</v>
      </c>
      <c r="AJ424" t="s">
        <v>1190</v>
      </c>
      <c r="AK424">
        <v>0</v>
      </c>
      <c r="AL424" t="s">
        <v>1262</v>
      </c>
      <c r="AM424">
        <v>45992</v>
      </c>
      <c r="AN424">
        <v>46364</v>
      </c>
      <c r="AO424">
        <v>46188</v>
      </c>
      <c r="AP424">
        <v>46190</v>
      </c>
      <c r="AQ424">
        <v>46190</v>
      </c>
      <c r="AR424">
        <v>46191</v>
      </c>
      <c r="AS424">
        <v>46200</v>
      </c>
      <c r="AT424" t="s">
        <v>1281</v>
      </c>
      <c r="AU424" t="s">
        <v>1177</v>
      </c>
      <c r="AV424" t="s">
        <v>1192</v>
      </c>
      <c r="AW424" t="s">
        <v>1177</v>
      </c>
      <c r="AX424">
        <v>163</v>
      </c>
      <c r="AY424">
        <v>2</v>
      </c>
      <c r="AZ424" t="s">
        <v>1177</v>
      </c>
      <c r="BA424">
        <v>0</v>
      </c>
      <c r="BB424" t="s">
        <v>1262</v>
      </c>
      <c r="BC424" t="e">
        <v>#N/A</v>
      </c>
      <c r="BD424" t="e">
        <v>#N/A</v>
      </c>
      <c r="BE424" t="e">
        <v>#N/A</v>
      </c>
      <c r="BF424" t="e">
        <v>#N/A</v>
      </c>
      <c r="BG424" t="s">
        <v>1212</v>
      </c>
      <c r="BH424" t="s">
        <v>1194</v>
      </c>
      <c r="BI424" t="s">
        <v>1212</v>
      </c>
    </row>
    <row r="425" spans="1:61" x14ac:dyDescent="0.35">
      <c r="A425" s="7" t="str">
        <f t="shared" si="12"/>
        <v>461854300011122</v>
      </c>
      <c r="B425" s="7" t="str">
        <f t="shared" si="13"/>
        <v>GP112567B864</v>
      </c>
      <c r="C425" t="s">
        <v>1177</v>
      </c>
      <c r="D425" t="s">
        <v>1178</v>
      </c>
      <c r="E425" t="s">
        <v>2257</v>
      </c>
      <c r="F425" t="s">
        <v>1363</v>
      </c>
      <c r="G425" t="s">
        <v>1363</v>
      </c>
      <c r="H425" t="s">
        <v>1271</v>
      </c>
      <c r="I425">
        <v>46185</v>
      </c>
      <c r="J425" t="s">
        <v>2778</v>
      </c>
      <c r="K425" t="s">
        <v>1576</v>
      </c>
      <c r="L425" t="s">
        <v>1177</v>
      </c>
      <c r="M425" t="s">
        <v>1274</v>
      </c>
      <c r="N425" t="s">
        <v>1079</v>
      </c>
      <c r="O425" t="s">
        <v>1275</v>
      </c>
      <c r="P425">
        <v>46185</v>
      </c>
      <c r="Q425" t="s">
        <v>1177</v>
      </c>
      <c r="R425" t="s">
        <v>10</v>
      </c>
      <c r="S425" t="s">
        <v>1011</v>
      </c>
      <c r="T425" t="s">
        <v>399</v>
      </c>
      <c r="U425" t="s">
        <v>2260</v>
      </c>
      <c r="V425">
        <v>10</v>
      </c>
      <c r="W425" t="s">
        <v>1262</v>
      </c>
      <c r="X425" t="s">
        <v>1262</v>
      </c>
      <c r="Y425">
        <v>0</v>
      </c>
      <c r="Z425" t="s">
        <v>1186</v>
      </c>
      <c r="AA425" t="s">
        <v>1177</v>
      </c>
      <c r="AB425" t="s">
        <v>1177</v>
      </c>
      <c r="AC425" t="s">
        <v>1177</v>
      </c>
      <c r="AD425" t="s">
        <v>1204</v>
      </c>
      <c r="AE425" t="s">
        <v>1501</v>
      </c>
      <c r="AF425" t="s">
        <v>1189</v>
      </c>
      <c r="AG425" t="s">
        <v>1190</v>
      </c>
      <c r="AH425" t="s">
        <v>1178</v>
      </c>
      <c r="AI425" t="s">
        <v>1177</v>
      </c>
      <c r="AJ425" t="s">
        <v>1190</v>
      </c>
      <c r="AK425">
        <v>0</v>
      </c>
      <c r="AL425" t="s">
        <v>1262</v>
      </c>
      <c r="AM425">
        <v>46078</v>
      </c>
      <c r="AN425">
        <v>46357</v>
      </c>
      <c r="AO425">
        <v>46188</v>
      </c>
      <c r="AP425">
        <v>46190</v>
      </c>
      <c r="AQ425">
        <v>46190</v>
      </c>
      <c r="AR425">
        <v>46191</v>
      </c>
      <c r="AS425">
        <v>46198</v>
      </c>
      <c r="AT425" t="s">
        <v>1281</v>
      </c>
      <c r="AU425" t="s">
        <v>1177</v>
      </c>
      <c r="AV425" t="s">
        <v>1192</v>
      </c>
      <c r="AW425" t="s">
        <v>1177</v>
      </c>
      <c r="AX425">
        <v>0</v>
      </c>
      <c r="AY425">
        <v>0</v>
      </c>
      <c r="AZ425" t="s">
        <v>1177</v>
      </c>
      <c r="BA425">
        <v>0</v>
      </c>
      <c r="BB425" t="s">
        <v>1262</v>
      </c>
      <c r="BC425" t="e">
        <v>#N/A</v>
      </c>
      <c r="BD425" t="e">
        <v>#N/A</v>
      </c>
      <c r="BE425" t="e">
        <v>#N/A</v>
      </c>
      <c r="BF425" t="e">
        <v>#N/A</v>
      </c>
      <c r="BG425" t="s">
        <v>1458</v>
      </c>
      <c r="BH425" t="s">
        <v>1763</v>
      </c>
      <c r="BI425" t="s">
        <v>2259</v>
      </c>
    </row>
    <row r="426" spans="1:61" x14ac:dyDescent="0.35">
      <c r="A426" s="7" t="str">
        <f t="shared" si="12"/>
        <v>461854300011128</v>
      </c>
      <c r="B426" s="7" t="str">
        <f t="shared" si="13"/>
        <v>GP078798B825</v>
      </c>
      <c r="C426" t="s">
        <v>1177</v>
      </c>
      <c r="D426" t="s">
        <v>1178</v>
      </c>
      <c r="E426" t="s">
        <v>1830</v>
      </c>
      <c r="F426" t="s">
        <v>1363</v>
      </c>
      <c r="G426" t="s">
        <v>1363</v>
      </c>
      <c r="H426" t="s">
        <v>1271</v>
      </c>
      <c r="I426">
        <v>46185</v>
      </c>
      <c r="J426" t="s">
        <v>2779</v>
      </c>
      <c r="K426" t="s">
        <v>1283</v>
      </c>
      <c r="L426" t="s">
        <v>1177</v>
      </c>
      <c r="M426" t="s">
        <v>1274</v>
      </c>
      <c r="N426" t="s">
        <v>1079</v>
      </c>
      <c r="O426" t="s">
        <v>1275</v>
      </c>
      <c r="P426">
        <v>46185</v>
      </c>
      <c r="Q426" t="s">
        <v>1177</v>
      </c>
      <c r="R426" t="s">
        <v>16</v>
      </c>
      <c r="S426" t="s">
        <v>512</v>
      </c>
      <c r="T426" t="s">
        <v>778</v>
      </c>
      <c r="U426" t="s">
        <v>779</v>
      </c>
      <c r="V426">
        <v>1</v>
      </c>
      <c r="W426" t="s">
        <v>1262</v>
      </c>
      <c r="X426" t="s">
        <v>1262</v>
      </c>
      <c r="Y426">
        <v>0</v>
      </c>
      <c r="Z426" t="s">
        <v>1186</v>
      </c>
      <c r="AA426" t="s">
        <v>1177</v>
      </c>
      <c r="AB426" t="s">
        <v>1177</v>
      </c>
      <c r="AC426" t="s">
        <v>1177</v>
      </c>
      <c r="AD426" t="s">
        <v>1204</v>
      </c>
      <c r="AE426" t="s">
        <v>1408</v>
      </c>
      <c r="AF426" t="s">
        <v>1189</v>
      </c>
      <c r="AG426" t="s">
        <v>1189</v>
      </c>
      <c r="AH426" t="s">
        <v>1178</v>
      </c>
      <c r="AI426" t="s">
        <v>1349</v>
      </c>
      <c r="AJ426" t="s">
        <v>1190</v>
      </c>
      <c r="AK426">
        <v>0</v>
      </c>
      <c r="AL426" t="s">
        <v>1262</v>
      </c>
      <c r="AM426">
        <v>45881</v>
      </c>
      <c r="AN426">
        <v>46384</v>
      </c>
      <c r="AO426">
        <v>46188</v>
      </c>
      <c r="AP426">
        <v>46190</v>
      </c>
      <c r="AQ426">
        <v>46190</v>
      </c>
      <c r="AR426">
        <v>46192</v>
      </c>
      <c r="AS426">
        <v>46196</v>
      </c>
      <c r="AT426" t="s">
        <v>1281</v>
      </c>
      <c r="AU426" t="s">
        <v>1177</v>
      </c>
      <c r="AV426" t="s">
        <v>1192</v>
      </c>
      <c r="AW426" t="s">
        <v>1177</v>
      </c>
      <c r="AX426">
        <v>209</v>
      </c>
      <c r="AY426">
        <v>2</v>
      </c>
      <c r="AZ426" t="s">
        <v>1177</v>
      </c>
      <c r="BA426">
        <v>0</v>
      </c>
      <c r="BB426" t="s">
        <v>1262</v>
      </c>
      <c r="BC426" t="e">
        <v>#N/A</v>
      </c>
      <c r="BD426" t="e">
        <v>#N/A</v>
      </c>
      <c r="BE426" t="e">
        <v>#N/A</v>
      </c>
      <c r="BF426" t="e">
        <v>#N/A</v>
      </c>
      <c r="BG426" t="s">
        <v>126</v>
      </c>
      <c r="BH426" t="s">
        <v>1194</v>
      </c>
      <c r="BI426" t="s">
        <v>126</v>
      </c>
    </row>
    <row r="427" spans="1:61" x14ac:dyDescent="0.35">
      <c r="A427" s="7" t="str">
        <f t="shared" si="12"/>
        <v>461884300011130</v>
      </c>
      <c r="B427" s="7" t="str">
        <f t="shared" si="13"/>
        <v>GP613234B867</v>
      </c>
      <c r="C427" t="s">
        <v>2780</v>
      </c>
      <c r="D427" t="s">
        <v>1198</v>
      </c>
      <c r="E427" t="s">
        <v>1177</v>
      </c>
      <c r="F427" t="s">
        <v>2602</v>
      </c>
      <c r="G427" t="s">
        <v>2603</v>
      </c>
      <c r="H427" t="s">
        <v>1271</v>
      </c>
      <c r="I427">
        <v>46188</v>
      </c>
      <c r="J427" t="s">
        <v>2781</v>
      </c>
      <c r="K427" t="s">
        <v>1198</v>
      </c>
      <c r="L427" t="s">
        <v>1177</v>
      </c>
      <c r="M427" t="s">
        <v>1274</v>
      </c>
      <c r="N427" t="s">
        <v>1079</v>
      </c>
      <c r="O427" t="s">
        <v>1275</v>
      </c>
      <c r="P427">
        <v>46188</v>
      </c>
      <c r="Q427" t="s">
        <v>1177</v>
      </c>
      <c r="R427" t="s">
        <v>25</v>
      </c>
      <c r="S427" t="s">
        <v>1060</v>
      </c>
      <c r="T427" t="s">
        <v>1115</v>
      </c>
      <c r="U427" t="s">
        <v>1116</v>
      </c>
      <c r="V427">
        <v>1</v>
      </c>
      <c r="W427" t="s">
        <v>1262</v>
      </c>
      <c r="X427" t="s">
        <v>1262</v>
      </c>
      <c r="Y427">
        <v>0</v>
      </c>
      <c r="Z427" t="s">
        <v>1186</v>
      </c>
      <c r="AA427" t="s">
        <v>1177</v>
      </c>
      <c r="AB427" t="s">
        <v>1286</v>
      </c>
      <c r="AC427" t="s">
        <v>1277</v>
      </c>
      <c r="AD427" t="s">
        <v>1278</v>
      </c>
      <c r="AE427" t="s">
        <v>1883</v>
      </c>
      <c r="AF427" t="s">
        <v>1178</v>
      </c>
      <c r="AG427" t="s">
        <v>1178</v>
      </c>
      <c r="AH427" t="s">
        <v>1178</v>
      </c>
      <c r="AI427" t="s">
        <v>1177</v>
      </c>
      <c r="AJ427" t="s">
        <v>1190</v>
      </c>
      <c r="AK427">
        <v>0</v>
      </c>
      <c r="AL427" t="s">
        <v>1262</v>
      </c>
      <c r="AM427">
        <v>46185</v>
      </c>
      <c r="AN427">
        <v>46230</v>
      </c>
      <c r="AO427">
        <v>46188</v>
      </c>
      <c r="AP427">
        <v>46190</v>
      </c>
      <c r="AQ427">
        <v>46190</v>
      </c>
      <c r="AR427">
        <v>46191</v>
      </c>
      <c r="AS427">
        <v>46198</v>
      </c>
      <c r="AT427" t="s">
        <v>1281</v>
      </c>
      <c r="AU427" t="s">
        <v>1177</v>
      </c>
      <c r="AV427" t="s">
        <v>1192</v>
      </c>
      <c r="AW427" t="s">
        <v>1177</v>
      </c>
      <c r="AX427">
        <v>0</v>
      </c>
      <c r="AY427">
        <v>0</v>
      </c>
      <c r="AZ427" t="s">
        <v>1177</v>
      </c>
      <c r="BA427">
        <v>0</v>
      </c>
      <c r="BB427" t="s">
        <v>1262</v>
      </c>
      <c r="BC427" t="s">
        <v>2782</v>
      </c>
      <c r="BD427">
        <v>1</v>
      </c>
      <c r="BE427">
        <v>46191</v>
      </c>
      <c r="BF427" t="s">
        <v>1165</v>
      </c>
      <c r="BG427" t="s">
        <v>1464</v>
      </c>
      <c r="BH427" t="e">
        <v>#N/A</v>
      </c>
      <c r="BI427" t="e">
        <v>#N/A</v>
      </c>
    </row>
    <row r="428" spans="1:61" x14ac:dyDescent="0.35">
      <c r="A428" s="7" t="str">
        <f t="shared" si="12"/>
        <v>461894300011143</v>
      </c>
      <c r="B428" s="7" t="str">
        <f t="shared" si="13"/>
        <v>A9B00019165B865</v>
      </c>
      <c r="C428" t="s">
        <v>2783</v>
      </c>
      <c r="D428" t="s">
        <v>1182</v>
      </c>
      <c r="E428" t="s">
        <v>1177</v>
      </c>
      <c r="F428" t="s">
        <v>1232</v>
      </c>
      <c r="G428" t="s">
        <v>1240</v>
      </c>
      <c r="H428" t="s">
        <v>1271</v>
      </c>
      <c r="I428">
        <v>46189</v>
      </c>
      <c r="J428" t="s">
        <v>2784</v>
      </c>
      <c r="K428" t="s">
        <v>1182</v>
      </c>
      <c r="L428" t="s">
        <v>1177</v>
      </c>
      <c r="M428" t="s">
        <v>1274</v>
      </c>
      <c r="N428" t="s">
        <v>16</v>
      </c>
      <c r="O428" t="s">
        <v>512</v>
      </c>
      <c r="P428">
        <v>46189</v>
      </c>
      <c r="Q428" t="s">
        <v>1177</v>
      </c>
      <c r="R428" t="s">
        <v>7</v>
      </c>
      <c r="S428" t="s">
        <v>1040</v>
      </c>
      <c r="T428" t="s">
        <v>204</v>
      </c>
      <c r="U428" t="s">
        <v>2785</v>
      </c>
      <c r="V428">
        <v>289</v>
      </c>
      <c r="W428" t="s">
        <v>1202</v>
      </c>
      <c r="X428" t="s">
        <v>1202</v>
      </c>
      <c r="Y428">
        <v>0</v>
      </c>
      <c r="Z428" t="s">
        <v>1186</v>
      </c>
      <c r="AA428" t="s">
        <v>1177</v>
      </c>
      <c r="AB428" t="s">
        <v>1177</v>
      </c>
      <c r="AC428" t="s">
        <v>1177</v>
      </c>
      <c r="AD428" t="s">
        <v>1204</v>
      </c>
      <c r="AE428" t="s">
        <v>1205</v>
      </c>
      <c r="AF428" t="s">
        <v>1189</v>
      </c>
      <c r="AG428" t="s">
        <v>1189</v>
      </c>
      <c r="AH428" t="s">
        <v>1178</v>
      </c>
      <c r="AI428" t="s">
        <v>1177</v>
      </c>
      <c r="AJ428" t="s">
        <v>1190</v>
      </c>
      <c r="AK428">
        <v>289</v>
      </c>
      <c r="AL428" t="s">
        <v>1202</v>
      </c>
      <c r="AM428">
        <v>46244</v>
      </c>
      <c r="AN428">
        <v>46244</v>
      </c>
      <c r="AO428">
        <v>46244</v>
      </c>
      <c r="AP428">
        <v>46244</v>
      </c>
      <c r="AQ428">
        <v>46244</v>
      </c>
      <c r="AR428">
        <v>46244</v>
      </c>
      <c r="AS428">
        <v>46246</v>
      </c>
      <c r="AT428" t="s">
        <v>1281</v>
      </c>
      <c r="AU428" t="s">
        <v>1177</v>
      </c>
      <c r="AV428" t="s">
        <v>1192</v>
      </c>
      <c r="AW428" t="s">
        <v>1177</v>
      </c>
      <c r="AX428">
        <v>54</v>
      </c>
      <c r="AY428">
        <v>2</v>
      </c>
      <c r="AZ428" t="s">
        <v>1177</v>
      </c>
      <c r="BA428">
        <v>289</v>
      </c>
      <c r="BB428" t="s">
        <v>1202</v>
      </c>
      <c r="BC428" t="e">
        <v>#N/A</v>
      </c>
      <c r="BD428" t="e">
        <v>#N/A</v>
      </c>
      <c r="BE428" t="e">
        <v>#N/A</v>
      </c>
      <c r="BF428" t="e">
        <v>#N/A</v>
      </c>
      <c r="BG428" t="s">
        <v>1212</v>
      </c>
      <c r="BH428" t="e">
        <v>#N/A</v>
      </c>
      <c r="BI428" t="e">
        <v>#N/A</v>
      </c>
    </row>
    <row r="429" spans="1:61" x14ac:dyDescent="0.35">
      <c r="A429" s="7" t="str">
        <f t="shared" si="12"/>
        <v>461904300011149</v>
      </c>
      <c r="B429" s="7" t="str">
        <f t="shared" si="13"/>
        <v>GP004975B832</v>
      </c>
      <c r="C429" t="s">
        <v>2786</v>
      </c>
      <c r="D429" t="s">
        <v>1182</v>
      </c>
      <c r="E429" t="s">
        <v>1177</v>
      </c>
      <c r="F429" t="s">
        <v>1232</v>
      </c>
      <c r="G429" t="s">
        <v>1233</v>
      </c>
      <c r="H429" t="s">
        <v>1271</v>
      </c>
      <c r="I429">
        <v>46190</v>
      </c>
      <c r="J429" t="s">
        <v>2787</v>
      </c>
      <c r="K429" t="s">
        <v>1182</v>
      </c>
      <c r="L429" t="s">
        <v>1177</v>
      </c>
      <c r="M429" t="s">
        <v>1274</v>
      </c>
      <c r="N429" t="s">
        <v>16</v>
      </c>
      <c r="O429" t="s">
        <v>512</v>
      </c>
      <c r="P429">
        <v>46190</v>
      </c>
      <c r="Q429" t="s">
        <v>1177</v>
      </c>
      <c r="R429" t="s">
        <v>19</v>
      </c>
      <c r="S429" t="s">
        <v>654</v>
      </c>
      <c r="T429" t="s">
        <v>32</v>
      </c>
      <c r="U429" t="s">
        <v>33</v>
      </c>
      <c r="V429">
        <v>1</v>
      </c>
      <c r="W429" t="s">
        <v>1262</v>
      </c>
      <c r="X429" t="s">
        <v>1262</v>
      </c>
      <c r="Y429">
        <v>0</v>
      </c>
      <c r="Z429" t="s">
        <v>1186</v>
      </c>
      <c r="AA429" t="s">
        <v>1177</v>
      </c>
      <c r="AB429" t="s">
        <v>1276</v>
      </c>
      <c r="AC429" t="s">
        <v>1277</v>
      </c>
      <c r="AD429" t="s">
        <v>1278</v>
      </c>
      <c r="AE429" t="s">
        <v>2728</v>
      </c>
      <c r="AF429" t="s">
        <v>1178</v>
      </c>
      <c r="AG429" t="s">
        <v>1190</v>
      </c>
      <c r="AH429" t="s">
        <v>1178</v>
      </c>
      <c r="AI429" t="s">
        <v>1177</v>
      </c>
      <c r="AJ429" t="s">
        <v>1190</v>
      </c>
      <c r="AK429">
        <v>1</v>
      </c>
      <c r="AL429" t="s">
        <v>1262</v>
      </c>
      <c r="AM429">
        <v>46210</v>
      </c>
      <c r="AN429">
        <v>46210</v>
      </c>
      <c r="AO429">
        <v>46210</v>
      </c>
      <c r="AP429">
        <v>46210</v>
      </c>
      <c r="AQ429">
        <v>46210</v>
      </c>
      <c r="AR429">
        <v>46210</v>
      </c>
      <c r="AS429">
        <v>46212</v>
      </c>
      <c r="AT429" t="s">
        <v>1281</v>
      </c>
      <c r="AU429" t="s">
        <v>1177</v>
      </c>
      <c r="AV429" t="s">
        <v>1192</v>
      </c>
      <c r="AW429" t="s">
        <v>1177</v>
      </c>
      <c r="AX429">
        <v>33</v>
      </c>
      <c r="AY429">
        <v>2</v>
      </c>
      <c r="AZ429" t="s">
        <v>1177</v>
      </c>
      <c r="BA429">
        <v>1</v>
      </c>
      <c r="BB429" t="s">
        <v>1262</v>
      </c>
      <c r="BC429" t="e">
        <v>#N/A</v>
      </c>
      <c r="BD429" t="e">
        <v>#N/A</v>
      </c>
      <c r="BE429" t="e">
        <v>#N/A</v>
      </c>
      <c r="BF429" t="e">
        <v>#N/A</v>
      </c>
      <c r="BG429" t="s">
        <v>1212</v>
      </c>
      <c r="BH429" t="e">
        <v>#N/A</v>
      </c>
      <c r="BI429" t="e">
        <v>#N/A</v>
      </c>
    </row>
    <row r="430" spans="1:61" x14ac:dyDescent="0.35">
      <c r="A430" s="7" t="str">
        <f t="shared" si="12"/>
        <v>461924300011163</v>
      </c>
      <c r="B430" s="7" t="str">
        <f t="shared" si="13"/>
        <v>GP202343B832</v>
      </c>
      <c r="C430" t="s">
        <v>2788</v>
      </c>
      <c r="D430" t="s">
        <v>1198</v>
      </c>
      <c r="E430" t="s">
        <v>1177</v>
      </c>
      <c r="F430" t="s">
        <v>2380</v>
      </c>
      <c r="G430" t="s">
        <v>2368</v>
      </c>
      <c r="H430" t="s">
        <v>1271</v>
      </c>
      <c r="I430">
        <v>46192</v>
      </c>
      <c r="J430" t="s">
        <v>2789</v>
      </c>
      <c r="K430" t="s">
        <v>1198</v>
      </c>
      <c r="L430" t="s">
        <v>1177</v>
      </c>
      <c r="M430" t="s">
        <v>1274</v>
      </c>
      <c r="N430" t="s">
        <v>1079</v>
      </c>
      <c r="O430" t="s">
        <v>1080</v>
      </c>
      <c r="P430">
        <v>46192</v>
      </c>
      <c r="Q430" t="s">
        <v>1177</v>
      </c>
      <c r="R430" t="s">
        <v>19</v>
      </c>
      <c r="S430" t="s">
        <v>654</v>
      </c>
      <c r="T430" t="s">
        <v>184</v>
      </c>
      <c r="U430" t="s">
        <v>1823</v>
      </c>
      <c r="V430">
        <v>20</v>
      </c>
      <c r="W430" t="s">
        <v>1185</v>
      </c>
      <c r="X430" t="s">
        <v>1185</v>
      </c>
      <c r="Y430">
        <v>0</v>
      </c>
      <c r="Z430" t="s">
        <v>1186</v>
      </c>
      <c r="AA430" t="s">
        <v>1177</v>
      </c>
      <c r="AB430" t="s">
        <v>1177</v>
      </c>
      <c r="AC430" t="s">
        <v>1177</v>
      </c>
      <c r="AD430" t="s">
        <v>1204</v>
      </c>
      <c r="AE430" t="s">
        <v>1824</v>
      </c>
      <c r="AF430" t="s">
        <v>1189</v>
      </c>
      <c r="AG430" t="s">
        <v>1178</v>
      </c>
      <c r="AH430" t="s">
        <v>1178</v>
      </c>
      <c r="AI430" t="s">
        <v>1349</v>
      </c>
      <c r="AJ430" t="s">
        <v>1189</v>
      </c>
      <c r="AK430">
        <v>20</v>
      </c>
      <c r="AL430" t="s">
        <v>1185</v>
      </c>
      <c r="AM430">
        <v>46248</v>
      </c>
      <c r="AN430">
        <v>46244</v>
      </c>
      <c r="AO430">
        <v>46244</v>
      </c>
      <c r="AP430">
        <v>46246</v>
      </c>
      <c r="AQ430">
        <v>46246</v>
      </c>
      <c r="AR430">
        <v>46248</v>
      </c>
      <c r="AS430">
        <v>46252</v>
      </c>
      <c r="AT430" t="s">
        <v>1281</v>
      </c>
      <c r="AU430" t="s">
        <v>1177</v>
      </c>
      <c r="AV430" t="s">
        <v>1192</v>
      </c>
      <c r="AW430" t="s">
        <v>1177</v>
      </c>
      <c r="AX430">
        <v>62</v>
      </c>
      <c r="AY430">
        <v>2</v>
      </c>
      <c r="AZ430" t="s">
        <v>1177</v>
      </c>
      <c r="BA430">
        <v>0</v>
      </c>
      <c r="BB430" t="s">
        <v>1185</v>
      </c>
      <c r="BC430" t="s">
        <v>2790</v>
      </c>
      <c r="BD430">
        <v>1</v>
      </c>
      <c r="BE430">
        <v>46197</v>
      </c>
      <c r="BF430" t="s">
        <v>1165</v>
      </c>
      <c r="BG430" t="s">
        <v>1458</v>
      </c>
      <c r="BH430" t="e">
        <v>#N/A</v>
      </c>
      <c r="BI430" t="e">
        <v>#N/A</v>
      </c>
    </row>
    <row r="431" spans="1:61" x14ac:dyDescent="0.35">
      <c r="A431" s="7" t="str">
        <f t="shared" si="12"/>
        <v>461984300011217</v>
      </c>
      <c r="B431" s="7" t="str">
        <f t="shared" si="13"/>
        <v>GP015070B833</v>
      </c>
      <c r="C431" t="s">
        <v>2791</v>
      </c>
      <c r="D431" t="s">
        <v>1182</v>
      </c>
      <c r="E431" t="s">
        <v>1177</v>
      </c>
      <c r="F431" t="s">
        <v>1232</v>
      </c>
      <c r="G431" t="s">
        <v>1233</v>
      </c>
      <c r="H431" t="s">
        <v>1271</v>
      </c>
      <c r="I431">
        <v>46198</v>
      </c>
      <c r="J431" t="s">
        <v>2792</v>
      </c>
      <c r="K431" t="s">
        <v>1182</v>
      </c>
      <c r="L431" t="s">
        <v>1177</v>
      </c>
      <c r="M431" t="s">
        <v>1274</v>
      </c>
      <c r="N431" t="s">
        <v>454</v>
      </c>
      <c r="O431" t="s">
        <v>455</v>
      </c>
      <c r="P431">
        <v>46198</v>
      </c>
      <c r="Q431" t="s">
        <v>1177</v>
      </c>
      <c r="R431" t="s">
        <v>697</v>
      </c>
      <c r="S431" t="s">
        <v>699</v>
      </c>
      <c r="T431" t="s">
        <v>231</v>
      </c>
      <c r="U431" t="s">
        <v>2096</v>
      </c>
      <c r="V431">
        <v>27</v>
      </c>
      <c r="W431" t="s">
        <v>1262</v>
      </c>
      <c r="X431" t="s">
        <v>1262</v>
      </c>
      <c r="Y431">
        <v>0</v>
      </c>
      <c r="Z431" t="s">
        <v>1186</v>
      </c>
      <c r="AA431" t="s">
        <v>1177</v>
      </c>
      <c r="AB431" t="s">
        <v>1286</v>
      </c>
      <c r="AC431" t="s">
        <v>1277</v>
      </c>
      <c r="AD431" t="s">
        <v>1278</v>
      </c>
      <c r="AE431" t="s">
        <v>1284</v>
      </c>
      <c r="AF431" t="s">
        <v>1178</v>
      </c>
      <c r="AG431" t="s">
        <v>1178</v>
      </c>
      <c r="AH431" t="s">
        <v>1178</v>
      </c>
      <c r="AI431" t="s">
        <v>1177</v>
      </c>
      <c r="AJ431" t="s">
        <v>1190</v>
      </c>
      <c r="AK431">
        <v>27</v>
      </c>
      <c r="AL431" t="s">
        <v>1262</v>
      </c>
      <c r="AM431">
        <v>46255</v>
      </c>
      <c r="AN431">
        <v>46255</v>
      </c>
      <c r="AO431">
        <v>46255</v>
      </c>
      <c r="AP431">
        <v>46255</v>
      </c>
      <c r="AQ431">
        <v>46255</v>
      </c>
      <c r="AR431">
        <v>46255</v>
      </c>
      <c r="AS431">
        <v>46259</v>
      </c>
      <c r="AT431" t="s">
        <v>1281</v>
      </c>
      <c r="AU431" t="s">
        <v>1177</v>
      </c>
      <c r="AV431" t="s">
        <v>1192</v>
      </c>
      <c r="AW431" t="s">
        <v>1177</v>
      </c>
      <c r="AX431">
        <v>71</v>
      </c>
      <c r="AY431">
        <v>2</v>
      </c>
      <c r="AZ431" t="s">
        <v>1177</v>
      </c>
      <c r="BA431">
        <v>27</v>
      </c>
      <c r="BB431" t="s">
        <v>1262</v>
      </c>
      <c r="BC431" t="e">
        <v>#N/A</v>
      </c>
      <c r="BD431" t="e">
        <v>#N/A</v>
      </c>
      <c r="BE431" t="e">
        <v>#N/A</v>
      </c>
      <c r="BF431" t="e">
        <v>#N/A</v>
      </c>
      <c r="BG431" t="s">
        <v>1212</v>
      </c>
      <c r="BH431" t="e">
        <v>#N/A</v>
      </c>
      <c r="BI431" t="e">
        <v>#N/A</v>
      </c>
    </row>
    <row r="432" spans="1:61" x14ac:dyDescent="0.35">
      <c r="A432" s="7" t="str">
        <f t="shared" si="12"/>
        <v>461984300011220</v>
      </c>
      <c r="B432" s="7" t="str">
        <f t="shared" si="13"/>
        <v>GP345208B832</v>
      </c>
      <c r="C432" t="s">
        <v>2793</v>
      </c>
      <c r="D432" t="s">
        <v>1273</v>
      </c>
      <c r="E432" t="s">
        <v>1177</v>
      </c>
      <c r="F432" t="s">
        <v>1232</v>
      </c>
      <c r="G432" t="s">
        <v>1233</v>
      </c>
      <c r="H432" t="s">
        <v>1271</v>
      </c>
      <c r="I432">
        <v>46198</v>
      </c>
      <c r="J432" t="s">
        <v>2794</v>
      </c>
      <c r="K432" t="s">
        <v>1283</v>
      </c>
      <c r="L432" t="s">
        <v>1177</v>
      </c>
      <c r="M432" t="s">
        <v>1274</v>
      </c>
      <c r="N432" t="s">
        <v>16</v>
      </c>
      <c r="O432" t="s">
        <v>512</v>
      </c>
      <c r="P432">
        <v>46198</v>
      </c>
      <c r="Q432" t="s">
        <v>1177</v>
      </c>
      <c r="R432" t="s">
        <v>19</v>
      </c>
      <c r="S432" t="s">
        <v>654</v>
      </c>
      <c r="T432" t="s">
        <v>421</v>
      </c>
      <c r="U432" t="s">
        <v>422</v>
      </c>
      <c r="V432">
        <v>3</v>
      </c>
      <c r="W432" t="s">
        <v>1262</v>
      </c>
      <c r="X432" t="s">
        <v>1262</v>
      </c>
      <c r="Y432">
        <v>0</v>
      </c>
      <c r="Z432" t="s">
        <v>1186</v>
      </c>
      <c r="AA432" t="s">
        <v>1177</v>
      </c>
      <c r="AB432" t="s">
        <v>1286</v>
      </c>
      <c r="AC432" t="s">
        <v>1277</v>
      </c>
      <c r="AD432" t="s">
        <v>1278</v>
      </c>
      <c r="AE432" t="s">
        <v>1284</v>
      </c>
      <c r="AF432" t="s">
        <v>1178</v>
      </c>
      <c r="AG432" t="s">
        <v>1178</v>
      </c>
      <c r="AH432" t="s">
        <v>1178</v>
      </c>
      <c r="AI432" t="s">
        <v>1177</v>
      </c>
      <c r="AJ432" t="s">
        <v>1190</v>
      </c>
      <c r="AK432">
        <v>3</v>
      </c>
      <c r="AL432" t="s">
        <v>1262</v>
      </c>
      <c r="AM432">
        <v>46331</v>
      </c>
      <c r="AN432">
        <v>46331</v>
      </c>
      <c r="AO432">
        <v>46331</v>
      </c>
      <c r="AP432">
        <v>46331</v>
      </c>
      <c r="AQ432">
        <v>46331</v>
      </c>
      <c r="AR432">
        <v>46331</v>
      </c>
      <c r="AS432">
        <v>46335</v>
      </c>
      <c r="AT432" t="s">
        <v>1281</v>
      </c>
      <c r="AU432" t="s">
        <v>1177</v>
      </c>
      <c r="AV432" t="s">
        <v>1192</v>
      </c>
      <c r="AW432" t="s">
        <v>1177</v>
      </c>
      <c r="AX432">
        <v>154</v>
      </c>
      <c r="AY432">
        <v>2</v>
      </c>
      <c r="AZ432" t="s">
        <v>1177</v>
      </c>
      <c r="BA432">
        <v>3</v>
      </c>
      <c r="BB432" t="s">
        <v>1262</v>
      </c>
      <c r="BC432" t="e">
        <v>#N/A</v>
      </c>
      <c r="BD432" t="e">
        <v>#N/A</v>
      </c>
      <c r="BE432" t="e">
        <v>#N/A</v>
      </c>
      <c r="BF432" t="e">
        <v>#N/A</v>
      </c>
      <c r="BG432" t="s">
        <v>1212</v>
      </c>
      <c r="BH432" t="e">
        <v>#N/A</v>
      </c>
      <c r="BI432" t="e">
        <v>#N/A</v>
      </c>
    </row>
    <row r="433" spans="1:61" x14ac:dyDescent="0.35">
      <c r="A433" s="7" t="str">
        <f t="shared" si="12"/>
        <v>462044300011271</v>
      </c>
      <c r="B433" s="7" t="str">
        <f t="shared" si="13"/>
        <v>GP486978-004B825</v>
      </c>
      <c r="C433" t="s">
        <v>2795</v>
      </c>
      <c r="D433" t="s">
        <v>1182</v>
      </c>
      <c r="E433" t="s">
        <v>1177</v>
      </c>
      <c r="F433" t="s">
        <v>1300</v>
      </c>
      <c r="G433" t="s">
        <v>1236</v>
      </c>
      <c r="H433" t="s">
        <v>1271</v>
      </c>
      <c r="I433">
        <v>46204</v>
      </c>
      <c r="J433" t="s">
        <v>2796</v>
      </c>
      <c r="K433" t="s">
        <v>1182</v>
      </c>
      <c r="L433" t="s">
        <v>1177</v>
      </c>
      <c r="M433" t="s">
        <v>1274</v>
      </c>
      <c r="N433" t="s">
        <v>19</v>
      </c>
      <c r="O433" t="s">
        <v>654</v>
      </c>
      <c r="P433">
        <v>46204</v>
      </c>
      <c r="Q433" t="s">
        <v>1177</v>
      </c>
      <c r="R433" t="s">
        <v>16</v>
      </c>
      <c r="S433" t="s">
        <v>512</v>
      </c>
      <c r="T433" t="s">
        <v>193</v>
      </c>
      <c r="U433" t="s">
        <v>194</v>
      </c>
      <c r="V433">
        <v>208.2</v>
      </c>
      <c r="W433" t="s">
        <v>1185</v>
      </c>
      <c r="X433" t="s">
        <v>1185</v>
      </c>
      <c r="Y433">
        <v>0</v>
      </c>
      <c r="Z433" t="s">
        <v>1186</v>
      </c>
      <c r="AA433" t="s">
        <v>1177</v>
      </c>
      <c r="AB433" t="s">
        <v>1177</v>
      </c>
      <c r="AC433" t="s">
        <v>1177</v>
      </c>
      <c r="AD433" t="s">
        <v>1204</v>
      </c>
      <c r="AE433" t="s">
        <v>1188</v>
      </c>
      <c r="AF433" t="s">
        <v>1189</v>
      </c>
      <c r="AG433" t="s">
        <v>1189</v>
      </c>
      <c r="AH433" t="s">
        <v>1178</v>
      </c>
      <c r="AI433" t="s">
        <v>1177</v>
      </c>
      <c r="AJ433" t="s">
        <v>1190</v>
      </c>
      <c r="AK433">
        <v>208.2</v>
      </c>
      <c r="AL433" t="s">
        <v>1185</v>
      </c>
      <c r="AM433">
        <v>46237</v>
      </c>
      <c r="AN433">
        <v>46237</v>
      </c>
      <c r="AO433">
        <v>46237</v>
      </c>
      <c r="AP433">
        <v>46237</v>
      </c>
      <c r="AQ433">
        <v>46237</v>
      </c>
      <c r="AR433">
        <v>46237</v>
      </c>
      <c r="AS433">
        <v>46239</v>
      </c>
      <c r="AT433" t="s">
        <v>1281</v>
      </c>
      <c r="AU433" t="s">
        <v>1177</v>
      </c>
      <c r="AV433" t="s">
        <v>1192</v>
      </c>
      <c r="AW433" t="s">
        <v>1177</v>
      </c>
      <c r="AX433">
        <v>33</v>
      </c>
      <c r="AY433">
        <v>2</v>
      </c>
      <c r="AZ433" t="s">
        <v>1177</v>
      </c>
      <c r="BA433">
        <v>208.2</v>
      </c>
      <c r="BB433" t="s">
        <v>1185</v>
      </c>
      <c r="BC433" t="e">
        <v>#N/A</v>
      </c>
      <c r="BD433" t="e">
        <v>#N/A</v>
      </c>
      <c r="BE433" t="e">
        <v>#N/A</v>
      </c>
      <c r="BF433" t="e">
        <v>#N/A</v>
      </c>
      <c r="BG433" t="s">
        <v>1212</v>
      </c>
      <c r="BH433" t="e">
        <v>#N/A</v>
      </c>
      <c r="BI433" t="e">
        <v>#N/A</v>
      </c>
    </row>
    <row r="434" spans="1:61" x14ac:dyDescent="0.35">
      <c r="A434" s="7" t="str">
        <f t="shared" si="12"/>
        <v>462054300011289</v>
      </c>
      <c r="B434" s="7" t="str">
        <f t="shared" si="13"/>
        <v>96589B865</v>
      </c>
      <c r="C434" t="s">
        <v>2797</v>
      </c>
      <c r="D434" t="s">
        <v>2140</v>
      </c>
      <c r="E434" t="s">
        <v>1177</v>
      </c>
      <c r="F434" t="s">
        <v>2798</v>
      </c>
      <c r="G434" t="s">
        <v>2799</v>
      </c>
      <c r="H434" t="s">
        <v>1271</v>
      </c>
      <c r="I434">
        <v>46205</v>
      </c>
      <c r="J434" t="s">
        <v>2800</v>
      </c>
      <c r="K434" t="s">
        <v>2140</v>
      </c>
      <c r="L434" t="s">
        <v>1177</v>
      </c>
      <c r="M434" t="s">
        <v>1274</v>
      </c>
      <c r="N434" t="s">
        <v>1079</v>
      </c>
      <c r="O434" t="s">
        <v>1080</v>
      </c>
      <c r="P434">
        <v>46205</v>
      </c>
      <c r="Q434" t="s">
        <v>1177</v>
      </c>
      <c r="R434" t="s">
        <v>7</v>
      </c>
      <c r="S434" t="s">
        <v>1040</v>
      </c>
      <c r="T434" t="s">
        <v>2005</v>
      </c>
      <c r="U434" t="s">
        <v>2006</v>
      </c>
      <c r="V434">
        <v>2</v>
      </c>
      <c r="W434" t="s">
        <v>1262</v>
      </c>
      <c r="X434" t="s">
        <v>1262</v>
      </c>
      <c r="Y434">
        <v>0</v>
      </c>
      <c r="Z434" t="s">
        <v>1186</v>
      </c>
      <c r="AA434" t="s">
        <v>1177</v>
      </c>
      <c r="AB434" t="s">
        <v>1177</v>
      </c>
      <c r="AC434" t="s">
        <v>1177</v>
      </c>
      <c r="AD434" t="s">
        <v>1204</v>
      </c>
      <c r="AE434" t="s">
        <v>2007</v>
      </c>
      <c r="AF434" t="s">
        <v>1189</v>
      </c>
      <c r="AG434" t="s">
        <v>1190</v>
      </c>
      <c r="AH434" t="s">
        <v>1178</v>
      </c>
      <c r="AI434" t="s">
        <v>1349</v>
      </c>
      <c r="AJ434" t="s">
        <v>1190</v>
      </c>
      <c r="AK434">
        <v>0</v>
      </c>
      <c r="AL434" t="s">
        <v>1262</v>
      </c>
      <c r="AM434">
        <v>46234</v>
      </c>
      <c r="AN434">
        <v>46230</v>
      </c>
      <c r="AO434">
        <v>46230</v>
      </c>
      <c r="AP434">
        <v>46232</v>
      </c>
      <c r="AQ434">
        <v>46232</v>
      </c>
      <c r="AR434">
        <v>46234</v>
      </c>
      <c r="AS434">
        <v>46238</v>
      </c>
      <c r="AT434" t="s">
        <v>1281</v>
      </c>
      <c r="AU434" t="s">
        <v>1177</v>
      </c>
      <c r="AV434" t="s">
        <v>1192</v>
      </c>
      <c r="AW434" t="s">
        <v>1177</v>
      </c>
      <c r="AX434">
        <v>33</v>
      </c>
      <c r="AY434">
        <v>2</v>
      </c>
      <c r="AZ434" t="s">
        <v>1177</v>
      </c>
      <c r="BA434">
        <v>0</v>
      </c>
      <c r="BB434" t="s">
        <v>1262</v>
      </c>
      <c r="BC434" t="s">
        <v>2801</v>
      </c>
      <c r="BD434">
        <v>16</v>
      </c>
      <c r="BE434">
        <v>46209</v>
      </c>
      <c r="BF434" t="s">
        <v>1165</v>
      </c>
      <c r="BG434" t="s">
        <v>1458</v>
      </c>
      <c r="BH434" t="e">
        <v>#N/A</v>
      </c>
      <c r="BI434" t="e">
        <v>#N/A</v>
      </c>
    </row>
    <row r="435" spans="1:61" x14ac:dyDescent="0.35">
      <c r="A435" s="7" t="str">
        <f t="shared" si="12"/>
        <v>462054300011294</v>
      </c>
      <c r="B435" s="7" t="str">
        <f t="shared" si="13"/>
        <v>GP343051B865</v>
      </c>
      <c r="C435" t="s">
        <v>2802</v>
      </c>
      <c r="D435" t="s">
        <v>2803</v>
      </c>
      <c r="E435" t="s">
        <v>1177</v>
      </c>
      <c r="F435" t="s">
        <v>2804</v>
      </c>
      <c r="G435" t="s">
        <v>2399</v>
      </c>
      <c r="H435" t="s">
        <v>1271</v>
      </c>
      <c r="I435">
        <v>46205</v>
      </c>
      <c r="J435" t="s">
        <v>2805</v>
      </c>
      <c r="K435" t="s">
        <v>2803</v>
      </c>
      <c r="L435" t="s">
        <v>1177</v>
      </c>
      <c r="M435" t="s">
        <v>1274</v>
      </c>
      <c r="N435" t="s">
        <v>1079</v>
      </c>
      <c r="O435" t="s">
        <v>1275</v>
      </c>
      <c r="P435">
        <v>46268</v>
      </c>
      <c r="Q435" t="s">
        <v>1185</v>
      </c>
      <c r="R435" t="s">
        <v>7</v>
      </c>
      <c r="S435" t="s">
        <v>1040</v>
      </c>
      <c r="T435" t="s">
        <v>2806</v>
      </c>
      <c r="U435" t="s">
        <v>2807</v>
      </c>
      <c r="V435">
        <v>26</v>
      </c>
      <c r="W435" t="s">
        <v>1262</v>
      </c>
      <c r="X435" t="s">
        <v>1262</v>
      </c>
      <c r="Y435">
        <v>0</v>
      </c>
      <c r="Z435" t="s">
        <v>1186</v>
      </c>
      <c r="AA435" t="s">
        <v>1177</v>
      </c>
      <c r="AB435" t="s">
        <v>1276</v>
      </c>
      <c r="AC435" t="s">
        <v>1277</v>
      </c>
      <c r="AD435" t="s">
        <v>1278</v>
      </c>
      <c r="AE435" t="s">
        <v>2808</v>
      </c>
      <c r="AF435" t="s">
        <v>1178</v>
      </c>
      <c r="AG435" t="s">
        <v>1190</v>
      </c>
      <c r="AH435" t="s">
        <v>1178</v>
      </c>
      <c r="AI435" t="s">
        <v>1349</v>
      </c>
      <c r="AJ435" t="s">
        <v>1190</v>
      </c>
      <c r="AK435">
        <v>0</v>
      </c>
      <c r="AL435" t="s">
        <v>1262</v>
      </c>
      <c r="AM435">
        <v>46204</v>
      </c>
      <c r="AN435">
        <v>46209</v>
      </c>
      <c r="AO435">
        <v>46209</v>
      </c>
      <c r="AP435">
        <v>46211</v>
      </c>
      <c r="AQ435">
        <v>46211</v>
      </c>
      <c r="AR435">
        <v>46213</v>
      </c>
      <c r="AS435">
        <v>46213</v>
      </c>
      <c r="AT435" t="s">
        <v>1281</v>
      </c>
      <c r="AU435" t="s">
        <v>1177</v>
      </c>
      <c r="AV435" t="s">
        <v>1192</v>
      </c>
      <c r="AW435" t="s">
        <v>1177</v>
      </c>
      <c r="AX435">
        <v>0</v>
      </c>
      <c r="AY435">
        <v>0</v>
      </c>
      <c r="AZ435" t="s">
        <v>1177</v>
      </c>
      <c r="BA435">
        <v>0</v>
      </c>
      <c r="BB435" t="s">
        <v>1262</v>
      </c>
      <c r="BC435" t="e">
        <v>#N/A</v>
      </c>
      <c r="BD435" t="e">
        <v>#N/A</v>
      </c>
      <c r="BE435" t="e">
        <v>#N/A</v>
      </c>
      <c r="BF435" t="e">
        <v>#N/A</v>
      </c>
      <c r="BG435" t="s">
        <v>1372</v>
      </c>
      <c r="BH435" t="e">
        <v>#N/A</v>
      </c>
      <c r="BI435" t="e">
        <v>#N/A</v>
      </c>
    </row>
    <row r="436" spans="1:61" x14ac:dyDescent="0.35">
      <c r="A436" s="7" t="str">
        <f t="shared" si="12"/>
        <v>462054300011295</v>
      </c>
      <c r="B436" s="7" t="str">
        <f t="shared" si="13"/>
        <v>GP131157B856</v>
      </c>
      <c r="C436" t="s">
        <v>2811</v>
      </c>
      <c r="D436" t="s">
        <v>1182</v>
      </c>
      <c r="E436" t="s">
        <v>1177</v>
      </c>
      <c r="F436" t="s">
        <v>1300</v>
      </c>
      <c r="G436" t="s">
        <v>1236</v>
      </c>
      <c r="H436" t="s">
        <v>1271</v>
      </c>
      <c r="I436">
        <v>46205</v>
      </c>
      <c r="J436" t="s">
        <v>2812</v>
      </c>
      <c r="K436" t="s">
        <v>1182</v>
      </c>
      <c r="L436" t="s">
        <v>1177</v>
      </c>
      <c r="M436" t="s">
        <v>1274</v>
      </c>
      <c r="N436" t="s">
        <v>16</v>
      </c>
      <c r="O436" t="s">
        <v>512</v>
      </c>
      <c r="P436">
        <v>46205</v>
      </c>
      <c r="Q436" t="s">
        <v>1177</v>
      </c>
      <c r="R436" t="s">
        <v>21</v>
      </c>
      <c r="S436" t="s">
        <v>853</v>
      </c>
      <c r="T436" t="s">
        <v>62</v>
      </c>
      <c r="U436" t="s">
        <v>63</v>
      </c>
      <c r="V436">
        <v>500</v>
      </c>
      <c r="W436" t="s">
        <v>1262</v>
      </c>
      <c r="X436" t="s">
        <v>1262</v>
      </c>
      <c r="Y436">
        <v>0</v>
      </c>
      <c r="Z436" t="s">
        <v>1186</v>
      </c>
      <c r="AA436" t="s">
        <v>1177</v>
      </c>
      <c r="AB436" t="s">
        <v>1177</v>
      </c>
      <c r="AC436" t="s">
        <v>1177</v>
      </c>
      <c r="AD436" t="s">
        <v>1204</v>
      </c>
      <c r="AE436" t="s">
        <v>2160</v>
      </c>
      <c r="AF436" t="s">
        <v>1189</v>
      </c>
      <c r="AG436" t="s">
        <v>1178</v>
      </c>
      <c r="AH436" t="s">
        <v>1178</v>
      </c>
      <c r="AI436" t="s">
        <v>1177</v>
      </c>
      <c r="AJ436" t="s">
        <v>1190</v>
      </c>
      <c r="AK436">
        <v>500</v>
      </c>
      <c r="AL436" t="s">
        <v>1262</v>
      </c>
      <c r="AM436">
        <v>46238</v>
      </c>
      <c r="AN436">
        <v>46238</v>
      </c>
      <c r="AO436">
        <v>46238</v>
      </c>
      <c r="AP436">
        <v>46238</v>
      </c>
      <c r="AQ436">
        <v>46238</v>
      </c>
      <c r="AR436">
        <v>46238</v>
      </c>
      <c r="AS436">
        <v>46240</v>
      </c>
      <c r="AT436" t="s">
        <v>1281</v>
      </c>
      <c r="AU436" t="s">
        <v>1177</v>
      </c>
      <c r="AV436" t="s">
        <v>1192</v>
      </c>
      <c r="AW436" t="s">
        <v>1177</v>
      </c>
      <c r="AX436">
        <v>33</v>
      </c>
      <c r="AY436">
        <v>2</v>
      </c>
      <c r="AZ436" t="s">
        <v>1177</v>
      </c>
      <c r="BA436">
        <v>500</v>
      </c>
      <c r="BB436" t="s">
        <v>1262</v>
      </c>
      <c r="BC436" t="e">
        <v>#N/A</v>
      </c>
      <c r="BD436" t="e">
        <v>#N/A</v>
      </c>
      <c r="BE436" t="e">
        <v>#N/A</v>
      </c>
      <c r="BF436" t="e">
        <v>#N/A</v>
      </c>
      <c r="BG436" t="s">
        <v>1212</v>
      </c>
      <c r="BH436" t="e">
        <v>#N/A</v>
      </c>
      <c r="BI436" t="e">
        <v>#N/A</v>
      </c>
    </row>
    <row r="437" spans="1:61" x14ac:dyDescent="0.35">
      <c r="A437" s="7" t="str">
        <f t="shared" si="12"/>
        <v>462054300011296</v>
      </c>
      <c r="B437" s="7" t="str">
        <f t="shared" si="13"/>
        <v>GP486978-004B825</v>
      </c>
      <c r="C437" t="s">
        <v>2813</v>
      </c>
      <c r="D437" t="s">
        <v>1182</v>
      </c>
      <c r="E437" t="s">
        <v>1177</v>
      </c>
      <c r="F437" t="s">
        <v>1300</v>
      </c>
      <c r="G437" t="s">
        <v>1236</v>
      </c>
      <c r="H437" t="s">
        <v>1271</v>
      </c>
      <c r="I437">
        <v>46205</v>
      </c>
      <c r="J437" t="s">
        <v>2814</v>
      </c>
      <c r="K437" t="s">
        <v>1182</v>
      </c>
      <c r="L437" t="s">
        <v>1177</v>
      </c>
      <c r="M437" t="s">
        <v>1274</v>
      </c>
      <c r="N437" t="s">
        <v>25</v>
      </c>
      <c r="O437" t="s">
        <v>1060</v>
      </c>
      <c r="P437">
        <v>46205</v>
      </c>
      <c r="Q437" t="s">
        <v>1177</v>
      </c>
      <c r="R437" t="s">
        <v>16</v>
      </c>
      <c r="S437" t="s">
        <v>512</v>
      </c>
      <c r="T437" t="s">
        <v>193</v>
      </c>
      <c r="U437" t="s">
        <v>194</v>
      </c>
      <c r="V437">
        <v>416.4</v>
      </c>
      <c r="W437" t="s">
        <v>1185</v>
      </c>
      <c r="X437" t="s">
        <v>1185</v>
      </c>
      <c r="Y437">
        <v>0</v>
      </c>
      <c r="Z437" t="s">
        <v>1186</v>
      </c>
      <c r="AA437" t="s">
        <v>1177</v>
      </c>
      <c r="AB437" t="s">
        <v>1177</v>
      </c>
      <c r="AC437" t="s">
        <v>1177</v>
      </c>
      <c r="AD437" t="s">
        <v>1204</v>
      </c>
      <c r="AE437" t="s">
        <v>1188</v>
      </c>
      <c r="AF437" t="s">
        <v>1189</v>
      </c>
      <c r="AG437" t="s">
        <v>1189</v>
      </c>
      <c r="AH437" t="s">
        <v>1178</v>
      </c>
      <c r="AI437" t="s">
        <v>1177</v>
      </c>
      <c r="AJ437" t="s">
        <v>1190</v>
      </c>
      <c r="AK437">
        <v>416.4</v>
      </c>
      <c r="AL437" t="s">
        <v>1185</v>
      </c>
      <c r="AM437">
        <v>46238</v>
      </c>
      <c r="AN437">
        <v>46238</v>
      </c>
      <c r="AO437">
        <v>46238</v>
      </c>
      <c r="AP437">
        <v>46238</v>
      </c>
      <c r="AQ437">
        <v>46238</v>
      </c>
      <c r="AR437">
        <v>46238</v>
      </c>
      <c r="AS437">
        <v>46240</v>
      </c>
      <c r="AT437" t="s">
        <v>1281</v>
      </c>
      <c r="AU437" t="s">
        <v>1177</v>
      </c>
      <c r="AV437" t="s">
        <v>1192</v>
      </c>
      <c r="AW437" t="s">
        <v>1177</v>
      </c>
      <c r="AX437">
        <v>33</v>
      </c>
      <c r="AY437">
        <v>2</v>
      </c>
      <c r="AZ437" t="s">
        <v>1177</v>
      </c>
      <c r="BA437">
        <v>416.4</v>
      </c>
      <c r="BB437" t="s">
        <v>1185</v>
      </c>
      <c r="BC437" t="e">
        <v>#N/A</v>
      </c>
      <c r="BD437" t="e">
        <v>#N/A</v>
      </c>
      <c r="BE437" t="e">
        <v>#N/A</v>
      </c>
      <c r="BF437" t="e">
        <v>#N/A</v>
      </c>
      <c r="BG437" t="s">
        <v>1212</v>
      </c>
      <c r="BH437" t="e">
        <v>#N/A</v>
      </c>
      <c r="BI437" t="e">
        <v>#N/A</v>
      </c>
    </row>
    <row r="438" spans="1:61" x14ac:dyDescent="0.35">
      <c r="A438" s="7" t="str">
        <f t="shared" si="12"/>
        <v>462064300011299</v>
      </c>
      <c r="B438" s="7" t="str">
        <f t="shared" si="13"/>
        <v>GP047103B833</v>
      </c>
      <c r="C438" t="s">
        <v>2815</v>
      </c>
      <c r="D438" t="s">
        <v>1198</v>
      </c>
      <c r="E438" t="s">
        <v>1177</v>
      </c>
      <c r="F438" t="s">
        <v>1300</v>
      </c>
      <c r="G438" t="s">
        <v>1236</v>
      </c>
      <c r="H438" t="s">
        <v>1271</v>
      </c>
      <c r="I438">
        <v>46206</v>
      </c>
      <c r="J438" t="s">
        <v>2816</v>
      </c>
      <c r="K438" t="s">
        <v>1198</v>
      </c>
      <c r="L438" t="s">
        <v>1177</v>
      </c>
      <c r="M438" t="s">
        <v>1274</v>
      </c>
      <c r="N438" t="s">
        <v>16</v>
      </c>
      <c r="O438" t="s">
        <v>512</v>
      </c>
      <c r="P438">
        <v>46206</v>
      </c>
      <c r="Q438" t="s">
        <v>1177</v>
      </c>
      <c r="R438" t="s">
        <v>697</v>
      </c>
      <c r="S438" t="s">
        <v>699</v>
      </c>
      <c r="T438" t="s">
        <v>2817</v>
      </c>
      <c r="U438" t="s">
        <v>2818</v>
      </c>
      <c r="V438">
        <v>1</v>
      </c>
      <c r="W438" t="s">
        <v>1262</v>
      </c>
      <c r="X438" t="s">
        <v>1262</v>
      </c>
      <c r="Y438">
        <v>0</v>
      </c>
      <c r="Z438" t="s">
        <v>1186</v>
      </c>
      <c r="AA438" t="s">
        <v>1177</v>
      </c>
      <c r="AB438" t="s">
        <v>1177</v>
      </c>
      <c r="AC438" t="s">
        <v>1177</v>
      </c>
      <c r="AD438" t="s">
        <v>1204</v>
      </c>
      <c r="AE438" t="s">
        <v>1730</v>
      </c>
      <c r="AF438" t="s">
        <v>1189</v>
      </c>
      <c r="AG438" t="s">
        <v>1190</v>
      </c>
      <c r="AH438" t="s">
        <v>1178</v>
      </c>
      <c r="AI438" t="s">
        <v>1177</v>
      </c>
      <c r="AJ438" t="s">
        <v>1190</v>
      </c>
      <c r="AK438">
        <v>1</v>
      </c>
      <c r="AL438" t="s">
        <v>1262</v>
      </c>
      <c r="AM438">
        <v>46205</v>
      </c>
      <c r="AN438">
        <v>46206</v>
      </c>
      <c r="AO438">
        <v>46206</v>
      </c>
      <c r="AP438">
        <v>46206</v>
      </c>
      <c r="AQ438">
        <v>46206</v>
      </c>
      <c r="AR438">
        <v>46206</v>
      </c>
      <c r="AS438">
        <v>46206</v>
      </c>
      <c r="AT438" t="s">
        <v>1281</v>
      </c>
      <c r="AU438" t="s">
        <v>1177</v>
      </c>
      <c r="AV438" t="s">
        <v>1192</v>
      </c>
      <c r="AW438" t="s">
        <v>1177</v>
      </c>
      <c r="AX438">
        <v>0</v>
      </c>
      <c r="AY438">
        <v>0</v>
      </c>
      <c r="AZ438" t="s">
        <v>1177</v>
      </c>
      <c r="BA438">
        <v>1</v>
      </c>
      <c r="BB438" t="s">
        <v>1262</v>
      </c>
      <c r="BC438" t="e">
        <v>#N/A</v>
      </c>
      <c r="BD438" t="e">
        <v>#N/A</v>
      </c>
      <c r="BE438" t="e">
        <v>#N/A</v>
      </c>
      <c r="BF438" t="e">
        <v>#N/A</v>
      </c>
      <c r="BG438" t="s">
        <v>1212</v>
      </c>
      <c r="BH438" t="e">
        <v>#N/A</v>
      </c>
      <c r="BI438" t="e">
        <v>#N/A</v>
      </c>
    </row>
    <row r="439" spans="1:61" x14ac:dyDescent="0.35">
      <c r="A439" s="7" t="str">
        <f t="shared" si="12"/>
        <v>462064300011303</v>
      </c>
      <c r="B439" s="7" t="str">
        <f t="shared" si="13"/>
        <v>P630248B864</v>
      </c>
      <c r="C439" t="s">
        <v>2819</v>
      </c>
      <c r="D439" t="s">
        <v>2809</v>
      </c>
      <c r="E439" t="s">
        <v>1177</v>
      </c>
      <c r="F439" t="s">
        <v>2804</v>
      </c>
      <c r="G439" t="s">
        <v>2399</v>
      </c>
      <c r="H439" t="s">
        <v>1271</v>
      </c>
      <c r="I439">
        <v>46206</v>
      </c>
      <c r="J439" t="s">
        <v>2820</v>
      </c>
      <c r="K439" t="s">
        <v>2809</v>
      </c>
      <c r="L439" t="s">
        <v>1177</v>
      </c>
      <c r="M439" t="s">
        <v>1274</v>
      </c>
      <c r="N439" t="s">
        <v>1079</v>
      </c>
      <c r="O439" t="s">
        <v>1275</v>
      </c>
      <c r="P439">
        <v>46268</v>
      </c>
      <c r="Q439" t="s">
        <v>1185</v>
      </c>
      <c r="R439" t="s">
        <v>10</v>
      </c>
      <c r="S439" t="s">
        <v>1011</v>
      </c>
      <c r="T439" t="s">
        <v>439</v>
      </c>
      <c r="U439" t="s">
        <v>2810</v>
      </c>
      <c r="V439">
        <v>38</v>
      </c>
      <c r="W439" t="s">
        <v>1262</v>
      </c>
      <c r="X439" t="s">
        <v>1262</v>
      </c>
      <c r="Y439">
        <v>0</v>
      </c>
      <c r="Z439" t="s">
        <v>1186</v>
      </c>
      <c r="AA439" t="s">
        <v>1177</v>
      </c>
      <c r="AB439" t="s">
        <v>1276</v>
      </c>
      <c r="AC439" t="s">
        <v>1277</v>
      </c>
      <c r="AD439" t="s">
        <v>1278</v>
      </c>
      <c r="AE439" t="s">
        <v>1378</v>
      </c>
      <c r="AF439" t="s">
        <v>1178</v>
      </c>
      <c r="AG439" t="s">
        <v>1190</v>
      </c>
      <c r="AH439" t="s">
        <v>1178</v>
      </c>
      <c r="AI439" t="s">
        <v>1280</v>
      </c>
      <c r="AJ439" t="s">
        <v>1189</v>
      </c>
      <c r="AK439">
        <v>38</v>
      </c>
      <c r="AL439" t="s">
        <v>1262</v>
      </c>
      <c r="AM439">
        <v>46232</v>
      </c>
      <c r="AN439">
        <v>46226</v>
      </c>
      <c r="AO439">
        <v>46226</v>
      </c>
      <c r="AP439">
        <v>46230</v>
      </c>
      <c r="AQ439">
        <v>46230</v>
      </c>
      <c r="AR439">
        <v>46232</v>
      </c>
      <c r="AS439">
        <v>46234</v>
      </c>
      <c r="AT439" t="s">
        <v>1281</v>
      </c>
      <c r="AU439" t="s">
        <v>1177</v>
      </c>
      <c r="AV439" t="s">
        <v>1192</v>
      </c>
      <c r="AW439" t="s">
        <v>1177</v>
      </c>
      <c r="AX439">
        <v>33</v>
      </c>
      <c r="AY439">
        <v>2</v>
      </c>
      <c r="AZ439" t="s">
        <v>1177</v>
      </c>
      <c r="BA439">
        <v>0</v>
      </c>
      <c r="BB439" t="s">
        <v>1262</v>
      </c>
      <c r="BC439" t="e">
        <v>#N/A</v>
      </c>
      <c r="BD439" t="e">
        <v>#N/A</v>
      </c>
      <c r="BE439" t="e">
        <v>#N/A</v>
      </c>
      <c r="BF439" t="e">
        <v>#N/A</v>
      </c>
      <c r="BG439" t="s">
        <v>1372</v>
      </c>
      <c r="BH439" t="e">
        <v>#N/A</v>
      </c>
      <c r="BI439" t="e">
        <v>#N/A</v>
      </c>
    </row>
    <row r="440" spans="1:61" x14ac:dyDescent="0.35">
      <c r="A440" s="7" t="str">
        <f t="shared" si="12"/>
        <v>462064300011304</v>
      </c>
      <c r="B440" s="7" t="str">
        <f t="shared" si="13"/>
        <v>GP034202B867</v>
      </c>
      <c r="C440" t="s">
        <v>2821</v>
      </c>
      <c r="D440" t="s">
        <v>2139</v>
      </c>
      <c r="E440" t="s">
        <v>1177</v>
      </c>
      <c r="F440" t="s">
        <v>2798</v>
      </c>
      <c r="G440" t="s">
        <v>2799</v>
      </c>
      <c r="H440" t="s">
        <v>1271</v>
      </c>
      <c r="I440">
        <v>46206</v>
      </c>
      <c r="J440" t="s">
        <v>2822</v>
      </c>
      <c r="K440" t="s">
        <v>1834</v>
      </c>
      <c r="L440" t="s">
        <v>1177</v>
      </c>
      <c r="M440" t="s">
        <v>1274</v>
      </c>
      <c r="N440" t="s">
        <v>1079</v>
      </c>
      <c r="O440" t="s">
        <v>1080</v>
      </c>
      <c r="P440">
        <v>46206</v>
      </c>
      <c r="Q440" t="s">
        <v>1177</v>
      </c>
      <c r="R440" t="s">
        <v>25</v>
      </c>
      <c r="S440" t="s">
        <v>1060</v>
      </c>
      <c r="T440" t="s">
        <v>1081</v>
      </c>
      <c r="U440" t="s">
        <v>1082</v>
      </c>
      <c r="V440">
        <v>1</v>
      </c>
      <c r="W440" t="s">
        <v>1202</v>
      </c>
      <c r="X440" t="s">
        <v>1202</v>
      </c>
      <c r="Y440">
        <v>0</v>
      </c>
      <c r="Z440" t="s">
        <v>1186</v>
      </c>
      <c r="AA440" t="s">
        <v>1177</v>
      </c>
      <c r="AB440" t="s">
        <v>1286</v>
      </c>
      <c r="AC440" t="s">
        <v>1277</v>
      </c>
      <c r="AD440" t="s">
        <v>1278</v>
      </c>
      <c r="AE440" t="s">
        <v>1730</v>
      </c>
      <c r="AF440" t="s">
        <v>1178</v>
      </c>
      <c r="AG440" t="s">
        <v>1178</v>
      </c>
      <c r="AH440" t="s">
        <v>1178</v>
      </c>
      <c r="AI440" t="s">
        <v>1280</v>
      </c>
      <c r="AJ440" t="s">
        <v>1189</v>
      </c>
      <c r="AK440">
        <v>1</v>
      </c>
      <c r="AL440" t="s">
        <v>1202</v>
      </c>
      <c r="AM440">
        <v>46351</v>
      </c>
      <c r="AN440">
        <v>46345</v>
      </c>
      <c r="AO440">
        <v>46345</v>
      </c>
      <c r="AP440">
        <v>46349</v>
      </c>
      <c r="AQ440">
        <v>46349</v>
      </c>
      <c r="AR440">
        <v>46351</v>
      </c>
      <c r="AS440">
        <v>46353</v>
      </c>
      <c r="AT440" t="s">
        <v>1281</v>
      </c>
      <c r="AU440" t="s">
        <v>1177</v>
      </c>
      <c r="AV440" t="s">
        <v>1192</v>
      </c>
      <c r="AW440" t="s">
        <v>1177</v>
      </c>
      <c r="AX440">
        <v>154</v>
      </c>
      <c r="AY440">
        <v>2</v>
      </c>
      <c r="AZ440" t="s">
        <v>1177</v>
      </c>
      <c r="BA440">
        <v>0</v>
      </c>
      <c r="BB440" t="s">
        <v>1202</v>
      </c>
      <c r="BC440" t="s">
        <v>2823</v>
      </c>
      <c r="BD440">
        <v>48</v>
      </c>
      <c r="BE440">
        <v>46212</v>
      </c>
      <c r="BF440" t="s">
        <v>1165</v>
      </c>
      <c r="BG440" t="s">
        <v>1458</v>
      </c>
      <c r="BH440" t="e">
        <v>#N/A</v>
      </c>
      <c r="BI440" t="e">
        <v>#N/A</v>
      </c>
    </row>
    <row r="441" spans="1:61" x14ac:dyDescent="0.35">
      <c r="A441" s="7" t="str">
        <f t="shared" si="12"/>
        <v>462094300011316</v>
      </c>
      <c r="B441" s="7" t="str">
        <f t="shared" si="13"/>
        <v>GP233669B825</v>
      </c>
      <c r="C441" t="s">
        <v>2824</v>
      </c>
      <c r="D441" t="s">
        <v>1182</v>
      </c>
      <c r="E441" t="s">
        <v>1177</v>
      </c>
      <c r="F441" t="s">
        <v>1232</v>
      </c>
      <c r="G441" t="s">
        <v>1236</v>
      </c>
      <c r="H441" t="s">
        <v>1271</v>
      </c>
      <c r="I441">
        <v>46209</v>
      </c>
      <c r="J441" t="s">
        <v>2825</v>
      </c>
      <c r="K441" t="s">
        <v>1182</v>
      </c>
      <c r="L441" t="s">
        <v>1177</v>
      </c>
      <c r="M441" t="s">
        <v>1274</v>
      </c>
      <c r="N441" t="s">
        <v>19</v>
      </c>
      <c r="O441" t="s">
        <v>654</v>
      </c>
      <c r="P441">
        <v>46209</v>
      </c>
      <c r="Q441" t="s">
        <v>1185</v>
      </c>
      <c r="R441" t="s">
        <v>16</v>
      </c>
      <c r="S441" t="s">
        <v>512</v>
      </c>
      <c r="T441" t="s">
        <v>473</v>
      </c>
      <c r="U441" t="s">
        <v>474</v>
      </c>
      <c r="V441">
        <v>1</v>
      </c>
      <c r="W441" t="s">
        <v>1262</v>
      </c>
      <c r="X441" t="s">
        <v>1262</v>
      </c>
      <c r="Y441">
        <v>0</v>
      </c>
      <c r="Z441" t="s">
        <v>1186</v>
      </c>
      <c r="AA441" t="s">
        <v>1177</v>
      </c>
      <c r="AB441" t="s">
        <v>1276</v>
      </c>
      <c r="AC441" t="s">
        <v>1277</v>
      </c>
      <c r="AD441" t="s">
        <v>1278</v>
      </c>
      <c r="AE441" t="s">
        <v>1354</v>
      </c>
      <c r="AF441" t="s">
        <v>1178</v>
      </c>
      <c r="AG441" t="s">
        <v>1190</v>
      </c>
      <c r="AH441" t="s">
        <v>1178</v>
      </c>
      <c r="AI441" t="s">
        <v>1177</v>
      </c>
      <c r="AJ441" t="s">
        <v>1190</v>
      </c>
      <c r="AK441">
        <v>1</v>
      </c>
      <c r="AL441" t="s">
        <v>1262</v>
      </c>
      <c r="AM441">
        <v>46225</v>
      </c>
      <c r="AN441">
        <v>46225</v>
      </c>
      <c r="AO441">
        <v>46225</v>
      </c>
      <c r="AP441">
        <v>46225</v>
      </c>
      <c r="AQ441">
        <v>46225</v>
      </c>
      <c r="AR441">
        <v>46225</v>
      </c>
      <c r="AS441">
        <v>46227</v>
      </c>
      <c r="AT441" t="s">
        <v>1281</v>
      </c>
      <c r="AU441" t="s">
        <v>1177</v>
      </c>
      <c r="AV441" t="s">
        <v>1192</v>
      </c>
      <c r="AW441" t="s">
        <v>1177</v>
      </c>
      <c r="AX441">
        <v>33</v>
      </c>
      <c r="AY441">
        <v>2</v>
      </c>
      <c r="AZ441" t="s">
        <v>1177</v>
      </c>
      <c r="BA441">
        <v>0</v>
      </c>
      <c r="BB441" t="s">
        <v>1262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e">
        <v>#N/A</v>
      </c>
      <c r="BI441" t="e">
        <v>#N/A</v>
      </c>
    </row>
    <row r="442" spans="1:61" x14ac:dyDescent="0.35">
      <c r="A442" s="7" t="str">
        <f t="shared" si="12"/>
        <v>462094300011319</v>
      </c>
      <c r="B442" s="7" t="str">
        <f t="shared" si="13"/>
        <v>GP144559-001B825</v>
      </c>
      <c r="C442" t="s">
        <v>2826</v>
      </c>
      <c r="D442" t="s">
        <v>1182</v>
      </c>
      <c r="E442" t="s">
        <v>1177</v>
      </c>
      <c r="F442" t="s">
        <v>1232</v>
      </c>
      <c r="G442" t="s">
        <v>1236</v>
      </c>
      <c r="H442" t="s">
        <v>1271</v>
      </c>
      <c r="I442">
        <v>46209</v>
      </c>
      <c r="J442" t="s">
        <v>2827</v>
      </c>
      <c r="K442" t="s">
        <v>1182</v>
      </c>
      <c r="L442" t="s">
        <v>1177</v>
      </c>
      <c r="M442" t="s">
        <v>1274</v>
      </c>
      <c r="N442" t="s">
        <v>7</v>
      </c>
      <c r="O442" t="s">
        <v>1040</v>
      </c>
      <c r="P442">
        <v>46209</v>
      </c>
      <c r="Q442" t="s">
        <v>1177</v>
      </c>
      <c r="R442" t="s">
        <v>16</v>
      </c>
      <c r="S442" t="s">
        <v>512</v>
      </c>
      <c r="T442" t="s">
        <v>407</v>
      </c>
      <c r="U442" t="s">
        <v>1610</v>
      </c>
      <c r="V442">
        <v>30</v>
      </c>
      <c r="W442" t="s">
        <v>1262</v>
      </c>
      <c r="X442" t="s">
        <v>1262</v>
      </c>
      <c r="Y442">
        <v>0</v>
      </c>
      <c r="Z442" t="s">
        <v>1186</v>
      </c>
      <c r="AA442" t="s">
        <v>1177</v>
      </c>
      <c r="AB442" t="s">
        <v>1177</v>
      </c>
      <c r="AC442" t="s">
        <v>1177</v>
      </c>
      <c r="AD442" t="s">
        <v>1204</v>
      </c>
      <c r="AE442" t="s">
        <v>1188</v>
      </c>
      <c r="AF442" t="s">
        <v>1189</v>
      </c>
      <c r="AG442" t="s">
        <v>1178</v>
      </c>
      <c r="AH442" t="s">
        <v>1178</v>
      </c>
      <c r="AI442" t="s">
        <v>1177</v>
      </c>
      <c r="AJ442" t="s">
        <v>1190</v>
      </c>
      <c r="AK442">
        <v>30</v>
      </c>
      <c r="AL442" t="s">
        <v>1262</v>
      </c>
      <c r="AM442">
        <v>46225</v>
      </c>
      <c r="AN442">
        <v>46225</v>
      </c>
      <c r="AO442">
        <v>46225</v>
      </c>
      <c r="AP442">
        <v>46225</v>
      </c>
      <c r="AQ442">
        <v>46225</v>
      </c>
      <c r="AR442">
        <v>46225</v>
      </c>
      <c r="AS442">
        <v>46227</v>
      </c>
      <c r="AT442" t="s">
        <v>1281</v>
      </c>
      <c r="AU442" t="s">
        <v>1177</v>
      </c>
      <c r="AV442" t="s">
        <v>1192</v>
      </c>
      <c r="AW442" t="s">
        <v>1177</v>
      </c>
      <c r="AX442">
        <v>33</v>
      </c>
      <c r="AY442">
        <v>2</v>
      </c>
      <c r="AZ442" t="s">
        <v>1177</v>
      </c>
      <c r="BA442">
        <v>30</v>
      </c>
      <c r="BB442" t="s">
        <v>1262</v>
      </c>
      <c r="BC442" t="e">
        <v>#N/A</v>
      </c>
      <c r="BD442" t="e">
        <v>#N/A</v>
      </c>
      <c r="BE442" t="e">
        <v>#N/A</v>
      </c>
      <c r="BF442" t="e">
        <v>#N/A</v>
      </c>
      <c r="BG442" t="s">
        <v>1212</v>
      </c>
      <c r="BH442" t="e">
        <v>#N/A</v>
      </c>
      <c r="BI442" t="e">
        <v>#N/A</v>
      </c>
    </row>
    <row r="443" spans="1:61" x14ac:dyDescent="0.35">
      <c r="A443" s="7" t="str">
        <f t="shared" si="12"/>
        <v>462104300011322</v>
      </c>
      <c r="B443" s="7" t="str">
        <f t="shared" si="13"/>
        <v>GP571539B856</v>
      </c>
      <c r="C443" t="s">
        <v>2828</v>
      </c>
      <c r="D443" t="s">
        <v>1182</v>
      </c>
      <c r="E443" t="s">
        <v>1177</v>
      </c>
      <c r="F443" t="s">
        <v>1179</v>
      </c>
      <c r="G443" t="s">
        <v>2603</v>
      </c>
      <c r="H443" t="s">
        <v>1271</v>
      </c>
      <c r="I443">
        <v>46210</v>
      </c>
      <c r="J443" t="s">
        <v>2829</v>
      </c>
      <c r="K443" t="s">
        <v>1182</v>
      </c>
      <c r="L443" t="s">
        <v>1177</v>
      </c>
      <c r="M443" t="s">
        <v>1274</v>
      </c>
      <c r="N443" t="s">
        <v>1079</v>
      </c>
      <c r="O443" t="s">
        <v>1080</v>
      </c>
      <c r="P443">
        <v>46210</v>
      </c>
      <c r="Q443" t="s">
        <v>1177</v>
      </c>
      <c r="R443" t="s">
        <v>21</v>
      </c>
      <c r="S443" t="s">
        <v>853</v>
      </c>
      <c r="T443" t="s">
        <v>1111</v>
      </c>
      <c r="U443" t="s">
        <v>1112</v>
      </c>
      <c r="V443">
        <v>2</v>
      </c>
      <c r="W443" t="s">
        <v>1262</v>
      </c>
      <c r="X443" t="s">
        <v>1262</v>
      </c>
      <c r="Y443">
        <v>0</v>
      </c>
      <c r="Z443" t="s">
        <v>1186</v>
      </c>
      <c r="AA443" t="s">
        <v>1177</v>
      </c>
      <c r="AB443" t="s">
        <v>1276</v>
      </c>
      <c r="AC443" t="s">
        <v>1277</v>
      </c>
      <c r="AD443" t="s">
        <v>1278</v>
      </c>
      <c r="AE443" t="s">
        <v>1526</v>
      </c>
      <c r="AF443" t="s">
        <v>1178</v>
      </c>
      <c r="AG443" t="s">
        <v>1190</v>
      </c>
      <c r="AH443" t="s">
        <v>1178</v>
      </c>
      <c r="AI443" t="s">
        <v>1280</v>
      </c>
      <c r="AJ443" t="s">
        <v>1189</v>
      </c>
      <c r="AK443">
        <v>2</v>
      </c>
      <c r="AL443" t="s">
        <v>1262</v>
      </c>
      <c r="AM443">
        <v>46351</v>
      </c>
      <c r="AN443">
        <v>46345</v>
      </c>
      <c r="AO443">
        <v>46345</v>
      </c>
      <c r="AP443">
        <v>46349</v>
      </c>
      <c r="AQ443">
        <v>46349</v>
      </c>
      <c r="AR443">
        <v>46351</v>
      </c>
      <c r="AS443">
        <v>46351</v>
      </c>
      <c r="AT443" t="s">
        <v>1281</v>
      </c>
      <c r="AU443" t="s">
        <v>1177</v>
      </c>
      <c r="AV443" t="s">
        <v>1192</v>
      </c>
      <c r="AW443" t="s">
        <v>1177</v>
      </c>
      <c r="AX443">
        <v>0</v>
      </c>
      <c r="AY443">
        <v>0</v>
      </c>
      <c r="AZ443" t="s">
        <v>1177</v>
      </c>
      <c r="BA443">
        <v>0</v>
      </c>
      <c r="BB443" t="s">
        <v>1262</v>
      </c>
      <c r="BC443" t="e">
        <v>#N/A</v>
      </c>
      <c r="BD443" t="e">
        <v>#N/A</v>
      </c>
      <c r="BE443" t="e">
        <v>#N/A</v>
      </c>
      <c r="BF443" t="e">
        <v>#N/A</v>
      </c>
      <c r="BG443" t="s">
        <v>1464</v>
      </c>
      <c r="BH443" t="e">
        <v>#N/A</v>
      </c>
      <c r="BI443" t="e">
        <v>#N/A</v>
      </c>
    </row>
    <row r="444" spans="1:61" x14ac:dyDescent="0.35">
      <c r="A444" s="7" t="str">
        <f t="shared" si="12"/>
        <v>462104300011330</v>
      </c>
      <c r="B444" s="7" t="str">
        <f t="shared" si="13"/>
        <v>GP486978-004B825</v>
      </c>
      <c r="C444" t="s">
        <v>2830</v>
      </c>
      <c r="D444" t="s">
        <v>1182</v>
      </c>
      <c r="E444" t="s">
        <v>1177</v>
      </c>
      <c r="F444" t="s">
        <v>1300</v>
      </c>
      <c r="G444" t="s">
        <v>1236</v>
      </c>
      <c r="H444" t="s">
        <v>1271</v>
      </c>
      <c r="I444">
        <v>46210</v>
      </c>
      <c r="J444" t="s">
        <v>2831</v>
      </c>
      <c r="K444" t="s">
        <v>1182</v>
      </c>
      <c r="L444" t="s">
        <v>1177</v>
      </c>
      <c r="M444" t="s">
        <v>1274</v>
      </c>
      <c r="N444" t="s">
        <v>7</v>
      </c>
      <c r="O444" t="s">
        <v>1040</v>
      </c>
      <c r="P444">
        <v>46210</v>
      </c>
      <c r="Q444" t="s">
        <v>1177</v>
      </c>
      <c r="R444" t="s">
        <v>16</v>
      </c>
      <c r="S444" t="s">
        <v>512</v>
      </c>
      <c r="T444" t="s">
        <v>193</v>
      </c>
      <c r="U444" t="s">
        <v>194</v>
      </c>
      <c r="V444">
        <v>416.4</v>
      </c>
      <c r="W444" t="s">
        <v>1185</v>
      </c>
      <c r="X444" t="s">
        <v>1185</v>
      </c>
      <c r="Y444">
        <v>0</v>
      </c>
      <c r="Z444" t="s">
        <v>1186</v>
      </c>
      <c r="AA444" t="s">
        <v>1177</v>
      </c>
      <c r="AB444" t="s">
        <v>1177</v>
      </c>
      <c r="AC444" t="s">
        <v>1177</v>
      </c>
      <c r="AD444" t="s">
        <v>1204</v>
      </c>
      <c r="AE444" t="s">
        <v>1188</v>
      </c>
      <c r="AF444" t="s">
        <v>1189</v>
      </c>
      <c r="AG444" t="s">
        <v>1189</v>
      </c>
      <c r="AH444" t="s">
        <v>1178</v>
      </c>
      <c r="AI444" t="s">
        <v>1177</v>
      </c>
      <c r="AJ444" t="s">
        <v>1190</v>
      </c>
      <c r="AK444">
        <v>416.4</v>
      </c>
      <c r="AL444" t="s">
        <v>1185</v>
      </c>
      <c r="AM444">
        <v>46244</v>
      </c>
      <c r="AN444">
        <v>46244</v>
      </c>
      <c r="AO444">
        <v>46244</v>
      </c>
      <c r="AP444">
        <v>46244</v>
      </c>
      <c r="AQ444">
        <v>46244</v>
      </c>
      <c r="AR444">
        <v>46244</v>
      </c>
      <c r="AS444">
        <v>46246</v>
      </c>
      <c r="AT444" t="s">
        <v>1281</v>
      </c>
      <c r="AU444" t="s">
        <v>1177</v>
      </c>
      <c r="AV444" t="s">
        <v>1192</v>
      </c>
      <c r="AW444" t="s">
        <v>1177</v>
      </c>
      <c r="AX444">
        <v>33</v>
      </c>
      <c r="AY444">
        <v>2</v>
      </c>
      <c r="AZ444" t="s">
        <v>1177</v>
      </c>
      <c r="BA444">
        <v>416.4</v>
      </c>
      <c r="BB444" t="s">
        <v>1185</v>
      </c>
      <c r="BC444" t="e">
        <v>#N/A</v>
      </c>
      <c r="BD444" t="e">
        <v>#N/A</v>
      </c>
      <c r="BE444" t="e">
        <v>#N/A</v>
      </c>
      <c r="BF444" t="e">
        <v>#N/A</v>
      </c>
      <c r="BG444" t="s">
        <v>1212</v>
      </c>
      <c r="BH444" t="e">
        <v>#N/A</v>
      </c>
      <c r="BI444" t="e">
        <v>#N/A</v>
      </c>
    </row>
    <row r="445" spans="1:61" x14ac:dyDescent="0.35">
      <c r="A445" s="7" t="str">
        <f t="shared" si="12"/>
        <v>462104300011332</v>
      </c>
      <c r="B445" s="7" t="str">
        <f t="shared" si="13"/>
        <v>GP032227B865</v>
      </c>
      <c r="C445" t="s">
        <v>2832</v>
      </c>
      <c r="D445" t="s">
        <v>1199</v>
      </c>
      <c r="E445" t="s">
        <v>1177</v>
      </c>
      <c r="F445" t="s">
        <v>2804</v>
      </c>
      <c r="G445" t="s">
        <v>2399</v>
      </c>
      <c r="H445" t="s">
        <v>1271</v>
      </c>
      <c r="I445">
        <v>46210</v>
      </c>
      <c r="J445" t="s">
        <v>2833</v>
      </c>
      <c r="K445" t="s">
        <v>1199</v>
      </c>
      <c r="L445" t="s">
        <v>1177</v>
      </c>
      <c r="M445" t="s">
        <v>1274</v>
      </c>
      <c r="N445" t="s">
        <v>1079</v>
      </c>
      <c r="O445" t="s">
        <v>1275</v>
      </c>
      <c r="P445">
        <v>46267</v>
      </c>
      <c r="Q445" t="s">
        <v>1185</v>
      </c>
      <c r="R445" t="s">
        <v>7</v>
      </c>
      <c r="S445" t="s">
        <v>1040</v>
      </c>
      <c r="T445" t="s">
        <v>2834</v>
      </c>
      <c r="U445" t="s">
        <v>2835</v>
      </c>
      <c r="V445">
        <v>26</v>
      </c>
      <c r="W445" t="s">
        <v>1262</v>
      </c>
      <c r="X445" t="s">
        <v>1262</v>
      </c>
      <c r="Y445">
        <v>0</v>
      </c>
      <c r="Z445" t="s">
        <v>1186</v>
      </c>
      <c r="AA445" t="s">
        <v>1177</v>
      </c>
      <c r="AB445" t="s">
        <v>1177</v>
      </c>
      <c r="AC445" t="s">
        <v>1177</v>
      </c>
      <c r="AD445" t="s">
        <v>1204</v>
      </c>
      <c r="AE445" t="s">
        <v>1314</v>
      </c>
      <c r="AF445" t="s">
        <v>1189</v>
      </c>
      <c r="AG445" t="s">
        <v>1178</v>
      </c>
      <c r="AH445" t="s">
        <v>1178</v>
      </c>
      <c r="AI445" t="s">
        <v>1349</v>
      </c>
      <c r="AJ445" t="s">
        <v>1189</v>
      </c>
      <c r="AK445">
        <v>26</v>
      </c>
      <c r="AL445" t="s">
        <v>1262</v>
      </c>
      <c r="AM445">
        <v>46241</v>
      </c>
      <c r="AN445">
        <v>46237</v>
      </c>
      <c r="AO445">
        <v>46237</v>
      </c>
      <c r="AP445">
        <v>46239</v>
      </c>
      <c r="AQ445">
        <v>46239</v>
      </c>
      <c r="AR445">
        <v>46241</v>
      </c>
      <c r="AS445">
        <v>46245</v>
      </c>
      <c r="AT445" t="s">
        <v>1281</v>
      </c>
      <c r="AU445" t="s">
        <v>1177</v>
      </c>
      <c r="AV445" t="s">
        <v>1192</v>
      </c>
      <c r="AW445" t="s">
        <v>1177</v>
      </c>
      <c r="AX445">
        <v>33</v>
      </c>
      <c r="AY445">
        <v>2</v>
      </c>
      <c r="AZ445" t="s">
        <v>1177</v>
      </c>
      <c r="BA445">
        <v>0</v>
      </c>
      <c r="BB445" t="s">
        <v>1262</v>
      </c>
      <c r="BC445" t="e">
        <v>#N/A</v>
      </c>
      <c r="BD445" t="e">
        <v>#N/A</v>
      </c>
      <c r="BE445" t="e">
        <v>#N/A</v>
      </c>
      <c r="BF445" t="e">
        <v>#N/A</v>
      </c>
      <c r="BG445" t="s">
        <v>1372</v>
      </c>
      <c r="BH445" t="e">
        <v>#N/A</v>
      </c>
      <c r="BI445" t="e">
        <v>#N/A</v>
      </c>
    </row>
    <row r="446" spans="1:61" x14ac:dyDescent="0.35">
      <c r="A446" s="7" t="str">
        <f t="shared" si="12"/>
        <v>462104300011333</v>
      </c>
      <c r="B446" s="7" t="str">
        <f t="shared" si="13"/>
        <v>GP131157B864</v>
      </c>
      <c r="C446" t="s">
        <v>2839</v>
      </c>
      <c r="D446" t="s">
        <v>1283</v>
      </c>
      <c r="E446" t="s">
        <v>1177</v>
      </c>
      <c r="F446" t="s">
        <v>2804</v>
      </c>
      <c r="G446" t="s">
        <v>2399</v>
      </c>
      <c r="H446" t="s">
        <v>1271</v>
      </c>
      <c r="I446">
        <v>46210</v>
      </c>
      <c r="J446" t="s">
        <v>2840</v>
      </c>
      <c r="K446" t="s">
        <v>1283</v>
      </c>
      <c r="L446" t="s">
        <v>1177</v>
      </c>
      <c r="M446" t="s">
        <v>1274</v>
      </c>
      <c r="N446" t="s">
        <v>1079</v>
      </c>
      <c r="O446" t="s">
        <v>1275</v>
      </c>
      <c r="P446">
        <v>46267</v>
      </c>
      <c r="Q446" t="s">
        <v>1177</v>
      </c>
      <c r="R446" t="s">
        <v>10</v>
      </c>
      <c r="S446" t="s">
        <v>1011</v>
      </c>
      <c r="T446" t="s">
        <v>62</v>
      </c>
      <c r="U446" t="s">
        <v>63</v>
      </c>
      <c r="V446">
        <v>25</v>
      </c>
      <c r="W446" t="s">
        <v>1262</v>
      </c>
      <c r="X446" t="s">
        <v>1262</v>
      </c>
      <c r="Y446">
        <v>0</v>
      </c>
      <c r="Z446" t="s">
        <v>1186</v>
      </c>
      <c r="AA446" t="s">
        <v>1177</v>
      </c>
      <c r="AB446" t="s">
        <v>1177</v>
      </c>
      <c r="AC446" t="s">
        <v>1177</v>
      </c>
      <c r="AD446" t="s">
        <v>1204</v>
      </c>
      <c r="AE446" t="s">
        <v>2160</v>
      </c>
      <c r="AF446" t="s">
        <v>1189</v>
      </c>
      <c r="AG446" t="s">
        <v>1178</v>
      </c>
      <c r="AH446" t="s">
        <v>1178</v>
      </c>
      <c r="AI446" t="s">
        <v>1280</v>
      </c>
      <c r="AJ446" t="s">
        <v>1189</v>
      </c>
      <c r="AK446">
        <v>25</v>
      </c>
      <c r="AL446" t="s">
        <v>1262</v>
      </c>
      <c r="AM446">
        <v>46239</v>
      </c>
      <c r="AN446">
        <v>46233</v>
      </c>
      <c r="AO446">
        <v>46233</v>
      </c>
      <c r="AP446">
        <v>46237</v>
      </c>
      <c r="AQ446">
        <v>46237</v>
      </c>
      <c r="AR446">
        <v>46239</v>
      </c>
      <c r="AS446">
        <v>46241</v>
      </c>
      <c r="AT446" t="s">
        <v>1281</v>
      </c>
      <c r="AU446" t="s">
        <v>1177</v>
      </c>
      <c r="AV446" t="s">
        <v>1192</v>
      </c>
      <c r="AW446" t="s">
        <v>1177</v>
      </c>
      <c r="AX446">
        <v>33</v>
      </c>
      <c r="AY446">
        <v>2</v>
      </c>
      <c r="AZ446" t="s">
        <v>1177</v>
      </c>
      <c r="BA446">
        <v>0</v>
      </c>
      <c r="BB446" t="s">
        <v>1262</v>
      </c>
      <c r="BC446" t="e">
        <v>#N/A</v>
      </c>
      <c r="BD446" t="e">
        <v>#N/A</v>
      </c>
      <c r="BE446" t="e">
        <v>#N/A</v>
      </c>
      <c r="BF446" t="e">
        <v>#N/A</v>
      </c>
      <c r="BG446" t="s">
        <v>1372</v>
      </c>
      <c r="BH446" t="e">
        <v>#N/A</v>
      </c>
      <c r="BI446" t="e">
        <v>#N/A</v>
      </c>
    </row>
    <row r="447" spans="1:61" x14ac:dyDescent="0.35">
      <c r="A447" s="7" t="str">
        <f t="shared" si="12"/>
        <v>462134300011354</v>
      </c>
      <c r="B447" s="7" t="str">
        <f t="shared" si="13"/>
        <v>GP463390B825</v>
      </c>
      <c r="C447" t="s">
        <v>2841</v>
      </c>
      <c r="D447" t="s">
        <v>1199</v>
      </c>
      <c r="E447" t="s">
        <v>1177</v>
      </c>
      <c r="F447" t="s">
        <v>1248</v>
      </c>
      <c r="G447" t="s">
        <v>1236</v>
      </c>
      <c r="H447" t="s">
        <v>1271</v>
      </c>
      <c r="I447">
        <v>46213</v>
      </c>
      <c r="J447" t="s">
        <v>2842</v>
      </c>
      <c r="K447" t="s">
        <v>1199</v>
      </c>
      <c r="L447" t="s">
        <v>1177</v>
      </c>
      <c r="M447" t="s">
        <v>1274</v>
      </c>
      <c r="N447" t="s">
        <v>624</v>
      </c>
      <c r="O447" t="s">
        <v>625</v>
      </c>
      <c r="P447">
        <v>46216</v>
      </c>
      <c r="Q447" t="s">
        <v>1185</v>
      </c>
      <c r="R447" t="s">
        <v>16</v>
      </c>
      <c r="S447" t="s">
        <v>512</v>
      </c>
      <c r="T447" t="s">
        <v>294</v>
      </c>
      <c r="U447" t="s">
        <v>295</v>
      </c>
      <c r="V447">
        <v>1</v>
      </c>
      <c r="W447" t="s">
        <v>1262</v>
      </c>
      <c r="X447" t="s">
        <v>1262</v>
      </c>
      <c r="Y447">
        <v>0</v>
      </c>
      <c r="Z447" t="s">
        <v>1186</v>
      </c>
      <c r="AA447" t="s">
        <v>1177</v>
      </c>
      <c r="AB447" t="s">
        <v>1276</v>
      </c>
      <c r="AC447" t="s">
        <v>1277</v>
      </c>
      <c r="AD447" t="s">
        <v>1278</v>
      </c>
      <c r="AE447" t="s">
        <v>1883</v>
      </c>
      <c r="AF447" t="s">
        <v>1178</v>
      </c>
      <c r="AG447" t="s">
        <v>1190</v>
      </c>
      <c r="AH447" t="s">
        <v>1178</v>
      </c>
      <c r="AI447" t="s">
        <v>1177</v>
      </c>
      <c r="AJ447" t="s">
        <v>1190</v>
      </c>
      <c r="AK447">
        <v>1</v>
      </c>
      <c r="AL447" t="s">
        <v>1262</v>
      </c>
      <c r="AM447">
        <v>46246</v>
      </c>
      <c r="AN447">
        <v>46246</v>
      </c>
      <c r="AO447">
        <v>46246</v>
      </c>
      <c r="AP447">
        <v>46246</v>
      </c>
      <c r="AQ447">
        <v>46246</v>
      </c>
      <c r="AR447">
        <v>46246</v>
      </c>
      <c r="AS447">
        <v>46248</v>
      </c>
      <c r="AT447" t="s">
        <v>1281</v>
      </c>
      <c r="AU447" t="s">
        <v>1177</v>
      </c>
      <c r="AV447" t="s">
        <v>1192</v>
      </c>
      <c r="AW447" t="s">
        <v>1177</v>
      </c>
      <c r="AX447">
        <v>33</v>
      </c>
      <c r="AY447">
        <v>2</v>
      </c>
      <c r="AZ447" t="s">
        <v>1177</v>
      </c>
      <c r="BA447">
        <v>0</v>
      </c>
      <c r="BB447" t="s">
        <v>1262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e">
        <v>#N/A</v>
      </c>
      <c r="BI447" t="e">
        <v>#N/A</v>
      </c>
    </row>
    <row r="448" spans="1:61" x14ac:dyDescent="0.35">
      <c r="A448" s="7" t="str">
        <f t="shared" si="12"/>
        <v>462134300011355</v>
      </c>
      <c r="B448" s="7" t="str">
        <f t="shared" si="13"/>
        <v>GP463390B825</v>
      </c>
      <c r="C448" t="s">
        <v>2843</v>
      </c>
      <c r="D448" t="s">
        <v>1199</v>
      </c>
      <c r="E448" t="s">
        <v>1177</v>
      </c>
      <c r="F448" t="s">
        <v>1248</v>
      </c>
      <c r="G448" t="s">
        <v>1236</v>
      </c>
      <c r="H448" t="s">
        <v>1271</v>
      </c>
      <c r="I448">
        <v>46213</v>
      </c>
      <c r="J448" t="s">
        <v>2844</v>
      </c>
      <c r="K448" t="s">
        <v>1199</v>
      </c>
      <c r="L448" t="s">
        <v>1177</v>
      </c>
      <c r="M448" t="s">
        <v>1274</v>
      </c>
      <c r="N448" t="s">
        <v>19</v>
      </c>
      <c r="O448" t="s">
        <v>654</v>
      </c>
      <c r="P448">
        <v>46213</v>
      </c>
      <c r="Q448" t="s">
        <v>1177</v>
      </c>
      <c r="R448" t="s">
        <v>16</v>
      </c>
      <c r="S448" t="s">
        <v>512</v>
      </c>
      <c r="T448" t="s">
        <v>294</v>
      </c>
      <c r="U448" t="s">
        <v>295</v>
      </c>
      <c r="V448">
        <v>1</v>
      </c>
      <c r="W448" t="s">
        <v>1262</v>
      </c>
      <c r="X448" t="s">
        <v>1262</v>
      </c>
      <c r="Y448">
        <v>0</v>
      </c>
      <c r="Z448" t="s">
        <v>1186</v>
      </c>
      <c r="AA448" t="s">
        <v>1177</v>
      </c>
      <c r="AB448" t="s">
        <v>1286</v>
      </c>
      <c r="AC448" t="s">
        <v>1277</v>
      </c>
      <c r="AD448" t="s">
        <v>1278</v>
      </c>
      <c r="AE448" t="s">
        <v>1883</v>
      </c>
      <c r="AF448" t="s">
        <v>1178</v>
      </c>
      <c r="AG448" t="s">
        <v>1178</v>
      </c>
      <c r="AH448" t="s">
        <v>1178</v>
      </c>
      <c r="AI448" t="s">
        <v>1177</v>
      </c>
      <c r="AJ448" t="s">
        <v>1190</v>
      </c>
      <c r="AK448">
        <v>1</v>
      </c>
      <c r="AL448" t="s">
        <v>1262</v>
      </c>
      <c r="AM448">
        <v>46246</v>
      </c>
      <c r="AN448">
        <v>46246</v>
      </c>
      <c r="AO448">
        <v>46246</v>
      </c>
      <c r="AP448">
        <v>46246</v>
      </c>
      <c r="AQ448">
        <v>46246</v>
      </c>
      <c r="AR448">
        <v>46246</v>
      </c>
      <c r="AS448">
        <v>46248</v>
      </c>
      <c r="AT448" t="s">
        <v>1281</v>
      </c>
      <c r="AU448" t="s">
        <v>1177</v>
      </c>
      <c r="AV448" t="s">
        <v>1192</v>
      </c>
      <c r="AW448" t="s">
        <v>1177</v>
      </c>
      <c r="AX448">
        <v>33</v>
      </c>
      <c r="AY448">
        <v>2</v>
      </c>
      <c r="AZ448" t="s">
        <v>1177</v>
      </c>
      <c r="BA448">
        <v>0</v>
      </c>
      <c r="BB448" t="s">
        <v>1262</v>
      </c>
      <c r="BC448" t="e">
        <v>#N/A</v>
      </c>
      <c r="BD448" t="e">
        <v>#N/A</v>
      </c>
      <c r="BE448" t="e">
        <v>#N/A</v>
      </c>
      <c r="BF448" t="e">
        <v>#N/A</v>
      </c>
      <c r="BG448" t="s">
        <v>1212</v>
      </c>
      <c r="BH448" t="e">
        <v>#N/A</v>
      </c>
      <c r="BI448" t="e">
        <v>#N/A</v>
      </c>
    </row>
    <row r="449" spans="1:61" x14ac:dyDescent="0.35">
      <c r="A449" s="7" t="str">
        <f t="shared" si="12"/>
        <v>462134300011357</v>
      </c>
      <c r="B449" s="7" t="str">
        <f t="shared" si="13"/>
        <v>GP343260B865</v>
      </c>
      <c r="C449" t="s">
        <v>2845</v>
      </c>
      <c r="D449" t="s">
        <v>1283</v>
      </c>
      <c r="E449" t="s">
        <v>1177</v>
      </c>
      <c r="F449" t="s">
        <v>2602</v>
      </c>
      <c r="G449" t="s">
        <v>2603</v>
      </c>
      <c r="H449" t="s">
        <v>1271</v>
      </c>
      <c r="I449">
        <v>46213</v>
      </c>
      <c r="J449" t="s">
        <v>2846</v>
      </c>
      <c r="K449" t="s">
        <v>1198</v>
      </c>
      <c r="L449" t="s">
        <v>1177</v>
      </c>
      <c r="M449" t="s">
        <v>1274</v>
      </c>
      <c r="N449" t="s">
        <v>1079</v>
      </c>
      <c r="O449" t="s">
        <v>1275</v>
      </c>
      <c r="P449">
        <v>46213</v>
      </c>
      <c r="Q449" t="s">
        <v>1177</v>
      </c>
      <c r="R449" t="s">
        <v>7</v>
      </c>
      <c r="S449" t="s">
        <v>1040</v>
      </c>
      <c r="T449" t="s">
        <v>2848</v>
      </c>
      <c r="U449" t="s">
        <v>2849</v>
      </c>
      <c r="V449">
        <v>5</v>
      </c>
      <c r="W449" t="s">
        <v>1262</v>
      </c>
      <c r="X449" t="s">
        <v>1262</v>
      </c>
      <c r="Y449">
        <v>0</v>
      </c>
      <c r="Z449" t="s">
        <v>1186</v>
      </c>
      <c r="AA449" t="s">
        <v>1177</v>
      </c>
      <c r="AB449" t="s">
        <v>1276</v>
      </c>
      <c r="AC449" t="s">
        <v>1277</v>
      </c>
      <c r="AD449" t="s">
        <v>1278</v>
      </c>
      <c r="AE449" t="s">
        <v>2850</v>
      </c>
      <c r="AF449" t="s">
        <v>1178</v>
      </c>
      <c r="AG449" t="s">
        <v>1190</v>
      </c>
      <c r="AH449" t="s">
        <v>1178</v>
      </c>
      <c r="AI449" t="s">
        <v>1349</v>
      </c>
      <c r="AJ449" t="s">
        <v>1189</v>
      </c>
      <c r="AK449">
        <v>5</v>
      </c>
      <c r="AL449" t="s">
        <v>1262</v>
      </c>
      <c r="AM449">
        <v>46423</v>
      </c>
      <c r="AN449">
        <v>46419</v>
      </c>
      <c r="AO449">
        <v>46419</v>
      </c>
      <c r="AP449">
        <v>46421</v>
      </c>
      <c r="AQ449">
        <v>46421</v>
      </c>
      <c r="AR449">
        <v>46423</v>
      </c>
      <c r="AS449">
        <v>46423</v>
      </c>
      <c r="AT449" t="s">
        <v>1281</v>
      </c>
      <c r="AU449" t="s">
        <v>1177</v>
      </c>
      <c r="AV449" t="s">
        <v>1192</v>
      </c>
      <c r="AW449" t="s">
        <v>1177</v>
      </c>
      <c r="AX449">
        <v>0</v>
      </c>
      <c r="AY449">
        <v>0</v>
      </c>
      <c r="AZ449" t="s">
        <v>1177</v>
      </c>
      <c r="BA449">
        <v>0</v>
      </c>
      <c r="BB449" t="s">
        <v>1262</v>
      </c>
      <c r="BC449" t="s">
        <v>2847</v>
      </c>
      <c r="BD449">
        <v>1</v>
      </c>
      <c r="BE449">
        <v>46246</v>
      </c>
      <c r="BF449" t="s">
        <v>1165</v>
      </c>
      <c r="BG449" t="s">
        <v>1464</v>
      </c>
      <c r="BH449" t="e">
        <v>#N/A</v>
      </c>
      <c r="BI449" t="e">
        <v>#N/A</v>
      </c>
    </row>
    <row r="450" spans="1:61" x14ac:dyDescent="0.35">
      <c r="A450" s="7" t="str">
        <f t="shared" ref="A450:A513" si="14">I450&amp;J450</f>
        <v>462194300011397</v>
      </c>
      <c r="B450" s="7" t="str">
        <f t="shared" ref="B450:B513" si="15">_xlfn.CONCAT(T450,R450)</f>
        <v>GP464294B832</v>
      </c>
      <c r="C450" t="s">
        <v>2851</v>
      </c>
      <c r="D450" t="s">
        <v>1182</v>
      </c>
      <c r="E450" t="s">
        <v>1177</v>
      </c>
      <c r="F450" t="s">
        <v>1232</v>
      </c>
      <c r="G450" t="s">
        <v>1236</v>
      </c>
      <c r="H450" t="s">
        <v>1271</v>
      </c>
      <c r="I450">
        <v>46219</v>
      </c>
      <c r="J450" t="s">
        <v>2852</v>
      </c>
      <c r="K450" t="s">
        <v>1182</v>
      </c>
      <c r="L450" t="s">
        <v>1177</v>
      </c>
      <c r="M450" t="s">
        <v>1274</v>
      </c>
      <c r="N450" t="s">
        <v>16</v>
      </c>
      <c r="O450" t="s">
        <v>512</v>
      </c>
      <c r="P450">
        <v>46219</v>
      </c>
      <c r="Q450" t="s">
        <v>1177</v>
      </c>
      <c r="R450" t="s">
        <v>19</v>
      </c>
      <c r="S450" t="s">
        <v>654</v>
      </c>
      <c r="T450" t="s">
        <v>694</v>
      </c>
      <c r="U450" t="s">
        <v>2500</v>
      </c>
      <c r="V450">
        <v>1</v>
      </c>
      <c r="W450" t="s">
        <v>1262</v>
      </c>
      <c r="X450" t="s">
        <v>1262</v>
      </c>
      <c r="Y450">
        <v>0</v>
      </c>
      <c r="Z450" t="s">
        <v>1186</v>
      </c>
      <c r="AA450" t="s">
        <v>1177</v>
      </c>
      <c r="AB450" t="s">
        <v>1276</v>
      </c>
      <c r="AC450" t="s">
        <v>1277</v>
      </c>
      <c r="AD450" t="s">
        <v>1278</v>
      </c>
      <c r="AE450" t="s">
        <v>2501</v>
      </c>
      <c r="AF450" t="s">
        <v>1178</v>
      </c>
      <c r="AG450" t="s">
        <v>1190</v>
      </c>
      <c r="AH450" t="s">
        <v>1178</v>
      </c>
      <c r="AI450" t="s">
        <v>1177</v>
      </c>
      <c r="AJ450" t="s">
        <v>1190</v>
      </c>
      <c r="AK450">
        <v>1</v>
      </c>
      <c r="AL450" t="s">
        <v>1262</v>
      </c>
      <c r="AM450">
        <v>46251</v>
      </c>
      <c r="AN450">
        <v>46251</v>
      </c>
      <c r="AO450">
        <v>46251</v>
      </c>
      <c r="AP450">
        <v>46251</v>
      </c>
      <c r="AQ450">
        <v>46251</v>
      </c>
      <c r="AR450">
        <v>46251</v>
      </c>
      <c r="AS450">
        <v>46253</v>
      </c>
      <c r="AT450" t="s">
        <v>1281</v>
      </c>
      <c r="AU450" t="s">
        <v>1177</v>
      </c>
      <c r="AV450" t="s">
        <v>1192</v>
      </c>
      <c r="AW450" t="s">
        <v>1177</v>
      </c>
      <c r="AX450">
        <v>33</v>
      </c>
      <c r="AY450">
        <v>2</v>
      </c>
      <c r="AZ450" t="s">
        <v>1177</v>
      </c>
      <c r="BA450">
        <v>1</v>
      </c>
      <c r="BB450" t="s">
        <v>1262</v>
      </c>
      <c r="BC450" t="e">
        <v>#N/A</v>
      </c>
      <c r="BD450" t="e">
        <v>#N/A</v>
      </c>
      <c r="BE450" t="e">
        <v>#N/A</v>
      </c>
      <c r="BF450" t="e">
        <v>#N/A</v>
      </c>
      <c r="BG450" t="s">
        <v>1212</v>
      </c>
      <c r="BH450" t="e">
        <v>#N/A</v>
      </c>
      <c r="BI450" t="e">
        <v>#N/A</v>
      </c>
    </row>
    <row r="451" spans="1:61" x14ac:dyDescent="0.35">
      <c r="A451" s="7" t="str">
        <f t="shared" si="14"/>
        <v>462194300011398</v>
      </c>
      <c r="B451" s="7" t="str">
        <f t="shared" si="15"/>
        <v>GP164975B864</v>
      </c>
      <c r="C451" t="s">
        <v>2853</v>
      </c>
      <c r="D451" t="s">
        <v>1182</v>
      </c>
      <c r="E451" t="s">
        <v>1177</v>
      </c>
      <c r="F451" t="s">
        <v>1232</v>
      </c>
      <c r="G451" t="s">
        <v>1236</v>
      </c>
      <c r="H451" t="s">
        <v>1271</v>
      </c>
      <c r="I451">
        <v>46219</v>
      </c>
      <c r="J451" t="s">
        <v>2854</v>
      </c>
      <c r="K451" t="s">
        <v>1182</v>
      </c>
      <c r="L451" t="s">
        <v>1177</v>
      </c>
      <c r="M451" t="s">
        <v>1274</v>
      </c>
      <c r="N451" t="s">
        <v>21</v>
      </c>
      <c r="O451" t="s">
        <v>853</v>
      </c>
      <c r="P451">
        <v>46219</v>
      </c>
      <c r="Q451" t="s">
        <v>1177</v>
      </c>
      <c r="R451" t="s">
        <v>10</v>
      </c>
      <c r="S451" t="s">
        <v>1011</v>
      </c>
      <c r="T451" t="s">
        <v>706</v>
      </c>
      <c r="U451" t="s">
        <v>707</v>
      </c>
      <c r="V451">
        <v>1</v>
      </c>
      <c r="W451" t="s">
        <v>1262</v>
      </c>
      <c r="X451" t="s">
        <v>1262</v>
      </c>
      <c r="Y451">
        <v>0</v>
      </c>
      <c r="Z451" t="s">
        <v>1186</v>
      </c>
      <c r="AA451" t="s">
        <v>1177</v>
      </c>
      <c r="AB451" t="s">
        <v>1276</v>
      </c>
      <c r="AC451" t="s">
        <v>1277</v>
      </c>
      <c r="AD451" t="s">
        <v>1278</v>
      </c>
      <c r="AE451" t="s">
        <v>1724</v>
      </c>
      <c r="AF451" t="s">
        <v>1178</v>
      </c>
      <c r="AG451" t="s">
        <v>1190</v>
      </c>
      <c r="AH451" t="s">
        <v>1178</v>
      </c>
      <c r="AI451" t="s">
        <v>1177</v>
      </c>
      <c r="AJ451" t="s">
        <v>1190</v>
      </c>
      <c r="AK451">
        <v>1</v>
      </c>
      <c r="AL451" t="s">
        <v>1262</v>
      </c>
      <c r="AM451">
        <v>46312</v>
      </c>
      <c r="AN451">
        <v>46311</v>
      </c>
      <c r="AO451">
        <v>46311</v>
      </c>
      <c r="AP451">
        <v>46311</v>
      </c>
      <c r="AQ451">
        <v>46311</v>
      </c>
      <c r="AR451">
        <v>46311</v>
      </c>
      <c r="AS451">
        <v>46316</v>
      </c>
      <c r="AT451" t="s">
        <v>1281</v>
      </c>
      <c r="AU451" t="s">
        <v>1177</v>
      </c>
      <c r="AV451" t="s">
        <v>1192</v>
      </c>
      <c r="AW451" t="s">
        <v>1177</v>
      </c>
      <c r="AX451">
        <v>33</v>
      </c>
      <c r="AY451">
        <v>2</v>
      </c>
      <c r="AZ451" t="s">
        <v>1177</v>
      </c>
      <c r="BA451">
        <v>1</v>
      </c>
      <c r="BB451" t="s">
        <v>1262</v>
      </c>
      <c r="BC451" t="e">
        <v>#N/A</v>
      </c>
      <c r="BD451" t="e">
        <v>#N/A</v>
      </c>
      <c r="BE451" t="e">
        <v>#N/A</v>
      </c>
      <c r="BF451" t="e">
        <v>#N/A</v>
      </c>
      <c r="BG451" t="s">
        <v>1212</v>
      </c>
      <c r="BH451" t="e">
        <v>#N/A</v>
      </c>
      <c r="BI451" t="e">
        <v>#N/A</v>
      </c>
    </row>
    <row r="452" spans="1:61" x14ac:dyDescent="0.35">
      <c r="A452" s="7" t="str">
        <f t="shared" si="14"/>
        <v>462194300011399</v>
      </c>
      <c r="B452" s="7" t="str">
        <f t="shared" si="15"/>
        <v>GP249817B867</v>
      </c>
      <c r="C452" t="s">
        <v>2855</v>
      </c>
      <c r="D452" t="s">
        <v>1182</v>
      </c>
      <c r="E452" t="s">
        <v>1177</v>
      </c>
      <c r="F452" t="s">
        <v>1232</v>
      </c>
      <c r="G452" t="s">
        <v>1236</v>
      </c>
      <c r="H452" t="s">
        <v>1271</v>
      </c>
      <c r="I452">
        <v>46219</v>
      </c>
      <c r="J452" t="s">
        <v>2856</v>
      </c>
      <c r="K452" t="s">
        <v>1182</v>
      </c>
      <c r="L452" t="s">
        <v>1177</v>
      </c>
      <c r="M452" t="s">
        <v>1274</v>
      </c>
      <c r="N452" t="s">
        <v>740</v>
      </c>
      <c r="O452" t="s">
        <v>741</v>
      </c>
      <c r="P452">
        <v>46219</v>
      </c>
      <c r="Q452" t="s">
        <v>1177</v>
      </c>
      <c r="R452" t="s">
        <v>25</v>
      </c>
      <c r="S452" t="s">
        <v>1060</v>
      </c>
      <c r="T452" t="s">
        <v>72</v>
      </c>
      <c r="U452" t="s">
        <v>73</v>
      </c>
      <c r="V452">
        <v>5</v>
      </c>
      <c r="W452" t="s">
        <v>1262</v>
      </c>
      <c r="X452" t="s">
        <v>1262</v>
      </c>
      <c r="Y452">
        <v>0</v>
      </c>
      <c r="Z452" t="s">
        <v>1186</v>
      </c>
      <c r="AA452" t="s">
        <v>1177</v>
      </c>
      <c r="AB452" t="s">
        <v>1276</v>
      </c>
      <c r="AC452" t="s">
        <v>1277</v>
      </c>
      <c r="AD452" t="s">
        <v>1278</v>
      </c>
      <c r="AE452" t="s">
        <v>1478</v>
      </c>
      <c r="AF452" t="s">
        <v>1178</v>
      </c>
      <c r="AG452" t="s">
        <v>1190</v>
      </c>
      <c r="AH452" t="s">
        <v>1178</v>
      </c>
      <c r="AI452" t="s">
        <v>1177</v>
      </c>
      <c r="AJ452" t="s">
        <v>1190</v>
      </c>
      <c r="AK452">
        <v>5</v>
      </c>
      <c r="AL452" t="s">
        <v>1262</v>
      </c>
      <c r="AM452">
        <v>46251</v>
      </c>
      <c r="AN452">
        <v>46251</v>
      </c>
      <c r="AO452">
        <v>46251</v>
      </c>
      <c r="AP452">
        <v>46251</v>
      </c>
      <c r="AQ452">
        <v>46251</v>
      </c>
      <c r="AR452">
        <v>46251</v>
      </c>
      <c r="AS452">
        <v>46253</v>
      </c>
      <c r="AT452" t="s">
        <v>1281</v>
      </c>
      <c r="AU452" t="s">
        <v>1177</v>
      </c>
      <c r="AV452" t="s">
        <v>1192</v>
      </c>
      <c r="AW452" t="s">
        <v>1177</v>
      </c>
      <c r="AX452">
        <v>33</v>
      </c>
      <c r="AY452">
        <v>2</v>
      </c>
      <c r="AZ452" t="s">
        <v>1177</v>
      </c>
      <c r="BA452">
        <v>5</v>
      </c>
      <c r="BB452" t="s">
        <v>1262</v>
      </c>
      <c r="BC452" t="e">
        <v>#N/A</v>
      </c>
      <c r="BD452" t="e">
        <v>#N/A</v>
      </c>
      <c r="BE452" t="e">
        <v>#N/A</v>
      </c>
      <c r="BF452" t="e">
        <v>#N/A</v>
      </c>
      <c r="BG452" t="s">
        <v>1212</v>
      </c>
      <c r="BH452" t="e">
        <v>#N/A</v>
      </c>
      <c r="BI452" t="e">
        <v>#N/A</v>
      </c>
    </row>
    <row r="453" spans="1:61" x14ac:dyDescent="0.35">
      <c r="A453" s="7" t="str">
        <f t="shared" si="14"/>
        <v>462204300011417</v>
      </c>
      <c r="B453" s="7" t="str">
        <f t="shared" si="15"/>
        <v>GP486978-004B825</v>
      </c>
      <c r="C453" t="s">
        <v>2857</v>
      </c>
      <c r="D453" t="s">
        <v>1182</v>
      </c>
      <c r="E453" t="s">
        <v>1177</v>
      </c>
      <c r="F453" t="s">
        <v>1300</v>
      </c>
      <c r="G453" t="s">
        <v>1236</v>
      </c>
      <c r="H453" t="s">
        <v>1271</v>
      </c>
      <c r="I453">
        <v>46220</v>
      </c>
      <c r="J453" t="s">
        <v>2858</v>
      </c>
      <c r="K453" t="s">
        <v>1182</v>
      </c>
      <c r="L453" t="s">
        <v>1177</v>
      </c>
      <c r="M453" t="s">
        <v>1274</v>
      </c>
      <c r="N453" t="s">
        <v>454</v>
      </c>
      <c r="O453" t="s">
        <v>455</v>
      </c>
      <c r="P453">
        <v>46220</v>
      </c>
      <c r="Q453" t="s">
        <v>1177</v>
      </c>
      <c r="R453" t="s">
        <v>16</v>
      </c>
      <c r="S453" t="s">
        <v>512</v>
      </c>
      <c r="T453" t="s">
        <v>193</v>
      </c>
      <c r="U453" t="s">
        <v>194</v>
      </c>
      <c r="V453">
        <v>416.4</v>
      </c>
      <c r="W453" t="s">
        <v>1185</v>
      </c>
      <c r="X453" t="s">
        <v>1185</v>
      </c>
      <c r="Y453">
        <v>0</v>
      </c>
      <c r="Z453" t="s">
        <v>1186</v>
      </c>
      <c r="AA453" t="s">
        <v>1177</v>
      </c>
      <c r="AB453" t="s">
        <v>1177</v>
      </c>
      <c r="AC453" t="s">
        <v>1177</v>
      </c>
      <c r="AD453" t="s">
        <v>1204</v>
      </c>
      <c r="AE453" t="s">
        <v>1188</v>
      </c>
      <c r="AF453" t="s">
        <v>1189</v>
      </c>
      <c r="AG453" t="s">
        <v>1189</v>
      </c>
      <c r="AH453" t="s">
        <v>1178</v>
      </c>
      <c r="AI453" t="s">
        <v>1177</v>
      </c>
      <c r="AJ453" t="s">
        <v>1190</v>
      </c>
      <c r="AK453">
        <v>416.4</v>
      </c>
      <c r="AL453" t="s">
        <v>1185</v>
      </c>
      <c r="AM453">
        <v>46253</v>
      </c>
      <c r="AN453">
        <v>46253</v>
      </c>
      <c r="AO453">
        <v>46253</v>
      </c>
      <c r="AP453">
        <v>46253</v>
      </c>
      <c r="AQ453">
        <v>46253</v>
      </c>
      <c r="AR453">
        <v>46253</v>
      </c>
      <c r="AS453">
        <v>46255</v>
      </c>
      <c r="AT453" t="s">
        <v>1281</v>
      </c>
      <c r="AU453" t="s">
        <v>1177</v>
      </c>
      <c r="AV453" t="s">
        <v>1192</v>
      </c>
      <c r="AW453" t="s">
        <v>1177</v>
      </c>
      <c r="AX453">
        <v>33</v>
      </c>
      <c r="AY453">
        <v>2</v>
      </c>
      <c r="AZ453" t="s">
        <v>1177</v>
      </c>
      <c r="BA453">
        <v>416.4</v>
      </c>
      <c r="BB453" t="s">
        <v>1185</v>
      </c>
      <c r="BC453" t="e">
        <v>#N/A</v>
      </c>
      <c r="BD453" t="e">
        <v>#N/A</v>
      </c>
      <c r="BE453" t="e">
        <v>#N/A</v>
      </c>
      <c r="BF453" t="e">
        <v>#N/A</v>
      </c>
      <c r="BG453" t="s">
        <v>1212</v>
      </c>
      <c r="BH453" t="e">
        <v>#N/A</v>
      </c>
      <c r="BI453" t="e">
        <v>#N/A</v>
      </c>
    </row>
    <row r="454" spans="1:61" x14ac:dyDescent="0.35">
      <c r="A454" s="7" t="str">
        <f t="shared" si="14"/>
        <v>462204300011419</v>
      </c>
      <c r="B454" s="7" t="str">
        <f t="shared" si="15"/>
        <v>GP422280B864</v>
      </c>
      <c r="C454" t="s">
        <v>2859</v>
      </c>
      <c r="D454" t="s">
        <v>1182</v>
      </c>
      <c r="E454" t="s">
        <v>1177</v>
      </c>
      <c r="F454" t="s">
        <v>1232</v>
      </c>
      <c r="G454" t="s">
        <v>1236</v>
      </c>
      <c r="H454" t="s">
        <v>1271</v>
      </c>
      <c r="I454">
        <v>46220</v>
      </c>
      <c r="J454" t="s">
        <v>2860</v>
      </c>
      <c r="K454" t="s">
        <v>1182</v>
      </c>
      <c r="L454" t="s">
        <v>1177</v>
      </c>
      <c r="M454" t="s">
        <v>1274</v>
      </c>
      <c r="N454" t="s">
        <v>1079</v>
      </c>
      <c r="O454" t="s">
        <v>1275</v>
      </c>
      <c r="P454">
        <v>46220</v>
      </c>
      <c r="Q454" t="s">
        <v>1177</v>
      </c>
      <c r="R454" t="s">
        <v>10</v>
      </c>
      <c r="S454" t="s">
        <v>1011</v>
      </c>
      <c r="T454" t="s">
        <v>102</v>
      </c>
      <c r="U454" t="s">
        <v>103</v>
      </c>
      <c r="V454">
        <v>3</v>
      </c>
      <c r="W454" t="s">
        <v>1262</v>
      </c>
      <c r="X454" t="s">
        <v>1262</v>
      </c>
      <c r="Y454">
        <v>0</v>
      </c>
      <c r="Z454" t="s">
        <v>1186</v>
      </c>
      <c r="AA454" t="s">
        <v>1177</v>
      </c>
      <c r="AB454" t="s">
        <v>1276</v>
      </c>
      <c r="AC454" t="s">
        <v>1277</v>
      </c>
      <c r="AD454" t="s">
        <v>1278</v>
      </c>
      <c r="AE454" t="s">
        <v>1296</v>
      </c>
      <c r="AF454" t="s">
        <v>1178</v>
      </c>
      <c r="AG454" t="s">
        <v>1190</v>
      </c>
      <c r="AH454" t="s">
        <v>1178</v>
      </c>
      <c r="AI454" t="s">
        <v>1280</v>
      </c>
      <c r="AJ454" t="s">
        <v>1189</v>
      </c>
      <c r="AK454">
        <v>3</v>
      </c>
      <c r="AL454" t="s">
        <v>1262</v>
      </c>
      <c r="AM454">
        <v>46309</v>
      </c>
      <c r="AN454">
        <v>46302</v>
      </c>
      <c r="AO454">
        <v>46302</v>
      </c>
      <c r="AP454">
        <v>46304</v>
      </c>
      <c r="AQ454">
        <v>46304</v>
      </c>
      <c r="AR454">
        <v>46309</v>
      </c>
      <c r="AS454">
        <v>46311</v>
      </c>
      <c r="AT454" t="s">
        <v>1281</v>
      </c>
      <c r="AU454" t="s">
        <v>1177</v>
      </c>
      <c r="AV454" t="s">
        <v>1192</v>
      </c>
      <c r="AW454" t="s">
        <v>1177</v>
      </c>
      <c r="AX454">
        <v>33</v>
      </c>
      <c r="AY454">
        <v>2</v>
      </c>
      <c r="AZ454" t="s">
        <v>1177</v>
      </c>
      <c r="BA454">
        <v>0</v>
      </c>
      <c r="BB454" t="s">
        <v>1262</v>
      </c>
      <c r="BC454" t="e">
        <v>#N/A</v>
      </c>
      <c r="BD454" t="e">
        <v>#N/A</v>
      </c>
      <c r="BE454" t="e">
        <v>#N/A</v>
      </c>
      <c r="BF454" t="e">
        <v>#N/A</v>
      </c>
      <c r="BG454" t="s">
        <v>1212</v>
      </c>
      <c r="BH454" t="e">
        <v>#N/A</v>
      </c>
      <c r="BI454" t="e">
        <v>#N/A</v>
      </c>
    </row>
    <row r="455" spans="1:61" x14ac:dyDescent="0.35">
      <c r="A455" s="7" t="str">
        <f t="shared" si="14"/>
        <v>462204300011424</v>
      </c>
      <c r="B455" s="7" t="str">
        <f t="shared" si="15"/>
        <v>GP131157B867</v>
      </c>
      <c r="C455" t="s">
        <v>2861</v>
      </c>
      <c r="D455" t="s">
        <v>1182</v>
      </c>
      <c r="E455" t="s">
        <v>1177</v>
      </c>
      <c r="F455" t="s">
        <v>1270</v>
      </c>
      <c r="G455" t="s">
        <v>1236</v>
      </c>
      <c r="H455" t="s">
        <v>1271</v>
      </c>
      <c r="I455">
        <v>46220</v>
      </c>
      <c r="J455" t="s">
        <v>2862</v>
      </c>
      <c r="K455" t="s">
        <v>1182</v>
      </c>
      <c r="L455" t="s">
        <v>1177</v>
      </c>
      <c r="M455" t="s">
        <v>1274</v>
      </c>
      <c r="N455" t="s">
        <v>23</v>
      </c>
      <c r="O455" t="s">
        <v>959</v>
      </c>
      <c r="P455">
        <v>46220</v>
      </c>
      <c r="Q455" t="s">
        <v>1177</v>
      </c>
      <c r="R455" t="s">
        <v>25</v>
      </c>
      <c r="S455" t="s">
        <v>1060</v>
      </c>
      <c r="T455" t="s">
        <v>62</v>
      </c>
      <c r="U455" t="s">
        <v>63</v>
      </c>
      <c r="V455">
        <v>325</v>
      </c>
      <c r="W455" t="s">
        <v>1262</v>
      </c>
      <c r="X455" t="s">
        <v>1262</v>
      </c>
      <c r="Y455">
        <v>0</v>
      </c>
      <c r="Z455" t="s">
        <v>1186</v>
      </c>
      <c r="AA455" t="s">
        <v>1177</v>
      </c>
      <c r="AB455" t="s">
        <v>1177</v>
      </c>
      <c r="AC455" t="s">
        <v>1177</v>
      </c>
      <c r="AD455" t="s">
        <v>1204</v>
      </c>
      <c r="AE455" t="s">
        <v>2160</v>
      </c>
      <c r="AF455" t="s">
        <v>1189</v>
      </c>
      <c r="AG455" t="s">
        <v>1178</v>
      </c>
      <c r="AH455" t="s">
        <v>1178</v>
      </c>
      <c r="AI455" t="s">
        <v>1177</v>
      </c>
      <c r="AJ455" t="s">
        <v>1190</v>
      </c>
      <c r="AK455">
        <v>325</v>
      </c>
      <c r="AL455" t="s">
        <v>1262</v>
      </c>
      <c r="AM455">
        <v>46252</v>
      </c>
      <c r="AN455">
        <v>46252</v>
      </c>
      <c r="AO455">
        <v>46252</v>
      </c>
      <c r="AP455">
        <v>46252</v>
      </c>
      <c r="AQ455">
        <v>46252</v>
      </c>
      <c r="AR455">
        <v>46252</v>
      </c>
      <c r="AS455">
        <v>46254</v>
      </c>
      <c r="AT455" t="s">
        <v>1281</v>
      </c>
      <c r="AU455" t="s">
        <v>1177</v>
      </c>
      <c r="AV455" t="s">
        <v>1192</v>
      </c>
      <c r="AW455" t="s">
        <v>1177</v>
      </c>
      <c r="AX455">
        <v>33</v>
      </c>
      <c r="AY455">
        <v>2</v>
      </c>
      <c r="AZ455" t="s">
        <v>1177</v>
      </c>
      <c r="BA455">
        <v>325</v>
      </c>
      <c r="BB455" t="s">
        <v>1262</v>
      </c>
      <c r="BC455" t="e">
        <v>#N/A</v>
      </c>
      <c r="BD455" t="e">
        <v>#N/A</v>
      </c>
      <c r="BE455" t="e">
        <v>#N/A</v>
      </c>
      <c r="BF455" t="e">
        <v>#N/A</v>
      </c>
      <c r="BG455" t="s">
        <v>1212</v>
      </c>
      <c r="BH455" t="e">
        <v>#N/A</v>
      </c>
      <c r="BI455" t="e">
        <v>#N/A</v>
      </c>
    </row>
    <row r="456" spans="1:61" x14ac:dyDescent="0.35">
      <c r="A456" s="7" t="str">
        <f t="shared" si="14"/>
        <v>462234300011439</v>
      </c>
      <c r="B456" s="7" t="str">
        <f t="shared" si="15"/>
        <v>GP294080B825</v>
      </c>
      <c r="C456" t="s">
        <v>2863</v>
      </c>
      <c r="D456" t="s">
        <v>1429</v>
      </c>
      <c r="E456" t="s">
        <v>1177</v>
      </c>
      <c r="F456" t="s">
        <v>1232</v>
      </c>
      <c r="G456" t="s">
        <v>1240</v>
      </c>
      <c r="H456" t="s">
        <v>1271</v>
      </c>
      <c r="I456">
        <v>46223</v>
      </c>
      <c r="J456" t="s">
        <v>2864</v>
      </c>
      <c r="K456" t="s">
        <v>1429</v>
      </c>
      <c r="L456" t="s">
        <v>1177</v>
      </c>
      <c r="M456" t="s">
        <v>1274</v>
      </c>
      <c r="N456" t="s">
        <v>1079</v>
      </c>
      <c r="O456" t="s">
        <v>1275</v>
      </c>
      <c r="P456">
        <v>46223</v>
      </c>
      <c r="Q456" t="s">
        <v>1177</v>
      </c>
      <c r="R456" t="s">
        <v>16</v>
      </c>
      <c r="S456" t="s">
        <v>512</v>
      </c>
      <c r="T456" t="s">
        <v>78</v>
      </c>
      <c r="U456" t="s">
        <v>79</v>
      </c>
      <c r="V456">
        <v>3</v>
      </c>
      <c r="W456" t="s">
        <v>1262</v>
      </c>
      <c r="X456" t="s">
        <v>1262</v>
      </c>
      <c r="Y456">
        <v>0</v>
      </c>
      <c r="Z456" t="s">
        <v>1186</v>
      </c>
      <c r="AA456" t="s">
        <v>1177</v>
      </c>
      <c r="AB456" t="s">
        <v>1276</v>
      </c>
      <c r="AC456" t="s">
        <v>1277</v>
      </c>
      <c r="AD456" t="s">
        <v>1278</v>
      </c>
      <c r="AE456" t="s">
        <v>2333</v>
      </c>
      <c r="AF456" t="s">
        <v>1178</v>
      </c>
      <c r="AG456" t="s">
        <v>1190</v>
      </c>
      <c r="AH456" t="s">
        <v>1178</v>
      </c>
      <c r="AI456" t="s">
        <v>1349</v>
      </c>
      <c r="AJ456" t="s">
        <v>1190</v>
      </c>
      <c r="AK456">
        <v>0</v>
      </c>
      <c r="AL456" t="s">
        <v>1262</v>
      </c>
      <c r="AM456">
        <v>46345</v>
      </c>
      <c r="AN456">
        <v>46359</v>
      </c>
      <c r="AO456">
        <v>46335</v>
      </c>
      <c r="AP456">
        <v>46337</v>
      </c>
      <c r="AQ456">
        <v>46337</v>
      </c>
      <c r="AR456">
        <v>46339</v>
      </c>
      <c r="AS456">
        <v>46343</v>
      </c>
      <c r="AT456" t="s">
        <v>1281</v>
      </c>
      <c r="AU456" t="s">
        <v>1177</v>
      </c>
      <c r="AV456" t="s">
        <v>1192</v>
      </c>
      <c r="AW456" t="s">
        <v>1177</v>
      </c>
      <c r="AX456">
        <v>33</v>
      </c>
      <c r="AY456">
        <v>2</v>
      </c>
      <c r="AZ456" t="s">
        <v>1177</v>
      </c>
      <c r="BA456">
        <v>0</v>
      </c>
      <c r="BB456" t="s">
        <v>1262</v>
      </c>
      <c r="BC456" t="e">
        <v>#N/A</v>
      </c>
      <c r="BD456" t="e">
        <v>#N/A</v>
      </c>
      <c r="BE456" t="e">
        <v>#N/A</v>
      </c>
      <c r="BF456" t="e">
        <v>#N/A</v>
      </c>
      <c r="BG456" t="s">
        <v>1212</v>
      </c>
      <c r="BH456" t="e">
        <v>#N/A</v>
      </c>
      <c r="BI456" t="e">
        <v>#N/A</v>
      </c>
    </row>
    <row r="457" spans="1:61" x14ac:dyDescent="0.35">
      <c r="A457" s="7" t="str">
        <f t="shared" si="14"/>
        <v>462234300011440</v>
      </c>
      <c r="B457" s="7" t="str">
        <f t="shared" si="15"/>
        <v>GP345212B833</v>
      </c>
      <c r="C457" t="s">
        <v>2866</v>
      </c>
      <c r="D457" t="s">
        <v>1285</v>
      </c>
      <c r="E457" t="s">
        <v>1177</v>
      </c>
      <c r="F457" t="s">
        <v>1232</v>
      </c>
      <c r="G457" t="s">
        <v>1236</v>
      </c>
      <c r="H457" t="s">
        <v>1271</v>
      </c>
      <c r="I457">
        <v>46223</v>
      </c>
      <c r="J457" t="s">
        <v>2867</v>
      </c>
      <c r="K457" t="s">
        <v>1285</v>
      </c>
      <c r="L457" t="s">
        <v>1177</v>
      </c>
      <c r="M457" t="s">
        <v>1274</v>
      </c>
      <c r="N457" t="s">
        <v>1079</v>
      </c>
      <c r="O457" t="s">
        <v>1275</v>
      </c>
      <c r="P457">
        <v>46223</v>
      </c>
      <c r="Q457" t="s">
        <v>1177</v>
      </c>
      <c r="R457" t="s">
        <v>697</v>
      </c>
      <c r="S457" t="s">
        <v>699</v>
      </c>
      <c r="T457" t="s">
        <v>607</v>
      </c>
      <c r="U457" t="s">
        <v>475</v>
      </c>
      <c r="V457">
        <v>1</v>
      </c>
      <c r="W457" t="s">
        <v>1262</v>
      </c>
      <c r="X457" t="s">
        <v>1262</v>
      </c>
      <c r="Y457">
        <v>0</v>
      </c>
      <c r="Z457" t="s">
        <v>1186</v>
      </c>
      <c r="AA457" t="s">
        <v>1177</v>
      </c>
      <c r="AB457" t="s">
        <v>1276</v>
      </c>
      <c r="AC457" t="s">
        <v>1277</v>
      </c>
      <c r="AD457" t="s">
        <v>1278</v>
      </c>
      <c r="AE457" t="s">
        <v>1357</v>
      </c>
      <c r="AF457" t="s">
        <v>1178</v>
      </c>
      <c r="AG457" t="s">
        <v>1190</v>
      </c>
      <c r="AH457" t="s">
        <v>1178</v>
      </c>
      <c r="AI457" t="s">
        <v>1349</v>
      </c>
      <c r="AJ457" t="s">
        <v>1190</v>
      </c>
      <c r="AK457">
        <v>0</v>
      </c>
      <c r="AL457" t="s">
        <v>1262</v>
      </c>
      <c r="AM457">
        <v>46253</v>
      </c>
      <c r="AN457">
        <v>46407</v>
      </c>
      <c r="AO457">
        <v>46244</v>
      </c>
      <c r="AP457">
        <v>46246</v>
      </c>
      <c r="AQ457">
        <v>46246</v>
      </c>
      <c r="AR457">
        <v>46248</v>
      </c>
      <c r="AS457">
        <v>46252</v>
      </c>
      <c r="AT457" t="s">
        <v>1281</v>
      </c>
      <c r="AU457" t="s">
        <v>1177</v>
      </c>
      <c r="AV457" t="s">
        <v>1192</v>
      </c>
      <c r="AW457" t="s">
        <v>1177</v>
      </c>
      <c r="AX457">
        <v>33</v>
      </c>
      <c r="AY457">
        <v>2</v>
      </c>
      <c r="AZ457" t="s">
        <v>1177</v>
      </c>
      <c r="BA457">
        <v>1</v>
      </c>
      <c r="BB457" t="s">
        <v>1262</v>
      </c>
      <c r="BC457" t="s">
        <v>2868</v>
      </c>
      <c r="BD457">
        <v>1</v>
      </c>
      <c r="BE457">
        <v>46230</v>
      </c>
      <c r="BF457" t="s">
        <v>1165</v>
      </c>
      <c r="BG457" t="s">
        <v>1212</v>
      </c>
      <c r="BH457" t="e">
        <v>#N/A</v>
      </c>
      <c r="BI457" t="e">
        <v>#N/A</v>
      </c>
    </row>
    <row r="458" spans="1:61" x14ac:dyDescent="0.35">
      <c r="A458" s="7" t="str">
        <f t="shared" si="14"/>
        <v>462234300011445</v>
      </c>
      <c r="B458" s="7" t="str">
        <f t="shared" si="15"/>
        <v>50235B832</v>
      </c>
      <c r="C458" t="s">
        <v>2869</v>
      </c>
      <c r="D458" t="s">
        <v>1198</v>
      </c>
      <c r="E458" t="s">
        <v>1177</v>
      </c>
      <c r="F458" t="s">
        <v>1232</v>
      </c>
      <c r="G458" t="s">
        <v>1236</v>
      </c>
      <c r="H458" t="s">
        <v>1271</v>
      </c>
      <c r="I458">
        <v>46223</v>
      </c>
      <c r="J458" t="s">
        <v>2870</v>
      </c>
      <c r="K458" t="s">
        <v>1198</v>
      </c>
      <c r="L458" t="s">
        <v>1177</v>
      </c>
      <c r="M458" t="s">
        <v>1274</v>
      </c>
      <c r="N458" t="s">
        <v>1079</v>
      </c>
      <c r="O458" t="s">
        <v>1275</v>
      </c>
      <c r="P458">
        <v>46281</v>
      </c>
      <c r="Q458" t="s">
        <v>1177</v>
      </c>
      <c r="R458" t="s">
        <v>19</v>
      </c>
      <c r="S458" t="s">
        <v>654</v>
      </c>
      <c r="T458" t="s">
        <v>1680</v>
      </c>
      <c r="U458" t="s">
        <v>1681</v>
      </c>
      <c r="V458">
        <v>2</v>
      </c>
      <c r="W458" t="s">
        <v>1262</v>
      </c>
      <c r="X458" t="s">
        <v>1262</v>
      </c>
      <c r="Y458">
        <v>0</v>
      </c>
      <c r="Z458" t="s">
        <v>1186</v>
      </c>
      <c r="AA458" t="s">
        <v>1177</v>
      </c>
      <c r="AB458" t="s">
        <v>1276</v>
      </c>
      <c r="AC458" t="s">
        <v>1277</v>
      </c>
      <c r="AD458" t="s">
        <v>1278</v>
      </c>
      <c r="AE458" t="s">
        <v>1682</v>
      </c>
      <c r="AF458" t="s">
        <v>1178</v>
      </c>
      <c r="AG458" t="s">
        <v>1190</v>
      </c>
      <c r="AH458" t="s">
        <v>1178</v>
      </c>
      <c r="AI458" t="s">
        <v>1349</v>
      </c>
      <c r="AJ458" t="s">
        <v>1189</v>
      </c>
      <c r="AK458">
        <v>2</v>
      </c>
      <c r="AL458" t="s">
        <v>1262</v>
      </c>
      <c r="AM458">
        <v>46311</v>
      </c>
      <c r="AN458">
        <v>46304</v>
      </c>
      <c r="AO458">
        <v>46304</v>
      </c>
      <c r="AP458">
        <v>46309</v>
      </c>
      <c r="AQ458">
        <v>46309</v>
      </c>
      <c r="AR458">
        <v>46311</v>
      </c>
      <c r="AS458">
        <v>46315</v>
      </c>
      <c r="AT458" t="s">
        <v>1281</v>
      </c>
      <c r="AU458" t="s">
        <v>1177</v>
      </c>
      <c r="AV458" t="s">
        <v>1192</v>
      </c>
      <c r="AW458" t="s">
        <v>1177</v>
      </c>
      <c r="AX458">
        <v>33</v>
      </c>
      <c r="AY458">
        <v>2</v>
      </c>
      <c r="AZ458" t="s">
        <v>1177</v>
      </c>
      <c r="BA458">
        <v>0</v>
      </c>
      <c r="BB458" t="s">
        <v>1262</v>
      </c>
      <c r="BC458" t="s">
        <v>2871</v>
      </c>
      <c r="BD458">
        <v>10</v>
      </c>
      <c r="BE458">
        <v>46230</v>
      </c>
      <c r="BF458" t="s">
        <v>1165</v>
      </c>
      <c r="BG458" t="s">
        <v>1212</v>
      </c>
      <c r="BH458" t="e">
        <v>#N/A</v>
      </c>
      <c r="BI458" t="e">
        <v>#N/A</v>
      </c>
    </row>
    <row r="459" spans="1:61" x14ac:dyDescent="0.35">
      <c r="A459" s="7" t="str">
        <f t="shared" si="14"/>
        <v>462234300011446</v>
      </c>
      <c r="B459" s="7" t="str">
        <f t="shared" si="15"/>
        <v>GP052139B865</v>
      </c>
      <c r="C459" t="s">
        <v>2872</v>
      </c>
      <c r="D459" t="s">
        <v>1401</v>
      </c>
      <c r="E459" t="s">
        <v>1177</v>
      </c>
      <c r="F459" t="s">
        <v>1232</v>
      </c>
      <c r="G459" t="s">
        <v>1236</v>
      </c>
      <c r="H459" t="s">
        <v>1271</v>
      </c>
      <c r="I459">
        <v>46223</v>
      </c>
      <c r="J459" t="s">
        <v>2873</v>
      </c>
      <c r="K459" t="s">
        <v>1401</v>
      </c>
      <c r="L459" t="s">
        <v>1177</v>
      </c>
      <c r="M459" t="s">
        <v>1274</v>
      </c>
      <c r="N459" t="s">
        <v>1079</v>
      </c>
      <c r="O459" t="s">
        <v>1275</v>
      </c>
      <c r="P459">
        <v>46223</v>
      </c>
      <c r="Q459" t="s">
        <v>1177</v>
      </c>
      <c r="R459" t="s">
        <v>7</v>
      </c>
      <c r="S459" t="s">
        <v>1040</v>
      </c>
      <c r="T459" t="s">
        <v>1041</v>
      </c>
      <c r="U459" t="s">
        <v>1042</v>
      </c>
      <c r="V459">
        <v>2</v>
      </c>
      <c r="W459" t="s">
        <v>1262</v>
      </c>
      <c r="X459" t="s">
        <v>1262</v>
      </c>
      <c r="Y459">
        <v>0</v>
      </c>
      <c r="Z459" t="s">
        <v>1186</v>
      </c>
      <c r="AA459" t="s">
        <v>1177</v>
      </c>
      <c r="AB459" t="s">
        <v>1286</v>
      </c>
      <c r="AC459" t="s">
        <v>1277</v>
      </c>
      <c r="AD459" t="s">
        <v>1278</v>
      </c>
      <c r="AE459" t="s">
        <v>1354</v>
      </c>
      <c r="AF459" t="s">
        <v>1178</v>
      </c>
      <c r="AG459" t="s">
        <v>1178</v>
      </c>
      <c r="AH459" t="s">
        <v>1178</v>
      </c>
      <c r="AI459" t="s">
        <v>1349</v>
      </c>
      <c r="AJ459" t="s">
        <v>1190</v>
      </c>
      <c r="AK459">
        <v>0</v>
      </c>
      <c r="AL459" t="s">
        <v>1262</v>
      </c>
      <c r="AM459">
        <v>46253</v>
      </c>
      <c r="AN459">
        <v>46244</v>
      </c>
      <c r="AO459">
        <v>46244</v>
      </c>
      <c r="AP459">
        <v>46246</v>
      </c>
      <c r="AQ459">
        <v>46246</v>
      </c>
      <c r="AR459">
        <v>46248</v>
      </c>
      <c r="AS459">
        <v>46252</v>
      </c>
      <c r="AT459" t="s">
        <v>1281</v>
      </c>
      <c r="AU459" t="s">
        <v>1177</v>
      </c>
      <c r="AV459" t="s">
        <v>1192</v>
      </c>
      <c r="AW459" t="s">
        <v>1177</v>
      </c>
      <c r="AX459">
        <v>33</v>
      </c>
      <c r="AY459">
        <v>2</v>
      </c>
      <c r="AZ459" t="s">
        <v>1177</v>
      </c>
      <c r="BA459">
        <v>2</v>
      </c>
      <c r="BB459" t="s">
        <v>1262</v>
      </c>
      <c r="BC459" t="s">
        <v>2874</v>
      </c>
      <c r="BD459">
        <v>1</v>
      </c>
      <c r="BE459">
        <v>46230</v>
      </c>
      <c r="BF459" t="s">
        <v>1165</v>
      </c>
      <c r="BG459" t="s">
        <v>1212</v>
      </c>
      <c r="BH459" t="e">
        <v>#N/A</v>
      </c>
      <c r="BI459" t="e">
        <v>#N/A</v>
      </c>
    </row>
    <row r="460" spans="1:61" x14ac:dyDescent="0.35">
      <c r="A460" s="7" t="str">
        <f t="shared" si="14"/>
        <v>462244300011453</v>
      </c>
      <c r="B460" s="7" t="str">
        <f t="shared" si="15"/>
        <v>GP238777B825</v>
      </c>
      <c r="C460" t="s">
        <v>2876</v>
      </c>
      <c r="D460" t="s">
        <v>1380</v>
      </c>
      <c r="E460" t="s">
        <v>1177</v>
      </c>
      <c r="F460" t="s">
        <v>2798</v>
      </c>
      <c r="G460" t="s">
        <v>2368</v>
      </c>
      <c r="H460" t="s">
        <v>1271</v>
      </c>
      <c r="I460">
        <v>46224</v>
      </c>
      <c r="J460" t="s">
        <v>2877</v>
      </c>
      <c r="K460" t="s">
        <v>1380</v>
      </c>
      <c r="L460" t="s">
        <v>1177</v>
      </c>
      <c r="M460" t="s">
        <v>1274</v>
      </c>
      <c r="N460" t="s">
        <v>1079</v>
      </c>
      <c r="O460" t="s">
        <v>1275</v>
      </c>
      <c r="P460">
        <v>46224</v>
      </c>
      <c r="Q460" t="s">
        <v>1177</v>
      </c>
      <c r="R460" t="s">
        <v>16</v>
      </c>
      <c r="S460" t="s">
        <v>512</v>
      </c>
      <c r="T460" t="s">
        <v>1092</v>
      </c>
      <c r="U460" t="s">
        <v>1093</v>
      </c>
      <c r="V460">
        <v>1</v>
      </c>
      <c r="W460" t="s">
        <v>1262</v>
      </c>
      <c r="X460" t="s">
        <v>1262</v>
      </c>
      <c r="Y460">
        <v>0</v>
      </c>
      <c r="Z460" t="s">
        <v>1186</v>
      </c>
      <c r="AA460" t="s">
        <v>1177</v>
      </c>
      <c r="AB460" t="s">
        <v>1177</v>
      </c>
      <c r="AC460" t="s">
        <v>1177</v>
      </c>
      <c r="AD460" t="s">
        <v>1204</v>
      </c>
      <c r="AE460" t="s">
        <v>2879</v>
      </c>
      <c r="AF460" t="s">
        <v>1189</v>
      </c>
      <c r="AG460" t="s">
        <v>1190</v>
      </c>
      <c r="AH460" t="s">
        <v>1178</v>
      </c>
      <c r="AI460" t="s">
        <v>1349</v>
      </c>
      <c r="AJ460" t="s">
        <v>1190</v>
      </c>
      <c r="AK460">
        <v>0</v>
      </c>
      <c r="AL460" t="s">
        <v>1262</v>
      </c>
      <c r="AM460">
        <v>46219</v>
      </c>
      <c r="AN460">
        <v>46408</v>
      </c>
      <c r="AO460">
        <v>46230</v>
      </c>
      <c r="AP460">
        <v>46232</v>
      </c>
      <c r="AQ460">
        <v>46232</v>
      </c>
      <c r="AR460">
        <v>46234</v>
      </c>
      <c r="AS460">
        <v>46234</v>
      </c>
      <c r="AT460" t="s">
        <v>1281</v>
      </c>
      <c r="AU460" t="s">
        <v>1177</v>
      </c>
      <c r="AV460" t="s">
        <v>1192</v>
      </c>
      <c r="AW460" t="s">
        <v>1177</v>
      </c>
      <c r="AX460">
        <v>0</v>
      </c>
      <c r="AY460">
        <v>0</v>
      </c>
      <c r="AZ460" t="s">
        <v>1177</v>
      </c>
      <c r="BA460">
        <v>0</v>
      </c>
      <c r="BB460" t="s">
        <v>1262</v>
      </c>
      <c r="BC460" t="s">
        <v>2878</v>
      </c>
      <c r="BD460">
        <v>10</v>
      </c>
      <c r="BE460">
        <v>46230</v>
      </c>
      <c r="BF460" t="s">
        <v>1165</v>
      </c>
      <c r="BG460" t="s">
        <v>1458</v>
      </c>
      <c r="BH460" t="e">
        <v>#N/A</v>
      </c>
      <c r="BI460" t="e">
        <v>#N/A</v>
      </c>
    </row>
    <row r="461" spans="1:61" x14ac:dyDescent="0.35">
      <c r="A461" s="7" t="str">
        <f t="shared" si="14"/>
        <v>462244300011454</v>
      </c>
      <c r="B461" s="7" t="str">
        <f t="shared" si="15"/>
        <v>GP092948B857</v>
      </c>
      <c r="C461" t="s">
        <v>2880</v>
      </c>
      <c r="D461" t="s">
        <v>1401</v>
      </c>
      <c r="E461" t="s">
        <v>1177</v>
      </c>
      <c r="F461" t="s">
        <v>2798</v>
      </c>
      <c r="G461" t="s">
        <v>2368</v>
      </c>
      <c r="H461" t="s">
        <v>1271</v>
      </c>
      <c r="I461">
        <v>46224</v>
      </c>
      <c r="J461" t="s">
        <v>2881</v>
      </c>
      <c r="K461" t="s">
        <v>1401</v>
      </c>
      <c r="L461" t="s">
        <v>1177</v>
      </c>
      <c r="M461" t="s">
        <v>1274</v>
      </c>
      <c r="N461" t="s">
        <v>1079</v>
      </c>
      <c r="O461" t="s">
        <v>1080</v>
      </c>
      <c r="P461">
        <v>46224</v>
      </c>
      <c r="Q461" t="s">
        <v>1177</v>
      </c>
      <c r="R461" t="s">
        <v>23</v>
      </c>
      <c r="S461" t="s">
        <v>959</v>
      </c>
      <c r="T461" t="s">
        <v>1085</v>
      </c>
      <c r="U461" t="s">
        <v>1086</v>
      </c>
      <c r="V461">
        <v>294</v>
      </c>
      <c r="W461" t="s">
        <v>1262</v>
      </c>
      <c r="X461" t="s">
        <v>1262</v>
      </c>
      <c r="Y461">
        <v>0</v>
      </c>
      <c r="Z461" t="s">
        <v>1186</v>
      </c>
      <c r="AA461" t="s">
        <v>1177</v>
      </c>
      <c r="AB461" t="s">
        <v>1286</v>
      </c>
      <c r="AC461" t="s">
        <v>1277</v>
      </c>
      <c r="AD461" t="s">
        <v>1278</v>
      </c>
      <c r="AE461" t="s">
        <v>1383</v>
      </c>
      <c r="AF461" t="s">
        <v>1178</v>
      </c>
      <c r="AG461" t="s">
        <v>1178</v>
      </c>
      <c r="AH461" t="s">
        <v>1178</v>
      </c>
      <c r="AI461" t="s">
        <v>1280</v>
      </c>
      <c r="AJ461" t="s">
        <v>1190</v>
      </c>
      <c r="AK461">
        <v>0</v>
      </c>
      <c r="AL461" t="s">
        <v>1262</v>
      </c>
      <c r="AM461">
        <v>46265</v>
      </c>
      <c r="AN461">
        <v>46254</v>
      </c>
      <c r="AO461">
        <v>46254</v>
      </c>
      <c r="AP461">
        <v>46258</v>
      </c>
      <c r="AQ461">
        <v>46258</v>
      </c>
      <c r="AR461">
        <v>46260</v>
      </c>
      <c r="AS461">
        <v>46283</v>
      </c>
      <c r="AT461" t="s">
        <v>1281</v>
      </c>
      <c r="AU461" t="s">
        <v>1177</v>
      </c>
      <c r="AV461" t="s">
        <v>1192</v>
      </c>
      <c r="AW461" t="s">
        <v>1177</v>
      </c>
      <c r="AX461">
        <v>60</v>
      </c>
      <c r="AY461">
        <v>16</v>
      </c>
      <c r="AZ461" t="s">
        <v>1177</v>
      </c>
      <c r="BA461">
        <v>0</v>
      </c>
      <c r="BB461" t="s">
        <v>1262</v>
      </c>
      <c r="BC461" t="s">
        <v>2882</v>
      </c>
      <c r="BD461">
        <v>2</v>
      </c>
      <c r="BE461">
        <v>46293</v>
      </c>
      <c r="BF461" t="s">
        <v>1165</v>
      </c>
      <c r="BG461" t="s">
        <v>1458</v>
      </c>
      <c r="BH461" t="e">
        <v>#N/A</v>
      </c>
      <c r="BI461" t="e">
        <v>#N/A</v>
      </c>
    </row>
    <row r="462" spans="1:61" x14ac:dyDescent="0.35">
      <c r="A462" s="7" t="str">
        <f t="shared" si="14"/>
        <v>462244300011455</v>
      </c>
      <c r="B462" s="7" t="str">
        <f t="shared" si="15"/>
        <v>GP324437B856</v>
      </c>
      <c r="C462" t="s">
        <v>2883</v>
      </c>
      <c r="D462" t="s">
        <v>1488</v>
      </c>
      <c r="E462" t="s">
        <v>1177</v>
      </c>
      <c r="F462" t="s">
        <v>2798</v>
      </c>
      <c r="G462" t="s">
        <v>2368</v>
      </c>
      <c r="H462" t="s">
        <v>1271</v>
      </c>
      <c r="I462">
        <v>46224</v>
      </c>
      <c r="J462" t="s">
        <v>2884</v>
      </c>
      <c r="K462" t="s">
        <v>1488</v>
      </c>
      <c r="L462" t="s">
        <v>1177</v>
      </c>
      <c r="M462" t="s">
        <v>1274</v>
      </c>
      <c r="N462" t="s">
        <v>1079</v>
      </c>
      <c r="O462" t="s">
        <v>1080</v>
      </c>
      <c r="P462">
        <v>46234</v>
      </c>
      <c r="Q462" t="s">
        <v>1177</v>
      </c>
      <c r="R462" t="s">
        <v>21</v>
      </c>
      <c r="S462" t="s">
        <v>853</v>
      </c>
      <c r="T462" t="s">
        <v>1097</v>
      </c>
      <c r="U462" t="s">
        <v>1098</v>
      </c>
      <c r="V462">
        <v>16</v>
      </c>
      <c r="W462" t="s">
        <v>1262</v>
      </c>
      <c r="X462" t="s">
        <v>1262</v>
      </c>
      <c r="Y462">
        <v>0</v>
      </c>
      <c r="Z462" t="s">
        <v>1186</v>
      </c>
      <c r="AA462" t="s">
        <v>1177</v>
      </c>
      <c r="AB462" t="s">
        <v>1286</v>
      </c>
      <c r="AC462" t="s">
        <v>1277</v>
      </c>
      <c r="AD462" t="s">
        <v>1278</v>
      </c>
      <c r="AE462" t="s">
        <v>2010</v>
      </c>
      <c r="AF462" t="s">
        <v>1177</v>
      </c>
      <c r="AG462" t="s">
        <v>1178</v>
      </c>
      <c r="AH462" t="s">
        <v>1178</v>
      </c>
      <c r="AI462" t="s">
        <v>1280</v>
      </c>
      <c r="AJ462" t="s">
        <v>1190</v>
      </c>
      <c r="AK462">
        <v>0</v>
      </c>
      <c r="AL462" t="s">
        <v>1262</v>
      </c>
      <c r="AM462">
        <v>46205</v>
      </c>
      <c r="AN462">
        <v>46240</v>
      </c>
      <c r="AO462">
        <v>46240</v>
      </c>
      <c r="AP462">
        <v>46244</v>
      </c>
      <c r="AQ462">
        <v>46244</v>
      </c>
      <c r="AR462">
        <v>46246</v>
      </c>
      <c r="AS462">
        <v>46246</v>
      </c>
      <c r="AT462" t="s">
        <v>1281</v>
      </c>
      <c r="AU462" t="s">
        <v>1177</v>
      </c>
      <c r="AV462" t="s">
        <v>1192</v>
      </c>
      <c r="AW462" t="s">
        <v>1177</v>
      </c>
      <c r="AX462">
        <v>0</v>
      </c>
      <c r="AY462">
        <v>0</v>
      </c>
      <c r="AZ462" t="s">
        <v>1177</v>
      </c>
      <c r="BA462">
        <v>16</v>
      </c>
      <c r="BB462" t="s">
        <v>1262</v>
      </c>
      <c r="BC462" t="s">
        <v>2885</v>
      </c>
      <c r="BD462">
        <v>40</v>
      </c>
      <c r="BE462">
        <v>46226</v>
      </c>
      <c r="BF462" t="s">
        <v>1165</v>
      </c>
      <c r="BG462" t="s">
        <v>1458</v>
      </c>
      <c r="BH462" t="e">
        <v>#N/A</v>
      </c>
      <c r="BI462" t="e">
        <v>#N/A</v>
      </c>
    </row>
    <row r="463" spans="1:61" x14ac:dyDescent="0.35">
      <c r="A463" s="7" t="str">
        <f t="shared" si="14"/>
        <v>462254300011459</v>
      </c>
      <c r="B463" s="7" t="str">
        <f t="shared" si="15"/>
        <v>GP683121B865</v>
      </c>
      <c r="C463" t="s">
        <v>2886</v>
      </c>
      <c r="D463" t="s">
        <v>1182</v>
      </c>
      <c r="E463" t="s">
        <v>1177</v>
      </c>
      <c r="F463" t="s">
        <v>2602</v>
      </c>
      <c r="G463" t="s">
        <v>2603</v>
      </c>
      <c r="H463" t="s">
        <v>1271</v>
      </c>
      <c r="I463">
        <v>46225</v>
      </c>
      <c r="J463" t="s">
        <v>2887</v>
      </c>
      <c r="K463" t="s">
        <v>1182</v>
      </c>
      <c r="L463" t="s">
        <v>1177</v>
      </c>
      <c r="M463" t="s">
        <v>1274</v>
      </c>
      <c r="N463" t="s">
        <v>1079</v>
      </c>
      <c r="O463" t="s">
        <v>1275</v>
      </c>
      <c r="P463">
        <v>46225</v>
      </c>
      <c r="Q463" t="s">
        <v>1177</v>
      </c>
      <c r="R463" t="s">
        <v>7</v>
      </c>
      <c r="S463" t="s">
        <v>1040</v>
      </c>
      <c r="T463" t="s">
        <v>2888</v>
      </c>
      <c r="U463" t="s">
        <v>2889</v>
      </c>
      <c r="V463">
        <v>26</v>
      </c>
      <c r="W463" t="s">
        <v>1262</v>
      </c>
      <c r="X463" t="s">
        <v>1262</v>
      </c>
      <c r="Y463">
        <v>0</v>
      </c>
      <c r="Z463" t="s">
        <v>1186</v>
      </c>
      <c r="AA463" t="s">
        <v>1177</v>
      </c>
      <c r="AB463" t="s">
        <v>1177</v>
      </c>
      <c r="AC463" t="s">
        <v>1177</v>
      </c>
      <c r="AD463" t="s">
        <v>1204</v>
      </c>
      <c r="AE463" t="s">
        <v>2890</v>
      </c>
      <c r="AF463" t="s">
        <v>1189</v>
      </c>
      <c r="AG463" t="s">
        <v>1190</v>
      </c>
      <c r="AH463" t="s">
        <v>1178</v>
      </c>
      <c r="AI463" t="s">
        <v>1349</v>
      </c>
      <c r="AJ463" t="s">
        <v>1190</v>
      </c>
      <c r="AK463">
        <v>0</v>
      </c>
      <c r="AL463" t="s">
        <v>1262</v>
      </c>
      <c r="AM463">
        <v>46584</v>
      </c>
      <c r="AN463">
        <v>46580</v>
      </c>
      <c r="AO463">
        <v>46580</v>
      </c>
      <c r="AP463">
        <v>46582</v>
      </c>
      <c r="AQ463">
        <v>46582</v>
      </c>
      <c r="AR463">
        <v>46584</v>
      </c>
      <c r="AS463">
        <v>46584</v>
      </c>
      <c r="AT463" t="s">
        <v>1281</v>
      </c>
      <c r="AU463" t="s">
        <v>1177</v>
      </c>
      <c r="AV463" t="s">
        <v>1192</v>
      </c>
      <c r="AW463" t="s">
        <v>1177</v>
      </c>
      <c r="AX463">
        <v>0</v>
      </c>
      <c r="AY463">
        <v>0</v>
      </c>
      <c r="AZ463" t="s">
        <v>1177</v>
      </c>
      <c r="BA463">
        <v>0</v>
      </c>
      <c r="BB463" t="s">
        <v>1262</v>
      </c>
      <c r="BC463" t="e">
        <v>#N/A</v>
      </c>
      <c r="BD463" t="e">
        <v>#N/A</v>
      </c>
      <c r="BE463" t="e">
        <v>#N/A</v>
      </c>
      <c r="BF463" t="e">
        <v>#N/A</v>
      </c>
      <c r="BG463" t="s">
        <v>1464</v>
      </c>
      <c r="BH463" t="e">
        <v>#N/A</v>
      </c>
      <c r="BI463" t="e">
        <v>#N/A</v>
      </c>
    </row>
    <row r="464" spans="1:61" x14ac:dyDescent="0.35">
      <c r="A464" s="7" t="str">
        <f t="shared" si="14"/>
        <v>462254300011460</v>
      </c>
      <c r="B464" s="7" t="str">
        <f t="shared" si="15"/>
        <v>GP683121B867</v>
      </c>
      <c r="C464" t="s">
        <v>2891</v>
      </c>
      <c r="D464" t="s">
        <v>1182</v>
      </c>
      <c r="E464" t="s">
        <v>1177</v>
      </c>
      <c r="F464" t="s">
        <v>2602</v>
      </c>
      <c r="G464" t="s">
        <v>2603</v>
      </c>
      <c r="H464" t="s">
        <v>1271</v>
      </c>
      <c r="I464">
        <v>46225</v>
      </c>
      <c r="J464" t="s">
        <v>2892</v>
      </c>
      <c r="K464" t="s">
        <v>1182</v>
      </c>
      <c r="L464" t="s">
        <v>1177</v>
      </c>
      <c r="M464" t="s">
        <v>1274</v>
      </c>
      <c r="N464" t="s">
        <v>1079</v>
      </c>
      <c r="O464" t="s">
        <v>1275</v>
      </c>
      <c r="P464">
        <v>46225</v>
      </c>
      <c r="Q464" t="s">
        <v>1177</v>
      </c>
      <c r="R464" t="s">
        <v>25</v>
      </c>
      <c r="S464" t="s">
        <v>1060</v>
      </c>
      <c r="T464" t="s">
        <v>2888</v>
      </c>
      <c r="U464" t="s">
        <v>2889</v>
      </c>
      <c r="V464">
        <v>44</v>
      </c>
      <c r="W464" t="s">
        <v>1262</v>
      </c>
      <c r="X464" t="s">
        <v>1262</v>
      </c>
      <c r="Y464">
        <v>0</v>
      </c>
      <c r="Z464" t="s">
        <v>1186</v>
      </c>
      <c r="AA464" t="s">
        <v>1177</v>
      </c>
      <c r="AB464" t="s">
        <v>1177</v>
      </c>
      <c r="AC464" t="s">
        <v>1177</v>
      </c>
      <c r="AD464" t="s">
        <v>1204</v>
      </c>
      <c r="AE464" t="s">
        <v>2890</v>
      </c>
      <c r="AF464" t="s">
        <v>1189</v>
      </c>
      <c r="AG464" t="s">
        <v>1190</v>
      </c>
      <c r="AH464" t="s">
        <v>1178</v>
      </c>
      <c r="AI464" t="s">
        <v>1280</v>
      </c>
      <c r="AJ464" t="s">
        <v>1189</v>
      </c>
      <c r="AK464">
        <v>44</v>
      </c>
      <c r="AL464" t="s">
        <v>1262</v>
      </c>
      <c r="AM464">
        <v>46526</v>
      </c>
      <c r="AN464">
        <v>46520</v>
      </c>
      <c r="AO464">
        <v>46520</v>
      </c>
      <c r="AP464">
        <v>46524</v>
      </c>
      <c r="AQ464">
        <v>46524</v>
      </c>
      <c r="AR464">
        <v>46526</v>
      </c>
      <c r="AS464">
        <v>46526</v>
      </c>
      <c r="AT464" t="s">
        <v>1281</v>
      </c>
      <c r="AU464" t="s">
        <v>1177</v>
      </c>
      <c r="AV464" t="s">
        <v>1192</v>
      </c>
      <c r="AW464" t="s">
        <v>1177</v>
      </c>
      <c r="AX464">
        <v>0</v>
      </c>
      <c r="AY464">
        <v>0</v>
      </c>
      <c r="AZ464" t="s">
        <v>1177</v>
      </c>
      <c r="BA464">
        <v>0</v>
      </c>
      <c r="BB464" t="s">
        <v>1262</v>
      </c>
      <c r="BC464" t="e">
        <v>#N/A</v>
      </c>
      <c r="BD464" t="e">
        <v>#N/A</v>
      </c>
      <c r="BE464" t="e">
        <v>#N/A</v>
      </c>
      <c r="BF464" t="e">
        <v>#N/A</v>
      </c>
      <c r="BG464" t="s">
        <v>1464</v>
      </c>
      <c r="BH464" t="e">
        <v>#N/A</v>
      </c>
      <c r="BI464" t="e">
        <v>#N/A</v>
      </c>
    </row>
    <row r="465" spans="1:61" x14ac:dyDescent="0.35">
      <c r="A465" s="7" t="str">
        <f t="shared" si="14"/>
        <v>462254300011461</v>
      </c>
      <c r="B465" s="7" t="str">
        <f t="shared" si="15"/>
        <v>GP683121B857</v>
      </c>
      <c r="C465" t="s">
        <v>2893</v>
      </c>
      <c r="D465" t="s">
        <v>1182</v>
      </c>
      <c r="E465" t="s">
        <v>1177</v>
      </c>
      <c r="F465" t="s">
        <v>2602</v>
      </c>
      <c r="G465" t="s">
        <v>2603</v>
      </c>
      <c r="H465" t="s">
        <v>1271</v>
      </c>
      <c r="I465">
        <v>46225</v>
      </c>
      <c r="J465" t="s">
        <v>2894</v>
      </c>
      <c r="K465" t="s">
        <v>1182</v>
      </c>
      <c r="L465" t="s">
        <v>1177</v>
      </c>
      <c r="M465" t="s">
        <v>1274</v>
      </c>
      <c r="N465" t="s">
        <v>1079</v>
      </c>
      <c r="O465" t="s">
        <v>1275</v>
      </c>
      <c r="P465">
        <v>46225</v>
      </c>
      <c r="Q465" t="s">
        <v>1177</v>
      </c>
      <c r="R465" t="s">
        <v>23</v>
      </c>
      <c r="S465" t="s">
        <v>959</v>
      </c>
      <c r="T465" t="s">
        <v>2888</v>
      </c>
      <c r="U465" t="s">
        <v>2889</v>
      </c>
      <c r="V465">
        <v>36</v>
      </c>
      <c r="W465" t="s">
        <v>1262</v>
      </c>
      <c r="X465" t="s">
        <v>1262</v>
      </c>
      <c r="Y465">
        <v>0</v>
      </c>
      <c r="Z465" t="s">
        <v>1186</v>
      </c>
      <c r="AA465" t="s">
        <v>1177</v>
      </c>
      <c r="AB465" t="s">
        <v>1177</v>
      </c>
      <c r="AC465" t="s">
        <v>1177</v>
      </c>
      <c r="AD465" t="s">
        <v>1204</v>
      </c>
      <c r="AE465" t="s">
        <v>2890</v>
      </c>
      <c r="AF465" t="s">
        <v>1189</v>
      </c>
      <c r="AG465" t="s">
        <v>1190</v>
      </c>
      <c r="AH465" t="s">
        <v>1178</v>
      </c>
      <c r="AI465" t="s">
        <v>1280</v>
      </c>
      <c r="AJ465" t="s">
        <v>1189</v>
      </c>
      <c r="AK465">
        <v>36</v>
      </c>
      <c r="AL465" t="s">
        <v>1262</v>
      </c>
      <c r="AM465">
        <v>46526</v>
      </c>
      <c r="AN465">
        <v>46520</v>
      </c>
      <c r="AO465">
        <v>46520</v>
      </c>
      <c r="AP465">
        <v>46524</v>
      </c>
      <c r="AQ465">
        <v>46524</v>
      </c>
      <c r="AR465">
        <v>46526</v>
      </c>
      <c r="AS465">
        <v>46526</v>
      </c>
      <c r="AT465" t="s">
        <v>1281</v>
      </c>
      <c r="AU465" t="s">
        <v>1177</v>
      </c>
      <c r="AV465" t="s">
        <v>1192</v>
      </c>
      <c r="AW465" t="s">
        <v>1177</v>
      </c>
      <c r="AX465">
        <v>0</v>
      </c>
      <c r="AY465">
        <v>0</v>
      </c>
      <c r="AZ465" t="s">
        <v>1177</v>
      </c>
      <c r="BA465">
        <v>0</v>
      </c>
      <c r="BB465" t="s">
        <v>1262</v>
      </c>
      <c r="BC465" t="e">
        <v>#N/A</v>
      </c>
      <c r="BD465" t="e">
        <v>#N/A</v>
      </c>
      <c r="BE465" t="e">
        <v>#N/A</v>
      </c>
      <c r="BF465" t="e">
        <v>#N/A</v>
      </c>
      <c r="BG465" t="s">
        <v>1464</v>
      </c>
      <c r="BH465" t="e">
        <v>#N/A</v>
      </c>
      <c r="BI465" t="e">
        <v>#N/A</v>
      </c>
    </row>
    <row r="466" spans="1:61" x14ac:dyDescent="0.35">
      <c r="A466" s="7" t="str">
        <f t="shared" si="14"/>
        <v>462254300011462</v>
      </c>
      <c r="B466" s="7" t="str">
        <f t="shared" si="15"/>
        <v>A9BB0095782B856</v>
      </c>
      <c r="C466" t="s">
        <v>2895</v>
      </c>
      <c r="D466" t="s">
        <v>1182</v>
      </c>
      <c r="E466" t="s">
        <v>1177</v>
      </c>
      <c r="F466" t="s">
        <v>2602</v>
      </c>
      <c r="G466" t="s">
        <v>2603</v>
      </c>
      <c r="H466" t="s">
        <v>1271</v>
      </c>
      <c r="I466">
        <v>46225</v>
      </c>
      <c r="J466" t="s">
        <v>2896</v>
      </c>
      <c r="K466" t="s">
        <v>1182</v>
      </c>
      <c r="L466" t="s">
        <v>1177</v>
      </c>
      <c r="M466" t="s">
        <v>1274</v>
      </c>
      <c r="N466" t="s">
        <v>1079</v>
      </c>
      <c r="O466" t="s">
        <v>1275</v>
      </c>
      <c r="P466">
        <v>46225</v>
      </c>
      <c r="Q466" t="s">
        <v>1177</v>
      </c>
      <c r="R466" t="s">
        <v>21</v>
      </c>
      <c r="S466" t="s">
        <v>853</v>
      </c>
      <c r="T466" t="s">
        <v>2897</v>
      </c>
      <c r="U466" t="s">
        <v>2898</v>
      </c>
      <c r="V466">
        <v>47</v>
      </c>
      <c r="W466" t="s">
        <v>1262</v>
      </c>
      <c r="X466" t="s">
        <v>1262</v>
      </c>
      <c r="Y466">
        <v>0</v>
      </c>
      <c r="Z466" t="s">
        <v>1186</v>
      </c>
      <c r="AA466" t="s">
        <v>1177</v>
      </c>
      <c r="AB466" t="s">
        <v>1177</v>
      </c>
      <c r="AC466" t="s">
        <v>1177</v>
      </c>
      <c r="AD466" t="s">
        <v>1313</v>
      </c>
      <c r="AE466" t="s">
        <v>2899</v>
      </c>
      <c r="AF466" t="s">
        <v>1189</v>
      </c>
      <c r="AG466" t="s">
        <v>1178</v>
      </c>
      <c r="AH466" t="s">
        <v>1178</v>
      </c>
      <c r="AI466" t="s">
        <v>1280</v>
      </c>
      <c r="AJ466" t="s">
        <v>1189</v>
      </c>
      <c r="AK466">
        <v>47</v>
      </c>
      <c r="AL466" t="s">
        <v>1262</v>
      </c>
      <c r="AM466">
        <v>46526</v>
      </c>
      <c r="AN466">
        <v>46520</v>
      </c>
      <c r="AO466">
        <v>46520</v>
      </c>
      <c r="AP466">
        <v>46524</v>
      </c>
      <c r="AQ466">
        <v>46524</v>
      </c>
      <c r="AR466">
        <v>46526</v>
      </c>
      <c r="AS466">
        <v>46526</v>
      </c>
      <c r="AT466" t="s">
        <v>1281</v>
      </c>
      <c r="AU466" t="s">
        <v>1177</v>
      </c>
      <c r="AV466" t="s">
        <v>1192</v>
      </c>
      <c r="AW466" t="s">
        <v>1177</v>
      </c>
      <c r="AX466">
        <v>0</v>
      </c>
      <c r="AY466">
        <v>0</v>
      </c>
      <c r="AZ466" t="s">
        <v>1177</v>
      </c>
      <c r="BA466">
        <v>0</v>
      </c>
      <c r="BB466" t="s">
        <v>1262</v>
      </c>
      <c r="BC466" t="e">
        <v>#N/A</v>
      </c>
      <c r="BD466" t="e">
        <v>#N/A</v>
      </c>
      <c r="BE466" t="e">
        <v>#N/A</v>
      </c>
      <c r="BF466" t="e">
        <v>#N/A</v>
      </c>
      <c r="BG466" t="s">
        <v>1464</v>
      </c>
      <c r="BH466" t="e">
        <v>#N/A</v>
      </c>
      <c r="BI466" t="e">
        <v>#N/A</v>
      </c>
    </row>
    <row r="467" spans="1:61" x14ac:dyDescent="0.35">
      <c r="A467" s="7" t="str">
        <f t="shared" si="14"/>
        <v>462254300011466</v>
      </c>
      <c r="B467" s="7" t="str">
        <f t="shared" si="15"/>
        <v>GP683121B864</v>
      </c>
      <c r="C467" t="s">
        <v>2900</v>
      </c>
      <c r="D467" t="s">
        <v>1182</v>
      </c>
      <c r="E467" t="s">
        <v>1177</v>
      </c>
      <c r="F467" t="s">
        <v>2602</v>
      </c>
      <c r="G467" t="s">
        <v>2603</v>
      </c>
      <c r="H467" t="s">
        <v>1271</v>
      </c>
      <c r="I467">
        <v>46225</v>
      </c>
      <c r="J467" t="s">
        <v>2901</v>
      </c>
      <c r="K467" t="s">
        <v>1182</v>
      </c>
      <c r="L467" t="s">
        <v>1177</v>
      </c>
      <c r="M467" t="s">
        <v>1274</v>
      </c>
      <c r="N467" t="s">
        <v>1079</v>
      </c>
      <c r="O467" t="s">
        <v>1275</v>
      </c>
      <c r="P467">
        <v>46225</v>
      </c>
      <c r="Q467" t="s">
        <v>1177</v>
      </c>
      <c r="R467" t="s">
        <v>10</v>
      </c>
      <c r="S467" t="s">
        <v>1011</v>
      </c>
      <c r="T467" t="s">
        <v>2888</v>
      </c>
      <c r="U467" t="s">
        <v>2889</v>
      </c>
      <c r="V467">
        <v>19</v>
      </c>
      <c r="W467" t="s">
        <v>1262</v>
      </c>
      <c r="X467" t="s">
        <v>1262</v>
      </c>
      <c r="Y467">
        <v>0</v>
      </c>
      <c r="Z467" t="s">
        <v>1186</v>
      </c>
      <c r="AA467" t="s">
        <v>1177</v>
      </c>
      <c r="AB467" t="s">
        <v>1177</v>
      </c>
      <c r="AC467" t="s">
        <v>1177</v>
      </c>
      <c r="AD467" t="s">
        <v>1204</v>
      </c>
      <c r="AE467" t="s">
        <v>2890</v>
      </c>
      <c r="AF467" t="s">
        <v>1189</v>
      </c>
      <c r="AG467" t="s">
        <v>1190</v>
      </c>
      <c r="AH467" t="s">
        <v>1178</v>
      </c>
      <c r="AI467" t="s">
        <v>1280</v>
      </c>
      <c r="AJ467" t="s">
        <v>1189</v>
      </c>
      <c r="AK467">
        <v>19</v>
      </c>
      <c r="AL467" t="s">
        <v>1262</v>
      </c>
      <c r="AM467">
        <v>46491</v>
      </c>
      <c r="AN467">
        <v>46485</v>
      </c>
      <c r="AO467">
        <v>46485</v>
      </c>
      <c r="AP467">
        <v>46489</v>
      </c>
      <c r="AQ467">
        <v>46489</v>
      </c>
      <c r="AR467">
        <v>46491</v>
      </c>
      <c r="AS467">
        <v>46491</v>
      </c>
      <c r="AT467" t="s">
        <v>1281</v>
      </c>
      <c r="AU467" t="s">
        <v>1177</v>
      </c>
      <c r="AV467" t="s">
        <v>1192</v>
      </c>
      <c r="AW467" t="s">
        <v>1177</v>
      </c>
      <c r="AX467">
        <v>0</v>
      </c>
      <c r="AY467">
        <v>0</v>
      </c>
      <c r="AZ467" t="s">
        <v>1177</v>
      </c>
      <c r="BA467">
        <v>0</v>
      </c>
      <c r="BB467" t="s">
        <v>1262</v>
      </c>
      <c r="BC467" t="e">
        <v>#N/A</v>
      </c>
      <c r="BD467" t="e">
        <v>#N/A</v>
      </c>
      <c r="BE467" t="e">
        <v>#N/A</v>
      </c>
      <c r="BF467" t="e">
        <v>#N/A</v>
      </c>
      <c r="BG467" t="s">
        <v>1464</v>
      </c>
      <c r="BH467" t="e">
        <v>#N/A</v>
      </c>
      <c r="BI467" t="e">
        <v>#N/A</v>
      </c>
    </row>
    <row r="468" spans="1:61" x14ac:dyDescent="0.35">
      <c r="A468" s="7" t="str">
        <f t="shared" si="14"/>
        <v>462254300011483</v>
      </c>
      <c r="B468" s="7" t="str">
        <f t="shared" si="15"/>
        <v>GP486978-004B832</v>
      </c>
      <c r="C468" t="s">
        <v>2902</v>
      </c>
      <c r="D468" t="s">
        <v>1182</v>
      </c>
      <c r="E468" t="s">
        <v>1177</v>
      </c>
      <c r="F468" t="s">
        <v>1300</v>
      </c>
      <c r="G468" t="s">
        <v>1236</v>
      </c>
      <c r="H468" t="s">
        <v>1271</v>
      </c>
      <c r="I468">
        <v>46225</v>
      </c>
      <c r="J468" t="s">
        <v>2903</v>
      </c>
      <c r="K468" t="s">
        <v>1182</v>
      </c>
      <c r="L468" t="s">
        <v>1177</v>
      </c>
      <c r="M468" t="s">
        <v>1274</v>
      </c>
      <c r="N468" t="s">
        <v>16</v>
      </c>
      <c r="O468" t="s">
        <v>512</v>
      </c>
      <c r="P468">
        <v>46225</v>
      </c>
      <c r="Q468" t="s">
        <v>1177</v>
      </c>
      <c r="R468" t="s">
        <v>19</v>
      </c>
      <c r="S468" t="s">
        <v>654</v>
      </c>
      <c r="T468" t="s">
        <v>193</v>
      </c>
      <c r="U468" t="s">
        <v>194</v>
      </c>
      <c r="V468">
        <v>60</v>
      </c>
      <c r="W468" t="s">
        <v>1185</v>
      </c>
      <c r="X468" t="s">
        <v>1185</v>
      </c>
      <c r="Y468">
        <v>0</v>
      </c>
      <c r="Z468" t="s">
        <v>1186</v>
      </c>
      <c r="AA468" t="s">
        <v>1177</v>
      </c>
      <c r="AB468" t="s">
        <v>1177</v>
      </c>
      <c r="AC468" t="s">
        <v>1177</v>
      </c>
      <c r="AD468" t="s">
        <v>1204</v>
      </c>
      <c r="AE468" t="s">
        <v>1188</v>
      </c>
      <c r="AF468" t="s">
        <v>1189</v>
      </c>
      <c r="AG468" t="s">
        <v>1189</v>
      </c>
      <c r="AH468" t="s">
        <v>1178</v>
      </c>
      <c r="AI468" t="s">
        <v>1177</v>
      </c>
      <c r="AJ468" t="s">
        <v>1190</v>
      </c>
      <c r="AK468">
        <v>60</v>
      </c>
      <c r="AL468" t="s">
        <v>1185</v>
      </c>
      <c r="AM468">
        <v>46253</v>
      </c>
      <c r="AN468">
        <v>46253</v>
      </c>
      <c r="AO468">
        <v>46253</v>
      </c>
      <c r="AP468">
        <v>46253</v>
      </c>
      <c r="AQ468">
        <v>46253</v>
      </c>
      <c r="AR468">
        <v>46253</v>
      </c>
      <c r="AS468">
        <v>46255</v>
      </c>
      <c r="AT468" t="s">
        <v>1281</v>
      </c>
      <c r="AU468" t="s">
        <v>1177</v>
      </c>
      <c r="AV468" t="s">
        <v>1192</v>
      </c>
      <c r="AW468" t="s">
        <v>1177</v>
      </c>
      <c r="AX468">
        <v>33</v>
      </c>
      <c r="AY468">
        <v>2</v>
      </c>
      <c r="AZ468" t="s">
        <v>1177</v>
      </c>
      <c r="BA468">
        <v>60</v>
      </c>
      <c r="BB468" t="s">
        <v>1185</v>
      </c>
      <c r="BC468" t="e">
        <v>#N/A</v>
      </c>
      <c r="BD468" t="e">
        <v>#N/A</v>
      </c>
      <c r="BE468" t="e">
        <v>#N/A</v>
      </c>
      <c r="BF468" t="e">
        <v>#N/A</v>
      </c>
      <c r="BG468" t="s">
        <v>1212</v>
      </c>
      <c r="BH468" t="e">
        <v>#N/A</v>
      </c>
      <c r="BI468" t="e">
        <v>#N/A</v>
      </c>
    </row>
    <row r="469" spans="1:61" x14ac:dyDescent="0.35">
      <c r="A469" s="7" t="str">
        <f t="shared" si="14"/>
        <v>462254300011488</v>
      </c>
      <c r="B469" s="7" t="str">
        <f t="shared" si="15"/>
        <v>96589B856</v>
      </c>
      <c r="C469" t="s">
        <v>2904</v>
      </c>
      <c r="D469" t="s">
        <v>2140</v>
      </c>
      <c r="E469" t="s">
        <v>1177</v>
      </c>
      <c r="F469" t="s">
        <v>2798</v>
      </c>
      <c r="G469" t="s">
        <v>2368</v>
      </c>
      <c r="H469" t="s">
        <v>1271</v>
      </c>
      <c r="I469">
        <v>46225</v>
      </c>
      <c r="J469" t="s">
        <v>2905</v>
      </c>
      <c r="K469" t="s">
        <v>2140</v>
      </c>
      <c r="L469" t="s">
        <v>1177</v>
      </c>
      <c r="M469" t="s">
        <v>1274</v>
      </c>
      <c r="N469" t="s">
        <v>1079</v>
      </c>
      <c r="O469" t="s">
        <v>1080</v>
      </c>
      <c r="P469">
        <v>46225</v>
      </c>
      <c r="Q469" t="s">
        <v>1177</v>
      </c>
      <c r="R469" t="s">
        <v>21</v>
      </c>
      <c r="S469" t="s">
        <v>853</v>
      </c>
      <c r="T469" t="s">
        <v>2005</v>
      </c>
      <c r="U469" t="s">
        <v>2006</v>
      </c>
      <c r="V469">
        <v>2</v>
      </c>
      <c r="W469" t="s">
        <v>1262</v>
      </c>
      <c r="X469" t="s">
        <v>1262</v>
      </c>
      <c r="Y469">
        <v>0</v>
      </c>
      <c r="Z469" t="s">
        <v>1186</v>
      </c>
      <c r="AA469" t="s">
        <v>1177</v>
      </c>
      <c r="AB469" t="s">
        <v>1177</v>
      </c>
      <c r="AC469" t="s">
        <v>1177</v>
      </c>
      <c r="AD469" t="s">
        <v>1204</v>
      </c>
      <c r="AE469" t="s">
        <v>2007</v>
      </c>
      <c r="AF469" t="s">
        <v>1189</v>
      </c>
      <c r="AG469" t="s">
        <v>1190</v>
      </c>
      <c r="AH469" t="s">
        <v>1178</v>
      </c>
      <c r="AI469" t="s">
        <v>1280</v>
      </c>
      <c r="AJ469" t="s">
        <v>1190</v>
      </c>
      <c r="AK469">
        <v>0</v>
      </c>
      <c r="AL469" t="s">
        <v>1262</v>
      </c>
      <c r="AM469">
        <v>46253</v>
      </c>
      <c r="AN469">
        <v>46247</v>
      </c>
      <c r="AO469">
        <v>46247</v>
      </c>
      <c r="AP469">
        <v>46251</v>
      </c>
      <c r="AQ469">
        <v>46251</v>
      </c>
      <c r="AR469">
        <v>46253</v>
      </c>
      <c r="AS469">
        <v>46255</v>
      </c>
      <c r="AT469" t="s">
        <v>1281</v>
      </c>
      <c r="AU469" t="s">
        <v>1177</v>
      </c>
      <c r="AV469" t="s">
        <v>1192</v>
      </c>
      <c r="AW469" t="s">
        <v>1177</v>
      </c>
      <c r="AX469">
        <v>33</v>
      </c>
      <c r="AY469">
        <v>2</v>
      </c>
      <c r="AZ469" t="s">
        <v>1177</v>
      </c>
      <c r="BA469">
        <v>2</v>
      </c>
      <c r="BB469" t="s">
        <v>1262</v>
      </c>
      <c r="BC469" t="s">
        <v>2906</v>
      </c>
      <c r="BD469">
        <v>16</v>
      </c>
      <c r="BE469">
        <v>46226</v>
      </c>
      <c r="BF469" t="s">
        <v>1165</v>
      </c>
      <c r="BG469" t="s">
        <v>1458</v>
      </c>
      <c r="BH469" t="e">
        <v>#N/A</v>
      </c>
      <c r="BI469" t="e">
        <v>#N/A</v>
      </c>
    </row>
    <row r="470" spans="1:61" x14ac:dyDescent="0.35">
      <c r="A470" s="7" t="str">
        <f t="shared" si="14"/>
        <v>462264300011491</v>
      </c>
      <c r="B470" s="7" t="str">
        <f t="shared" si="15"/>
        <v>GP095929B867</v>
      </c>
      <c r="C470" t="s">
        <v>2907</v>
      </c>
      <c r="D470" t="s">
        <v>1436</v>
      </c>
      <c r="E470" t="s">
        <v>1177</v>
      </c>
      <c r="F470" t="s">
        <v>2798</v>
      </c>
      <c r="G470" t="s">
        <v>2368</v>
      </c>
      <c r="H470" t="s">
        <v>1271</v>
      </c>
      <c r="I470">
        <v>46226</v>
      </c>
      <c r="J470" t="s">
        <v>2908</v>
      </c>
      <c r="K470" t="s">
        <v>1436</v>
      </c>
      <c r="L470" t="s">
        <v>1177</v>
      </c>
      <c r="M470" t="s">
        <v>1274</v>
      </c>
      <c r="N470" t="s">
        <v>1079</v>
      </c>
      <c r="O470" t="s">
        <v>1275</v>
      </c>
      <c r="P470">
        <v>46226</v>
      </c>
      <c r="Q470" t="s">
        <v>1177</v>
      </c>
      <c r="R470" t="s">
        <v>25</v>
      </c>
      <c r="S470" t="s">
        <v>1060</v>
      </c>
      <c r="T470" t="s">
        <v>1087</v>
      </c>
      <c r="U470" t="s">
        <v>1088</v>
      </c>
      <c r="V470">
        <v>16</v>
      </c>
      <c r="W470" t="s">
        <v>1262</v>
      </c>
      <c r="X470" t="s">
        <v>1262</v>
      </c>
      <c r="Y470">
        <v>0</v>
      </c>
      <c r="Z470" t="s">
        <v>1186</v>
      </c>
      <c r="AA470" t="s">
        <v>1177</v>
      </c>
      <c r="AB470" t="s">
        <v>1286</v>
      </c>
      <c r="AC470" t="s">
        <v>1277</v>
      </c>
      <c r="AD470" t="s">
        <v>1278</v>
      </c>
      <c r="AE470" t="s">
        <v>1371</v>
      </c>
      <c r="AF470" t="s">
        <v>1178</v>
      </c>
      <c r="AG470" t="s">
        <v>1178</v>
      </c>
      <c r="AH470" t="s">
        <v>1178</v>
      </c>
      <c r="AI470" t="s">
        <v>1280</v>
      </c>
      <c r="AJ470" t="s">
        <v>1190</v>
      </c>
      <c r="AK470">
        <v>0</v>
      </c>
      <c r="AL470" t="s">
        <v>1262</v>
      </c>
      <c r="AM470">
        <v>46293</v>
      </c>
      <c r="AN470">
        <v>46282</v>
      </c>
      <c r="AO470">
        <v>46282</v>
      </c>
      <c r="AP470">
        <v>46286</v>
      </c>
      <c r="AQ470">
        <v>46286</v>
      </c>
      <c r="AR470">
        <v>46288</v>
      </c>
      <c r="AS470">
        <v>46290</v>
      </c>
      <c r="AT470" t="s">
        <v>1281</v>
      </c>
      <c r="AU470" t="s">
        <v>1177</v>
      </c>
      <c r="AV470" t="s">
        <v>1192</v>
      </c>
      <c r="AW470" t="s">
        <v>1177</v>
      </c>
      <c r="AX470">
        <v>71</v>
      </c>
      <c r="AY470">
        <v>2</v>
      </c>
      <c r="AZ470" t="s">
        <v>1177</v>
      </c>
      <c r="BA470">
        <v>16</v>
      </c>
      <c r="BB470" t="s">
        <v>1262</v>
      </c>
      <c r="BC470" t="s">
        <v>2909</v>
      </c>
      <c r="BD470">
        <v>400</v>
      </c>
      <c r="BE470">
        <v>46226</v>
      </c>
      <c r="BF470" t="s">
        <v>1165</v>
      </c>
      <c r="BG470" t="s">
        <v>1458</v>
      </c>
      <c r="BH470" t="e">
        <v>#N/A</v>
      </c>
      <c r="BI470" t="e">
        <v>#N/A</v>
      </c>
    </row>
    <row r="471" spans="1:61" x14ac:dyDescent="0.35">
      <c r="A471" s="7" t="str">
        <f t="shared" si="14"/>
        <v>462274300011513</v>
      </c>
      <c r="B471" s="7" t="str">
        <f t="shared" si="15"/>
        <v>GP242942B825</v>
      </c>
      <c r="C471" t="s">
        <v>2911</v>
      </c>
      <c r="D471" t="s">
        <v>1199</v>
      </c>
      <c r="E471" t="s">
        <v>1177</v>
      </c>
      <c r="F471" t="s">
        <v>1300</v>
      </c>
      <c r="G471" t="s">
        <v>1240</v>
      </c>
      <c r="H471" t="s">
        <v>1271</v>
      </c>
      <c r="I471">
        <v>46227</v>
      </c>
      <c r="J471" t="s">
        <v>2912</v>
      </c>
      <c r="K471" t="s">
        <v>1199</v>
      </c>
      <c r="L471" t="s">
        <v>1177</v>
      </c>
      <c r="M471" t="s">
        <v>1274</v>
      </c>
      <c r="N471" t="s">
        <v>1079</v>
      </c>
      <c r="O471" t="s">
        <v>1275</v>
      </c>
      <c r="P471">
        <v>46227</v>
      </c>
      <c r="Q471" t="s">
        <v>1177</v>
      </c>
      <c r="R471" t="s">
        <v>16</v>
      </c>
      <c r="S471" t="s">
        <v>512</v>
      </c>
      <c r="T471" t="s">
        <v>2022</v>
      </c>
      <c r="U471" t="s">
        <v>2023</v>
      </c>
      <c r="V471">
        <v>50</v>
      </c>
      <c r="W471" t="s">
        <v>1262</v>
      </c>
      <c r="X471" t="s">
        <v>1262</v>
      </c>
      <c r="Y471">
        <v>0</v>
      </c>
      <c r="Z471" t="s">
        <v>1186</v>
      </c>
      <c r="AA471" t="s">
        <v>1177</v>
      </c>
      <c r="AB471" t="s">
        <v>1276</v>
      </c>
      <c r="AC471" t="s">
        <v>1277</v>
      </c>
      <c r="AD471" t="s">
        <v>1278</v>
      </c>
      <c r="AE471" t="s">
        <v>1284</v>
      </c>
      <c r="AF471" t="s">
        <v>1178</v>
      </c>
      <c r="AG471" t="s">
        <v>1190</v>
      </c>
      <c r="AH471" t="s">
        <v>1178</v>
      </c>
      <c r="AI471" t="s">
        <v>1349</v>
      </c>
      <c r="AJ471" t="s">
        <v>1189</v>
      </c>
      <c r="AK471">
        <v>2</v>
      </c>
      <c r="AL471" t="s">
        <v>1262</v>
      </c>
      <c r="AM471">
        <v>46248</v>
      </c>
      <c r="AN471">
        <v>46244</v>
      </c>
      <c r="AO471">
        <v>46244</v>
      </c>
      <c r="AP471">
        <v>46246</v>
      </c>
      <c r="AQ471">
        <v>46246</v>
      </c>
      <c r="AR471">
        <v>46248</v>
      </c>
      <c r="AS471">
        <v>46252</v>
      </c>
      <c r="AT471" t="s">
        <v>1281</v>
      </c>
      <c r="AU471" t="s">
        <v>1177</v>
      </c>
      <c r="AV471" t="s">
        <v>1192</v>
      </c>
      <c r="AW471" t="s">
        <v>1177</v>
      </c>
      <c r="AX471">
        <v>33</v>
      </c>
      <c r="AY471">
        <v>2</v>
      </c>
      <c r="AZ471" t="s">
        <v>1177</v>
      </c>
      <c r="BA471">
        <v>0</v>
      </c>
      <c r="BB471" t="s">
        <v>1262</v>
      </c>
      <c r="BC471" t="e">
        <v>#N/A</v>
      </c>
      <c r="BD471" t="e">
        <v>#N/A</v>
      </c>
      <c r="BE471" t="e">
        <v>#N/A</v>
      </c>
      <c r="BF471" t="e">
        <v>#N/A</v>
      </c>
      <c r="BG471" t="s">
        <v>1212</v>
      </c>
      <c r="BH471" t="e">
        <v>#N/A</v>
      </c>
      <c r="BI471" t="e">
        <v>#N/A</v>
      </c>
    </row>
    <row r="472" spans="1:61" x14ac:dyDescent="0.35">
      <c r="A472" s="7" t="str">
        <f t="shared" si="14"/>
        <v>462274300011517</v>
      </c>
      <c r="B472" s="7" t="str">
        <f t="shared" si="15"/>
        <v>GP091182B832</v>
      </c>
      <c r="C472" t="s">
        <v>2913</v>
      </c>
      <c r="D472" t="s">
        <v>1182</v>
      </c>
      <c r="E472" t="s">
        <v>1177</v>
      </c>
      <c r="F472" t="s">
        <v>1237</v>
      </c>
      <c r="G472" t="s">
        <v>1240</v>
      </c>
      <c r="H472" t="s">
        <v>1271</v>
      </c>
      <c r="I472">
        <v>46227</v>
      </c>
      <c r="J472" t="s">
        <v>2914</v>
      </c>
      <c r="K472" t="s">
        <v>1182</v>
      </c>
      <c r="L472" t="s">
        <v>1177</v>
      </c>
      <c r="M472" t="s">
        <v>1274</v>
      </c>
      <c r="N472" t="s">
        <v>1079</v>
      </c>
      <c r="O472" t="s">
        <v>1275</v>
      </c>
      <c r="P472">
        <v>46227</v>
      </c>
      <c r="Q472" t="s">
        <v>1177</v>
      </c>
      <c r="R472" t="s">
        <v>19</v>
      </c>
      <c r="S472" t="s">
        <v>654</v>
      </c>
      <c r="T472" t="s">
        <v>167</v>
      </c>
      <c r="U472" t="s">
        <v>2746</v>
      </c>
      <c r="V472">
        <v>3</v>
      </c>
      <c r="W472" t="s">
        <v>1262</v>
      </c>
      <c r="X472" t="s">
        <v>1262</v>
      </c>
      <c r="Y472">
        <v>0</v>
      </c>
      <c r="Z472" t="s">
        <v>1186</v>
      </c>
      <c r="AA472" t="s">
        <v>1177</v>
      </c>
      <c r="AB472" t="s">
        <v>1276</v>
      </c>
      <c r="AC472" t="s">
        <v>1277</v>
      </c>
      <c r="AD472" t="s">
        <v>1278</v>
      </c>
      <c r="AE472" t="s">
        <v>1618</v>
      </c>
      <c r="AF472" t="s">
        <v>1178</v>
      </c>
      <c r="AG472" t="s">
        <v>1190</v>
      </c>
      <c r="AH472" t="s">
        <v>1178</v>
      </c>
      <c r="AI472" t="s">
        <v>1349</v>
      </c>
      <c r="AJ472" t="s">
        <v>1190</v>
      </c>
      <c r="AK472">
        <v>0</v>
      </c>
      <c r="AL472" t="s">
        <v>1262</v>
      </c>
      <c r="AM472">
        <v>46312</v>
      </c>
      <c r="AN472">
        <v>46304</v>
      </c>
      <c r="AO472">
        <v>46304</v>
      </c>
      <c r="AP472">
        <v>46309</v>
      </c>
      <c r="AQ472">
        <v>46309</v>
      </c>
      <c r="AR472">
        <v>46311</v>
      </c>
      <c r="AS472">
        <v>46315</v>
      </c>
      <c r="AT472" t="s">
        <v>1281</v>
      </c>
      <c r="AU472" t="s">
        <v>1177</v>
      </c>
      <c r="AV472" t="s">
        <v>1192</v>
      </c>
      <c r="AW472" t="s">
        <v>1177</v>
      </c>
      <c r="AX472">
        <v>33</v>
      </c>
      <c r="AY472">
        <v>2</v>
      </c>
      <c r="AZ472" t="s">
        <v>1177</v>
      </c>
      <c r="BA472">
        <v>0</v>
      </c>
      <c r="BB472" t="s">
        <v>1262</v>
      </c>
      <c r="BC472" t="s">
        <v>2915</v>
      </c>
      <c r="BD472">
        <v>2</v>
      </c>
      <c r="BE472">
        <v>46253</v>
      </c>
      <c r="BF472" t="s">
        <v>1165</v>
      </c>
      <c r="BG472" t="s">
        <v>1212</v>
      </c>
      <c r="BH472" t="e">
        <v>#N/A</v>
      </c>
      <c r="BI472" t="e">
        <v>#N/A</v>
      </c>
    </row>
    <row r="473" spans="1:61" x14ac:dyDescent="0.35">
      <c r="A473" s="7" t="str">
        <f t="shared" si="14"/>
        <v>462274300011529</v>
      </c>
      <c r="B473" s="7" t="str">
        <f t="shared" si="15"/>
        <v>GP486978-004B857</v>
      </c>
      <c r="C473" t="s">
        <v>2916</v>
      </c>
      <c r="D473" t="s">
        <v>1182</v>
      </c>
      <c r="E473" t="s">
        <v>1177</v>
      </c>
      <c r="F473" t="s">
        <v>1237</v>
      </c>
      <c r="G473" t="s">
        <v>1236</v>
      </c>
      <c r="H473" t="s">
        <v>1271</v>
      </c>
      <c r="I473">
        <v>46227</v>
      </c>
      <c r="J473" t="s">
        <v>2917</v>
      </c>
      <c r="K473" t="s">
        <v>1182</v>
      </c>
      <c r="L473" t="s">
        <v>1177</v>
      </c>
      <c r="M473" t="s">
        <v>1274</v>
      </c>
      <c r="N473" t="s">
        <v>19</v>
      </c>
      <c r="O473" t="s">
        <v>654</v>
      </c>
      <c r="P473">
        <v>46227</v>
      </c>
      <c r="Q473" t="s">
        <v>1185</v>
      </c>
      <c r="R473" t="s">
        <v>23</v>
      </c>
      <c r="S473" t="s">
        <v>959</v>
      </c>
      <c r="T473" t="s">
        <v>193</v>
      </c>
      <c r="U473" t="s">
        <v>194</v>
      </c>
      <c r="V473">
        <v>208.2</v>
      </c>
      <c r="W473" t="s">
        <v>1185</v>
      </c>
      <c r="X473" t="s">
        <v>1185</v>
      </c>
      <c r="Y473">
        <v>0</v>
      </c>
      <c r="Z473" t="s">
        <v>1186</v>
      </c>
      <c r="AA473" t="s">
        <v>1177</v>
      </c>
      <c r="AB473" t="s">
        <v>1177</v>
      </c>
      <c r="AC473" t="s">
        <v>1177</v>
      </c>
      <c r="AD473" t="s">
        <v>1204</v>
      </c>
      <c r="AE473" t="s">
        <v>1188</v>
      </c>
      <c r="AF473" t="s">
        <v>1189</v>
      </c>
      <c r="AG473" t="s">
        <v>1189</v>
      </c>
      <c r="AH473" t="s">
        <v>1178</v>
      </c>
      <c r="AI473" t="s">
        <v>1177</v>
      </c>
      <c r="AJ473" t="s">
        <v>1190</v>
      </c>
      <c r="AK473">
        <v>208.2</v>
      </c>
      <c r="AL473" t="s">
        <v>1185</v>
      </c>
      <c r="AM473">
        <v>46260</v>
      </c>
      <c r="AN473">
        <v>46260</v>
      </c>
      <c r="AO473">
        <v>46260</v>
      </c>
      <c r="AP473">
        <v>46260</v>
      </c>
      <c r="AQ473">
        <v>46260</v>
      </c>
      <c r="AR473">
        <v>46260</v>
      </c>
      <c r="AS473">
        <v>46262</v>
      </c>
      <c r="AT473" t="s">
        <v>1281</v>
      </c>
      <c r="AU473" t="s">
        <v>1177</v>
      </c>
      <c r="AV473" t="s">
        <v>1192</v>
      </c>
      <c r="AW473" t="s">
        <v>1177</v>
      </c>
      <c r="AX473">
        <v>33</v>
      </c>
      <c r="AY473">
        <v>2</v>
      </c>
      <c r="AZ473" t="s">
        <v>1177</v>
      </c>
      <c r="BA473">
        <v>0</v>
      </c>
      <c r="BB473" t="s">
        <v>1185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e">
        <v>#N/A</v>
      </c>
      <c r="BI473" t="e">
        <v>#N/A</v>
      </c>
    </row>
    <row r="474" spans="1:61" x14ac:dyDescent="0.35">
      <c r="A474" s="7" t="str">
        <f t="shared" si="14"/>
        <v>462294300011534</v>
      </c>
      <c r="B474" s="7" t="str">
        <f t="shared" si="15"/>
        <v>GP095935B857</v>
      </c>
      <c r="C474" t="s">
        <v>2919</v>
      </c>
      <c r="D474" t="s">
        <v>1182</v>
      </c>
      <c r="E474" t="s">
        <v>1177</v>
      </c>
      <c r="F474" t="s">
        <v>2798</v>
      </c>
      <c r="G474" t="s">
        <v>2368</v>
      </c>
      <c r="H474" t="s">
        <v>1271</v>
      </c>
      <c r="I474">
        <v>46229</v>
      </c>
      <c r="J474" t="s">
        <v>2920</v>
      </c>
      <c r="K474" t="s">
        <v>1182</v>
      </c>
      <c r="L474" t="s">
        <v>1177</v>
      </c>
      <c r="M474" t="s">
        <v>1274</v>
      </c>
      <c r="N474" t="s">
        <v>1079</v>
      </c>
      <c r="O474" t="s">
        <v>1080</v>
      </c>
      <c r="P474">
        <v>46229</v>
      </c>
      <c r="Q474" t="s">
        <v>1177</v>
      </c>
      <c r="R474" t="s">
        <v>23</v>
      </c>
      <c r="S474" t="s">
        <v>959</v>
      </c>
      <c r="T474" t="s">
        <v>1089</v>
      </c>
      <c r="U474" t="s">
        <v>1090</v>
      </c>
      <c r="V474">
        <v>48</v>
      </c>
      <c r="W474" t="s">
        <v>1262</v>
      </c>
      <c r="X474" t="s">
        <v>1262</v>
      </c>
      <c r="Y474">
        <v>0</v>
      </c>
      <c r="Z474" t="s">
        <v>1186</v>
      </c>
      <c r="AA474" t="s">
        <v>1177</v>
      </c>
      <c r="AB474" t="s">
        <v>1286</v>
      </c>
      <c r="AC474" t="s">
        <v>1277</v>
      </c>
      <c r="AD474" t="s">
        <v>1278</v>
      </c>
      <c r="AE474" t="s">
        <v>1371</v>
      </c>
      <c r="AF474" t="s">
        <v>1178</v>
      </c>
      <c r="AG474" t="s">
        <v>1178</v>
      </c>
      <c r="AH474" t="s">
        <v>1178</v>
      </c>
      <c r="AI474" t="s">
        <v>1280</v>
      </c>
      <c r="AJ474" t="s">
        <v>1675</v>
      </c>
      <c r="AK474">
        <v>37</v>
      </c>
      <c r="AL474" t="s">
        <v>1262</v>
      </c>
      <c r="AM474">
        <v>46288</v>
      </c>
      <c r="AN474">
        <v>46276</v>
      </c>
      <c r="AO474">
        <v>46282</v>
      </c>
      <c r="AP474">
        <v>46286</v>
      </c>
      <c r="AQ474">
        <v>46286</v>
      </c>
      <c r="AR474">
        <v>46288</v>
      </c>
      <c r="AS474">
        <v>46311</v>
      </c>
      <c r="AT474" t="s">
        <v>1281</v>
      </c>
      <c r="AU474" t="s">
        <v>1177</v>
      </c>
      <c r="AV474" t="s">
        <v>1192</v>
      </c>
      <c r="AW474" t="s">
        <v>1177</v>
      </c>
      <c r="AX474">
        <v>25</v>
      </c>
      <c r="AY474">
        <v>16</v>
      </c>
      <c r="AZ474" t="s">
        <v>1177</v>
      </c>
      <c r="BA474">
        <v>0</v>
      </c>
      <c r="BB474" t="s">
        <v>1262</v>
      </c>
      <c r="BC474" t="s">
        <v>2921</v>
      </c>
      <c r="BD474">
        <v>40</v>
      </c>
      <c r="BE474">
        <v>46233</v>
      </c>
      <c r="BF474" t="s">
        <v>1165</v>
      </c>
      <c r="BG474" t="s">
        <v>1458</v>
      </c>
      <c r="BH474" t="e">
        <v>#N/A</v>
      </c>
      <c r="BI474" t="e">
        <v>#N/A</v>
      </c>
    </row>
    <row r="475" spans="1:61" x14ac:dyDescent="0.35">
      <c r="A475" s="7" t="str">
        <f t="shared" si="14"/>
        <v>462294300011535</v>
      </c>
      <c r="B475" s="7" t="str">
        <f t="shared" si="15"/>
        <v>149776-001B867</v>
      </c>
      <c r="C475" t="s">
        <v>2922</v>
      </c>
      <c r="D475" t="s">
        <v>1809</v>
      </c>
      <c r="E475" t="s">
        <v>1177</v>
      </c>
      <c r="F475" t="s">
        <v>2798</v>
      </c>
      <c r="G475" t="s">
        <v>2368</v>
      </c>
      <c r="H475" t="s">
        <v>1271</v>
      </c>
      <c r="I475">
        <v>46229</v>
      </c>
      <c r="J475" t="s">
        <v>2923</v>
      </c>
      <c r="K475" t="s">
        <v>1809</v>
      </c>
      <c r="L475" t="s">
        <v>1177</v>
      </c>
      <c r="M475" t="s">
        <v>1274</v>
      </c>
      <c r="N475" t="s">
        <v>1079</v>
      </c>
      <c r="O475" t="s">
        <v>1275</v>
      </c>
      <c r="P475">
        <v>46232</v>
      </c>
      <c r="Q475" t="s">
        <v>1177</v>
      </c>
      <c r="R475" t="s">
        <v>25</v>
      </c>
      <c r="S475" t="s">
        <v>1060</v>
      </c>
      <c r="T475" t="s">
        <v>340</v>
      </c>
      <c r="U475" t="s">
        <v>2374</v>
      </c>
      <c r="V475">
        <v>1</v>
      </c>
      <c r="W475" t="s">
        <v>1262</v>
      </c>
      <c r="X475" t="s">
        <v>1262</v>
      </c>
      <c r="Y475">
        <v>0</v>
      </c>
      <c r="Z475" t="s">
        <v>1186</v>
      </c>
      <c r="AA475" t="s">
        <v>1177</v>
      </c>
      <c r="AB475" t="s">
        <v>1177</v>
      </c>
      <c r="AC475" t="s">
        <v>1177</v>
      </c>
      <c r="AD475" t="s">
        <v>1204</v>
      </c>
      <c r="AE475" t="s">
        <v>1408</v>
      </c>
      <c r="AF475" t="s">
        <v>1189</v>
      </c>
      <c r="AG475" t="s">
        <v>1190</v>
      </c>
      <c r="AH475" t="s">
        <v>1178</v>
      </c>
      <c r="AI475" t="s">
        <v>1280</v>
      </c>
      <c r="AJ475" t="s">
        <v>1190</v>
      </c>
      <c r="AK475">
        <v>0</v>
      </c>
      <c r="AL475" t="s">
        <v>1262</v>
      </c>
      <c r="AM475">
        <v>46217</v>
      </c>
      <c r="AN475">
        <v>46274</v>
      </c>
      <c r="AO475">
        <v>46233</v>
      </c>
      <c r="AP475">
        <v>46237</v>
      </c>
      <c r="AQ475">
        <v>46237</v>
      </c>
      <c r="AR475">
        <v>46239</v>
      </c>
      <c r="AS475">
        <v>46239</v>
      </c>
      <c r="AT475" t="s">
        <v>1281</v>
      </c>
      <c r="AU475" t="s">
        <v>1177</v>
      </c>
      <c r="AV475" t="s">
        <v>1192</v>
      </c>
      <c r="AW475" t="s">
        <v>1177</v>
      </c>
      <c r="AX475">
        <v>0</v>
      </c>
      <c r="AY475">
        <v>0</v>
      </c>
      <c r="AZ475" t="s">
        <v>1177</v>
      </c>
      <c r="BA475">
        <v>0</v>
      </c>
      <c r="BB475" t="s">
        <v>1262</v>
      </c>
      <c r="BC475" t="s">
        <v>2924</v>
      </c>
      <c r="BD475">
        <v>1</v>
      </c>
      <c r="BE475">
        <v>46247</v>
      </c>
      <c r="BF475" t="s">
        <v>1165</v>
      </c>
      <c r="BG475" t="s">
        <v>1458</v>
      </c>
      <c r="BH475" t="e">
        <v>#N/A</v>
      </c>
      <c r="BI475" t="e">
        <v>#N/A</v>
      </c>
    </row>
    <row r="476" spans="1:61" x14ac:dyDescent="0.35">
      <c r="A476" s="7" t="str">
        <f t="shared" si="14"/>
        <v>462324300011547</v>
      </c>
      <c r="B476" s="7" t="str">
        <f t="shared" si="15"/>
        <v>GP497169B825</v>
      </c>
      <c r="C476" t="s">
        <v>2925</v>
      </c>
      <c r="D476" t="s">
        <v>1182</v>
      </c>
      <c r="E476" t="s">
        <v>1177</v>
      </c>
      <c r="F476" t="s">
        <v>2602</v>
      </c>
      <c r="G476" t="s">
        <v>2603</v>
      </c>
      <c r="H476" t="s">
        <v>1271</v>
      </c>
      <c r="I476">
        <v>46232</v>
      </c>
      <c r="J476" t="s">
        <v>2926</v>
      </c>
      <c r="K476" t="s">
        <v>1182</v>
      </c>
      <c r="L476" t="s">
        <v>1177</v>
      </c>
      <c r="M476" t="s">
        <v>1274</v>
      </c>
      <c r="N476" t="s">
        <v>1079</v>
      </c>
      <c r="O476" t="s">
        <v>1275</v>
      </c>
      <c r="P476">
        <v>46232</v>
      </c>
      <c r="Q476" t="s">
        <v>1177</v>
      </c>
      <c r="R476" t="s">
        <v>16</v>
      </c>
      <c r="S476" t="s">
        <v>512</v>
      </c>
      <c r="T476" t="s">
        <v>2927</v>
      </c>
      <c r="U476" t="s">
        <v>2928</v>
      </c>
      <c r="V476">
        <v>2</v>
      </c>
      <c r="W476" t="s">
        <v>1262</v>
      </c>
      <c r="X476" t="s">
        <v>1262</v>
      </c>
      <c r="Y476">
        <v>0</v>
      </c>
      <c r="Z476" t="s">
        <v>1186</v>
      </c>
      <c r="AA476" t="s">
        <v>1177</v>
      </c>
      <c r="AB476" t="s">
        <v>1276</v>
      </c>
      <c r="AC476" t="s">
        <v>1277</v>
      </c>
      <c r="AD476" t="s">
        <v>1278</v>
      </c>
      <c r="AE476" t="s">
        <v>1354</v>
      </c>
      <c r="AF476" t="s">
        <v>1178</v>
      </c>
      <c r="AG476" t="s">
        <v>1190</v>
      </c>
      <c r="AH476" t="s">
        <v>1178</v>
      </c>
      <c r="AI476" t="s">
        <v>1349</v>
      </c>
      <c r="AJ476" t="s">
        <v>1189</v>
      </c>
      <c r="AK476">
        <v>2</v>
      </c>
      <c r="AL476" t="s">
        <v>1262</v>
      </c>
      <c r="AM476">
        <v>46465</v>
      </c>
      <c r="AN476">
        <v>46461</v>
      </c>
      <c r="AO476">
        <v>46461</v>
      </c>
      <c r="AP476">
        <v>46463</v>
      </c>
      <c r="AQ476">
        <v>46463</v>
      </c>
      <c r="AR476">
        <v>46465</v>
      </c>
      <c r="AS476">
        <v>46465</v>
      </c>
      <c r="AT476" t="s">
        <v>1281</v>
      </c>
      <c r="AU476" t="s">
        <v>1177</v>
      </c>
      <c r="AV476" t="s">
        <v>1192</v>
      </c>
      <c r="AW476" t="s">
        <v>1177</v>
      </c>
      <c r="AX476">
        <v>0</v>
      </c>
      <c r="AY476">
        <v>0</v>
      </c>
      <c r="AZ476" t="s">
        <v>1177</v>
      </c>
      <c r="BA476">
        <v>0</v>
      </c>
      <c r="BB476" t="s">
        <v>1262</v>
      </c>
      <c r="BC476" t="e">
        <v>#N/A</v>
      </c>
      <c r="BD476" t="e">
        <v>#N/A</v>
      </c>
      <c r="BE476" t="e">
        <v>#N/A</v>
      </c>
      <c r="BF476" t="e">
        <v>#N/A</v>
      </c>
      <c r="BG476" t="s">
        <v>1464</v>
      </c>
      <c r="BH476" t="e">
        <v>#N/A</v>
      </c>
      <c r="BI476" t="e">
        <v>#N/A</v>
      </c>
    </row>
    <row r="477" spans="1:61" x14ac:dyDescent="0.35">
      <c r="A477" s="7" t="str">
        <f t="shared" si="14"/>
        <v>462324300011548</v>
      </c>
      <c r="B477" s="7" t="str">
        <f t="shared" si="15"/>
        <v>GP054705B867</v>
      </c>
      <c r="C477" t="s">
        <v>2929</v>
      </c>
      <c r="D477" t="s">
        <v>1182</v>
      </c>
      <c r="E477" t="s">
        <v>1177</v>
      </c>
      <c r="F477" t="s">
        <v>2602</v>
      </c>
      <c r="G477" t="s">
        <v>2603</v>
      </c>
      <c r="H477" t="s">
        <v>1271</v>
      </c>
      <c r="I477">
        <v>46232</v>
      </c>
      <c r="J477" t="s">
        <v>2930</v>
      </c>
      <c r="K477" t="s">
        <v>1182</v>
      </c>
      <c r="L477" t="s">
        <v>1177</v>
      </c>
      <c r="M477" t="s">
        <v>1274</v>
      </c>
      <c r="N477" t="s">
        <v>1079</v>
      </c>
      <c r="O477" t="s">
        <v>1275</v>
      </c>
      <c r="P477">
        <v>46232</v>
      </c>
      <c r="Q477" t="s">
        <v>1177</v>
      </c>
      <c r="R477" t="s">
        <v>25</v>
      </c>
      <c r="S477" t="s">
        <v>1060</v>
      </c>
      <c r="T477" t="s">
        <v>388</v>
      </c>
      <c r="U477" t="s">
        <v>2931</v>
      </c>
      <c r="V477">
        <v>3</v>
      </c>
      <c r="W477" t="s">
        <v>1262</v>
      </c>
      <c r="X477" t="s">
        <v>1262</v>
      </c>
      <c r="Y477">
        <v>0</v>
      </c>
      <c r="Z477" t="s">
        <v>1186</v>
      </c>
      <c r="AA477" t="s">
        <v>1177</v>
      </c>
      <c r="AB477" t="s">
        <v>1286</v>
      </c>
      <c r="AC477" t="s">
        <v>1277</v>
      </c>
      <c r="AD477" t="s">
        <v>1278</v>
      </c>
      <c r="AE477" t="s">
        <v>1787</v>
      </c>
      <c r="AF477" t="s">
        <v>1178</v>
      </c>
      <c r="AG477" t="s">
        <v>1178</v>
      </c>
      <c r="AH477" t="s">
        <v>1178</v>
      </c>
      <c r="AI477" t="s">
        <v>1280</v>
      </c>
      <c r="AJ477" t="s">
        <v>1189</v>
      </c>
      <c r="AK477">
        <v>2</v>
      </c>
      <c r="AL477" t="s">
        <v>1262</v>
      </c>
      <c r="AM477">
        <v>46253</v>
      </c>
      <c r="AN477">
        <v>46247</v>
      </c>
      <c r="AO477">
        <v>46247</v>
      </c>
      <c r="AP477">
        <v>46251</v>
      </c>
      <c r="AQ477">
        <v>46251</v>
      </c>
      <c r="AR477">
        <v>46253</v>
      </c>
      <c r="AS477">
        <v>46255</v>
      </c>
      <c r="AT477" t="s">
        <v>1281</v>
      </c>
      <c r="AU477" t="s">
        <v>1177</v>
      </c>
      <c r="AV477" t="s">
        <v>1192</v>
      </c>
      <c r="AW477" t="s">
        <v>1177</v>
      </c>
      <c r="AX477">
        <v>33</v>
      </c>
      <c r="AY477">
        <v>2</v>
      </c>
      <c r="AZ477" t="s">
        <v>1177</v>
      </c>
      <c r="BA477">
        <v>0</v>
      </c>
      <c r="BB477" t="s">
        <v>1262</v>
      </c>
      <c r="BC477" t="e">
        <v>#N/A</v>
      </c>
      <c r="BD477" t="e">
        <v>#N/A</v>
      </c>
      <c r="BE477" t="e">
        <v>#N/A</v>
      </c>
      <c r="BF477" t="e">
        <v>#N/A</v>
      </c>
      <c r="BG477" t="s">
        <v>1464</v>
      </c>
      <c r="BH477" t="e">
        <v>#N/A</v>
      </c>
      <c r="BI477" t="e">
        <v>#N/A</v>
      </c>
    </row>
    <row r="478" spans="1:61" x14ac:dyDescent="0.35">
      <c r="A478" s="7" t="str">
        <f t="shared" si="14"/>
        <v>462334300011558</v>
      </c>
      <c r="B478" s="7" t="str">
        <f t="shared" si="15"/>
        <v>MS13210000B857</v>
      </c>
      <c r="C478" t="s">
        <v>2932</v>
      </c>
      <c r="D478" t="s">
        <v>1182</v>
      </c>
      <c r="E478" t="s">
        <v>1177</v>
      </c>
      <c r="F478" t="s">
        <v>2798</v>
      </c>
      <c r="G478" t="s">
        <v>2368</v>
      </c>
      <c r="H478" t="s">
        <v>1271</v>
      </c>
      <c r="I478">
        <v>46233</v>
      </c>
      <c r="J478" t="s">
        <v>2933</v>
      </c>
      <c r="K478" t="s">
        <v>1182</v>
      </c>
      <c r="L478" t="s">
        <v>1177</v>
      </c>
      <c r="M478" t="s">
        <v>1274</v>
      </c>
      <c r="N478" t="s">
        <v>1079</v>
      </c>
      <c r="O478" t="s">
        <v>1275</v>
      </c>
      <c r="P478">
        <v>46233</v>
      </c>
      <c r="Q478" t="s">
        <v>1177</v>
      </c>
      <c r="R478" t="s">
        <v>23</v>
      </c>
      <c r="S478" t="s">
        <v>959</v>
      </c>
      <c r="T478" t="s">
        <v>2249</v>
      </c>
      <c r="U478" t="s">
        <v>2918</v>
      </c>
      <c r="V478">
        <v>1</v>
      </c>
      <c r="W478" t="s">
        <v>1262</v>
      </c>
      <c r="X478" t="s">
        <v>1262</v>
      </c>
      <c r="Y478">
        <v>0</v>
      </c>
      <c r="Z478" t="s">
        <v>1186</v>
      </c>
      <c r="AA478" t="s">
        <v>1177</v>
      </c>
      <c r="AB478" t="s">
        <v>1276</v>
      </c>
      <c r="AC478" t="s">
        <v>1277</v>
      </c>
      <c r="AD478" t="s">
        <v>1278</v>
      </c>
      <c r="AE478" t="s">
        <v>1787</v>
      </c>
      <c r="AF478" t="s">
        <v>1178</v>
      </c>
      <c r="AG478" t="s">
        <v>1190</v>
      </c>
      <c r="AH478" t="s">
        <v>1178</v>
      </c>
      <c r="AI478" t="s">
        <v>1280</v>
      </c>
      <c r="AJ478" t="s">
        <v>1190</v>
      </c>
      <c r="AK478">
        <v>0</v>
      </c>
      <c r="AL478" t="s">
        <v>1262</v>
      </c>
      <c r="AM478">
        <v>46221</v>
      </c>
      <c r="AN478">
        <v>46233</v>
      </c>
      <c r="AO478">
        <v>46233</v>
      </c>
      <c r="AP478">
        <v>46237</v>
      </c>
      <c r="AQ478">
        <v>46237</v>
      </c>
      <c r="AR478">
        <v>46239</v>
      </c>
      <c r="AS478">
        <v>46239</v>
      </c>
      <c r="AT478" t="s">
        <v>1281</v>
      </c>
      <c r="AU478" t="s">
        <v>1543</v>
      </c>
      <c r="AV478" t="s">
        <v>1192</v>
      </c>
      <c r="AW478" t="s">
        <v>1177</v>
      </c>
      <c r="AX478">
        <v>0</v>
      </c>
      <c r="AY478">
        <v>0</v>
      </c>
      <c r="AZ478" t="s">
        <v>1177</v>
      </c>
      <c r="BA478">
        <v>1</v>
      </c>
      <c r="BB478" t="s">
        <v>1262</v>
      </c>
      <c r="BC478" t="s">
        <v>2934</v>
      </c>
      <c r="BD478">
        <v>1</v>
      </c>
      <c r="BE478">
        <v>46233</v>
      </c>
      <c r="BF478" t="s">
        <v>1165</v>
      </c>
      <c r="BG478" t="s">
        <v>1458</v>
      </c>
      <c r="BH478" t="e">
        <v>#N/A</v>
      </c>
      <c r="BI478" t="e">
        <v>#N/A</v>
      </c>
    </row>
    <row r="479" spans="1:61" x14ac:dyDescent="0.35">
      <c r="A479" s="7" t="str">
        <f t="shared" si="14"/>
        <v>462344300011572</v>
      </c>
      <c r="B479" s="7" t="str">
        <f t="shared" si="15"/>
        <v>GP294080B832</v>
      </c>
      <c r="C479" t="s">
        <v>2935</v>
      </c>
      <c r="D479" t="s">
        <v>1182</v>
      </c>
      <c r="E479" t="s">
        <v>1177</v>
      </c>
      <c r="F479" t="s">
        <v>2936</v>
      </c>
      <c r="G479" t="s">
        <v>1236</v>
      </c>
      <c r="H479" t="s">
        <v>1271</v>
      </c>
      <c r="I479">
        <v>46234</v>
      </c>
      <c r="J479" t="s">
        <v>2937</v>
      </c>
      <c r="K479" t="s">
        <v>1182</v>
      </c>
      <c r="L479" t="s">
        <v>1177</v>
      </c>
      <c r="M479" t="s">
        <v>1274</v>
      </c>
      <c r="N479" t="s">
        <v>16</v>
      </c>
      <c r="O479" t="s">
        <v>512</v>
      </c>
      <c r="P479">
        <v>46234</v>
      </c>
      <c r="Q479" t="s">
        <v>1177</v>
      </c>
      <c r="R479" t="s">
        <v>19</v>
      </c>
      <c r="S479" t="s">
        <v>654</v>
      </c>
      <c r="T479" t="s">
        <v>78</v>
      </c>
      <c r="U479" t="s">
        <v>79</v>
      </c>
      <c r="V479">
        <v>1</v>
      </c>
      <c r="W479" t="s">
        <v>1262</v>
      </c>
      <c r="X479" t="s">
        <v>1262</v>
      </c>
      <c r="Y479">
        <v>0</v>
      </c>
      <c r="Z479" t="s">
        <v>1186</v>
      </c>
      <c r="AA479" t="s">
        <v>1177</v>
      </c>
      <c r="AB479" t="s">
        <v>1276</v>
      </c>
      <c r="AC479" t="s">
        <v>1277</v>
      </c>
      <c r="AD479" t="s">
        <v>1278</v>
      </c>
      <c r="AE479" t="s">
        <v>2333</v>
      </c>
      <c r="AF479" t="s">
        <v>1178</v>
      </c>
      <c r="AG479" t="s">
        <v>1190</v>
      </c>
      <c r="AH479" t="s">
        <v>1178</v>
      </c>
      <c r="AI479" t="s">
        <v>1177</v>
      </c>
      <c r="AJ479" t="s">
        <v>1190</v>
      </c>
      <c r="AK479">
        <v>1</v>
      </c>
      <c r="AL479" t="s">
        <v>1262</v>
      </c>
      <c r="AM479">
        <v>46231</v>
      </c>
      <c r="AN479">
        <v>46234</v>
      </c>
      <c r="AO479">
        <v>46234</v>
      </c>
      <c r="AP479">
        <v>46234</v>
      </c>
      <c r="AQ479">
        <v>46234</v>
      </c>
      <c r="AR479">
        <v>46234</v>
      </c>
      <c r="AS479">
        <v>46238</v>
      </c>
      <c r="AT479" t="s">
        <v>1281</v>
      </c>
      <c r="AU479" t="s">
        <v>1177</v>
      </c>
      <c r="AV479" t="s">
        <v>1192</v>
      </c>
      <c r="AW479" t="s">
        <v>1177</v>
      </c>
      <c r="AX479">
        <v>33</v>
      </c>
      <c r="AY479">
        <v>2</v>
      </c>
      <c r="AZ479" t="s">
        <v>1177</v>
      </c>
      <c r="BA479">
        <v>1</v>
      </c>
      <c r="BB479" t="s">
        <v>1262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e">
        <v>#N/A</v>
      </c>
      <c r="BI479" t="e">
        <v>#N/A</v>
      </c>
    </row>
    <row r="480" spans="1:61" x14ac:dyDescent="0.35">
      <c r="A480" s="7" t="str">
        <f t="shared" si="14"/>
        <v>462344300011573</v>
      </c>
      <c r="B480" s="7" t="str">
        <f t="shared" si="15"/>
        <v>GP613289B857</v>
      </c>
      <c r="C480" t="s">
        <v>2938</v>
      </c>
      <c r="D480" t="s">
        <v>1199</v>
      </c>
      <c r="E480" t="s">
        <v>1177</v>
      </c>
      <c r="F480" t="s">
        <v>1232</v>
      </c>
      <c r="G480" t="s">
        <v>1236</v>
      </c>
      <c r="H480" t="s">
        <v>1271</v>
      </c>
      <c r="I480">
        <v>46234</v>
      </c>
      <c r="J480" t="s">
        <v>2939</v>
      </c>
      <c r="K480" t="s">
        <v>1199</v>
      </c>
      <c r="L480" t="s">
        <v>1177</v>
      </c>
      <c r="M480" t="s">
        <v>1274</v>
      </c>
      <c r="N480" t="s">
        <v>10</v>
      </c>
      <c r="O480" t="s">
        <v>1011</v>
      </c>
      <c r="P480">
        <v>46234</v>
      </c>
      <c r="Q480" t="s">
        <v>1177</v>
      </c>
      <c r="R480" t="s">
        <v>23</v>
      </c>
      <c r="S480" t="s">
        <v>959</v>
      </c>
      <c r="T480" t="s">
        <v>1033</v>
      </c>
      <c r="U480" t="s">
        <v>1034</v>
      </c>
      <c r="V480">
        <v>1</v>
      </c>
      <c r="W480" t="s">
        <v>1262</v>
      </c>
      <c r="X480" t="s">
        <v>1262</v>
      </c>
      <c r="Y480">
        <v>0</v>
      </c>
      <c r="Z480" t="s">
        <v>1186</v>
      </c>
      <c r="AA480" t="s">
        <v>1177</v>
      </c>
      <c r="AB480" t="s">
        <v>1177</v>
      </c>
      <c r="AC480" t="s">
        <v>1177</v>
      </c>
      <c r="AD480" t="s">
        <v>1313</v>
      </c>
      <c r="AE480" t="s">
        <v>1997</v>
      </c>
      <c r="AF480" t="s">
        <v>1189</v>
      </c>
      <c r="AG480" t="s">
        <v>1190</v>
      </c>
      <c r="AH480" t="s">
        <v>1178</v>
      </c>
      <c r="AI480" t="s">
        <v>1177</v>
      </c>
      <c r="AJ480" t="s">
        <v>1190</v>
      </c>
      <c r="AK480">
        <v>1</v>
      </c>
      <c r="AL480" t="s">
        <v>1262</v>
      </c>
      <c r="AM480">
        <v>46251</v>
      </c>
      <c r="AN480">
        <v>46251</v>
      </c>
      <c r="AO480">
        <v>46251</v>
      </c>
      <c r="AP480">
        <v>46251</v>
      </c>
      <c r="AQ480">
        <v>46251</v>
      </c>
      <c r="AR480">
        <v>46251</v>
      </c>
      <c r="AS480">
        <v>46253</v>
      </c>
      <c r="AT480" t="s">
        <v>1281</v>
      </c>
      <c r="AU480" t="s">
        <v>1177</v>
      </c>
      <c r="AV480" t="s">
        <v>1192</v>
      </c>
      <c r="AW480" t="s">
        <v>1177</v>
      </c>
      <c r="AX480">
        <v>33</v>
      </c>
      <c r="AY480">
        <v>2</v>
      </c>
      <c r="AZ480" t="s">
        <v>1177</v>
      </c>
      <c r="BA480">
        <v>1</v>
      </c>
      <c r="BB480" t="s">
        <v>1262</v>
      </c>
      <c r="BC480" t="e">
        <v>#N/A</v>
      </c>
      <c r="BD480" t="e">
        <v>#N/A</v>
      </c>
      <c r="BE480" t="e">
        <v>#N/A</v>
      </c>
      <c r="BF480" t="e">
        <v>#N/A</v>
      </c>
      <c r="BG480" t="e">
        <v>#N/A</v>
      </c>
      <c r="BH480" t="e">
        <v>#N/A</v>
      </c>
      <c r="BI480" t="e">
        <v>#N/A</v>
      </c>
    </row>
    <row r="481" spans="1:61" x14ac:dyDescent="0.35">
      <c r="A481" s="7" t="str">
        <f t="shared" si="14"/>
        <v>462344300011574</v>
      </c>
      <c r="B481" s="7" t="str">
        <f t="shared" si="15"/>
        <v>GP454019B857</v>
      </c>
      <c r="C481" t="s">
        <v>2940</v>
      </c>
      <c r="D481" t="s">
        <v>1182</v>
      </c>
      <c r="E481" t="s">
        <v>1177</v>
      </c>
      <c r="F481" t="s">
        <v>1232</v>
      </c>
      <c r="G481" t="s">
        <v>1236</v>
      </c>
      <c r="H481" t="s">
        <v>1271</v>
      </c>
      <c r="I481">
        <v>46234</v>
      </c>
      <c r="J481" t="s">
        <v>2941</v>
      </c>
      <c r="K481" t="s">
        <v>1182</v>
      </c>
      <c r="L481" t="s">
        <v>1177</v>
      </c>
      <c r="M481" t="s">
        <v>1274</v>
      </c>
      <c r="N481" t="s">
        <v>21</v>
      </c>
      <c r="O481" t="s">
        <v>853</v>
      </c>
      <c r="P481">
        <v>46234</v>
      </c>
      <c r="Q481" t="s">
        <v>1177</v>
      </c>
      <c r="R481" t="s">
        <v>23</v>
      </c>
      <c r="S481" t="s">
        <v>959</v>
      </c>
      <c r="T481" t="s">
        <v>2357</v>
      </c>
      <c r="U481" t="s">
        <v>2358</v>
      </c>
      <c r="V481">
        <v>1</v>
      </c>
      <c r="W481" t="s">
        <v>1262</v>
      </c>
      <c r="X481" t="s">
        <v>1262</v>
      </c>
      <c r="Y481">
        <v>0</v>
      </c>
      <c r="Z481" t="s">
        <v>1186</v>
      </c>
      <c r="AA481" t="s">
        <v>1177</v>
      </c>
      <c r="AB481" t="s">
        <v>1276</v>
      </c>
      <c r="AC481" t="s">
        <v>1277</v>
      </c>
      <c r="AD481" t="s">
        <v>1278</v>
      </c>
      <c r="AE481" t="s">
        <v>1726</v>
      </c>
      <c r="AF481" t="s">
        <v>1178</v>
      </c>
      <c r="AG481" t="s">
        <v>1190</v>
      </c>
      <c r="AH481" t="s">
        <v>1178</v>
      </c>
      <c r="AI481" t="s">
        <v>1177</v>
      </c>
      <c r="AJ481" t="s">
        <v>1190</v>
      </c>
      <c r="AK481">
        <v>1</v>
      </c>
      <c r="AL481" t="s">
        <v>1262</v>
      </c>
      <c r="AM481">
        <v>46290</v>
      </c>
      <c r="AN481">
        <v>46290</v>
      </c>
      <c r="AO481">
        <v>46290</v>
      </c>
      <c r="AP481">
        <v>46290</v>
      </c>
      <c r="AQ481">
        <v>46290</v>
      </c>
      <c r="AR481">
        <v>46290</v>
      </c>
      <c r="AS481">
        <v>46290</v>
      </c>
      <c r="AT481" t="s">
        <v>1281</v>
      </c>
      <c r="AU481" t="s">
        <v>1177</v>
      </c>
      <c r="AV481" t="s">
        <v>1192</v>
      </c>
      <c r="AW481" t="s">
        <v>1177</v>
      </c>
      <c r="AX481">
        <v>0</v>
      </c>
      <c r="AY481">
        <v>0</v>
      </c>
      <c r="AZ481" t="s">
        <v>1177</v>
      </c>
      <c r="BA481">
        <v>1</v>
      </c>
      <c r="BB481" t="s">
        <v>1262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e">
        <v>#N/A</v>
      </c>
      <c r="BI481" t="e">
        <v>#N/A</v>
      </c>
    </row>
    <row r="482" spans="1:61" x14ac:dyDescent="0.35">
      <c r="A482" s="7" t="str">
        <f t="shared" si="14"/>
        <v>462374300011587</v>
      </c>
      <c r="B482" s="7" t="str">
        <f t="shared" si="15"/>
        <v>GP459925B856</v>
      </c>
      <c r="C482" t="s">
        <v>2942</v>
      </c>
      <c r="D482" t="s">
        <v>1182</v>
      </c>
      <c r="E482" t="s">
        <v>1177</v>
      </c>
      <c r="F482" t="s">
        <v>1270</v>
      </c>
      <c r="G482" t="s">
        <v>1236</v>
      </c>
      <c r="H482" t="s">
        <v>1271</v>
      </c>
      <c r="I482">
        <v>46237</v>
      </c>
      <c r="J482" t="s">
        <v>2943</v>
      </c>
      <c r="K482" t="s">
        <v>1182</v>
      </c>
      <c r="L482" t="s">
        <v>1177</v>
      </c>
      <c r="M482" t="s">
        <v>1274</v>
      </c>
      <c r="N482" t="s">
        <v>1079</v>
      </c>
      <c r="O482" t="s">
        <v>1275</v>
      </c>
      <c r="P482">
        <v>46247</v>
      </c>
      <c r="Q482" t="s">
        <v>1185</v>
      </c>
      <c r="R482" t="s">
        <v>21</v>
      </c>
      <c r="S482" t="s">
        <v>853</v>
      </c>
      <c r="T482" t="s">
        <v>104</v>
      </c>
      <c r="U482" t="s">
        <v>2944</v>
      </c>
      <c r="V482">
        <v>2</v>
      </c>
      <c r="W482" t="s">
        <v>1262</v>
      </c>
      <c r="X482" t="s">
        <v>1262</v>
      </c>
      <c r="Y482">
        <v>0</v>
      </c>
      <c r="Z482" t="s">
        <v>1186</v>
      </c>
      <c r="AA482" t="s">
        <v>1177</v>
      </c>
      <c r="AB482" t="s">
        <v>1276</v>
      </c>
      <c r="AC482" t="s">
        <v>1277</v>
      </c>
      <c r="AD482" t="s">
        <v>1278</v>
      </c>
      <c r="AE482" t="s">
        <v>2063</v>
      </c>
      <c r="AF482" t="s">
        <v>1178</v>
      </c>
      <c r="AG482" t="s">
        <v>1190</v>
      </c>
      <c r="AH482" t="s">
        <v>1178</v>
      </c>
      <c r="AI482" t="s">
        <v>1280</v>
      </c>
      <c r="AJ482" t="s">
        <v>1190</v>
      </c>
      <c r="AK482">
        <v>0</v>
      </c>
      <c r="AL482" t="s">
        <v>1262</v>
      </c>
      <c r="AM482">
        <v>46273</v>
      </c>
      <c r="AN482">
        <v>46393</v>
      </c>
      <c r="AO482">
        <v>46261</v>
      </c>
      <c r="AP482">
        <v>46265</v>
      </c>
      <c r="AQ482">
        <v>46265</v>
      </c>
      <c r="AR482">
        <v>46267</v>
      </c>
      <c r="AS482">
        <v>46269</v>
      </c>
      <c r="AT482" t="s">
        <v>1281</v>
      </c>
      <c r="AU482" t="s">
        <v>1177</v>
      </c>
      <c r="AV482" t="s">
        <v>1192</v>
      </c>
      <c r="AW482" t="s">
        <v>1177</v>
      </c>
      <c r="AX482">
        <v>33</v>
      </c>
      <c r="AY482">
        <v>2</v>
      </c>
      <c r="AZ482" t="s">
        <v>1177</v>
      </c>
      <c r="BA482">
        <v>0</v>
      </c>
      <c r="BB482" t="s">
        <v>1262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</row>
    <row r="483" spans="1:61" x14ac:dyDescent="0.35">
      <c r="A483" s="7" t="str">
        <f t="shared" si="14"/>
        <v>462384300011596</v>
      </c>
      <c r="B483" s="7" t="str">
        <f t="shared" si="15"/>
        <v>GP021038B825</v>
      </c>
      <c r="C483" t="s">
        <v>2945</v>
      </c>
      <c r="D483" t="s">
        <v>1283</v>
      </c>
      <c r="E483" t="s">
        <v>1177</v>
      </c>
      <c r="F483" t="s">
        <v>2798</v>
      </c>
      <c r="G483" t="s">
        <v>2799</v>
      </c>
      <c r="H483" t="s">
        <v>1271</v>
      </c>
      <c r="I483">
        <v>46238</v>
      </c>
      <c r="J483" t="s">
        <v>2946</v>
      </c>
      <c r="K483" t="s">
        <v>1283</v>
      </c>
      <c r="L483" t="s">
        <v>1177</v>
      </c>
      <c r="M483" t="s">
        <v>1274</v>
      </c>
      <c r="N483" t="s">
        <v>1079</v>
      </c>
      <c r="O483" t="s">
        <v>1080</v>
      </c>
      <c r="P483">
        <v>46238</v>
      </c>
      <c r="Q483" t="s">
        <v>1177</v>
      </c>
      <c r="R483" t="s">
        <v>16</v>
      </c>
      <c r="S483" t="s">
        <v>512</v>
      </c>
      <c r="T483" t="s">
        <v>487</v>
      </c>
      <c r="U483" t="s">
        <v>2462</v>
      </c>
      <c r="V483">
        <v>1</v>
      </c>
      <c r="W483" t="s">
        <v>1185</v>
      </c>
      <c r="X483" t="s">
        <v>1185</v>
      </c>
      <c r="Y483">
        <v>0</v>
      </c>
      <c r="Z483" t="s">
        <v>1186</v>
      </c>
      <c r="AA483" t="s">
        <v>1177</v>
      </c>
      <c r="AB483" t="s">
        <v>1177</v>
      </c>
      <c r="AC483" t="s">
        <v>1177</v>
      </c>
      <c r="AD483" t="s">
        <v>1204</v>
      </c>
      <c r="AE483" t="s">
        <v>1438</v>
      </c>
      <c r="AF483" t="s">
        <v>1189</v>
      </c>
      <c r="AG483" t="s">
        <v>1190</v>
      </c>
      <c r="AH483" t="s">
        <v>1178</v>
      </c>
      <c r="AI483" t="s">
        <v>1349</v>
      </c>
      <c r="AJ483" t="s">
        <v>1190</v>
      </c>
      <c r="AK483">
        <v>0</v>
      </c>
      <c r="AL483" t="s">
        <v>1185</v>
      </c>
      <c r="AM483">
        <v>46409</v>
      </c>
      <c r="AN483">
        <v>46405</v>
      </c>
      <c r="AO483">
        <v>46405</v>
      </c>
      <c r="AP483">
        <v>46407</v>
      </c>
      <c r="AQ483">
        <v>46407</v>
      </c>
      <c r="AR483">
        <v>46409</v>
      </c>
      <c r="AS483">
        <v>46413</v>
      </c>
      <c r="AT483" t="s">
        <v>1281</v>
      </c>
      <c r="AU483" t="s">
        <v>1177</v>
      </c>
      <c r="AV483" t="s">
        <v>1192</v>
      </c>
      <c r="AW483" t="s">
        <v>1177</v>
      </c>
      <c r="AX483">
        <v>176</v>
      </c>
      <c r="AY483">
        <v>2</v>
      </c>
      <c r="AZ483" t="s">
        <v>1177</v>
      </c>
      <c r="BA483">
        <v>0</v>
      </c>
      <c r="BB483" t="s">
        <v>1185</v>
      </c>
      <c r="BC483" t="s">
        <v>2947</v>
      </c>
      <c r="BD483">
        <v>2</v>
      </c>
      <c r="BE483">
        <v>46246</v>
      </c>
      <c r="BF483" t="s">
        <v>1165</v>
      </c>
      <c r="BG483" t="s">
        <v>1458</v>
      </c>
      <c r="BH483" t="e">
        <v>#N/A</v>
      </c>
      <c r="BI483" t="e">
        <v>#N/A</v>
      </c>
    </row>
    <row r="484" spans="1:61" x14ac:dyDescent="0.35">
      <c r="A484" s="7" t="str">
        <f t="shared" si="14"/>
        <v>462394300011600</v>
      </c>
      <c r="B484" s="7" t="str">
        <f t="shared" si="15"/>
        <v>GP335709B825</v>
      </c>
      <c r="C484" t="s">
        <v>2948</v>
      </c>
      <c r="D484" t="s">
        <v>1198</v>
      </c>
      <c r="E484" t="s">
        <v>1177</v>
      </c>
      <c r="F484" t="s">
        <v>1248</v>
      </c>
      <c r="G484" t="s">
        <v>1236</v>
      </c>
      <c r="H484" t="s">
        <v>1271</v>
      </c>
      <c r="I484">
        <v>46239</v>
      </c>
      <c r="J484" t="s">
        <v>2949</v>
      </c>
      <c r="K484" t="s">
        <v>1198</v>
      </c>
      <c r="L484" t="s">
        <v>1177</v>
      </c>
      <c r="M484" t="s">
        <v>1274</v>
      </c>
      <c r="N484" t="s">
        <v>1079</v>
      </c>
      <c r="O484" t="s">
        <v>1275</v>
      </c>
      <c r="P484">
        <v>46239</v>
      </c>
      <c r="Q484" t="s">
        <v>1177</v>
      </c>
      <c r="R484" t="s">
        <v>16</v>
      </c>
      <c r="S484" t="s">
        <v>512</v>
      </c>
      <c r="T484" t="s">
        <v>87</v>
      </c>
      <c r="U484" t="s">
        <v>2950</v>
      </c>
      <c r="V484">
        <v>30</v>
      </c>
      <c r="W484" t="s">
        <v>1262</v>
      </c>
      <c r="X484" t="s">
        <v>1262</v>
      </c>
      <c r="Y484">
        <v>0</v>
      </c>
      <c r="Z484" t="s">
        <v>1186</v>
      </c>
      <c r="AA484" t="s">
        <v>1177</v>
      </c>
      <c r="AB484" t="s">
        <v>1177</v>
      </c>
      <c r="AC484" t="s">
        <v>1177</v>
      </c>
      <c r="AD484" t="s">
        <v>1204</v>
      </c>
      <c r="AE484" t="s">
        <v>1792</v>
      </c>
      <c r="AF484" t="s">
        <v>1189</v>
      </c>
      <c r="AG484" t="s">
        <v>1189</v>
      </c>
      <c r="AH484" t="s">
        <v>1178</v>
      </c>
      <c r="AI484" t="s">
        <v>1349</v>
      </c>
      <c r="AJ484" t="s">
        <v>1675</v>
      </c>
      <c r="AK484">
        <v>26</v>
      </c>
      <c r="AL484" t="s">
        <v>1262</v>
      </c>
      <c r="AM484">
        <v>46283</v>
      </c>
      <c r="AN484">
        <v>46273</v>
      </c>
      <c r="AO484">
        <v>46279</v>
      </c>
      <c r="AP484">
        <v>46281</v>
      </c>
      <c r="AQ484">
        <v>46281</v>
      </c>
      <c r="AR484">
        <v>46283</v>
      </c>
      <c r="AS484">
        <v>46287</v>
      </c>
      <c r="AT484" t="s">
        <v>1281</v>
      </c>
      <c r="AU484" t="s">
        <v>1177</v>
      </c>
      <c r="AV484" t="s">
        <v>1192</v>
      </c>
      <c r="AW484" t="s">
        <v>1177</v>
      </c>
      <c r="AX484">
        <v>33</v>
      </c>
      <c r="AY484">
        <v>2</v>
      </c>
      <c r="AZ484" t="s">
        <v>1177</v>
      </c>
      <c r="BA484">
        <v>0</v>
      </c>
      <c r="BB484" t="s">
        <v>1262</v>
      </c>
      <c r="BC484" t="s">
        <v>2910</v>
      </c>
      <c r="BD484">
        <v>5</v>
      </c>
      <c r="BE484">
        <v>46251</v>
      </c>
      <c r="BF484" t="s">
        <v>1165</v>
      </c>
      <c r="BG484" t="e">
        <v>#N/A</v>
      </c>
      <c r="BH484" t="e">
        <v>#N/A</v>
      </c>
      <c r="BI484" t="e">
        <v>#N/A</v>
      </c>
    </row>
    <row r="485" spans="1:61" x14ac:dyDescent="0.35">
      <c r="A485" s="7" t="str">
        <f t="shared" si="14"/>
        <v>462394300011602</v>
      </c>
      <c r="B485" s="7" t="str">
        <f t="shared" si="15"/>
        <v>GP467716B838</v>
      </c>
      <c r="C485" t="s">
        <v>2951</v>
      </c>
      <c r="D485" t="s">
        <v>1198</v>
      </c>
      <c r="E485" t="s">
        <v>1177</v>
      </c>
      <c r="F485" t="s">
        <v>1270</v>
      </c>
      <c r="G485" t="s">
        <v>1236</v>
      </c>
      <c r="H485" t="s">
        <v>1271</v>
      </c>
      <c r="I485">
        <v>46239</v>
      </c>
      <c r="J485" t="s">
        <v>2952</v>
      </c>
      <c r="K485" t="s">
        <v>1182</v>
      </c>
      <c r="L485" t="s">
        <v>1177</v>
      </c>
      <c r="M485" t="s">
        <v>1274</v>
      </c>
      <c r="N485" t="s">
        <v>624</v>
      </c>
      <c r="O485" t="s">
        <v>625</v>
      </c>
      <c r="P485">
        <v>46239</v>
      </c>
      <c r="Q485" t="s">
        <v>1177</v>
      </c>
      <c r="R485" t="s">
        <v>48</v>
      </c>
      <c r="S485" t="s">
        <v>745</v>
      </c>
      <c r="T485" t="s">
        <v>106</v>
      </c>
      <c r="U485" t="s">
        <v>107</v>
      </c>
      <c r="V485">
        <v>3</v>
      </c>
      <c r="W485" t="s">
        <v>1262</v>
      </c>
      <c r="X485" t="s">
        <v>1262</v>
      </c>
      <c r="Y485">
        <v>0</v>
      </c>
      <c r="Z485" t="s">
        <v>1186</v>
      </c>
      <c r="AA485" t="s">
        <v>1177</v>
      </c>
      <c r="AB485" t="s">
        <v>1276</v>
      </c>
      <c r="AC485" t="s">
        <v>1277</v>
      </c>
      <c r="AD485" t="s">
        <v>1278</v>
      </c>
      <c r="AE485" t="s">
        <v>2404</v>
      </c>
      <c r="AF485" t="s">
        <v>1178</v>
      </c>
      <c r="AG485" t="s">
        <v>1190</v>
      </c>
      <c r="AH485" t="s">
        <v>1178</v>
      </c>
      <c r="AI485" t="s">
        <v>1177</v>
      </c>
      <c r="AJ485" t="s">
        <v>1190</v>
      </c>
      <c r="AK485">
        <v>3</v>
      </c>
      <c r="AL485" t="s">
        <v>1262</v>
      </c>
      <c r="AM485">
        <v>46273</v>
      </c>
      <c r="AN485">
        <v>46273</v>
      </c>
      <c r="AO485">
        <v>46273</v>
      </c>
      <c r="AP485">
        <v>46273</v>
      </c>
      <c r="AQ485">
        <v>46273</v>
      </c>
      <c r="AR485">
        <v>46273</v>
      </c>
      <c r="AS485">
        <v>46275</v>
      </c>
      <c r="AT485" t="s">
        <v>1281</v>
      </c>
      <c r="AU485" t="s">
        <v>1177</v>
      </c>
      <c r="AV485" t="s">
        <v>1192</v>
      </c>
      <c r="AW485" t="s">
        <v>1177</v>
      </c>
      <c r="AX485">
        <v>33</v>
      </c>
      <c r="AY485">
        <v>2</v>
      </c>
      <c r="AZ485" t="s">
        <v>1177</v>
      </c>
      <c r="BA485">
        <v>3</v>
      </c>
      <c r="BB485" t="s">
        <v>1262</v>
      </c>
      <c r="BC485" t="e">
        <v>#N/A</v>
      </c>
      <c r="BD485" t="e">
        <v>#N/A</v>
      </c>
      <c r="BE485" t="e">
        <v>#N/A</v>
      </c>
      <c r="BF485" t="e">
        <v>#N/A</v>
      </c>
      <c r="BG485" t="e">
        <v>#N/A</v>
      </c>
      <c r="BH485" t="e">
        <v>#N/A</v>
      </c>
      <c r="BI485" t="e">
        <v>#N/A</v>
      </c>
    </row>
    <row r="486" spans="1:61" x14ac:dyDescent="0.35">
      <c r="A486" s="7" t="str">
        <f t="shared" si="14"/>
        <v>462404300011617</v>
      </c>
      <c r="B486" s="7" t="str">
        <f t="shared" si="15"/>
        <v>GP249817B856</v>
      </c>
      <c r="C486" t="s">
        <v>2953</v>
      </c>
      <c r="D486" t="s">
        <v>1182</v>
      </c>
      <c r="E486" t="s">
        <v>1177</v>
      </c>
      <c r="F486" t="s">
        <v>1232</v>
      </c>
      <c r="G486" t="s">
        <v>1236</v>
      </c>
      <c r="H486" t="s">
        <v>1271</v>
      </c>
      <c r="I486">
        <v>46240</v>
      </c>
      <c r="J486" t="s">
        <v>2954</v>
      </c>
      <c r="K486" t="s">
        <v>1182</v>
      </c>
      <c r="L486" t="s">
        <v>1177</v>
      </c>
      <c r="M486" t="s">
        <v>1274</v>
      </c>
      <c r="N486" t="s">
        <v>740</v>
      </c>
      <c r="O486" t="s">
        <v>741</v>
      </c>
      <c r="P486">
        <v>46240</v>
      </c>
      <c r="Q486" t="s">
        <v>1177</v>
      </c>
      <c r="R486" t="s">
        <v>21</v>
      </c>
      <c r="S486" t="s">
        <v>853</v>
      </c>
      <c r="T486" t="s">
        <v>72</v>
      </c>
      <c r="U486" t="s">
        <v>73</v>
      </c>
      <c r="V486">
        <v>10</v>
      </c>
      <c r="W486" t="s">
        <v>1262</v>
      </c>
      <c r="X486" t="s">
        <v>1262</v>
      </c>
      <c r="Y486">
        <v>0</v>
      </c>
      <c r="Z486" t="s">
        <v>1186</v>
      </c>
      <c r="AA486" t="s">
        <v>1177</v>
      </c>
      <c r="AB486" t="s">
        <v>1276</v>
      </c>
      <c r="AC486" t="s">
        <v>1277</v>
      </c>
      <c r="AD486" t="s">
        <v>1278</v>
      </c>
      <c r="AE486" t="s">
        <v>1478</v>
      </c>
      <c r="AF486" t="s">
        <v>1178</v>
      </c>
      <c r="AG486" t="s">
        <v>1190</v>
      </c>
      <c r="AH486" t="s">
        <v>1178</v>
      </c>
      <c r="AI486" t="s">
        <v>1177</v>
      </c>
      <c r="AJ486" t="s">
        <v>1190</v>
      </c>
      <c r="AK486">
        <v>10</v>
      </c>
      <c r="AL486" t="s">
        <v>1262</v>
      </c>
      <c r="AM486">
        <v>46251</v>
      </c>
      <c r="AN486">
        <v>46251</v>
      </c>
      <c r="AO486">
        <v>46251</v>
      </c>
      <c r="AP486">
        <v>46251</v>
      </c>
      <c r="AQ486">
        <v>46251</v>
      </c>
      <c r="AR486">
        <v>46251</v>
      </c>
      <c r="AS486">
        <v>46253</v>
      </c>
      <c r="AT486" t="s">
        <v>1281</v>
      </c>
      <c r="AU486" t="s">
        <v>1177</v>
      </c>
      <c r="AV486" t="s">
        <v>1192</v>
      </c>
      <c r="AW486" t="s">
        <v>1177</v>
      </c>
      <c r="AX486">
        <v>33</v>
      </c>
      <c r="AY486">
        <v>2</v>
      </c>
      <c r="AZ486" t="s">
        <v>1177</v>
      </c>
      <c r="BA486">
        <v>10</v>
      </c>
      <c r="BB486" t="s">
        <v>1262</v>
      </c>
      <c r="BC486" t="e">
        <v>#N/A</v>
      </c>
      <c r="BD486" t="e">
        <v>#N/A</v>
      </c>
      <c r="BE486" t="e">
        <v>#N/A</v>
      </c>
      <c r="BF486" t="e">
        <v>#N/A</v>
      </c>
      <c r="BG486" t="e">
        <v>#N/A</v>
      </c>
      <c r="BH486" t="e">
        <v>#N/A</v>
      </c>
      <c r="BI486" t="e">
        <v>#N/A</v>
      </c>
    </row>
    <row r="487" spans="1:61" x14ac:dyDescent="0.35">
      <c r="A487" s="7" t="str">
        <f t="shared" si="14"/>
        <v>462404300011621</v>
      </c>
      <c r="B487" s="7" t="str">
        <f t="shared" si="15"/>
        <v>GP486978-004B825</v>
      </c>
      <c r="C487" t="s">
        <v>2955</v>
      </c>
      <c r="D487" t="s">
        <v>1182</v>
      </c>
      <c r="E487" t="s">
        <v>1177</v>
      </c>
      <c r="F487" t="s">
        <v>1248</v>
      </c>
      <c r="G487" t="s">
        <v>1236</v>
      </c>
      <c r="H487" t="s">
        <v>1271</v>
      </c>
      <c r="I487">
        <v>46240</v>
      </c>
      <c r="J487" t="s">
        <v>2956</v>
      </c>
      <c r="K487" t="s">
        <v>1182</v>
      </c>
      <c r="L487" t="s">
        <v>1177</v>
      </c>
      <c r="M487" t="s">
        <v>1274</v>
      </c>
      <c r="N487" t="s">
        <v>23</v>
      </c>
      <c r="O487" t="s">
        <v>959</v>
      </c>
      <c r="P487">
        <v>46240</v>
      </c>
      <c r="Q487" t="s">
        <v>1185</v>
      </c>
      <c r="R487" t="s">
        <v>16</v>
      </c>
      <c r="S487" t="s">
        <v>512</v>
      </c>
      <c r="T487" t="s">
        <v>193</v>
      </c>
      <c r="U487" t="s">
        <v>194</v>
      </c>
      <c r="V487">
        <v>105</v>
      </c>
      <c r="W487" t="s">
        <v>1185</v>
      </c>
      <c r="X487" t="s">
        <v>1185</v>
      </c>
      <c r="Y487">
        <v>0</v>
      </c>
      <c r="Z487" t="s">
        <v>1186</v>
      </c>
      <c r="AA487" t="s">
        <v>1177</v>
      </c>
      <c r="AB487" t="s">
        <v>1177</v>
      </c>
      <c r="AC487" t="s">
        <v>1177</v>
      </c>
      <c r="AD487" t="s">
        <v>1204</v>
      </c>
      <c r="AE487" t="s">
        <v>1188</v>
      </c>
      <c r="AF487" t="s">
        <v>1189</v>
      </c>
      <c r="AG487" t="s">
        <v>1189</v>
      </c>
      <c r="AH487" t="s">
        <v>1178</v>
      </c>
      <c r="AI487" t="s">
        <v>1177</v>
      </c>
      <c r="AJ487" t="s">
        <v>1190</v>
      </c>
      <c r="AK487">
        <v>105</v>
      </c>
      <c r="AL487" t="s">
        <v>1185</v>
      </c>
      <c r="AM487">
        <v>46273</v>
      </c>
      <c r="AN487">
        <v>46273</v>
      </c>
      <c r="AO487">
        <v>46273</v>
      </c>
      <c r="AP487">
        <v>46273</v>
      </c>
      <c r="AQ487">
        <v>46273</v>
      </c>
      <c r="AR487">
        <v>46273</v>
      </c>
      <c r="AS487">
        <v>46275</v>
      </c>
      <c r="AT487" t="s">
        <v>1281</v>
      </c>
      <c r="AU487" t="s">
        <v>1177</v>
      </c>
      <c r="AV487" t="s">
        <v>1192</v>
      </c>
      <c r="AW487" t="s">
        <v>1177</v>
      </c>
      <c r="AX487">
        <v>33</v>
      </c>
      <c r="AY487">
        <v>2</v>
      </c>
      <c r="AZ487" t="s">
        <v>1177</v>
      </c>
      <c r="BA487">
        <v>0</v>
      </c>
      <c r="BB487" t="s">
        <v>1185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e">
        <v>#N/A</v>
      </c>
      <c r="BI487" t="e">
        <v>#N/A</v>
      </c>
    </row>
    <row r="488" spans="1:61" x14ac:dyDescent="0.35">
      <c r="A488" s="7" t="str">
        <f t="shared" si="14"/>
        <v>462404300011622</v>
      </c>
      <c r="B488" s="7" t="str">
        <f t="shared" si="15"/>
        <v>GP486978-004B832</v>
      </c>
      <c r="C488" t="s">
        <v>2957</v>
      </c>
      <c r="D488" t="s">
        <v>1182</v>
      </c>
      <c r="E488" t="s">
        <v>1177</v>
      </c>
      <c r="F488" t="s">
        <v>1248</v>
      </c>
      <c r="G488" t="s">
        <v>1236</v>
      </c>
      <c r="H488" t="s">
        <v>1271</v>
      </c>
      <c r="I488">
        <v>46240</v>
      </c>
      <c r="J488" t="s">
        <v>2958</v>
      </c>
      <c r="K488" t="s">
        <v>1182</v>
      </c>
      <c r="L488" t="s">
        <v>1177</v>
      </c>
      <c r="M488" t="s">
        <v>1274</v>
      </c>
      <c r="N488" t="s">
        <v>16</v>
      </c>
      <c r="O488" t="s">
        <v>512</v>
      </c>
      <c r="P488">
        <v>46240</v>
      </c>
      <c r="Q488" t="s">
        <v>1185</v>
      </c>
      <c r="R488" t="s">
        <v>19</v>
      </c>
      <c r="S488" t="s">
        <v>654</v>
      </c>
      <c r="T488" t="s">
        <v>193</v>
      </c>
      <c r="U488" t="s">
        <v>194</v>
      </c>
      <c r="V488">
        <v>40</v>
      </c>
      <c r="W488" t="s">
        <v>1185</v>
      </c>
      <c r="X488" t="s">
        <v>1185</v>
      </c>
      <c r="Y488">
        <v>0</v>
      </c>
      <c r="Z488" t="s">
        <v>1186</v>
      </c>
      <c r="AA488" t="s">
        <v>1177</v>
      </c>
      <c r="AB488" t="s">
        <v>1177</v>
      </c>
      <c r="AC488" t="s">
        <v>1177</v>
      </c>
      <c r="AD488" t="s">
        <v>1204</v>
      </c>
      <c r="AE488" t="s">
        <v>1188</v>
      </c>
      <c r="AF488" t="s">
        <v>1189</v>
      </c>
      <c r="AG488" t="s">
        <v>1189</v>
      </c>
      <c r="AH488" t="s">
        <v>1178</v>
      </c>
      <c r="AI488" t="s">
        <v>1177</v>
      </c>
      <c r="AJ488" t="s">
        <v>1190</v>
      </c>
      <c r="AK488">
        <v>40</v>
      </c>
      <c r="AL488" t="s">
        <v>1185</v>
      </c>
      <c r="AM488">
        <v>46273</v>
      </c>
      <c r="AN488">
        <v>46273</v>
      </c>
      <c r="AO488">
        <v>46273</v>
      </c>
      <c r="AP488">
        <v>46273</v>
      </c>
      <c r="AQ488">
        <v>46273</v>
      </c>
      <c r="AR488">
        <v>46273</v>
      </c>
      <c r="AS488">
        <v>46275</v>
      </c>
      <c r="AT488" t="s">
        <v>1281</v>
      </c>
      <c r="AU488" t="s">
        <v>1177</v>
      </c>
      <c r="AV488" t="s">
        <v>1192</v>
      </c>
      <c r="AW488" t="s">
        <v>1177</v>
      </c>
      <c r="AX488">
        <v>33</v>
      </c>
      <c r="AY488">
        <v>2</v>
      </c>
      <c r="AZ488" t="s">
        <v>1177</v>
      </c>
      <c r="BA488">
        <v>0</v>
      </c>
      <c r="BB488" t="s">
        <v>1185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e">
        <v>#N/A</v>
      </c>
      <c r="BI488" t="e">
        <v>#N/A</v>
      </c>
    </row>
    <row r="489" spans="1:61" x14ac:dyDescent="0.35">
      <c r="A489" s="7" t="str">
        <f t="shared" si="14"/>
        <v>462404300011623</v>
      </c>
      <c r="B489" s="7" t="str">
        <f t="shared" si="15"/>
        <v>GP075083B832</v>
      </c>
      <c r="C489" t="s">
        <v>2959</v>
      </c>
      <c r="D489" t="s">
        <v>1182</v>
      </c>
      <c r="E489" t="s">
        <v>1177</v>
      </c>
      <c r="F489" t="s">
        <v>1248</v>
      </c>
      <c r="G489" t="s">
        <v>1236</v>
      </c>
      <c r="H489" t="s">
        <v>1271</v>
      </c>
      <c r="I489">
        <v>46240</v>
      </c>
      <c r="J489" t="s">
        <v>2960</v>
      </c>
      <c r="K489" t="s">
        <v>1182</v>
      </c>
      <c r="L489" t="s">
        <v>1177</v>
      </c>
      <c r="M489" t="s">
        <v>1274</v>
      </c>
      <c r="N489" t="s">
        <v>16</v>
      </c>
      <c r="O489" t="s">
        <v>512</v>
      </c>
      <c r="P489">
        <v>46240</v>
      </c>
      <c r="Q489" t="s">
        <v>1177</v>
      </c>
      <c r="R489" t="s">
        <v>19</v>
      </c>
      <c r="S489" t="s">
        <v>654</v>
      </c>
      <c r="T489" t="s">
        <v>247</v>
      </c>
      <c r="U489" t="s">
        <v>2769</v>
      </c>
      <c r="V489">
        <v>1</v>
      </c>
      <c r="W489" t="s">
        <v>1262</v>
      </c>
      <c r="X489" t="s">
        <v>1262</v>
      </c>
      <c r="Y489">
        <v>0</v>
      </c>
      <c r="Z489" t="s">
        <v>1186</v>
      </c>
      <c r="AA489" t="s">
        <v>1177</v>
      </c>
      <c r="AB489" t="s">
        <v>1276</v>
      </c>
      <c r="AC489" t="s">
        <v>1277</v>
      </c>
      <c r="AD489" t="s">
        <v>1278</v>
      </c>
      <c r="AE489" t="s">
        <v>1618</v>
      </c>
      <c r="AF489" t="s">
        <v>1178</v>
      </c>
      <c r="AG489" t="s">
        <v>1190</v>
      </c>
      <c r="AH489" t="s">
        <v>1178</v>
      </c>
      <c r="AI489" t="s">
        <v>1177</v>
      </c>
      <c r="AJ489" t="s">
        <v>1190</v>
      </c>
      <c r="AK489">
        <v>1</v>
      </c>
      <c r="AL489" t="s">
        <v>1262</v>
      </c>
      <c r="AM489">
        <v>46273</v>
      </c>
      <c r="AN489">
        <v>46273</v>
      </c>
      <c r="AO489">
        <v>46273</v>
      </c>
      <c r="AP489">
        <v>46273</v>
      </c>
      <c r="AQ489">
        <v>46273</v>
      </c>
      <c r="AR489">
        <v>46273</v>
      </c>
      <c r="AS489">
        <v>46275</v>
      </c>
      <c r="AT489" t="s">
        <v>1281</v>
      </c>
      <c r="AU489" t="s">
        <v>1177</v>
      </c>
      <c r="AV489" t="s">
        <v>1192</v>
      </c>
      <c r="AW489" t="s">
        <v>1177</v>
      </c>
      <c r="AX489">
        <v>33</v>
      </c>
      <c r="AY489">
        <v>2</v>
      </c>
      <c r="AZ489" t="s">
        <v>1177</v>
      </c>
      <c r="BA489">
        <v>1</v>
      </c>
      <c r="BB489" t="s">
        <v>1262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e">
        <v>#N/A</v>
      </c>
      <c r="BI489" t="e">
        <v>#N/A</v>
      </c>
    </row>
    <row r="490" spans="1:61" x14ac:dyDescent="0.35">
      <c r="A490" s="7" t="str">
        <f t="shared" si="14"/>
        <v>462404300011626</v>
      </c>
      <c r="B490" s="7" t="str">
        <f t="shared" si="15"/>
        <v>GP486978-004B832</v>
      </c>
      <c r="C490" t="s">
        <v>2957</v>
      </c>
      <c r="D490" t="s">
        <v>1182</v>
      </c>
      <c r="E490" t="s">
        <v>1177</v>
      </c>
      <c r="F490" t="s">
        <v>1248</v>
      </c>
      <c r="G490" t="s">
        <v>1236</v>
      </c>
      <c r="H490" t="s">
        <v>1271</v>
      </c>
      <c r="I490">
        <v>46240</v>
      </c>
      <c r="J490" t="s">
        <v>2961</v>
      </c>
      <c r="K490" t="s">
        <v>1182</v>
      </c>
      <c r="L490" t="s">
        <v>1177</v>
      </c>
      <c r="M490" t="s">
        <v>1274</v>
      </c>
      <c r="N490" t="s">
        <v>16</v>
      </c>
      <c r="O490" t="s">
        <v>512</v>
      </c>
      <c r="P490">
        <v>46240</v>
      </c>
      <c r="Q490" t="s">
        <v>1177</v>
      </c>
      <c r="R490" t="s">
        <v>19</v>
      </c>
      <c r="S490" t="s">
        <v>654</v>
      </c>
      <c r="T490" t="s">
        <v>193</v>
      </c>
      <c r="U490" t="s">
        <v>194</v>
      </c>
      <c r="V490">
        <v>40</v>
      </c>
      <c r="W490" t="s">
        <v>1185</v>
      </c>
      <c r="X490" t="s">
        <v>1185</v>
      </c>
      <c r="Y490">
        <v>0</v>
      </c>
      <c r="Z490" t="s">
        <v>1186</v>
      </c>
      <c r="AA490" t="s">
        <v>1177</v>
      </c>
      <c r="AB490" t="s">
        <v>1177</v>
      </c>
      <c r="AC490" t="s">
        <v>1177</v>
      </c>
      <c r="AD490" t="s">
        <v>1204</v>
      </c>
      <c r="AE490" t="s">
        <v>1188</v>
      </c>
      <c r="AF490" t="s">
        <v>1189</v>
      </c>
      <c r="AG490" t="s">
        <v>1189</v>
      </c>
      <c r="AH490" t="s">
        <v>1178</v>
      </c>
      <c r="AI490" t="s">
        <v>1177</v>
      </c>
      <c r="AJ490" t="s">
        <v>1190</v>
      </c>
      <c r="AK490">
        <v>40</v>
      </c>
      <c r="AL490" t="s">
        <v>1185</v>
      </c>
      <c r="AM490">
        <v>46273</v>
      </c>
      <c r="AN490">
        <v>46273</v>
      </c>
      <c r="AO490">
        <v>46273</v>
      </c>
      <c r="AP490">
        <v>46273</v>
      </c>
      <c r="AQ490">
        <v>46273</v>
      </c>
      <c r="AR490">
        <v>46273</v>
      </c>
      <c r="AS490">
        <v>46275</v>
      </c>
      <c r="AT490" t="s">
        <v>1281</v>
      </c>
      <c r="AU490" t="s">
        <v>1177</v>
      </c>
      <c r="AV490" t="s">
        <v>1192</v>
      </c>
      <c r="AW490" t="s">
        <v>1177</v>
      </c>
      <c r="AX490">
        <v>33</v>
      </c>
      <c r="AY490">
        <v>2</v>
      </c>
      <c r="AZ490" t="s">
        <v>1177</v>
      </c>
      <c r="BA490">
        <v>40</v>
      </c>
      <c r="BB490" t="s">
        <v>1185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e">
        <v>#N/A</v>
      </c>
      <c r="BI490" t="e">
        <v>#N/A</v>
      </c>
    </row>
    <row r="491" spans="1:61" x14ac:dyDescent="0.35">
      <c r="A491" s="7" t="str">
        <f t="shared" si="14"/>
        <v>462414300011629</v>
      </c>
      <c r="B491" s="7" t="str">
        <f t="shared" si="15"/>
        <v>GP468401B856</v>
      </c>
      <c r="C491" t="s">
        <v>2962</v>
      </c>
      <c r="D491" t="s">
        <v>1182</v>
      </c>
      <c r="E491" t="s">
        <v>1177</v>
      </c>
      <c r="F491" t="s">
        <v>1270</v>
      </c>
      <c r="G491" t="s">
        <v>1236</v>
      </c>
      <c r="H491" t="s">
        <v>1271</v>
      </c>
      <c r="I491">
        <v>46241</v>
      </c>
      <c r="J491" t="s">
        <v>2963</v>
      </c>
      <c r="K491" t="s">
        <v>1182</v>
      </c>
      <c r="L491" t="s">
        <v>1177</v>
      </c>
      <c r="M491" t="s">
        <v>1274</v>
      </c>
      <c r="N491" t="s">
        <v>23</v>
      </c>
      <c r="O491" t="s">
        <v>959</v>
      </c>
      <c r="P491">
        <v>46241</v>
      </c>
      <c r="Q491" t="s">
        <v>1177</v>
      </c>
      <c r="R491" t="s">
        <v>21</v>
      </c>
      <c r="S491" t="s">
        <v>853</v>
      </c>
      <c r="T491" t="s">
        <v>1290</v>
      </c>
      <c r="U491" t="s">
        <v>1291</v>
      </c>
      <c r="V491">
        <v>4</v>
      </c>
      <c r="W491" t="s">
        <v>1262</v>
      </c>
      <c r="X491" t="s">
        <v>1262</v>
      </c>
      <c r="Y491">
        <v>0</v>
      </c>
      <c r="Z491" t="s">
        <v>1186</v>
      </c>
      <c r="AA491" t="s">
        <v>1177</v>
      </c>
      <c r="AB491" t="s">
        <v>1276</v>
      </c>
      <c r="AC491" t="s">
        <v>1277</v>
      </c>
      <c r="AD491" t="s">
        <v>1278</v>
      </c>
      <c r="AE491" t="s">
        <v>1292</v>
      </c>
      <c r="AF491" t="s">
        <v>1178</v>
      </c>
      <c r="AG491" t="s">
        <v>1190</v>
      </c>
      <c r="AH491" t="s">
        <v>1178</v>
      </c>
      <c r="AI491" t="s">
        <v>1177</v>
      </c>
      <c r="AJ491" t="s">
        <v>1190</v>
      </c>
      <c r="AK491">
        <v>4</v>
      </c>
      <c r="AL491" t="s">
        <v>1262</v>
      </c>
      <c r="AM491">
        <v>46241</v>
      </c>
      <c r="AN491">
        <v>46241</v>
      </c>
      <c r="AO491">
        <v>46241</v>
      </c>
      <c r="AP491">
        <v>46241</v>
      </c>
      <c r="AQ491">
        <v>46241</v>
      </c>
      <c r="AR491">
        <v>46241</v>
      </c>
      <c r="AS491">
        <v>46241</v>
      </c>
      <c r="AT491" t="s">
        <v>1281</v>
      </c>
      <c r="AU491" t="s">
        <v>1177</v>
      </c>
      <c r="AV491" t="s">
        <v>1192</v>
      </c>
      <c r="AW491" t="s">
        <v>1177</v>
      </c>
      <c r="AX491">
        <v>0</v>
      </c>
      <c r="AY491">
        <v>0</v>
      </c>
      <c r="AZ491" t="s">
        <v>1177</v>
      </c>
      <c r="BA491">
        <v>0</v>
      </c>
      <c r="BB491" t="s">
        <v>1262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e">
        <v>#N/A</v>
      </c>
      <c r="BI491" t="e">
        <v>#N/A</v>
      </c>
    </row>
    <row r="492" spans="1:61" x14ac:dyDescent="0.35">
      <c r="A492" s="7" t="str">
        <f t="shared" si="14"/>
        <v>462444300011644</v>
      </c>
      <c r="B492" s="7" t="str">
        <f t="shared" si="15"/>
        <v>GP004263B856</v>
      </c>
      <c r="C492" t="s">
        <v>2964</v>
      </c>
      <c r="D492" t="s">
        <v>1182</v>
      </c>
      <c r="E492" t="s">
        <v>1177</v>
      </c>
      <c r="F492" t="s">
        <v>1270</v>
      </c>
      <c r="G492" t="s">
        <v>1236</v>
      </c>
      <c r="H492" t="s">
        <v>1271</v>
      </c>
      <c r="I492">
        <v>46244</v>
      </c>
      <c r="J492" t="s">
        <v>2965</v>
      </c>
      <c r="K492" t="s">
        <v>1182</v>
      </c>
      <c r="L492" t="s">
        <v>1177</v>
      </c>
      <c r="M492" t="s">
        <v>1274</v>
      </c>
      <c r="N492" t="s">
        <v>23</v>
      </c>
      <c r="O492" t="s">
        <v>959</v>
      </c>
      <c r="P492">
        <v>46244</v>
      </c>
      <c r="Q492" t="s">
        <v>1177</v>
      </c>
      <c r="R492" t="s">
        <v>21</v>
      </c>
      <c r="S492" t="s">
        <v>853</v>
      </c>
      <c r="T492" t="s">
        <v>14</v>
      </c>
      <c r="U492" t="s">
        <v>15</v>
      </c>
      <c r="V492">
        <v>2</v>
      </c>
      <c r="W492" t="s">
        <v>1262</v>
      </c>
      <c r="X492" t="s">
        <v>1262</v>
      </c>
      <c r="Y492">
        <v>0</v>
      </c>
      <c r="Z492" t="s">
        <v>1186</v>
      </c>
      <c r="AA492" t="s">
        <v>1177</v>
      </c>
      <c r="AB492" t="s">
        <v>1276</v>
      </c>
      <c r="AC492" t="s">
        <v>1277</v>
      </c>
      <c r="AD492" t="s">
        <v>1278</v>
      </c>
      <c r="AE492" t="s">
        <v>1677</v>
      </c>
      <c r="AF492" t="s">
        <v>1178</v>
      </c>
      <c r="AG492" t="s">
        <v>1190</v>
      </c>
      <c r="AH492" t="s">
        <v>1178</v>
      </c>
      <c r="AI492" t="s">
        <v>1177</v>
      </c>
      <c r="AJ492" t="s">
        <v>1190</v>
      </c>
      <c r="AK492">
        <v>2</v>
      </c>
      <c r="AL492" t="s">
        <v>1262</v>
      </c>
      <c r="AM492">
        <v>46274</v>
      </c>
      <c r="AN492">
        <v>46274</v>
      </c>
      <c r="AO492">
        <v>46274</v>
      </c>
      <c r="AP492">
        <v>46274</v>
      </c>
      <c r="AQ492">
        <v>46274</v>
      </c>
      <c r="AR492">
        <v>46274</v>
      </c>
      <c r="AS492">
        <v>46276</v>
      </c>
      <c r="AT492" t="s">
        <v>1281</v>
      </c>
      <c r="AU492" t="s">
        <v>1177</v>
      </c>
      <c r="AV492" t="s">
        <v>1192</v>
      </c>
      <c r="AW492" t="s">
        <v>1177</v>
      </c>
      <c r="AX492">
        <v>33</v>
      </c>
      <c r="AY492">
        <v>2</v>
      </c>
      <c r="AZ492" t="s">
        <v>1177</v>
      </c>
      <c r="BA492">
        <v>2</v>
      </c>
      <c r="BB492" t="s">
        <v>1262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e">
        <v>#N/A</v>
      </c>
      <c r="BI492" t="e">
        <v>#N/A</v>
      </c>
    </row>
    <row r="493" spans="1:61" x14ac:dyDescent="0.35">
      <c r="A493" s="7" t="str">
        <f t="shared" si="14"/>
        <v>462464300011669</v>
      </c>
      <c r="B493" s="7" t="str">
        <f t="shared" si="15"/>
        <v>149391-002B867</v>
      </c>
      <c r="C493" t="s">
        <v>2967</v>
      </c>
      <c r="D493" t="s">
        <v>1182</v>
      </c>
      <c r="E493" t="s">
        <v>1177</v>
      </c>
      <c r="F493" t="s">
        <v>1232</v>
      </c>
      <c r="G493" t="s">
        <v>1236</v>
      </c>
      <c r="H493" t="s">
        <v>1271</v>
      </c>
      <c r="I493">
        <v>46246</v>
      </c>
      <c r="J493" t="s">
        <v>2968</v>
      </c>
      <c r="K493" t="s">
        <v>1182</v>
      </c>
      <c r="L493" t="s">
        <v>1177</v>
      </c>
      <c r="M493" t="s">
        <v>1274</v>
      </c>
      <c r="N493" t="s">
        <v>1079</v>
      </c>
      <c r="O493" t="s">
        <v>1275</v>
      </c>
      <c r="P493">
        <v>46246</v>
      </c>
      <c r="Q493" t="s">
        <v>1177</v>
      </c>
      <c r="R493" t="s">
        <v>25</v>
      </c>
      <c r="S493" t="s">
        <v>1060</v>
      </c>
      <c r="T493" t="s">
        <v>135</v>
      </c>
      <c r="U493" t="s">
        <v>136</v>
      </c>
      <c r="V493">
        <v>20</v>
      </c>
      <c r="W493" t="s">
        <v>1185</v>
      </c>
      <c r="X493" t="s">
        <v>1185</v>
      </c>
      <c r="Y493">
        <v>0</v>
      </c>
      <c r="Z493" t="s">
        <v>1186</v>
      </c>
      <c r="AA493" t="s">
        <v>1177</v>
      </c>
      <c r="AB493" t="s">
        <v>1177</v>
      </c>
      <c r="AC493" t="s">
        <v>1177</v>
      </c>
      <c r="AD493" t="s">
        <v>1204</v>
      </c>
      <c r="AE493" t="s">
        <v>2246</v>
      </c>
      <c r="AF493" t="s">
        <v>1189</v>
      </c>
      <c r="AG493" t="s">
        <v>1190</v>
      </c>
      <c r="AH493" t="s">
        <v>1178</v>
      </c>
      <c r="AI493" t="s">
        <v>1280</v>
      </c>
      <c r="AJ493" t="s">
        <v>1189</v>
      </c>
      <c r="AK493">
        <v>20</v>
      </c>
      <c r="AL493" t="s">
        <v>1185</v>
      </c>
      <c r="AM493">
        <v>46267</v>
      </c>
      <c r="AN493">
        <v>46267</v>
      </c>
      <c r="AO493">
        <v>46261</v>
      </c>
      <c r="AP493">
        <v>46265</v>
      </c>
      <c r="AQ493">
        <v>46265</v>
      </c>
      <c r="AR493">
        <v>46267</v>
      </c>
      <c r="AS493">
        <v>46269</v>
      </c>
      <c r="AT493" t="s">
        <v>1281</v>
      </c>
      <c r="AU493" t="s">
        <v>1177</v>
      </c>
      <c r="AV493" t="s">
        <v>1192</v>
      </c>
      <c r="AW493" t="s">
        <v>1177</v>
      </c>
      <c r="AX493">
        <v>33</v>
      </c>
      <c r="AY493">
        <v>2</v>
      </c>
      <c r="AZ493" t="s">
        <v>1177</v>
      </c>
      <c r="BA493">
        <v>0</v>
      </c>
      <c r="BB493" t="s">
        <v>1185</v>
      </c>
      <c r="BC493" t="s">
        <v>2969</v>
      </c>
      <c r="BD493">
        <v>1</v>
      </c>
      <c r="BE493">
        <v>46247</v>
      </c>
      <c r="BF493" t="s">
        <v>1165</v>
      </c>
      <c r="BG493" t="e">
        <v>#N/A</v>
      </c>
      <c r="BH493" t="e">
        <v>#N/A</v>
      </c>
      <c r="BI493" t="e">
        <v>#N/A</v>
      </c>
    </row>
    <row r="494" spans="1:61" x14ac:dyDescent="0.35">
      <c r="A494" s="7" t="str">
        <f t="shared" si="14"/>
        <v>462464300011670</v>
      </c>
      <c r="B494" s="7" t="str">
        <f t="shared" si="15"/>
        <v>GP289832B857</v>
      </c>
      <c r="C494" t="s">
        <v>2970</v>
      </c>
      <c r="D494" t="s">
        <v>1182</v>
      </c>
      <c r="E494" t="s">
        <v>1177</v>
      </c>
      <c r="F494" t="s">
        <v>1232</v>
      </c>
      <c r="G494" t="s">
        <v>1236</v>
      </c>
      <c r="H494" t="s">
        <v>1271</v>
      </c>
      <c r="I494">
        <v>46246</v>
      </c>
      <c r="J494" t="s">
        <v>2971</v>
      </c>
      <c r="K494" t="s">
        <v>1182</v>
      </c>
      <c r="L494" t="s">
        <v>1177</v>
      </c>
      <c r="M494" t="s">
        <v>1274</v>
      </c>
      <c r="N494" t="s">
        <v>1079</v>
      </c>
      <c r="O494" t="s">
        <v>1275</v>
      </c>
      <c r="P494">
        <v>46246</v>
      </c>
      <c r="Q494" t="s">
        <v>1177</v>
      </c>
      <c r="R494" t="s">
        <v>23</v>
      </c>
      <c r="S494" t="s">
        <v>959</v>
      </c>
      <c r="T494" t="s">
        <v>711</v>
      </c>
      <c r="U494" t="s">
        <v>712</v>
      </c>
      <c r="V494">
        <v>1</v>
      </c>
      <c r="W494" t="s">
        <v>1262</v>
      </c>
      <c r="X494" t="s">
        <v>1262</v>
      </c>
      <c r="Y494">
        <v>0</v>
      </c>
      <c r="Z494" t="s">
        <v>1186</v>
      </c>
      <c r="AA494" t="s">
        <v>1177</v>
      </c>
      <c r="AB494" t="s">
        <v>1286</v>
      </c>
      <c r="AC494" t="s">
        <v>1277</v>
      </c>
      <c r="AD494" t="s">
        <v>1278</v>
      </c>
      <c r="AE494" t="s">
        <v>2056</v>
      </c>
      <c r="AF494" t="s">
        <v>1178</v>
      </c>
      <c r="AG494" t="s">
        <v>1178</v>
      </c>
      <c r="AH494" t="s">
        <v>1178</v>
      </c>
      <c r="AI494" t="s">
        <v>1280</v>
      </c>
      <c r="AJ494" t="s">
        <v>1190</v>
      </c>
      <c r="AK494">
        <v>0</v>
      </c>
      <c r="AL494" t="s">
        <v>1262</v>
      </c>
      <c r="AM494">
        <v>46279</v>
      </c>
      <c r="AN494">
        <v>46367</v>
      </c>
      <c r="AO494">
        <v>46267</v>
      </c>
      <c r="AP494">
        <v>46269</v>
      </c>
      <c r="AQ494">
        <v>46269</v>
      </c>
      <c r="AR494">
        <v>46274</v>
      </c>
      <c r="AS494">
        <v>46276</v>
      </c>
      <c r="AT494" t="s">
        <v>1281</v>
      </c>
      <c r="AU494" t="s">
        <v>1177</v>
      </c>
      <c r="AV494" t="s">
        <v>1192</v>
      </c>
      <c r="AW494" t="s">
        <v>1177</v>
      </c>
      <c r="AX494">
        <v>33</v>
      </c>
      <c r="AY494">
        <v>2</v>
      </c>
      <c r="AZ494" t="s">
        <v>1177</v>
      </c>
      <c r="BA494">
        <v>0</v>
      </c>
      <c r="BB494" t="s">
        <v>1262</v>
      </c>
      <c r="BC494" t="s">
        <v>2972</v>
      </c>
      <c r="BD494">
        <v>1</v>
      </c>
      <c r="BE494">
        <v>46251</v>
      </c>
      <c r="BF494" t="s">
        <v>1165</v>
      </c>
      <c r="BG494" t="e">
        <v>#N/A</v>
      </c>
      <c r="BH494" t="e">
        <v>#N/A</v>
      </c>
      <c r="BI494" t="e">
        <v>#N/A</v>
      </c>
    </row>
    <row r="495" spans="1:61" x14ac:dyDescent="0.35">
      <c r="A495" s="7" t="str">
        <f t="shared" si="14"/>
        <v>462464300011671</v>
      </c>
      <c r="B495" s="7" t="str">
        <f t="shared" si="15"/>
        <v>P390350B856</v>
      </c>
      <c r="C495" t="s">
        <v>2973</v>
      </c>
      <c r="D495" t="s">
        <v>1295</v>
      </c>
      <c r="E495" t="s">
        <v>1177</v>
      </c>
      <c r="F495" t="s">
        <v>1232</v>
      </c>
      <c r="G495" t="s">
        <v>1236</v>
      </c>
      <c r="H495" t="s">
        <v>1271</v>
      </c>
      <c r="I495">
        <v>46246</v>
      </c>
      <c r="J495" t="s">
        <v>2974</v>
      </c>
      <c r="K495" t="s">
        <v>1295</v>
      </c>
      <c r="L495" t="s">
        <v>1177</v>
      </c>
      <c r="M495" t="s">
        <v>1274</v>
      </c>
      <c r="N495" t="s">
        <v>1079</v>
      </c>
      <c r="O495" t="s">
        <v>1275</v>
      </c>
      <c r="P495">
        <v>46246</v>
      </c>
      <c r="Q495" t="s">
        <v>1177</v>
      </c>
      <c r="R495" t="s">
        <v>21</v>
      </c>
      <c r="S495" t="s">
        <v>853</v>
      </c>
      <c r="T495" t="s">
        <v>199</v>
      </c>
      <c r="U495" t="s">
        <v>2875</v>
      </c>
      <c r="V495">
        <v>100</v>
      </c>
      <c r="W495" t="s">
        <v>1262</v>
      </c>
      <c r="X495" t="s">
        <v>1262</v>
      </c>
      <c r="Y495">
        <v>0</v>
      </c>
      <c r="Z495" t="s">
        <v>1186</v>
      </c>
      <c r="AA495" t="s">
        <v>1177</v>
      </c>
      <c r="AB495" t="s">
        <v>1286</v>
      </c>
      <c r="AC495" t="s">
        <v>1277</v>
      </c>
      <c r="AD495" t="s">
        <v>1278</v>
      </c>
      <c r="AE495" t="s">
        <v>1292</v>
      </c>
      <c r="AF495" t="s">
        <v>1178</v>
      </c>
      <c r="AG495" t="s">
        <v>1178</v>
      </c>
      <c r="AH495" t="s">
        <v>1178</v>
      </c>
      <c r="AI495" t="s">
        <v>1280</v>
      </c>
      <c r="AJ495" t="s">
        <v>1189</v>
      </c>
      <c r="AK495">
        <v>100</v>
      </c>
      <c r="AL495" t="s">
        <v>1262</v>
      </c>
      <c r="AM495">
        <v>46267</v>
      </c>
      <c r="AN495">
        <v>46267</v>
      </c>
      <c r="AO495">
        <v>46261</v>
      </c>
      <c r="AP495">
        <v>46265</v>
      </c>
      <c r="AQ495">
        <v>46265</v>
      </c>
      <c r="AR495">
        <v>46267</v>
      </c>
      <c r="AS495">
        <v>46269</v>
      </c>
      <c r="AT495" t="s">
        <v>1281</v>
      </c>
      <c r="AU495" t="s">
        <v>1177</v>
      </c>
      <c r="AV495" t="s">
        <v>1192</v>
      </c>
      <c r="AW495" t="s">
        <v>1177</v>
      </c>
      <c r="AX495">
        <v>33</v>
      </c>
      <c r="AY495">
        <v>2</v>
      </c>
      <c r="AZ495" t="s">
        <v>1177</v>
      </c>
      <c r="BA495">
        <v>0</v>
      </c>
      <c r="BB495" t="s">
        <v>1262</v>
      </c>
      <c r="BC495" t="s">
        <v>2975</v>
      </c>
      <c r="BD495">
        <v>1</v>
      </c>
      <c r="BE495">
        <v>46247</v>
      </c>
      <c r="BF495" t="s">
        <v>1165</v>
      </c>
      <c r="BG495" t="e">
        <v>#N/A</v>
      </c>
      <c r="BH495" t="e">
        <v>#N/A</v>
      </c>
      <c r="BI495" t="e">
        <v>#N/A</v>
      </c>
    </row>
    <row r="496" spans="1:61" x14ac:dyDescent="0.35">
      <c r="A496" s="7" t="str">
        <f t="shared" si="14"/>
        <v>462464300011672</v>
      </c>
      <c r="B496" s="7" t="str">
        <f t="shared" si="15"/>
        <v>GP091027B832</v>
      </c>
      <c r="C496" t="s">
        <v>2976</v>
      </c>
      <c r="D496" t="s">
        <v>1199</v>
      </c>
      <c r="E496" t="s">
        <v>1177</v>
      </c>
      <c r="F496" t="s">
        <v>1232</v>
      </c>
      <c r="G496" t="s">
        <v>1236</v>
      </c>
      <c r="H496" t="s">
        <v>1271</v>
      </c>
      <c r="I496">
        <v>46246</v>
      </c>
      <c r="J496" t="s">
        <v>2977</v>
      </c>
      <c r="K496" t="s">
        <v>1199</v>
      </c>
      <c r="L496" t="s">
        <v>1177</v>
      </c>
      <c r="M496" t="s">
        <v>1274</v>
      </c>
      <c r="N496" t="s">
        <v>1079</v>
      </c>
      <c r="O496" t="s">
        <v>1275</v>
      </c>
      <c r="P496">
        <v>46246</v>
      </c>
      <c r="Q496" t="s">
        <v>1177</v>
      </c>
      <c r="R496" t="s">
        <v>19</v>
      </c>
      <c r="S496" t="s">
        <v>654</v>
      </c>
      <c r="T496" t="s">
        <v>165</v>
      </c>
      <c r="U496" t="s">
        <v>1746</v>
      </c>
      <c r="V496">
        <v>1</v>
      </c>
      <c r="W496" t="s">
        <v>1262</v>
      </c>
      <c r="X496" t="s">
        <v>1262</v>
      </c>
      <c r="Y496">
        <v>0</v>
      </c>
      <c r="Z496" t="s">
        <v>1186</v>
      </c>
      <c r="AA496" t="s">
        <v>1177</v>
      </c>
      <c r="AB496" t="s">
        <v>1276</v>
      </c>
      <c r="AC496" t="s">
        <v>1277</v>
      </c>
      <c r="AD496" t="s">
        <v>1278</v>
      </c>
      <c r="AE496" t="s">
        <v>1747</v>
      </c>
      <c r="AF496" t="s">
        <v>1178</v>
      </c>
      <c r="AG496" t="s">
        <v>1190</v>
      </c>
      <c r="AH496" t="s">
        <v>1178</v>
      </c>
      <c r="AI496" t="s">
        <v>1349</v>
      </c>
      <c r="AJ496" t="s">
        <v>1190</v>
      </c>
      <c r="AK496">
        <v>0</v>
      </c>
      <c r="AL496" t="s">
        <v>1262</v>
      </c>
      <c r="AM496">
        <v>46279</v>
      </c>
      <c r="AN496">
        <v>46449</v>
      </c>
      <c r="AO496">
        <v>46269</v>
      </c>
      <c r="AP496">
        <v>46274</v>
      </c>
      <c r="AQ496">
        <v>46274</v>
      </c>
      <c r="AR496">
        <v>46276</v>
      </c>
      <c r="AS496">
        <v>46280</v>
      </c>
      <c r="AT496" t="s">
        <v>1281</v>
      </c>
      <c r="AU496" t="s">
        <v>1177</v>
      </c>
      <c r="AV496" t="s">
        <v>1192</v>
      </c>
      <c r="AW496" t="s">
        <v>1177</v>
      </c>
      <c r="AX496">
        <v>33</v>
      </c>
      <c r="AY496">
        <v>2</v>
      </c>
      <c r="AZ496" t="s">
        <v>1177</v>
      </c>
      <c r="BA496">
        <v>0</v>
      </c>
      <c r="BB496" t="s">
        <v>1262</v>
      </c>
      <c r="BC496" t="s">
        <v>2978</v>
      </c>
      <c r="BD496">
        <v>1</v>
      </c>
      <c r="BE496">
        <v>46251</v>
      </c>
      <c r="BF496" t="s">
        <v>1177</v>
      </c>
      <c r="BG496" t="e">
        <v>#N/A</v>
      </c>
      <c r="BH496" t="e">
        <v>#N/A</v>
      </c>
      <c r="BI496" t="e">
        <v>#N/A</v>
      </c>
    </row>
    <row r="497" spans="1:61" x14ac:dyDescent="0.35">
      <c r="A497" s="7" t="str">
        <f t="shared" si="14"/>
        <v>462464300011673</v>
      </c>
      <c r="B497" s="7" t="str">
        <f t="shared" si="15"/>
        <v>50235B838</v>
      </c>
      <c r="C497" t="s">
        <v>2979</v>
      </c>
      <c r="D497" t="s">
        <v>1182</v>
      </c>
      <c r="E497" t="s">
        <v>1177</v>
      </c>
      <c r="F497" t="s">
        <v>1232</v>
      </c>
      <c r="G497" t="s">
        <v>1236</v>
      </c>
      <c r="H497" t="s">
        <v>1271</v>
      </c>
      <c r="I497">
        <v>46246</v>
      </c>
      <c r="J497" t="s">
        <v>2980</v>
      </c>
      <c r="K497" t="s">
        <v>1182</v>
      </c>
      <c r="L497" t="s">
        <v>1177</v>
      </c>
      <c r="M497" t="s">
        <v>1274</v>
      </c>
      <c r="N497" t="s">
        <v>1079</v>
      </c>
      <c r="O497" t="s">
        <v>1275</v>
      </c>
      <c r="P497">
        <v>46246</v>
      </c>
      <c r="Q497" t="s">
        <v>1177</v>
      </c>
      <c r="R497" t="s">
        <v>48</v>
      </c>
      <c r="S497" t="s">
        <v>745</v>
      </c>
      <c r="T497" t="s">
        <v>1680</v>
      </c>
      <c r="U497" t="s">
        <v>1681</v>
      </c>
      <c r="V497">
        <v>1</v>
      </c>
      <c r="W497" t="s">
        <v>1262</v>
      </c>
      <c r="X497" t="s">
        <v>1262</v>
      </c>
      <c r="Y497">
        <v>0</v>
      </c>
      <c r="Z497" t="s">
        <v>1186</v>
      </c>
      <c r="AA497" t="s">
        <v>1177</v>
      </c>
      <c r="AB497" t="s">
        <v>1276</v>
      </c>
      <c r="AC497" t="s">
        <v>1277</v>
      </c>
      <c r="AD497" t="s">
        <v>1278</v>
      </c>
      <c r="AE497" t="s">
        <v>1682</v>
      </c>
      <c r="AF497" t="s">
        <v>1178</v>
      </c>
      <c r="AG497" t="s">
        <v>1190</v>
      </c>
      <c r="AH497" t="s">
        <v>1178</v>
      </c>
      <c r="AI497" t="s">
        <v>1280</v>
      </c>
      <c r="AJ497" t="s">
        <v>1189</v>
      </c>
      <c r="AK497">
        <v>1</v>
      </c>
      <c r="AL497" t="s">
        <v>1262</v>
      </c>
      <c r="AM497">
        <v>46274</v>
      </c>
      <c r="AN497">
        <v>46267</v>
      </c>
      <c r="AO497">
        <v>46267</v>
      </c>
      <c r="AP497">
        <v>46269</v>
      </c>
      <c r="AQ497">
        <v>46269</v>
      </c>
      <c r="AR497">
        <v>46274</v>
      </c>
      <c r="AS497">
        <v>46276</v>
      </c>
      <c r="AT497" t="s">
        <v>1281</v>
      </c>
      <c r="AU497" t="s">
        <v>1177</v>
      </c>
      <c r="AV497" t="s">
        <v>1192</v>
      </c>
      <c r="AW497" t="s">
        <v>1177</v>
      </c>
      <c r="AX497">
        <v>33</v>
      </c>
      <c r="AY497">
        <v>2</v>
      </c>
      <c r="AZ497" t="s">
        <v>1177</v>
      </c>
      <c r="BA497">
        <v>0</v>
      </c>
      <c r="BB497" t="s">
        <v>1262</v>
      </c>
      <c r="BC497" t="s">
        <v>2981</v>
      </c>
      <c r="BD497">
        <v>1</v>
      </c>
      <c r="BE497">
        <v>46251</v>
      </c>
      <c r="BF497" t="s">
        <v>1165</v>
      </c>
      <c r="BG497" t="e">
        <v>#N/A</v>
      </c>
      <c r="BH497" t="e">
        <v>#N/A</v>
      </c>
      <c r="BI497" t="e">
        <v>#N/A</v>
      </c>
    </row>
    <row r="498" spans="1:61" x14ac:dyDescent="0.35">
      <c r="A498" s="7" t="str">
        <f t="shared" si="14"/>
        <v>462474300011676</v>
      </c>
      <c r="B498" s="7" t="str">
        <f t="shared" si="15"/>
        <v>GP328007B856</v>
      </c>
      <c r="C498" t="s">
        <v>2982</v>
      </c>
      <c r="D498" t="s">
        <v>1713</v>
      </c>
      <c r="E498" t="s">
        <v>1177</v>
      </c>
      <c r="F498" t="s">
        <v>2798</v>
      </c>
      <c r="G498" t="s">
        <v>2799</v>
      </c>
      <c r="H498" t="s">
        <v>1271</v>
      </c>
      <c r="I498">
        <v>46247</v>
      </c>
      <c r="J498" t="s">
        <v>2983</v>
      </c>
      <c r="K498" t="s">
        <v>2141</v>
      </c>
      <c r="L498" t="s">
        <v>1177</v>
      </c>
      <c r="M498" t="s">
        <v>1274</v>
      </c>
      <c r="N498" t="s">
        <v>1079</v>
      </c>
      <c r="O498" t="s">
        <v>1275</v>
      </c>
      <c r="P498">
        <v>46248</v>
      </c>
      <c r="Q498" t="s">
        <v>1177</v>
      </c>
      <c r="R498" t="s">
        <v>21</v>
      </c>
      <c r="S498" t="s">
        <v>853</v>
      </c>
      <c r="T498" t="s">
        <v>1024</v>
      </c>
      <c r="U498" t="s">
        <v>1025</v>
      </c>
      <c r="V498">
        <v>4</v>
      </c>
      <c r="W498" t="s">
        <v>1262</v>
      </c>
      <c r="X498" t="s">
        <v>1262</v>
      </c>
      <c r="Y498">
        <v>0</v>
      </c>
      <c r="Z498" t="s">
        <v>1186</v>
      </c>
      <c r="AA498" t="s">
        <v>1177</v>
      </c>
      <c r="AB498" t="s">
        <v>1276</v>
      </c>
      <c r="AC498" t="s">
        <v>1277</v>
      </c>
      <c r="AD498" t="s">
        <v>1278</v>
      </c>
      <c r="AE498" t="s">
        <v>1354</v>
      </c>
      <c r="AF498" t="s">
        <v>1178</v>
      </c>
      <c r="AG498" t="s">
        <v>1190</v>
      </c>
      <c r="AH498" t="s">
        <v>1178</v>
      </c>
      <c r="AI498" t="s">
        <v>1280</v>
      </c>
      <c r="AJ498" t="s">
        <v>1190</v>
      </c>
      <c r="AK498">
        <v>0</v>
      </c>
      <c r="AL498" t="s">
        <v>1262</v>
      </c>
      <c r="AM498">
        <v>46280</v>
      </c>
      <c r="AN498">
        <v>46416</v>
      </c>
      <c r="AO498">
        <v>46267</v>
      </c>
      <c r="AP498">
        <v>46269</v>
      </c>
      <c r="AQ498">
        <v>46269</v>
      </c>
      <c r="AR498">
        <v>46274</v>
      </c>
      <c r="AS498">
        <v>46276</v>
      </c>
      <c r="AT498" t="s">
        <v>1281</v>
      </c>
      <c r="AU498" t="s">
        <v>1177</v>
      </c>
      <c r="AV498" t="s">
        <v>1192</v>
      </c>
      <c r="AW498" t="s">
        <v>1177</v>
      </c>
      <c r="AX498">
        <v>33</v>
      </c>
      <c r="AY498">
        <v>2</v>
      </c>
      <c r="AZ498" t="s">
        <v>1177</v>
      </c>
      <c r="BA498">
        <v>4</v>
      </c>
      <c r="BB498" t="s">
        <v>1262</v>
      </c>
      <c r="BC498" t="s">
        <v>2984</v>
      </c>
      <c r="BD498">
        <v>400</v>
      </c>
      <c r="BE498">
        <v>46254</v>
      </c>
      <c r="BF498" t="s">
        <v>1177</v>
      </c>
      <c r="BG498" t="s">
        <v>1458</v>
      </c>
      <c r="BH498" t="e">
        <v>#N/A</v>
      </c>
      <c r="BI498" t="e">
        <v>#N/A</v>
      </c>
    </row>
    <row r="499" spans="1:61" x14ac:dyDescent="0.35">
      <c r="A499" s="7" t="str">
        <f t="shared" si="14"/>
        <v>462474300011684</v>
      </c>
      <c r="B499" s="7" t="str">
        <f t="shared" si="15"/>
        <v>GP422280B865</v>
      </c>
      <c r="C499" t="s">
        <v>2985</v>
      </c>
      <c r="D499" t="s">
        <v>1182</v>
      </c>
      <c r="E499" t="s">
        <v>1177</v>
      </c>
      <c r="F499" t="s">
        <v>1232</v>
      </c>
      <c r="G499" t="s">
        <v>1236</v>
      </c>
      <c r="H499" t="s">
        <v>1271</v>
      </c>
      <c r="I499">
        <v>46247</v>
      </c>
      <c r="J499" t="s">
        <v>2986</v>
      </c>
      <c r="K499" t="s">
        <v>1182</v>
      </c>
      <c r="L499" t="s">
        <v>1177</v>
      </c>
      <c r="M499" t="s">
        <v>1274</v>
      </c>
      <c r="N499" t="s">
        <v>1079</v>
      </c>
      <c r="O499" t="s">
        <v>1275</v>
      </c>
      <c r="P499">
        <v>46247</v>
      </c>
      <c r="Q499" t="s">
        <v>1177</v>
      </c>
      <c r="R499" t="s">
        <v>7</v>
      </c>
      <c r="S499" t="s">
        <v>1040</v>
      </c>
      <c r="T499" t="s">
        <v>102</v>
      </c>
      <c r="U499" t="s">
        <v>103</v>
      </c>
      <c r="V499">
        <v>6</v>
      </c>
      <c r="W499" t="s">
        <v>1262</v>
      </c>
      <c r="X499" t="s">
        <v>1262</v>
      </c>
      <c r="Y499">
        <v>0</v>
      </c>
      <c r="Z499" t="s">
        <v>1186</v>
      </c>
      <c r="AA499" t="s">
        <v>1177</v>
      </c>
      <c r="AB499" t="s">
        <v>1276</v>
      </c>
      <c r="AC499" t="s">
        <v>1277</v>
      </c>
      <c r="AD499" t="s">
        <v>1278</v>
      </c>
      <c r="AE499" t="s">
        <v>1296</v>
      </c>
      <c r="AF499" t="s">
        <v>1178</v>
      </c>
      <c r="AG499" t="s">
        <v>1190</v>
      </c>
      <c r="AH499" t="s">
        <v>1178</v>
      </c>
      <c r="AI499" t="s">
        <v>1349</v>
      </c>
      <c r="AJ499" t="s">
        <v>1190</v>
      </c>
      <c r="AK499">
        <v>0</v>
      </c>
      <c r="AL499" t="s">
        <v>1262</v>
      </c>
      <c r="AM499">
        <v>46251</v>
      </c>
      <c r="AN499">
        <v>46294</v>
      </c>
      <c r="AO499">
        <v>46251</v>
      </c>
      <c r="AP499">
        <v>46253</v>
      </c>
      <c r="AQ499">
        <v>46253</v>
      </c>
      <c r="AR499">
        <v>46255</v>
      </c>
      <c r="AS499">
        <v>46259</v>
      </c>
      <c r="AT499" t="s">
        <v>1281</v>
      </c>
      <c r="AU499" t="s">
        <v>1177</v>
      </c>
      <c r="AV499" t="s">
        <v>1192</v>
      </c>
      <c r="AW499" t="s">
        <v>1177</v>
      </c>
      <c r="AX499">
        <v>33</v>
      </c>
      <c r="AY499">
        <v>2</v>
      </c>
      <c r="AZ499" t="s">
        <v>1177</v>
      </c>
      <c r="BA499">
        <v>0</v>
      </c>
      <c r="BB499" t="s">
        <v>1262</v>
      </c>
      <c r="BC499" t="e">
        <v>#N/A</v>
      </c>
      <c r="BD499" t="e">
        <v>#N/A</v>
      </c>
      <c r="BE499" t="e">
        <v>#N/A</v>
      </c>
      <c r="BF499" t="e">
        <v>#N/A</v>
      </c>
      <c r="BG499" t="e">
        <v>#N/A</v>
      </c>
      <c r="BH499" t="e">
        <v>#N/A</v>
      </c>
      <c r="BI499" t="e">
        <v>#N/A</v>
      </c>
    </row>
    <row r="500" spans="1:61" x14ac:dyDescent="0.35">
      <c r="A500" s="7" t="str">
        <f t="shared" si="14"/>
        <v>462474300011688</v>
      </c>
      <c r="B500" s="7" t="str">
        <f t="shared" si="15"/>
        <v>149391-002B867</v>
      </c>
      <c r="C500" t="s">
        <v>2987</v>
      </c>
      <c r="D500" t="s">
        <v>1182</v>
      </c>
      <c r="E500" t="s">
        <v>1177</v>
      </c>
      <c r="F500" t="s">
        <v>1334</v>
      </c>
      <c r="G500" t="s">
        <v>1236</v>
      </c>
      <c r="H500" t="s">
        <v>1271</v>
      </c>
      <c r="I500">
        <v>46247</v>
      </c>
      <c r="J500" t="s">
        <v>2988</v>
      </c>
      <c r="K500" t="s">
        <v>1182</v>
      </c>
      <c r="L500" t="s">
        <v>1177</v>
      </c>
      <c r="M500" t="s">
        <v>1274</v>
      </c>
      <c r="N500" t="s">
        <v>1079</v>
      </c>
      <c r="O500" t="s">
        <v>1275</v>
      </c>
      <c r="P500">
        <v>46247</v>
      </c>
      <c r="Q500" t="s">
        <v>1177</v>
      </c>
      <c r="R500" t="s">
        <v>25</v>
      </c>
      <c r="S500" t="s">
        <v>1060</v>
      </c>
      <c r="T500" t="s">
        <v>135</v>
      </c>
      <c r="U500" t="s">
        <v>136</v>
      </c>
      <c r="V500">
        <v>40</v>
      </c>
      <c r="W500" t="s">
        <v>1185</v>
      </c>
      <c r="X500" t="s">
        <v>1185</v>
      </c>
      <c r="Y500">
        <v>0</v>
      </c>
      <c r="Z500" t="s">
        <v>1186</v>
      </c>
      <c r="AA500" t="s">
        <v>1177</v>
      </c>
      <c r="AB500" t="s">
        <v>1177</v>
      </c>
      <c r="AC500" t="s">
        <v>1177</v>
      </c>
      <c r="AD500" t="s">
        <v>1204</v>
      </c>
      <c r="AE500" t="s">
        <v>2246</v>
      </c>
      <c r="AF500" t="s">
        <v>1189</v>
      </c>
      <c r="AG500" t="s">
        <v>1190</v>
      </c>
      <c r="AH500" t="s">
        <v>1178</v>
      </c>
      <c r="AI500" t="s">
        <v>1280</v>
      </c>
      <c r="AJ500" t="s">
        <v>1189</v>
      </c>
      <c r="AK500">
        <v>40</v>
      </c>
      <c r="AL500" t="s">
        <v>1185</v>
      </c>
      <c r="AM500">
        <v>46365</v>
      </c>
      <c r="AN500">
        <v>46359</v>
      </c>
      <c r="AO500">
        <v>46359</v>
      </c>
      <c r="AP500">
        <v>46363</v>
      </c>
      <c r="AQ500">
        <v>46363</v>
      </c>
      <c r="AR500">
        <v>46365</v>
      </c>
      <c r="AS500">
        <v>46367</v>
      </c>
      <c r="AT500" t="s">
        <v>1281</v>
      </c>
      <c r="AU500" t="s">
        <v>1177</v>
      </c>
      <c r="AV500" t="s">
        <v>1192</v>
      </c>
      <c r="AW500" t="s">
        <v>1177</v>
      </c>
      <c r="AX500">
        <v>33</v>
      </c>
      <c r="AY500">
        <v>2</v>
      </c>
      <c r="AZ500" t="s">
        <v>1177</v>
      </c>
      <c r="BA500">
        <v>0</v>
      </c>
      <c r="BB500" t="s">
        <v>1185</v>
      </c>
      <c r="BC500" t="e">
        <v>#N/A</v>
      </c>
      <c r="BD500" t="e">
        <v>#N/A</v>
      </c>
      <c r="BE500" t="e">
        <v>#N/A</v>
      </c>
      <c r="BF500" t="e">
        <v>#N/A</v>
      </c>
      <c r="BG500" t="e">
        <v>#N/A</v>
      </c>
      <c r="BH500" t="e">
        <v>#N/A</v>
      </c>
      <c r="BI500" t="e">
        <v>#N/A</v>
      </c>
    </row>
    <row r="501" spans="1:61" x14ac:dyDescent="0.35">
      <c r="A501" s="7" t="str">
        <f t="shared" si="14"/>
        <v>462474300011697</v>
      </c>
      <c r="B501" s="7" t="str">
        <f t="shared" si="15"/>
        <v>GP034203-001B867</v>
      </c>
      <c r="C501" t="s">
        <v>2989</v>
      </c>
      <c r="D501" t="s">
        <v>1182</v>
      </c>
      <c r="E501" t="s">
        <v>1177</v>
      </c>
      <c r="F501" t="s">
        <v>2990</v>
      </c>
      <c r="G501" t="s">
        <v>2399</v>
      </c>
      <c r="H501" t="s">
        <v>1271</v>
      </c>
      <c r="I501">
        <v>46247</v>
      </c>
      <c r="J501" t="s">
        <v>2991</v>
      </c>
      <c r="K501" t="s">
        <v>1182</v>
      </c>
      <c r="L501" t="s">
        <v>1177</v>
      </c>
      <c r="M501" t="s">
        <v>1274</v>
      </c>
      <c r="N501" t="s">
        <v>1079</v>
      </c>
      <c r="O501" t="s">
        <v>1275</v>
      </c>
      <c r="P501">
        <v>46247</v>
      </c>
      <c r="Q501" t="s">
        <v>1177</v>
      </c>
      <c r="R501" t="s">
        <v>25</v>
      </c>
      <c r="S501" t="s">
        <v>1060</v>
      </c>
      <c r="T501" t="s">
        <v>1083</v>
      </c>
      <c r="U501" t="s">
        <v>1084</v>
      </c>
      <c r="V501">
        <v>44</v>
      </c>
      <c r="W501" t="s">
        <v>1262</v>
      </c>
      <c r="X501" t="s">
        <v>1262</v>
      </c>
      <c r="Y501">
        <v>0</v>
      </c>
      <c r="Z501" t="s">
        <v>1186</v>
      </c>
      <c r="AA501" t="s">
        <v>1177</v>
      </c>
      <c r="AB501" t="s">
        <v>1177</v>
      </c>
      <c r="AC501" t="s">
        <v>1177</v>
      </c>
      <c r="AD501" t="s">
        <v>1204</v>
      </c>
      <c r="AE501" t="s">
        <v>1188</v>
      </c>
      <c r="AF501" t="s">
        <v>1189</v>
      </c>
      <c r="AG501" t="s">
        <v>1190</v>
      </c>
      <c r="AH501" t="s">
        <v>1178</v>
      </c>
      <c r="AI501" t="s">
        <v>1280</v>
      </c>
      <c r="AJ501" t="s">
        <v>1190</v>
      </c>
      <c r="AK501">
        <v>0</v>
      </c>
      <c r="AL501" t="s">
        <v>1262</v>
      </c>
      <c r="AM501">
        <v>46409</v>
      </c>
      <c r="AN501">
        <v>46430</v>
      </c>
      <c r="AO501">
        <v>46401</v>
      </c>
      <c r="AP501">
        <v>46405</v>
      </c>
      <c r="AQ501">
        <v>46405</v>
      </c>
      <c r="AR501">
        <v>46407</v>
      </c>
      <c r="AS501">
        <v>46409</v>
      </c>
      <c r="AT501" t="s">
        <v>1281</v>
      </c>
      <c r="AU501" t="s">
        <v>1177</v>
      </c>
      <c r="AV501" t="s">
        <v>1192</v>
      </c>
      <c r="AW501" t="s">
        <v>1177</v>
      </c>
      <c r="AX501">
        <v>163</v>
      </c>
      <c r="AY501">
        <v>2</v>
      </c>
      <c r="AZ501" t="s">
        <v>1177</v>
      </c>
      <c r="BA501">
        <v>0</v>
      </c>
      <c r="BB501" t="s">
        <v>1262</v>
      </c>
      <c r="BC501" t="e">
        <v>#N/A</v>
      </c>
      <c r="BD501" t="e">
        <v>#N/A</v>
      </c>
      <c r="BE501" t="e">
        <v>#N/A</v>
      </c>
      <c r="BF501" t="e">
        <v>#N/A</v>
      </c>
      <c r="BG501" t="s">
        <v>1551</v>
      </c>
      <c r="BH501" t="e">
        <v>#N/A</v>
      </c>
      <c r="BI501" t="e">
        <v>#N/A</v>
      </c>
    </row>
    <row r="502" spans="1:61" x14ac:dyDescent="0.35">
      <c r="A502" s="7" t="str">
        <f t="shared" si="14"/>
        <v>462474300011701</v>
      </c>
      <c r="B502" s="7" t="str">
        <f t="shared" si="15"/>
        <v>GP347294B856</v>
      </c>
      <c r="C502" t="s">
        <v>2942</v>
      </c>
      <c r="D502" t="s">
        <v>1407</v>
      </c>
      <c r="E502" t="s">
        <v>1177</v>
      </c>
      <c r="F502" t="s">
        <v>1270</v>
      </c>
      <c r="G502" t="s">
        <v>1236</v>
      </c>
      <c r="H502" t="s">
        <v>1271</v>
      </c>
      <c r="I502">
        <v>46247</v>
      </c>
      <c r="J502" t="s">
        <v>2992</v>
      </c>
      <c r="K502" t="s">
        <v>1288</v>
      </c>
      <c r="L502" t="s">
        <v>1177</v>
      </c>
      <c r="M502" t="s">
        <v>1274</v>
      </c>
      <c r="N502" t="s">
        <v>1079</v>
      </c>
      <c r="O502" t="s">
        <v>1275</v>
      </c>
      <c r="P502">
        <v>46247</v>
      </c>
      <c r="Q502" t="s">
        <v>1177</v>
      </c>
      <c r="R502" t="s">
        <v>21</v>
      </c>
      <c r="S502" t="s">
        <v>853</v>
      </c>
      <c r="T502" t="s">
        <v>89</v>
      </c>
      <c r="U502" t="s">
        <v>90</v>
      </c>
      <c r="V502">
        <v>8</v>
      </c>
      <c r="W502" t="s">
        <v>1262</v>
      </c>
      <c r="X502" t="s">
        <v>1262</v>
      </c>
      <c r="Y502">
        <v>0</v>
      </c>
      <c r="Z502" t="s">
        <v>1186</v>
      </c>
      <c r="AA502" t="s">
        <v>1177</v>
      </c>
      <c r="AB502" t="s">
        <v>1276</v>
      </c>
      <c r="AC502" t="s">
        <v>1277</v>
      </c>
      <c r="AD502" t="s">
        <v>1278</v>
      </c>
      <c r="AE502" t="s">
        <v>1750</v>
      </c>
      <c r="AF502" t="s">
        <v>1178</v>
      </c>
      <c r="AG502" t="s">
        <v>1190</v>
      </c>
      <c r="AH502" t="s">
        <v>1178</v>
      </c>
      <c r="AI502" t="s">
        <v>1280</v>
      </c>
      <c r="AJ502" t="s">
        <v>1675</v>
      </c>
      <c r="AK502">
        <v>1</v>
      </c>
      <c r="AL502" t="s">
        <v>1262</v>
      </c>
      <c r="AM502">
        <v>46470</v>
      </c>
      <c r="AN502">
        <v>46468</v>
      </c>
      <c r="AO502">
        <v>46464</v>
      </c>
      <c r="AP502">
        <v>46468</v>
      </c>
      <c r="AQ502">
        <v>46468</v>
      </c>
      <c r="AR502">
        <v>46470</v>
      </c>
      <c r="AS502">
        <v>46475</v>
      </c>
      <c r="AT502" t="s">
        <v>1281</v>
      </c>
      <c r="AU502" t="s">
        <v>1177</v>
      </c>
      <c r="AV502" t="s">
        <v>1192</v>
      </c>
      <c r="AW502" t="s">
        <v>1177</v>
      </c>
      <c r="AX502">
        <v>33</v>
      </c>
      <c r="AY502">
        <v>2</v>
      </c>
      <c r="AZ502" t="s">
        <v>1177</v>
      </c>
      <c r="BA502">
        <v>0</v>
      </c>
      <c r="BB502" t="s">
        <v>1262</v>
      </c>
      <c r="BC502" t="s">
        <v>2574</v>
      </c>
      <c r="BD502">
        <v>2</v>
      </c>
      <c r="BE502">
        <v>46254</v>
      </c>
      <c r="BF502" t="s">
        <v>1165</v>
      </c>
      <c r="BG502" t="e">
        <v>#N/A</v>
      </c>
      <c r="BH502" t="e">
        <v>#N/A</v>
      </c>
      <c r="BI502" t="e">
        <v>#N/A</v>
      </c>
    </row>
    <row r="503" spans="1:61" x14ac:dyDescent="0.35">
      <c r="A503" s="7" t="str">
        <f t="shared" si="14"/>
        <v>462474300011702</v>
      </c>
      <c r="B503" s="7" t="str">
        <f t="shared" si="15"/>
        <v>GP078780B838</v>
      </c>
      <c r="C503" t="s">
        <v>2993</v>
      </c>
      <c r="D503" t="s">
        <v>1285</v>
      </c>
      <c r="E503" t="s">
        <v>1177</v>
      </c>
      <c r="F503" t="s">
        <v>1270</v>
      </c>
      <c r="G503" t="s">
        <v>1236</v>
      </c>
      <c r="H503" t="s">
        <v>1271</v>
      </c>
      <c r="I503">
        <v>46247</v>
      </c>
      <c r="J503" t="s">
        <v>2994</v>
      </c>
      <c r="K503" t="s">
        <v>1285</v>
      </c>
      <c r="L503" t="s">
        <v>1177</v>
      </c>
      <c r="M503" t="s">
        <v>1274</v>
      </c>
      <c r="N503" t="s">
        <v>1079</v>
      </c>
      <c r="O503" t="s">
        <v>1275</v>
      </c>
      <c r="P503">
        <v>46247</v>
      </c>
      <c r="Q503" t="s">
        <v>1177</v>
      </c>
      <c r="R503" t="s">
        <v>48</v>
      </c>
      <c r="S503" t="s">
        <v>745</v>
      </c>
      <c r="T503" t="s">
        <v>46</v>
      </c>
      <c r="U503" t="s">
        <v>47</v>
      </c>
      <c r="V503">
        <v>3</v>
      </c>
      <c r="W503" t="s">
        <v>1262</v>
      </c>
      <c r="X503" t="s">
        <v>1262</v>
      </c>
      <c r="Y503">
        <v>0</v>
      </c>
      <c r="Z503" t="s">
        <v>1186</v>
      </c>
      <c r="AA503" t="s">
        <v>1177</v>
      </c>
      <c r="AB503" t="s">
        <v>1276</v>
      </c>
      <c r="AC503" t="s">
        <v>1277</v>
      </c>
      <c r="AD503" t="s">
        <v>1278</v>
      </c>
      <c r="AE503" t="s">
        <v>1359</v>
      </c>
      <c r="AF503" t="s">
        <v>1178</v>
      </c>
      <c r="AG503" t="s">
        <v>1190</v>
      </c>
      <c r="AH503" t="s">
        <v>1178</v>
      </c>
      <c r="AI503" t="s">
        <v>1280</v>
      </c>
      <c r="AJ503" t="s">
        <v>1190</v>
      </c>
      <c r="AK503">
        <v>0</v>
      </c>
      <c r="AL503" t="s">
        <v>1262</v>
      </c>
      <c r="AM503">
        <v>46273</v>
      </c>
      <c r="AN503">
        <v>46416</v>
      </c>
      <c r="AO503">
        <v>46261</v>
      </c>
      <c r="AP503">
        <v>46265</v>
      </c>
      <c r="AQ503">
        <v>46265</v>
      </c>
      <c r="AR503">
        <v>46267</v>
      </c>
      <c r="AS503">
        <v>46269</v>
      </c>
      <c r="AT503" t="s">
        <v>1281</v>
      </c>
      <c r="AU503" t="s">
        <v>1177</v>
      </c>
      <c r="AV503" t="s">
        <v>1192</v>
      </c>
      <c r="AW503" t="s">
        <v>1177</v>
      </c>
      <c r="AX503">
        <v>33</v>
      </c>
      <c r="AY503">
        <v>2</v>
      </c>
      <c r="AZ503" t="s">
        <v>1177</v>
      </c>
      <c r="BA503">
        <v>0</v>
      </c>
      <c r="BB503" t="s">
        <v>1262</v>
      </c>
      <c r="BC503" t="s">
        <v>2081</v>
      </c>
      <c r="BD503">
        <v>3</v>
      </c>
      <c r="BE503">
        <v>46254</v>
      </c>
      <c r="BF503" t="s">
        <v>1165</v>
      </c>
      <c r="BG503" t="e">
        <v>#N/A</v>
      </c>
      <c r="BH503" t="e">
        <v>#N/A</v>
      </c>
      <c r="BI503" t="e">
        <v>#N/A</v>
      </c>
    </row>
    <row r="504" spans="1:61" x14ac:dyDescent="0.35">
      <c r="A504" s="7" t="str">
        <f t="shared" si="14"/>
        <v>462514300011727</v>
      </c>
      <c r="B504" s="7" t="str">
        <f t="shared" si="15"/>
        <v>GP307720B838</v>
      </c>
      <c r="C504" t="s">
        <v>2995</v>
      </c>
      <c r="D504" t="s">
        <v>1182</v>
      </c>
      <c r="E504" t="s">
        <v>1177</v>
      </c>
      <c r="F504" t="s">
        <v>1270</v>
      </c>
      <c r="G504" t="s">
        <v>1236</v>
      </c>
      <c r="H504" t="s">
        <v>1271</v>
      </c>
      <c r="I504">
        <v>46251</v>
      </c>
      <c r="J504" t="s">
        <v>2996</v>
      </c>
      <c r="K504" t="s">
        <v>1182</v>
      </c>
      <c r="L504" t="s">
        <v>1177</v>
      </c>
      <c r="M504" t="s">
        <v>1274</v>
      </c>
      <c r="N504" t="s">
        <v>1079</v>
      </c>
      <c r="O504" t="s">
        <v>1275</v>
      </c>
      <c r="P504">
        <v>46251</v>
      </c>
      <c r="Q504" t="s">
        <v>1177</v>
      </c>
      <c r="R504" t="s">
        <v>48</v>
      </c>
      <c r="S504" t="s">
        <v>745</v>
      </c>
      <c r="T504" t="s">
        <v>85</v>
      </c>
      <c r="U504" t="s">
        <v>86</v>
      </c>
      <c r="V504">
        <v>2</v>
      </c>
      <c r="W504" t="s">
        <v>1262</v>
      </c>
      <c r="X504" t="s">
        <v>1262</v>
      </c>
      <c r="Y504">
        <v>0</v>
      </c>
      <c r="Z504" t="s">
        <v>1186</v>
      </c>
      <c r="AA504" t="s">
        <v>1177</v>
      </c>
      <c r="AB504" t="s">
        <v>1286</v>
      </c>
      <c r="AC504" t="s">
        <v>1277</v>
      </c>
      <c r="AD504" t="s">
        <v>1278</v>
      </c>
      <c r="AE504" t="s">
        <v>2063</v>
      </c>
      <c r="AF504" t="s">
        <v>1178</v>
      </c>
      <c r="AG504" t="s">
        <v>1178</v>
      </c>
      <c r="AH504" t="s">
        <v>1178</v>
      </c>
      <c r="AI504" t="s">
        <v>1280</v>
      </c>
      <c r="AJ504" t="s">
        <v>1189</v>
      </c>
      <c r="AK504">
        <v>2</v>
      </c>
      <c r="AL504" t="s">
        <v>1262</v>
      </c>
      <c r="AM504">
        <v>46281</v>
      </c>
      <c r="AN504">
        <v>46275</v>
      </c>
      <c r="AO504">
        <v>46275</v>
      </c>
      <c r="AP504">
        <v>46279</v>
      </c>
      <c r="AQ504">
        <v>46279</v>
      </c>
      <c r="AR504">
        <v>46281</v>
      </c>
      <c r="AS504">
        <v>46283</v>
      </c>
      <c r="AT504" t="s">
        <v>1281</v>
      </c>
      <c r="AU504" t="s">
        <v>1177</v>
      </c>
      <c r="AV504" t="s">
        <v>1192</v>
      </c>
      <c r="AW504" t="s">
        <v>1177</v>
      </c>
      <c r="AX504">
        <v>33</v>
      </c>
      <c r="AY504">
        <v>2</v>
      </c>
      <c r="AZ504" t="s">
        <v>1177</v>
      </c>
      <c r="BA504">
        <v>0</v>
      </c>
      <c r="BB504" t="s">
        <v>1262</v>
      </c>
      <c r="BC504" t="e">
        <v>#N/A</v>
      </c>
      <c r="BD504" t="e">
        <v>#N/A</v>
      </c>
      <c r="BE504" t="e">
        <v>#N/A</v>
      </c>
      <c r="BF504" t="e">
        <v>#N/A</v>
      </c>
      <c r="BG504" t="e">
        <v>#N/A</v>
      </c>
      <c r="BH504" t="e">
        <v>#N/A</v>
      </c>
      <c r="BI504" t="e">
        <v>#N/A</v>
      </c>
    </row>
    <row r="505" spans="1:61" x14ac:dyDescent="0.35">
      <c r="A505" s="7" t="str">
        <f t="shared" si="14"/>
        <v>462524300011740</v>
      </c>
      <c r="B505" s="7" t="str">
        <f t="shared" si="15"/>
        <v>GP594605B856</v>
      </c>
      <c r="C505" t="s">
        <v>2998</v>
      </c>
      <c r="D505" t="s">
        <v>1182</v>
      </c>
      <c r="E505" t="s">
        <v>1177</v>
      </c>
      <c r="F505" t="s">
        <v>2999</v>
      </c>
      <c r="G505" t="s">
        <v>2603</v>
      </c>
      <c r="H505" t="s">
        <v>1271</v>
      </c>
      <c r="I505">
        <v>46252</v>
      </c>
      <c r="J505" t="s">
        <v>3000</v>
      </c>
      <c r="K505" t="s">
        <v>1182</v>
      </c>
      <c r="L505" t="s">
        <v>1177</v>
      </c>
      <c r="M505" t="s">
        <v>1274</v>
      </c>
      <c r="N505" t="s">
        <v>1079</v>
      </c>
      <c r="O505" t="s">
        <v>1275</v>
      </c>
      <c r="P505">
        <v>46252</v>
      </c>
      <c r="Q505" t="s">
        <v>1177</v>
      </c>
      <c r="R505" t="s">
        <v>21</v>
      </c>
      <c r="S505" t="s">
        <v>853</v>
      </c>
      <c r="T505" t="s">
        <v>3001</v>
      </c>
      <c r="U505" t="s">
        <v>3002</v>
      </c>
      <c r="V505">
        <v>390</v>
      </c>
      <c r="W505" t="s">
        <v>1404</v>
      </c>
      <c r="X505" t="s">
        <v>1404</v>
      </c>
      <c r="Y505">
        <v>0</v>
      </c>
      <c r="Z505" t="s">
        <v>1186</v>
      </c>
      <c r="AA505" t="s">
        <v>1177</v>
      </c>
      <c r="AB505" t="s">
        <v>1177</v>
      </c>
      <c r="AC505" t="s">
        <v>1177</v>
      </c>
      <c r="AD505" t="s">
        <v>1204</v>
      </c>
      <c r="AE505" t="s">
        <v>1747</v>
      </c>
      <c r="AF505" t="s">
        <v>1189</v>
      </c>
      <c r="AG505" t="s">
        <v>1190</v>
      </c>
      <c r="AH505" t="s">
        <v>1178</v>
      </c>
      <c r="AI505" t="s">
        <v>1280</v>
      </c>
      <c r="AJ505" t="s">
        <v>1190</v>
      </c>
      <c r="AK505">
        <v>0</v>
      </c>
      <c r="AL505" t="s">
        <v>1404</v>
      </c>
      <c r="AM505">
        <v>46421</v>
      </c>
      <c r="AN505">
        <v>46415</v>
      </c>
      <c r="AO505">
        <v>46415</v>
      </c>
      <c r="AP505">
        <v>46419</v>
      </c>
      <c r="AQ505">
        <v>46419</v>
      </c>
      <c r="AR505">
        <v>46421</v>
      </c>
      <c r="AS505">
        <v>46423</v>
      </c>
      <c r="AT505" t="s">
        <v>1281</v>
      </c>
      <c r="AU505" t="s">
        <v>1177</v>
      </c>
      <c r="AV505" t="s">
        <v>1192</v>
      </c>
      <c r="AW505" t="s">
        <v>1177</v>
      </c>
      <c r="AX505">
        <v>176</v>
      </c>
      <c r="AY505">
        <v>2</v>
      </c>
      <c r="AZ505" t="s">
        <v>1177</v>
      </c>
      <c r="BA505">
        <v>0</v>
      </c>
      <c r="BB505" t="s">
        <v>1404</v>
      </c>
      <c r="BC505" t="s">
        <v>3003</v>
      </c>
      <c r="BD505">
        <v>198</v>
      </c>
      <c r="BE505">
        <v>46286</v>
      </c>
      <c r="BF505" t="s">
        <v>1165</v>
      </c>
      <c r="BG505" t="s">
        <v>3004</v>
      </c>
      <c r="BH505" t="e">
        <v>#N/A</v>
      </c>
      <c r="BI505" t="e">
        <v>#N/A</v>
      </c>
    </row>
    <row r="506" spans="1:61" x14ac:dyDescent="0.35">
      <c r="A506" s="7" t="str">
        <f t="shared" si="14"/>
        <v>462524300011743</v>
      </c>
      <c r="B506" s="7" t="str">
        <f t="shared" si="15"/>
        <v>GP467716B838</v>
      </c>
      <c r="C506" t="s">
        <v>3005</v>
      </c>
      <c r="D506" t="s">
        <v>1182</v>
      </c>
      <c r="E506" t="s">
        <v>1177</v>
      </c>
      <c r="F506" t="s">
        <v>1270</v>
      </c>
      <c r="G506" t="s">
        <v>1236</v>
      </c>
      <c r="H506" t="s">
        <v>1271</v>
      </c>
      <c r="I506">
        <v>46252</v>
      </c>
      <c r="J506" t="s">
        <v>3006</v>
      </c>
      <c r="K506" t="s">
        <v>1182</v>
      </c>
      <c r="L506" t="s">
        <v>1177</v>
      </c>
      <c r="M506" t="s">
        <v>1274</v>
      </c>
      <c r="N506" t="s">
        <v>1079</v>
      </c>
      <c r="O506" t="s">
        <v>1275</v>
      </c>
      <c r="P506">
        <v>46252</v>
      </c>
      <c r="Q506" t="s">
        <v>1177</v>
      </c>
      <c r="R506" t="s">
        <v>48</v>
      </c>
      <c r="S506" t="s">
        <v>745</v>
      </c>
      <c r="T506" t="s">
        <v>106</v>
      </c>
      <c r="U506" t="s">
        <v>107</v>
      </c>
      <c r="V506">
        <v>6</v>
      </c>
      <c r="W506" t="s">
        <v>1262</v>
      </c>
      <c r="X506" t="s">
        <v>1262</v>
      </c>
      <c r="Y506">
        <v>0</v>
      </c>
      <c r="Z506" t="s">
        <v>1186</v>
      </c>
      <c r="AA506" t="s">
        <v>1177</v>
      </c>
      <c r="AB506" t="s">
        <v>1276</v>
      </c>
      <c r="AC506" t="s">
        <v>1277</v>
      </c>
      <c r="AD506" t="s">
        <v>1278</v>
      </c>
      <c r="AE506" t="s">
        <v>2404</v>
      </c>
      <c r="AF506" t="s">
        <v>1178</v>
      </c>
      <c r="AG506" t="s">
        <v>1190</v>
      </c>
      <c r="AH506" t="s">
        <v>1178</v>
      </c>
      <c r="AI506" t="s">
        <v>1280</v>
      </c>
      <c r="AJ506" t="s">
        <v>1190</v>
      </c>
      <c r="AK506">
        <v>0</v>
      </c>
      <c r="AL506" t="s">
        <v>1262</v>
      </c>
      <c r="AM506">
        <v>46373</v>
      </c>
      <c r="AN506">
        <v>46399</v>
      </c>
      <c r="AO506">
        <v>46366</v>
      </c>
      <c r="AP506">
        <v>46370</v>
      </c>
      <c r="AQ506">
        <v>46370</v>
      </c>
      <c r="AR506">
        <v>46372</v>
      </c>
      <c r="AS506">
        <v>46374</v>
      </c>
      <c r="AT506" t="s">
        <v>1281</v>
      </c>
      <c r="AU506" t="s">
        <v>1177</v>
      </c>
      <c r="AV506" t="s">
        <v>1192</v>
      </c>
      <c r="AW506" t="s">
        <v>1177</v>
      </c>
      <c r="AX506">
        <v>33</v>
      </c>
      <c r="AY506">
        <v>2</v>
      </c>
      <c r="AZ506" t="s">
        <v>1177</v>
      </c>
      <c r="BA506">
        <v>0</v>
      </c>
      <c r="BB506" t="s">
        <v>1262</v>
      </c>
      <c r="BC506" t="s">
        <v>3007</v>
      </c>
      <c r="BD506">
        <v>3</v>
      </c>
      <c r="BE506">
        <v>46293</v>
      </c>
      <c r="BF506" t="s">
        <v>1165</v>
      </c>
      <c r="BG506" t="e">
        <v>#N/A</v>
      </c>
      <c r="BH506" t="e">
        <v>#N/A</v>
      </c>
      <c r="BI506" t="e">
        <v>#N/A</v>
      </c>
    </row>
    <row r="507" spans="1:61" x14ac:dyDescent="0.35">
      <c r="A507" s="7" t="str">
        <f t="shared" si="14"/>
        <v>462544300011762</v>
      </c>
      <c r="B507" s="7" t="str">
        <f t="shared" si="15"/>
        <v>GP004975B825</v>
      </c>
      <c r="C507" t="s">
        <v>3008</v>
      </c>
      <c r="D507" t="s">
        <v>1182</v>
      </c>
      <c r="E507" t="s">
        <v>1177</v>
      </c>
      <c r="F507" t="s">
        <v>1248</v>
      </c>
      <c r="G507" t="s">
        <v>1236</v>
      </c>
      <c r="H507" t="s">
        <v>1271</v>
      </c>
      <c r="I507">
        <v>46254</v>
      </c>
      <c r="J507" t="s">
        <v>3009</v>
      </c>
      <c r="K507" t="s">
        <v>1182</v>
      </c>
      <c r="L507" t="s">
        <v>1177</v>
      </c>
      <c r="M507" t="s">
        <v>1274</v>
      </c>
      <c r="N507" t="s">
        <v>1079</v>
      </c>
      <c r="O507" t="s">
        <v>3010</v>
      </c>
      <c r="P507">
        <v>46254</v>
      </c>
      <c r="Q507" t="s">
        <v>1185</v>
      </c>
      <c r="R507" t="s">
        <v>16</v>
      </c>
      <c r="S507" t="s">
        <v>512</v>
      </c>
      <c r="T507" t="s">
        <v>32</v>
      </c>
      <c r="U507" t="s">
        <v>33</v>
      </c>
      <c r="V507">
        <v>1</v>
      </c>
      <c r="W507" t="s">
        <v>1262</v>
      </c>
      <c r="X507" t="s">
        <v>1262</v>
      </c>
      <c r="Y507">
        <v>0</v>
      </c>
      <c r="Z507" t="s">
        <v>1186</v>
      </c>
      <c r="AA507" t="s">
        <v>1177</v>
      </c>
      <c r="AB507" t="s">
        <v>3011</v>
      </c>
      <c r="AC507" t="s">
        <v>1277</v>
      </c>
      <c r="AD507" t="s">
        <v>1278</v>
      </c>
      <c r="AE507" t="s">
        <v>2728</v>
      </c>
      <c r="AF507" t="s">
        <v>1177</v>
      </c>
      <c r="AG507" t="s">
        <v>1190</v>
      </c>
      <c r="AH507" t="s">
        <v>1178</v>
      </c>
      <c r="AI507" t="s">
        <v>1349</v>
      </c>
      <c r="AJ507" t="s">
        <v>1190</v>
      </c>
      <c r="AK507">
        <v>0</v>
      </c>
      <c r="AL507" t="s">
        <v>1262</v>
      </c>
      <c r="AM507">
        <v>46286</v>
      </c>
      <c r="AN507">
        <v>46503</v>
      </c>
      <c r="AO507">
        <v>46279</v>
      </c>
      <c r="AP507">
        <v>46281</v>
      </c>
      <c r="AQ507">
        <v>46281</v>
      </c>
      <c r="AR507">
        <v>46283</v>
      </c>
      <c r="AS507">
        <v>46287</v>
      </c>
      <c r="AT507" t="s">
        <v>1281</v>
      </c>
      <c r="AU507" t="s">
        <v>1177</v>
      </c>
      <c r="AV507" t="s">
        <v>1192</v>
      </c>
      <c r="AW507" t="s">
        <v>1177</v>
      </c>
      <c r="AX507">
        <v>33</v>
      </c>
      <c r="AY507">
        <v>2</v>
      </c>
      <c r="AZ507" t="s">
        <v>1177</v>
      </c>
      <c r="BA507">
        <v>0</v>
      </c>
      <c r="BB507" t="s">
        <v>1262</v>
      </c>
      <c r="BC507" t="e">
        <v>#N/A</v>
      </c>
      <c r="BD507" t="e">
        <v>#N/A</v>
      </c>
      <c r="BE507" t="e">
        <v>#N/A</v>
      </c>
      <c r="BF507" t="e">
        <v>#N/A</v>
      </c>
      <c r="BG507" t="e">
        <v>#N/A</v>
      </c>
      <c r="BH507" t="e">
        <v>#N/A</v>
      </c>
      <c r="BI507" t="e">
        <v>#N/A</v>
      </c>
    </row>
    <row r="508" spans="1:61" x14ac:dyDescent="0.35">
      <c r="A508" s="7" t="str">
        <f t="shared" si="14"/>
        <v>462554300011770</v>
      </c>
      <c r="B508" s="7" t="str">
        <f t="shared" si="15"/>
        <v>149391-002B857</v>
      </c>
      <c r="C508" t="s">
        <v>3012</v>
      </c>
      <c r="D508" t="s">
        <v>1198</v>
      </c>
      <c r="E508" t="s">
        <v>1177</v>
      </c>
      <c r="F508" t="s">
        <v>1334</v>
      </c>
      <c r="G508" t="s">
        <v>1236</v>
      </c>
      <c r="H508" t="s">
        <v>1271</v>
      </c>
      <c r="I508">
        <v>46255</v>
      </c>
      <c r="J508" t="s">
        <v>3013</v>
      </c>
      <c r="K508" t="s">
        <v>1182</v>
      </c>
      <c r="L508" t="s">
        <v>1177</v>
      </c>
      <c r="M508" t="s">
        <v>1274</v>
      </c>
      <c r="N508" t="s">
        <v>1079</v>
      </c>
      <c r="O508" t="s">
        <v>1275</v>
      </c>
      <c r="P508">
        <v>46255</v>
      </c>
      <c r="Q508" t="s">
        <v>1177</v>
      </c>
      <c r="R508" t="s">
        <v>23</v>
      </c>
      <c r="S508" t="s">
        <v>959</v>
      </c>
      <c r="T508" t="s">
        <v>135</v>
      </c>
      <c r="U508" t="s">
        <v>136</v>
      </c>
      <c r="V508">
        <v>60</v>
      </c>
      <c r="W508" t="s">
        <v>1185</v>
      </c>
      <c r="X508" t="s">
        <v>1185</v>
      </c>
      <c r="Y508">
        <v>0</v>
      </c>
      <c r="Z508" t="s">
        <v>1186</v>
      </c>
      <c r="AA508" t="s">
        <v>1177</v>
      </c>
      <c r="AB508" t="s">
        <v>1177</v>
      </c>
      <c r="AC508" t="s">
        <v>1177</v>
      </c>
      <c r="AD508" t="s">
        <v>1204</v>
      </c>
      <c r="AE508" t="s">
        <v>2246</v>
      </c>
      <c r="AF508" t="s">
        <v>1189</v>
      </c>
      <c r="AG508" t="s">
        <v>1190</v>
      </c>
      <c r="AH508" t="s">
        <v>1178</v>
      </c>
      <c r="AI508" t="s">
        <v>1280</v>
      </c>
      <c r="AJ508" t="s">
        <v>1189</v>
      </c>
      <c r="AK508">
        <v>60</v>
      </c>
      <c r="AL508" t="s">
        <v>1185</v>
      </c>
      <c r="AM508">
        <v>46281</v>
      </c>
      <c r="AN508">
        <v>46275</v>
      </c>
      <c r="AO508">
        <v>46275</v>
      </c>
      <c r="AP508">
        <v>46279</v>
      </c>
      <c r="AQ508">
        <v>46279</v>
      </c>
      <c r="AR508">
        <v>46281</v>
      </c>
      <c r="AS508">
        <v>46283</v>
      </c>
      <c r="AT508" t="s">
        <v>1281</v>
      </c>
      <c r="AU508" t="s">
        <v>1177</v>
      </c>
      <c r="AV508" t="s">
        <v>1192</v>
      </c>
      <c r="AW508" t="s">
        <v>1177</v>
      </c>
      <c r="AX508">
        <v>33</v>
      </c>
      <c r="AY508">
        <v>2</v>
      </c>
      <c r="AZ508" t="s">
        <v>1177</v>
      </c>
      <c r="BA508">
        <v>0</v>
      </c>
      <c r="BB508" t="s">
        <v>1185</v>
      </c>
      <c r="BC508" t="e">
        <v>#N/A</v>
      </c>
      <c r="BD508" t="e">
        <v>#N/A</v>
      </c>
      <c r="BE508" t="e">
        <v>#N/A</v>
      </c>
      <c r="BF508" t="e">
        <v>#N/A</v>
      </c>
      <c r="BG508" t="e">
        <v>#N/A</v>
      </c>
      <c r="BH508" t="e">
        <v>#N/A</v>
      </c>
      <c r="BI508" t="e">
        <v>#N/A</v>
      </c>
    </row>
    <row r="509" spans="1:61" x14ac:dyDescent="0.35">
      <c r="A509" s="7" t="str">
        <f t="shared" si="14"/>
        <v>462554300011771</v>
      </c>
      <c r="B509" s="7" t="str">
        <f t="shared" si="15"/>
        <v>GP591833B825</v>
      </c>
      <c r="C509" t="s">
        <v>3014</v>
      </c>
      <c r="D509" t="s">
        <v>1182</v>
      </c>
      <c r="E509" t="s">
        <v>1177</v>
      </c>
      <c r="F509" t="s">
        <v>1248</v>
      </c>
      <c r="G509" t="s">
        <v>1236</v>
      </c>
      <c r="H509" t="s">
        <v>1271</v>
      </c>
      <c r="I509">
        <v>46255</v>
      </c>
      <c r="J509" t="s">
        <v>3015</v>
      </c>
      <c r="K509" t="s">
        <v>1182</v>
      </c>
      <c r="L509" t="s">
        <v>1177</v>
      </c>
      <c r="M509" t="s">
        <v>1274</v>
      </c>
      <c r="N509" t="s">
        <v>1079</v>
      </c>
      <c r="O509" t="s">
        <v>1275</v>
      </c>
      <c r="P509">
        <v>46255</v>
      </c>
      <c r="Q509" t="s">
        <v>1177</v>
      </c>
      <c r="R509" t="s">
        <v>16</v>
      </c>
      <c r="S509" t="s">
        <v>512</v>
      </c>
      <c r="T509" t="s">
        <v>3016</v>
      </c>
      <c r="U509" t="s">
        <v>3017</v>
      </c>
      <c r="V509">
        <v>5</v>
      </c>
      <c r="W509" t="s">
        <v>1262</v>
      </c>
      <c r="X509" t="s">
        <v>1262</v>
      </c>
      <c r="Y509">
        <v>0</v>
      </c>
      <c r="Z509" t="s">
        <v>1186</v>
      </c>
      <c r="AA509" t="s">
        <v>1177</v>
      </c>
      <c r="AB509" t="s">
        <v>1276</v>
      </c>
      <c r="AC509" t="s">
        <v>1277</v>
      </c>
      <c r="AD509" t="s">
        <v>1278</v>
      </c>
      <c r="AE509" t="s">
        <v>2405</v>
      </c>
      <c r="AF509" t="s">
        <v>1178</v>
      </c>
      <c r="AG509" t="s">
        <v>1190</v>
      </c>
      <c r="AH509" t="s">
        <v>1178</v>
      </c>
      <c r="AI509" t="s">
        <v>1349</v>
      </c>
      <c r="AJ509" t="s">
        <v>1189</v>
      </c>
      <c r="AK509">
        <v>5</v>
      </c>
      <c r="AL509" t="s">
        <v>1262</v>
      </c>
      <c r="AM509">
        <v>46339</v>
      </c>
      <c r="AN509">
        <v>46335</v>
      </c>
      <c r="AO509">
        <v>46335</v>
      </c>
      <c r="AP509">
        <v>46337</v>
      </c>
      <c r="AQ509">
        <v>46337</v>
      </c>
      <c r="AR509">
        <v>46339</v>
      </c>
      <c r="AS509">
        <v>46339</v>
      </c>
      <c r="AT509" t="s">
        <v>1281</v>
      </c>
      <c r="AU509" t="s">
        <v>1177</v>
      </c>
      <c r="AV509" t="s">
        <v>1192</v>
      </c>
      <c r="AW509" t="s">
        <v>1177</v>
      </c>
      <c r="AX509">
        <v>0</v>
      </c>
      <c r="AY509">
        <v>0</v>
      </c>
      <c r="AZ509" t="s">
        <v>1177</v>
      </c>
      <c r="BA509">
        <v>0</v>
      </c>
      <c r="BB509" t="s">
        <v>1262</v>
      </c>
      <c r="BC509" t="e">
        <v>#N/A</v>
      </c>
      <c r="BD509" t="e">
        <v>#N/A</v>
      </c>
      <c r="BE509" t="e">
        <v>#N/A</v>
      </c>
      <c r="BF509" t="e">
        <v>#N/A</v>
      </c>
      <c r="BG509" t="e">
        <v>#N/A</v>
      </c>
      <c r="BH509" t="e">
        <v>#N/A</v>
      </c>
      <c r="BI509" t="e">
        <v>#N/A</v>
      </c>
    </row>
    <row r="510" spans="1:61" x14ac:dyDescent="0.35">
      <c r="A510" s="7" t="str">
        <f t="shared" si="14"/>
        <v>462554300011775</v>
      </c>
      <c r="B510" s="7" t="str">
        <f t="shared" si="15"/>
        <v>GP042480B864</v>
      </c>
      <c r="C510" t="s">
        <v>3018</v>
      </c>
      <c r="D510" t="s">
        <v>1182</v>
      </c>
      <c r="E510" t="s">
        <v>1177</v>
      </c>
      <c r="F510" t="s">
        <v>2990</v>
      </c>
      <c r="G510" t="s">
        <v>2399</v>
      </c>
      <c r="H510" t="s">
        <v>1271</v>
      </c>
      <c r="I510">
        <v>46255</v>
      </c>
      <c r="J510" t="s">
        <v>3019</v>
      </c>
      <c r="K510" t="s">
        <v>1182</v>
      </c>
      <c r="L510" t="s">
        <v>1177</v>
      </c>
      <c r="M510" t="s">
        <v>1274</v>
      </c>
      <c r="N510" t="s">
        <v>1079</v>
      </c>
      <c r="O510" t="s">
        <v>1275</v>
      </c>
      <c r="P510">
        <v>46255</v>
      </c>
      <c r="Q510" t="s">
        <v>1177</v>
      </c>
      <c r="R510" t="s">
        <v>10</v>
      </c>
      <c r="S510" t="s">
        <v>1011</v>
      </c>
      <c r="T510" t="s">
        <v>3020</v>
      </c>
      <c r="U510" t="s">
        <v>3021</v>
      </c>
      <c r="V510">
        <v>114</v>
      </c>
      <c r="W510" t="s">
        <v>1262</v>
      </c>
      <c r="X510" t="s">
        <v>1262</v>
      </c>
      <c r="Y510">
        <v>0</v>
      </c>
      <c r="Z510" t="s">
        <v>1186</v>
      </c>
      <c r="AA510" t="s">
        <v>1177</v>
      </c>
      <c r="AB510" t="s">
        <v>1177</v>
      </c>
      <c r="AC510" t="s">
        <v>1177</v>
      </c>
      <c r="AD510" t="s">
        <v>1313</v>
      </c>
      <c r="AE510" t="s">
        <v>1378</v>
      </c>
      <c r="AF510" t="s">
        <v>1189</v>
      </c>
      <c r="AG510" t="s">
        <v>1190</v>
      </c>
      <c r="AH510" t="s">
        <v>1178</v>
      </c>
      <c r="AI510" t="s">
        <v>1280</v>
      </c>
      <c r="AJ510" t="s">
        <v>1189</v>
      </c>
      <c r="AK510">
        <v>114</v>
      </c>
      <c r="AL510" t="s">
        <v>1262</v>
      </c>
      <c r="AM510">
        <v>46344</v>
      </c>
      <c r="AN510">
        <v>46338</v>
      </c>
      <c r="AO510">
        <v>46338</v>
      </c>
      <c r="AP510">
        <v>46342</v>
      </c>
      <c r="AQ510">
        <v>46342</v>
      </c>
      <c r="AR510">
        <v>46344</v>
      </c>
      <c r="AS510">
        <v>46344</v>
      </c>
      <c r="AT510" t="s">
        <v>1281</v>
      </c>
      <c r="AU510" t="s">
        <v>1177</v>
      </c>
      <c r="AV510" t="s">
        <v>1192</v>
      </c>
      <c r="AW510" t="s">
        <v>1177</v>
      </c>
      <c r="AX510">
        <v>0</v>
      </c>
      <c r="AY510">
        <v>0</v>
      </c>
      <c r="AZ510" t="s">
        <v>1177</v>
      </c>
      <c r="BA510">
        <v>0</v>
      </c>
      <c r="BB510" t="s">
        <v>1262</v>
      </c>
      <c r="BC510" t="e">
        <v>#N/A</v>
      </c>
      <c r="BD510" t="e">
        <v>#N/A</v>
      </c>
      <c r="BE510" t="e">
        <v>#N/A</v>
      </c>
      <c r="BF510" t="e">
        <v>#N/A</v>
      </c>
      <c r="BG510" t="s">
        <v>1551</v>
      </c>
      <c r="BH510" t="e">
        <v>#N/A</v>
      </c>
      <c r="BI510" t="e">
        <v>#N/A</v>
      </c>
    </row>
    <row r="511" spans="1:61" x14ac:dyDescent="0.35">
      <c r="A511" s="7" t="str">
        <f t="shared" si="14"/>
        <v>462554300011776</v>
      </c>
      <c r="B511" s="7" t="str">
        <f t="shared" si="15"/>
        <v>GP042480B865</v>
      </c>
      <c r="C511" t="s">
        <v>3022</v>
      </c>
      <c r="D511" t="s">
        <v>1182</v>
      </c>
      <c r="E511" t="s">
        <v>1177</v>
      </c>
      <c r="F511" t="s">
        <v>2990</v>
      </c>
      <c r="G511" t="s">
        <v>2399</v>
      </c>
      <c r="H511" t="s">
        <v>1271</v>
      </c>
      <c r="I511">
        <v>46255</v>
      </c>
      <c r="J511" t="s">
        <v>3023</v>
      </c>
      <c r="K511" t="s">
        <v>1182</v>
      </c>
      <c r="L511" t="s">
        <v>1177</v>
      </c>
      <c r="M511" t="s">
        <v>1274</v>
      </c>
      <c r="N511" t="s">
        <v>1079</v>
      </c>
      <c r="O511" t="s">
        <v>1275</v>
      </c>
      <c r="P511">
        <v>46255</v>
      </c>
      <c r="Q511" t="s">
        <v>1177</v>
      </c>
      <c r="R511" t="s">
        <v>7</v>
      </c>
      <c r="S511" t="s">
        <v>1040</v>
      </c>
      <c r="T511" t="s">
        <v>3020</v>
      </c>
      <c r="U511" t="s">
        <v>3021</v>
      </c>
      <c r="V511">
        <v>156</v>
      </c>
      <c r="W511" t="s">
        <v>1262</v>
      </c>
      <c r="X511" t="s">
        <v>1262</v>
      </c>
      <c r="Y511">
        <v>0</v>
      </c>
      <c r="Z511" t="s">
        <v>1186</v>
      </c>
      <c r="AA511" t="s">
        <v>1177</v>
      </c>
      <c r="AB511" t="s">
        <v>1177</v>
      </c>
      <c r="AC511" t="s">
        <v>1177</v>
      </c>
      <c r="AD511" t="s">
        <v>1313</v>
      </c>
      <c r="AE511" t="s">
        <v>1378</v>
      </c>
      <c r="AF511" t="s">
        <v>1189</v>
      </c>
      <c r="AG511" t="s">
        <v>1190</v>
      </c>
      <c r="AH511" t="s">
        <v>1178</v>
      </c>
      <c r="AI511" t="s">
        <v>1349</v>
      </c>
      <c r="AJ511" t="s">
        <v>1189</v>
      </c>
      <c r="AK511">
        <v>156</v>
      </c>
      <c r="AL511" t="s">
        <v>1262</v>
      </c>
      <c r="AM511">
        <v>46346</v>
      </c>
      <c r="AN511">
        <v>46342</v>
      </c>
      <c r="AO511">
        <v>46342</v>
      </c>
      <c r="AP511">
        <v>46344</v>
      </c>
      <c r="AQ511">
        <v>46344</v>
      </c>
      <c r="AR511">
        <v>46346</v>
      </c>
      <c r="AS511">
        <v>46346</v>
      </c>
      <c r="AT511" t="s">
        <v>1281</v>
      </c>
      <c r="AU511" t="s">
        <v>1177</v>
      </c>
      <c r="AV511" t="s">
        <v>1192</v>
      </c>
      <c r="AW511" t="s">
        <v>1177</v>
      </c>
      <c r="AX511">
        <v>0</v>
      </c>
      <c r="AY511">
        <v>0</v>
      </c>
      <c r="AZ511" t="s">
        <v>1177</v>
      </c>
      <c r="BA511">
        <v>0</v>
      </c>
      <c r="BB511" t="s">
        <v>1262</v>
      </c>
      <c r="BC511" t="e">
        <v>#N/A</v>
      </c>
      <c r="BD511" t="e">
        <v>#N/A</v>
      </c>
      <c r="BE511" t="e">
        <v>#N/A</v>
      </c>
      <c r="BF511" t="e">
        <v>#N/A</v>
      </c>
      <c r="BG511" t="s">
        <v>1551</v>
      </c>
      <c r="BH511" t="e">
        <v>#N/A</v>
      </c>
      <c r="BI511" t="e">
        <v>#N/A</v>
      </c>
    </row>
    <row r="512" spans="1:61" x14ac:dyDescent="0.35">
      <c r="A512" s="7" t="str">
        <f t="shared" si="14"/>
        <v>462554300011777</v>
      </c>
      <c r="B512" s="7" t="str">
        <f t="shared" si="15"/>
        <v>GP042480B857</v>
      </c>
      <c r="C512" t="s">
        <v>3024</v>
      </c>
      <c r="D512" t="s">
        <v>1182</v>
      </c>
      <c r="E512" t="s">
        <v>1177</v>
      </c>
      <c r="F512" t="s">
        <v>2990</v>
      </c>
      <c r="G512" t="s">
        <v>2399</v>
      </c>
      <c r="H512" t="s">
        <v>1271</v>
      </c>
      <c r="I512">
        <v>46255</v>
      </c>
      <c r="J512" t="s">
        <v>3025</v>
      </c>
      <c r="K512" t="s">
        <v>1182</v>
      </c>
      <c r="L512" t="s">
        <v>1177</v>
      </c>
      <c r="M512" t="s">
        <v>1274</v>
      </c>
      <c r="N512" t="s">
        <v>1079</v>
      </c>
      <c r="O512" t="s">
        <v>1275</v>
      </c>
      <c r="P512">
        <v>46255</v>
      </c>
      <c r="Q512" t="s">
        <v>1177</v>
      </c>
      <c r="R512" t="s">
        <v>23</v>
      </c>
      <c r="S512" t="s">
        <v>959</v>
      </c>
      <c r="T512" t="s">
        <v>3020</v>
      </c>
      <c r="U512" t="s">
        <v>3021</v>
      </c>
      <c r="V512">
        <v>216</v>
      </c>
      <c r="W512" t="s">
        <v>1262</v>
      </c>
      <c r="X512" t="s">
        <v>1262</v>
      </c>
      <c r="Y512">
        <v>0</v>
      </c>
      <c r="Z512" t="s">
        <v>1186</v>
      </c>
      <c r="AA512" t="s">
        <v>1177</v>
      </c>
      <c r="AB512" t="s">
        <v>1177</v>
      </c>
      <c r="AC512" t="s">
        <v>1177</v>
      </c>
      <c r="AD512" t="s">
        <v>1313</v>
      </c>
      <c r="AE512" t="s">
        <v>1378</v>
      </c>
      <c r="AF512" t="s">
        <v>1189</v>
      </c>
      <c r="AG512" t="s">
        <v>1190</v>
      </c>
      <c r="AH512" t="s">
        <v>1178</v>
      </c>
      <c r="AI512" t="s">
        <v>1280</v>
      </c>
      <c r="AJ512" t="s">
        <v>1189</v>
      </c>
      <c r="AK512">
        <v>216</v>
      </c>
      <c r="AL512" t="s">
        <v>1262</v>
      </c>
      <c r="AM512">
        <v>46344</v>
      </c>
      <c r="AN512">
        <v>46338</v>
      </c>
      <c r="AO512">
        <v>46338</v>
      </c>
      <c r="AP512">
        <v>46342</v>
      </c>
      <c r="AQ512">
        <v>46342</v>
      </c>
      <c r="AR512">
        <v>46344</v>
      </c>
      <c r="AS512">
        <v>46344</v>
      </c>
      <c r="AT512" t="s">
        <v>1281</v>
      </c>
      <c r="AU512" t="s">
        <v>1177</v>
      </c>
      <c r="AV512" t="s">
        <v>1192</v>
      </c>
      <c r="AW512" t="s">
        <v>1177</v>
      </c>
      <c r="AX512">
        <v>0</v>
      </c>
      <c r="AY512">
        <v>0</v>
      </c>
      <c r="AZ512" t="s">
        <v>1177</v>
      </c>
      <c r="BA512">
        <v>0</v>
      </c>
      <c r="BB512" t="s">
        <v>1262</v>
      </c>
      <c r="BC512" t="e">
        <v>#N/A</v>
      </c>
      <c r="BD512" t="e">
        <v>#N/A</v>
      </c>
      <c r="BE512" t="e">
        <v>#N/A</v>
      </c>
      <c r="BF512" t="e">
        <v>#N/A</v>
      </c>
      <c r="BG512" t="s">
        <v>1551</v>
      </c>
      <c r="BH512" t="e">
        <v>#N/A</v>
      </c>
      <c r="BI512" t="e">
        <v>#N/A</v>
      </c>
    </row>
    <row r="513" spans="1:61" x14ac:dyDescent="0.35">
      <c r="A513" s="7" t="str">
        <f t="shared" si="14"/>
        <v>462554300011778</v>
      </c>
      <c r="B513" s="7" t="str">
        <f t="shared" si="15"/>
        <v>GP042480B867</v>
      </c>
      <c r="C513" t="s">
        <v>3026</v>
      </c>
      <c r="D513" t="s">
        <v>1182</v>
      </c>
      <c r="E513" t="s">
        <v>1177</v>
      </c>
      <c r="F513" t="s">
        <v>2990</v>
      </c>
      <c r="G513" t="s">
        <v>2399</v>
      </c>
      <c r="H513" t="s">
        <v>1271</v>
      </c>
      <c r="I513">
        <v>46255</v>
      </c>
      <c r="J513" t="s">
        <v>3027</v>
      </c>
      <c r="K513" t="s">
        <v>1182</v>
      </c>
      <c r="L513" t="s">
        <v>1177</v>
      </c>
      <c r="M513" t="s">
        <v>1274</v>
      </c>
      <c r="N513" t="s">
        <v>1079</v>
      </c>
      <c r="O513" t="s">
        <v>1275</v>
      </c>
      <c r="P513">
        <v>46255</v>
      </c>
      <c r="Q513" t="s">
        <v>1177</v>
      </c>
      <c r="R513" t="s">
        <v>25</v>
      </c>
      <c r="S513" t="s">
        <v>1060</v>
      </c>
      <c r="T513" t="s">
        <v>3020</v>
      </c>
      <c r="U513" t="s">
        <v>3021</v>
      </c>
      <c r="V513">
        <v>264</v>
      </c>
      <c r="W513" t="s">
        <v>1262</v>
      </c>
      <c r="X513" t="s">
        <v>1262</v>
      </c>
      <c r="Y513">
        <v>0</v>
      </c>
      <c r="Z513" t="s">
        <v>1186</v>
      </c>
      <c r="AA513" t="s">
        <v>1177</v>
      </c>
      <c r="AB513" t="s">
        <v>1177</v>
      </c>
      <c r="AC513" t="s">
        <v>1177</v>
      </c>
      <c r="AD513" t="s">
        <v>1313</v>
      </c>
      <c r="AE513" t="s">
        <v>1378</v>
      </c>
      <c r="AF513" t="s">
        <v>1189</v>
      </c>
      <c r="AG513" t="s">
        <v>1190</v>
      </c>
      <c r="AH513" t="s">
        <v>1178</v>
      </c>
      <c r="AI513" t="s">
        <v>1280</v>
      </c>
      <c r="AJ513" t="s">
        <v>1189</v>
      </c>
      <c r="AK513">
        <v>264</v>
      </c>
      <c r="AL513" t="s">
        <v>1262</v>
      </c>
      <c r="AM513">
        <v>46344</v>
      </c>
      <c r="AN513">
        <v>46338</v>
      </c>
      <c r="AO513">
        <v>46338</v>
      </c>
      <c r="AP513">
        <v>46342</v>
      </c>
      <c r="AQ513">
        <v>46342</v>
      </c>
      <c r="AR513">
        <v>46344</v>
      </c>
      <c r="AS513">
        <v>46344</v>
      </c>
      <c r="AT513" t="s">
        <v>1281</v>
      </c>
      <c r="AU513" t="s">
        <v>1177</v>
      </c>
      <c r="AV513" t="s">
        <v>1192</v>
      </c>
      <c r="AW513" t="s">
        <v>1177</v>
      </c>
      <c r="AX513">
        <v>0</v>
      </c>
      <c r="AY513">
        <v>0</v>
      </c>
      <c r="AZ513" t="s">
        <v>1177</v>
      </c>
      <c r="BA513">
        <v>0</v>
      </c>
      <c r="BB513" t="s">
        <v>1262</v>
      </c>
      <c r="BC513" t="e">
        <v>#N/A</v>
      </c>
      <c r="BD513" t="e">
        <v>#N/A</v>
      </c>
      <c r="BE513" t="e">
        <v>#N/A</v>
      </c>
      <c r="BF513" t="e">
        <v>#N/A</v>
      </c>
      <c r="BG513" t="s">
        <v>1551</v>
      </c>
      <c r="BH513" t="e">
        <v>#N/A</v>
      </c>
      <c r="BI513" t="e">
        <v>#N/A</v>
      </c>
    </row>
    <row r="514" spans="1:61" x14ac:dyDescent="0.35">
      <c r="A514" s="7" t="str">
        <f t="shared" ref="A514:A547" si="16">I514&amp;J514</f>
        <v>462584300011781</v>
      </c>
      <c r="B514" s="7" t="str">
        <f t="shared" ref="B514:B547" si="17">_xlfn.CONCAT(T514,R514)</f>
        <v>GP131157B864</v>
      </c>
      <c r="C514" t="s">
        <v>3028</v>
      </c>
      <c r="D514" t="s">
        <v>1182</v>
      </c>
      <c r="E514" t="s">
        <v>1177</v>
      </c>
      <c r="F514" t="s">
        <v>3029</v>
      </c>
      <c r="G514" t="s">
        <v>1236</v>
      </c>
      <c r="H514" t="s">
        <v>1271</v>
      </c>
      <c r="I514">
        <v>46258</v>
      </c>
      <c r="J514" t="s">
        <v>3030</v>
      </c>
      <c r="K514" t="s">
        <v>1182</v>
      </c>
      <c r="L514" t="s">
        <v>1177</v>
      </c>
      <c r="M514" t="s">
        <v>1274</v>
      </c>
      <c r="N514" t="s">
        <v>1079</v>
      </c>
      <c r="O514" t="s">
        <v>1275</v>
      </c>
      <c r="P514">
        <v>46258</v>
      </c>
      <c r="Q514" t="s">
        <v>1177</v>
      </c>
      <c r="R514" t="s">
        <v>10</v>
      </c>
      <c r="S514" t="s">
        <v>1011</v>
      </c>
      <c r="T514" t="s">
        <v>62</v>
      </c>
      <c r="U514" t="s">
        <v>63</v>
      </c>
      <c r="V514">
        <v>250</v>
      </c>
      <c r="W514" t="s">
        <v>1262</v>
      </c>
      <c r="X514" t="s">
        <v>1262</v>
      </c>
      <c r="Y514">
        <v>0</v>
      </c>
      <c r="Z514" t="s">
        <v>1186</v>
      </c>
      <c r="AA514" t="s">
        <v>1177</v>
      </c>
      <c r="AB514" t="s">
        <v>1177</v>
      </c>
      <c r="AC514" t="s">
        <v>1177</v>
      </c>
      <c r="AD514" t="s">
        <v>1204</v>
      </c>
      <c r="AE514" t="s">
        <v>2160</v>
      </c>
      <c r="AF514" t="s">
        <v>1189</v>
      </c>
      <c r="AG514" t="s">
        <v>1178</v>
      </c>
      <c r="AH514" t="s">
        <v>1178</v>
      </c>
      <c r="AI514" t="s">
        <v>1280</v>
      </c>
      <c r="AJ514" t="s">
        <v>1189</v>
      </c>
      <c r="AK514">
        <v>250</v>
      </c>
      <c r="AL514" t="s">
        <v>1262</v>
      </c>
      <c r="AM514">
        <v>46288</v>
      </c>
      <c r="AN514">
        <v>46282</v>
      </c>
      <c r="AO514">
        <v>46282</v>
      </c>
      <c r="AP514">
        <v>46286</v>
      </c>
      <c r="AQ514">
        <v>46286</v>
      </c>
      <c r="AR514">
        <v>46288</v>
      </c>
      <c r="AS514">
        <v>46290</v>
      </c>
      <c r="AT514" t="s">
        <v>1281</v>
      </c>
      <c r="AU514" t="s">
        <v>1177</v>
      </c>
      <c r="AV514" t="s">
        <v>1192</v>
      </c>
      <c r="AW514" t="s">
        <v>1177</v>
      </c>
      <c r="AX514">
        <v>33</v>
      </c>
      <c r="AY514">
        <v>2</v>
      </c>
      <c r="AZ514" t="s">
        <v>1177</v>
      </c>
      <c r="BA514">
        <v>0</v>
      </c>
      <c r="BB514" t="s">
        <v>1262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</row>
    <row r="515" spans="1:61" x14ac:dyDescent="0.35">
      <c r="A515" s="7" t="str">
        <f t="shared" si="16"/>
        <v>462584300011782</v>
      </c>
      <c r="B515" s="7" t="str">
        <f t="shared" si="17"/>
        <v>GP131157B865</v>
      </c>
      <c r="C515" t="s">
        <v>3031</v>
      </c>
      <c r="D515" t="s">
        <v>1182</v>
      </c>
      <c r="E515" t="s">
        <v>1177</v>
      </c>
      <c r="F515" t="s">
        <v>1232</v>
      </c>
      <c r="G515" t="s">
        <v>1236</v>
      </c>
      <c r="H515" t="s">
        <v>1271</v>
      </c>
      <c r="I515">
        <v>46258</v>
      </c>
      <c r="J515" t="s">
        <v>3032</v>
      </c>
      <c r="K515" t="s">
        <v>1182</v>
      </c>
      <c r="L515" t="s">
        <v>1177</v>
      </c>
      <c r="M515" t="s">
        <v>1274</v>
      </c>
      <c r="N515" t="s">
        <v>1079</v>
      </c>
      <c r="O515" t="s">
        <v>1275</v>
      </c>
      <c r="P515">
        <v>46258</v>
      </c>
      <c r="Q515" t="s">
        <v>1177</v>
      </c>
      <c r="R515" t="s">
        <v>7</v>
      </c>
      <c r="S515" t="s">
        <v>1040</v>
      </c>
      <c r="T515" t="s">
        <v>62</v>
      </c>
      <c r="U515" t="s">
        <v>63</v>
      </c>
      <c r="V515">
        <v>250</v>
      </c>
      <c r="W515" t="s">
        <v>1262</v>
      </c>
      <c r="X515" t="s">
        <v>1262</v>
      </c>
      <c r="Y515">
        <v>0</v>
      </c>
      <c r="Z515" t="s">
        <v>1186</v>
      </c>
      <c r="AA515" t="s">
        <v>1177</v>
      </c>
      <c r="AB515" t="s">
        <v>1177</v>
      </c>
      <c r="AC515" t="s">
        <v>1177</v>
      </c>
      <c r="AD515" t="s">
        <v>1313</v>
      </c>
      <c r="AE515" t="s">
        <v>2160</v>
      </c>
      <c r="AF515" t="s">
        <v>1189</v>
      </c>
      <c r="AG515" t="s">
        <v>1178</v>
      </c>
      <c r="AH515" t="s">
        <v>1178</v>
      </c>
      <c r="AI515" t="s">
        <v>1349</v>
      </c>
      <c r="AJ515" t="s">
        <v>1189</v>
      </c>
      <c r="AK515">
        <v>250</v>
      </c>
      <c r="AL515" t="s">
        <v>1262</v>
      </c>
      <c r="AM515">
        <v>46290</v>
      </c>
      <c r="AN515">
        <v>46286</v>
      </c>
      <c r="AO515">
        <v>46286</v>
      </c>
      <c r="AP515">
        <v>46288</v>
      </c>
      <c r="AQ515">
        <v>46288</v>
      </c>
      <c r="AR515">
        <v>46290</v>
      </c>
      <c r="AS515">
        <v>46294</v>
      </c>
      <c r="AT515" t="s">
        <v>1281</v>
      </c>
      <c r="AU515" t="s">
        <v>1177</v>
      </c>
      <c r="AV515" t="s">
        <v>1192</v>
      </c>
      <c r="AW515" t="s">
        <v>1177</v>
      </c>
      <c r="AX515">
        <v>33</v>
      </c>
      <c r="AY515">
        <v>2</v>
      </c>
      <c r="AZ515" t="s">
        <v>1177</v>
      </c>
      <c r="BA515">
        <v>0</v>
      </c>
      <c r="BB515" t="s">
        <v>1262</v>
      </c>
      <c r="BC515" t="e">
        <v>#N/A</v>
      </c>
      <c r="BD515" t="e">
        <v>#N/A</v>
      </c>
      <c r="BE515" t="e">
        <v>#N/A</v>
      </c>
      <c r="BF515" t="e">
        <v>#N/A</v>
      </c>
      <c r="BG515" t="e">
        <v>#N/A</v>
      </c>
      <c r="BH515" t="e">
        <v>#N/A</v>
      </c>
      <c r="BI515" t="e">
        <v>#N/A</v>
      </c>
    </row>
    <row r="516" spans="1:61" x14ac:dyDescent="0.35">
      <c r="A516" s="7" t="str">
        <f t="shared" si="16"/>
        <v>462584300011783</v>
      </c>
      <c r="B516" s="7" t="str">
        <f t="shared" si="17"/>
        <v>218150B865</v>
      </c>
      <c r="C516" t="s">
        <v>3033</v>
      </c>
      <c r="D516" t="s">
        <v>1182</v>
      </c>
      <c r="E516" t="s">
        <v>1177</v>
      </c>
      <c r="F516" t="s">
        <v>1232</v>
      </c>
      <c r="G516" t="s">
        <v>1236</v>
      </c>
      <c r="H516" t="s">
        <v>1271</v>
      </c>
      <c r="I516">
        <v>46258</v>
      </c>
      <c r="J516" t="s">
        <v>3034</v>
      </c>
      <c r="K516" t="s">
        <v>1182</v>
      </c>
      <c r="L516" t="s">
        <v>1177</v>
      </c>
      <c r="M516" t="s">
        <v>1274</v>
      </c>
      <c r="N516" t="s">
        <v>16</v>
      </c>
      <c r="O516" t="s">
        <v>512</v>
      </c>
      <c r="P516">
        <v>46258</v>
      </c>
      <c r="Q516" t="s">
        <v>1177</v>
      </c>
      <c r="R516" t="s">
        <v>7</v>
      </c>
      <c r="S516" t="s">
        <v>1040</v>
      </c>
      <c r="T516" t="s">
        <v>1311</v>
      </c>
      <c r="U516" t="s">
        <v>1312</v>
      </c>
      <c r="V516">
        <v>10</v>
      </c>
      <c r="W516" t="s">
        <v>1262</v>
      </c>
      <c r="X516" t="s">
        <v>1262</v>
      </c>
      <c r="Y516">
        <v>0</v>
      </c>
      <c r="Z516" t="s">
        <v>1186</v>
      </c>
      <c r="AA516" t="s">
        <v>1177</v>
      </c>
      <c r="AB516" t="s">
        <v>1177</v>
      </c>
      <c r="AC516" t="s">
        <v>1177</v>
      </c>
      <c r="AD516" t="s">
        <v>1313</v>
      </c>
      <c r="AE516" t="s">
        <v>1314</v>
      </c>
      <c r="AF516" t="s">
        <v>1189</v>
      </c>
      <c r="AG516" t="s">
        <v>1178</v>
      </c>
      <c r="AH516" t="s">
        <v>1178</v>
      </c>
      <c r="AI516" t="s">
        <v>1177</v>
      </c>
      <c r="AJ516" t="s">
        <v>1190</v>
      </c>
      <c r="AK516">
        <v>10</v>
      </c>
      <c r="AL516" t="s">
        <v>1262</v>
      </c>
      <c r="AM516">
        <v>46293</v>
      </c>
      <c r="AN516">
        <v>46293</v>
      </c>
      <c r="AO516">
        <v>46293</v>
      </c>
      <c r="AP516">
        <v>46293</v>
      </c>
      <c r="AQ516">
        <v>46293</v>
      </c>
      <c r="AR516">
        <v>46293</v>
      </c>
      <c r="AS516">
        <v>46295</v>
      </c>
      <c r="AT516" t="s">
        <v>1281</v>
      </c>
      <c r="AU516" t="s">
        <v>1177</v>
      </c>
      <c r="AV516" t="s">
        <v>1192</v>
      </c>
      <c r="AW516" t="s">
        <v>1177</v>
      </c>
      <c r="AX516">
        <v>33</v>
      </c>
      <c r="AY516">
        <v>2</v>
      </c>
      <c r="AZ516" t="s">
        <v>1177</v>
      </c>
      <c r="BA516">
        <v>10</v>
      </c>
      <c r="BB516" t="s">
        <v>1262</v>
      </c>
      <c r="BC516" t="e">
        <v>#N/A</v>
      </c>
      <c r="BD516" t="e">
        <v>#N/A</v>
      </c>
      <c r="BE516" t="e">
        <v>#N/A</v>
      </c>
      <c r="BF516" t="e">
        <v>#N/A</v>
      </c>
      <c r="BG516" t="e">
        <v>#N/A</v>
      </c>
      <c r="BH516" t="e">
        <v>#N/A</v>
      </c>
      <c r="BI516" t="e">
        <v>#N/A</v>
      </c>
    </row>
    <row r="517" spans="1:61" x14ac:dyDescent="0.35">
      <c r="A517" s="7" t="str">
        <f t="shared" si="16"/>
        <v>462614300011807</v>
      </c>
      <c r="B517" s="7" t="str">
        <f t="shared" si="17"/>
        <v>218150B864</v>
      </c>
      <c r="C517" t="s">
        <v>3035</v>
      </c>
      <c r="D517" t="s">
        <v>1182</v>
      </c>
      <c r="E517" t="s">
        <v>1177</v>
      </c>
      <c r="F517" t="s">
        <v>3029</v>
      </c>
      <c r="G517" t="s">
        <v>1236</v>
      </c>
      <c r="H517" t="s">
        <v>1271</v>
      </c>
      <c r="I517">
        <v>46261</v>
      </c>
      <c r="J517" t="s">
        <v>3036</v>
      </c>
      <c r="K517" t="s">
        <v>1182</v>
      </c>
      <c r="L517" t="s">
        <v>1177</v>
      </c>
      <c r="M517" t="s">
        <v>1274</v>
      </c>
      <c r="N517" t="s">
        <v>48</v>
      </c>
      <c r="O517" t="s">
        <v>745</v>
      </c>
      <c r="P517">
        <v>46261</v>
      </c>
      <c r="Q517" t="s">
        <v>1177</v>
      </c>
      <c r="R517" t="s">
        <v>10</v>
      </c>
      <c r="S517" t="s">
        <v>1011</v>
      </c>
      <c r="T517" t="s">
        <v>1311</v>
      </c>
      <c r="U517" t="s">
        <v>1312</v>
      </c>
      <c r="V517">
        <v>10</v>
      </c>
      <c r="W517" t="s">
        <v>1262</v>
      </c>
      <c r="X517" t="s">
        <v>1262</v>
      </c>
      <c r="Y517">
        <v>0</v>
      </c>
      <c r="Z517" t="s">
        <v>1186</v>
      </c>
      <c r="AA517" t="s">
        <v>1177</v>
      </c>
      <c r="AB517" t="s">
        <v>1177</v>
      </c>
      <c r="AC517" t="s">
        <v>1177</v>
      </c>
      <c r="AD517" t="s">
        <v>1313</v>
      </c>
      <c r="AE517" t="s">
        <v>1314</v>
      </c>
      <c r="AF517" t="s">
        <v>1189</v>
      </c>
      <c r="AG517" t="s">
        <v>1178</v>
      </c>
      <c r="AH517" t="s">
        <v>1178</v>
      </c>
      <c r="AI517" t="s">
        <v>1177</v>
      </c>
      <c r="AJ517" t="s">
        <v>1190</v>
      </c>
      <c r="AK517">
        <v>10</v>
      </c>
      <c r="AL517" t="s">
        <v>1262</v>
      </c>
      <c r="AM517">
        <v>46293</v>
      </c>
      <c r="AN517">
        <v>46293</v>
      </c>
      <c r="AO517">
        <v>46293</v>
      </c>
      <c r="AP517">
        <v>46293</v>
      </c>
      <c r="AQ517">
        <v>46293</v>
      </c>
      <c r="AR517">
        <v>46293</v>
      </c>
      <c r="AS517">
        <v>46295</v>
      </c>
      <c r="AT517" t="s">
        <v>1281</v>
      </c>
      <c r="AU517" t="s">
        <v>1177</v>
      </c>
      <c r="AV517" t="s">
        <v>1192</v>
      </c>
      <c r="AW517" t="s">
        <v>1177</v>
      </c>
      <c r="AX517">
        <v>33</v>
      </c>
      <c r="AY517">
        <v>2</v>
      </c>
      <c r="AZ517" t="s">
        <v>1177</v>
      </c>
      <c r="BA517">
        <v>10</v>
      </c>
      <c r="BB517" t="s">
        <v>1262</v>
      </c>
      <c r="BC517" t="e">
        <v>#N/A</v>
      </c>
      <c r="BD517" t="e">
        <v>#N/A</v>
      </c>
      <c r="BE517" t="e">
        <v>#N/A</v>
      </c>
      <c r="BF517" t="e">
        <v>#N/A</v>
      </c>
      <c r="BG517" t="e">
        <v>#N/A</v>
      </c>
      <c r="BH517" t="e">
        <v>#N/A</v>
      </c>
      <c r="BI517" t="e">
        <v>#N/A</v>
      </c>
    </row>
    <row r="518" spans="1:61" x14ac:dyDescent="0.35">
      <c r="A518" s="7" t="str">
        <f t="shared" si="16"/>
        <v>462624300011825</v>
      </c>
      <c r="B518" s="7" t="str">
        <f t="shared" si="17"/>
        <v>50234B825</v>
      </c>
      <c r="C518" t="s">
        <v>3037</v>
      </c>
      <c r="D518" t="s">
        <v>1182</v>
      </c>
      <c r="E518" t="s">
        <v>1177</v>
      </c>
      <c r="F518" t="s">
        <v>1248</v>
      </c>
      <c r="G518" t="s">
        <v>1236</v>
      </c>
      <c r="H518" t="s">
        <v>1271</v>
      </c>
      <c r="I518">
        <v>46262</v>
      </c>
      <c r="J518" t="s">
        <v>3038</v>
      </c>
      <c r="K518" t="s">
        <v>1182</v>
      </c>
      <c r="L518" t="s">
        <v>1177</v>
      </c>
      <c r="M518" t="s">
        <v>1274</v>
      </c>
      <c r="N518" t="s">
        <v>1079</v>
      </c>
      <c r="O518" t="s">
        <v>1275</v>
      </c>
      <c r="P518">
        <v>46262</v>
      </c>
      <c r="Q518" t="s">
        <v>1177</v>
      </c>
      <c r="R518" t="s">
        <v>16</v>
      </c>
      <c r="S518" t="s">
        <v>512</v>
      </c>
      <c r="T518" t="s">
        <v>3039</v>
      </c>
      <c r="U518" t="s">
        <v>3040</v>
      </c>
      <c r="V518">
        <v>2</v>
      </c>
      <c r="W518" t="s">
        <v>1262</v>
      </c>
      <c r="X518" t="s">
        <v>1262</v>
      </c>
      <c r="Y518">
        <v>0</v>
      </c>
      <c r="Z518" t="s">
        <v>1186</v>
      </c>
      <c r="AA518" t="s">
        <v>1177</v>
      </c>
      <c r="AB518" t="s">
        <v>1276</v>
      </c>
      <c r="AC518" t="s">
        <v>1277</v>
      </c>
      <c r="AD518" t="s">
        <v>1278</v>
      </c>
      <c r="AE518" t="s">
        <v>1684</v>
      </c>
      <c r="AF518" t="s">
        <v>1178</v>
      </c>
      <c r="AG518" t="s">
        <v>1190</v>
      </c>
      <c r="AH518" t="s">
        <v>1178</v>
      </c>
      <c r="AI518" t="s">
        <v>1349</v>
      </c>
      <c r="AJ518" t="s">
        <v>1190</v>
      </c>
      <c r="AK518">
        <v>0</v>
      </c>
      <c r="AL518" t="s">
        <v>1262</v>
      </c>
      <c r="AM518">
        <v>46295</v>
      </c>
      <c r="AN518">
        <v>46286</v>
      </c>
      <c r="AO518">
        <v>46286</v>
      </c>
      <c r="AP518">
        <v>46288</v>
      </c>
      <c r="AQ518">
        <v>46288</v>
      </c>
      <c r="AR518">
        <v>46290</v>
      </c>
      <c r="AS518">
        <v>46294</v>
      </c>
      <c r="AT518" t="s">
        <v>1281</v>
      </c>
      <c r="AU518" t="s">
        <v>1177</v>
      </c>
      <c r="AV518" t="s">
        <v>1192</v>
      </c>
      <c r="AW518" t="s">
        <v>1177</v>
      </c>
      <c r="AX518">
        <v>33</v>
      </c>
      <c r="AY518">
        <v>2</v>
      </c>
      <c r="AZ518" t="s">
        <v>1177</v>
      </c>
      <c r="BA518">
        <v>0</v>
      </c>
      <c r="BB518" t="s">
        <v>1262</v>
      </c>
      <c r="BC518" t="s">
        <v>3041</v>
      </c>
      <c r="BD518">
        <v>2</v>
      </c>
      <c r="BE518">
        <v>46288</v>
      </c>
      <c r="BF518" t="s">
        <v>1165</v>
      </c>
      <c r="BG518" t="e">
        <v>#N/A</v>
      </c>
      <c r="BH518" t="e">
        <v>#N/A</v>
      </c>
      <c r="BI518" t="e">
        <v>#N/A</v>
      </c>
    </row>
    <row r="519" spans="1:61" x14ac:dyDescent="0.35">
      <c r="A519" s="7" t="str">
        <f t="shared" si="16"/>
        <v>462654300011833</v>
      </c>
      <c r="B519" s="7" t="str">
        <f t="shared" si="17"/>
        <v>GP024687B857</v>
      </c>
      <c r="C519" t="s">
        <v>3042</v>
      </c>
      <c r="D519" t="s">
        <v>1182</v>
      </c>
      <c r="E519" t="s">
        <v>1177</v>
      </c>
      <c r="F519" t="s">
        <v>2602</v>
      </c>
      <c r="G519" t="s">
        <v>2603</v>
      </c>
      <c r="H519" t="s">
        <v>1271</v>
      </c>
      <c r="I519">
        <v>46265</v>
      </c>
      <c r="J519" t="s">
        <v>3043</v>
      </c>
      <c r="K519" t="s">
        <v>1182</v>
      </c>
      <c r="L519" t="s">
        <v>1177</v>
      </c>
      <c r="M519" t="s">
        <v>1274</v>
      </c>
      <c r="N519" t="s">
        <v>1079</v>
      </c>
      <c r="O519" t="s">
        <v>1080</v>
      </c>
      <c r="P519">
        <v>46265</v>
      </c>
      <c r="Q519" t="s">
        <v>1177</v>
      </c>
      <c r="R519" t="s">
        <v>23</v>
      </c>
      <c r="S519" t="s">
        <v>959</v>
      </c>
      <c r="T519" t="s">
        <v>2607</v>
      </c>
      <c r="U519" t="s">
        <v>2608</v>
      </c>
      <c r="V519">
        <v>5</v>
      </c>
      <c r="W519" t="s">
        <v>1262</v>
      </c>
      <c r="X519" t="s">
        <v>1262</v>
      </c>
      <c r="Y519">
        <v>0</v>
      </c>
      <c r="Z519" t="s">
        <v>1186</v>
      </c>
      <c r="AA519" t="s">
        <v>1177</v>
      </c>
      <c r="AB519" t="s">
        <v>1276</v>
      </c>
      <c r="AC519" t="s">
        <v>1277</v>
      </c>
      <c r="AD519" t="s">
        <v>1278</v>
      </c>
      <c r="AE519" t="s">
        <v>1357</v>
      </c>
      <c r="AF519" t="s">
        <v>1178</v>
      </c>
      <c r="AG519" t="s">
        <v>1190</v>
      </c>
      <c r="AH519" t="s">
        <v>1178</v>
      </c>
      <c r="AI519" t="s">
        <v>1280</v>
      </c>
      <c r="AJ519" t="s">
        <v>1189</v>
      </c>
      <c r="AK519">
        <v>5</v>
      </c>
      <c r="AL519" t="s">
        <v>1262</v>
      </c>
      <c r="AM519">
        <v>46470</v>
      </c>
      <c r="AN519">
        <v>46464</v>
      </c>
      <c r="AO519">
        <v>46464</v>
      </c>
      <c r="AP519">
        <v>46468</v>
      </c>
      <c r="AQ519">
        <v>46468</v>
      </c>
      <c r="AR519">
        <v>46470</v>
      </c>
      <c r="AS519">
        <v>46470</v>
      </c>
      <c r="AT519" t="s">
        <v>1281</v>
      </c>
      <c r="AU519" t="s">
        <v>1177</v>
      </c>
      <c r="AV519" t="s">
        <v>1192</v>
      </c>
      <c r="AW519" t="s">
        <v>1177</v>
      </c>
      <c r="AX519">
        <v>0</v>
      </c>
      <c r="AY519">
        <v>0</v>
      </c>
      <c r="AZ519" t="s">
        <v>1177</v>
      </c>
      <c r="BA519">
        <v>0</v>
      </c>
      <c r="BB519" t="s">
        <v>1262</v>
      </c>
      <c r="BC519" t="e">
        <v>#N/A</v>
      </c>
      <c r="BD519" t="e">
        <v>#N/A</v>
      </c>
      <c r="BE519" t="e">
        <v>#N/A</v>
      </c>
      <c r="BF519" t="e">
        <v>#N/A</v>
      </c>
      <c r="BG519" t="s">
        <v>3004</v>
      </c>
      <c r="BH519" t="e">
        <v>#N/A</v>
      </c>
      <c r="BI519" t="e">
        <v>#N/A</v>
      </c>
    </row>
    <row r="520" spans="1:61" x14ac:dyDescent="0.35">
      <c r="A520" s="7" t="str">
        <f t="shared" si="16"/>
        <v>462654300011834</v>
      </c>
      <c r="B520" s="7" t="str">
        <f t="shared" si="17"/>
        <v>GP034661B832</v>
      </c>
      <c r="C520" t="s">
        <v>3044</v>
      </c>
      <c r="D520" t="s">
        <v>1182</v>
      </c>
      <c r="E520" t="s">
        <v>1177</v>
      </c>
      <c r="F520" t="s">
        <v>2602</v>
      </c>
      <c r="G520" t="s">
        <v>2603</v>
      </c>
      <c r="H520" t="s">
        <v>1271</v>
      </c>
      <c r="I520">
        <v>46265</v>
      </c>
      <c r="J520" t="s">
        <v>3045</v>
      </c>
      <c r="K520" t="s">
        <v>1182</v>
      </c>
      <c r="L520" t="s">
        <v>1177</v>
      </c>
      <c r="M520" t="s">
        <v>1274</v>
      </c>
      <c r="N520" t="s">
        <v>1079</v>
      </c>
      <c r="O520" t="s">
        <v>1080</v>
      </c>
      <c r="P520">
        <v>46265</v>
      </c>
      <c r="Q520" t="s">
        <v>1177</v>
      </c>
      <c r="R520" t="s">
        <v>19</v>
      </c>
      <c r="S520" t="s">
        <v>654</v>
      </c>
      <c r="T520" t="s">
        <v>1769</v>
      </c>
      <c r="U520" t="s">
        <v>1770</v>
      </c>
      <c r="V520">
        <v>8</v>
      </c>
      <c r="W520" t="s">
        <v>1262</v>
      </c>
      <c r="X520" t="s">
        <v>1262</v>
      </c>
      <c r="Y520">
        <v>0</v>
      </c>
      <c r="Z520" t="s">
        <v>1186</v>
      </c>
      <c r="AA520" t="s">
        <v>1177</v>
      </c>
      <c r="AB520" t="s">
        <v>1276</v>
      </c>
      <c r="AC520" t="s">
        <v>1277</v>
      </c>
      <c r="AD520" t="s">
        <v>1278</v>
      </c>
      <c r="AE520" t="s">
        <v>1358</v>
      </c>
      <c r="AF520" t="s">
        <v>1178</v>
      </c>
      <c r="AG520" t="s">
        <v>1190</v>
      </c>
      <c r="AH520" t="s">
        <v>1178</v>
      </c>
      <c r="AI520" t="s">
        <v>1349</v>
      </c>
      <c r="AJ520" t="s">
        <v>1189</v>
      </c>
      <c r="AK520">
        <v>8</v>
      </c>
      <c r="AL520" t="s">
        <v>1262</v>
      </c>
      <c r="AM520">
        <v>46528</v>
      </c>
      <c r="AN520">
        <v>46524</v>
      </c>
      <c r="AO520">
        <v>46524</v>
      </c>
      <c r="AP520">
        <v>46526</v>
      </c>
      <c r="AQ520">
        <v>46526</v>
      </c>
      <c r="AR520">
        <v>46528</v>
      </c>
      <c r="AS520">
        <v>46528</v>
      </c>
      <c r="AT520" t="s">
        <v>1281</v>
      </c>
      <c r="AU520" t="s">
        <v>1177</v>
      </c>
      <c r="AV520" t="s">
        <v>1192</v>
      </c>
      <c r="AW520" t="s">
        <v>1177</v>
      </c>
      <c r="AX520">
        <v>0</v>
      </c>
      <c r="AY520">
        <v>0</v>
      </c>
      <c r="AZ520" t="s">
        <v>1177</v>
      </c>
      <c r="BA520">
        <v>0</v>
      </c>
      <c r="BB520" t="s">
        <v>1262</v>
      </c>
      <c r="BC520" t="e">
        <v>#N/A</v>
      </c>
      <c r="BD520" t="e">
        <v>#N/A</v>
      </c>
      <c r="BE520" t="e">
        <v>#N/A</v>
      </c>
      <c r="BF520" t="e">
        <v>#N/A</v>
      </c>
      <c r="BG520" t="s">
        <v>3004</v>
      </c>
      <c r="BH520" t="e">
        <v>#N/A</v>
      </c>
      <c r="BI520" t="e">
        <v>#N/A</v>
      </c>
    </row>
    <row r="521" spans="1:61" x14ac:dyDescent="0.35">
      <c r="A521" s="7" t="str">
        <f t="shared" si="16"/>
        <v>462654300011835</v>
      </c>
      <c r="B521" s="7" t="str">
        <f t="shared" si="17"/>
        <v>GP138790B864</v>
      </c>
      <c r="C521" t="s">
        <v>3046</v>
      </c>
      <c r="D521" t="s">
        <v>1199</v>
      </c>
      <c r="E521" t="s">
        <v>1177</v>
      </c>
      <c r="F521" t="s">
        <v>2602</v>
      </c>
      <c r="G521" t="s">
        <v>2603</v>
      </c>
      <c r="H521" t="s">
        <v>1271</v>
      </c>
      <c r="I521">
        <v>46265</v>
      </c>
      <c r="J521" t="s">
        <v>3047</v>
      </c>
      <c r="K521" t="s">
        <v>1199</v>
      </c>
      <c r="L521" t="s">
        <v>1177</v>
      </c>
      <c r="M521" t="s">
        <v>1274</v>
      </c>
      <c r="N521" t="s">
        <v>1079</v>
      </c>
      <c r="O521" t="s">
        <v>1080</v>
      </c>
      <c r="P521">
        <v>46265</v>
      </c>
      <c r="Q521" t="s">
        <v>1177</v>
      </c>
      <c r="R521" t="s">
        <v>10</v>
      </c>
      <c r="S521" t="s">
        <v>1011</v>
      </c>
      <c r="T521" t="s">
        <v>550</v>
      </c>
      <c r="U521" t="s">
        <v>551</v>
      </c>
      <c r="V521">
        <v>1</v>
      </c>
      <c r="W521" t="s">
        <v>1262</v>
      </c>
      <c r="X521" t="s">
        <v>1262</v>
      </c>
      <c r="Y521">
        <v>0</v>
      </c>
      <c r="Z521" t="s">
        <v>1186</v>
      </c>
      <c r="AA521" t="s">
        <v>1177</v>
      </c>
      <c r="AB521" t="s">
        <v>1276</v>
      </c>
      <c r="AC521" t="s">
        <v>1277</v>
      </c>
      <c r="AD521" t="s">
        <v>1278</v>
      </c>
      <c r="AE521" t="s">
        <v>2609</v>
      </c>
      <c r="AF521" t="s">
        <v>1178</v>
      </c>
      <c r="AG521" t="s">
        <v>1190</v>
      </c>
      <c r="AH521" t="s">
        <v>1178</v>
      </c>
      <c r="AI521" t="s">
        <v>1280</v>
      </c>
      <c r="AJ521" t="s">
        <v>1189</v>
      </c>
      <c r="AK521">
        <v>1</v>
      </c>
      <c r="AL521" t="s">
        <v>1262</v>
      </c>
      <c r="AM521">
        <v>46470</v>
      </c>
      <c r="AN521">
        <v>46470</v>
      </c>
      <c r="AO521">
        <v>46464</v>
      </c>
      <c r="AP521">
        <v>46468</v>
      </c>
      <c r="AQ521">
        <v>46468</v>
      </c>
      <c r="AR521">
        <v>46470</v>
      </c>
      <c r="AS521">
        <v>46475</v>
      </c>
      <c r="AT521" t="s">
        <v>1281</v>
      </c>
      <c r="AU521" t="s">
        <v>1177</v>
      </c>
      <c r="AV521" t="s">
        <v>1192</v>
      </c>
      <c r="AW521" t="s">
        <v>1177</v>
      </c>
      <c r="AX521">
        <v>33</v>
      </c>
      <c r="AY521">
        <v>2</v>
      </c>
      <c r="AZ521" t="s">
        <v>1177</v>
      </c>
      <c r="BA521">
        <v>0</v>
      </c>
      <c r="BB521" t="s">
        <v>1262</v>
      </c>
      <c r="BC521" t="e">
        <v>#N/A</v>
      </c>
      <c r="BD521" t="e">
        <v>#N/A</v>
      </c>
      <c r="BE521" t="e">
        <v>#N/A</v>
      </c>
      <c r="BF521" t="e">
        <v>#N/A</v>
      </c>
      <c r="BG521" t="s">
        <v>3004</v>
      </c>
      <c r="BH521" t="e">
        <v>#N/A</v>
      </c>
      <c r="BI521" t="e">
        <v>#N/A</v>
      </c>
    </row>
    <row r="522" spans="1:61" x14ac:dyDescent="0.35">
      <c r="A522" s="7" t="str">
        <f t="shared" si="16"/>
        <v>462654300011843</v>
      </c>
      <c r="B522" s="7" t="str">
        <f t="shared" si="17"/>
        <v>GP468401B856</v>
      </c>
      <c r="C522" t="s">
        <v>3048</v>
      </c>
      <c r="D522" t="s">
        <v>1182</v>
      </c>
      <c r="E522" t="s">
        <v>1177</v>
      </c>
      <c r="F522" t="s">
        <v>1334</v>
      </c>
      <c r="G522" t="s">
        <v>1236</v>
      </c>
      <c r="H522" t="s">
        <v>1271</v>
      </c>
      <c r="I522">
        <v>46265</v>
      </c>
      <c r="J522" t="s">
        <v>3049</v>
      </c>
      <c r="K522" t="s">
        <v>1182</v>
      </c>
      <c r="L522" t="s">
        <v>1177</v>
      </c>
      <c r="M522" t="s">
        <v>1274</v>
      </c>
      <c r="N522" t="s">
        <v>23</v>
      </c>
      <c r="O522" t="s">
        <v>959</v>
      </c>
      <c r="P522">
        <v>46265</v>
      </c>
      <c r="Q522" t="s">
        <v>1177</v>
      </c>
      <c r="R522" t="s">
        <v>21</v>
      </c>
      <c r="S522" t="s">
        <v>853</v>
      </c>
      <c r="T522" t="s">
        <v>1290</v>
      </c>
      <c r="U522" t="s">
        <v>1291</v>
      </c>
      <c r="V522">
        <v>2</v>
      </c>
      <c r="W522" t="s">
        <v>1262</v>
      </c>
      <c r="X522" t="s">
        <v>1262</v>
      </c>
      <c r="Y522">
        <v>0</v>
      </c>
      <c r="Z522" t="s">
        <v>1186</v>
      </c>
      <c r="AA522" t="s">
        <v>1177</v>
      </c>
      <c r="AB522" t="s">
        <v>1276</v>
      </c>
      <c r="AC522" t="s">
        <v>1277</v>
      </c>
      <c r="AD522" t="s">
        <v>1278</v>
      </c>
      <c r="AE522" t="s">
        <v>1292</v>
      </c>
      <c r="AF522" t="s">
        <v>1178</v>
      </c>
      <c r="AG522" t="s">
        <v>1190</v>
      </c>
      <c r="AH522" t="s">
        <v>1178</v>
      </c>
      <c r="AI522" t="s">
        <v>1177</v>
      </c>
      <c r="AJ522" t="s">
        <v>1190</v>
      </c>
      <c r="AK522">
        <v>2</v>
      </c>
      <c r="AL522" t="s">
        <v>1262</v>
      </c>
      <c r="AM522">
        <v>46265</v>
      </c>
      <c r="AN522">
        <v>46265</v>
      </c>
      <c r="AO522">
        <v>46265</v>
      </c>
      <c r="AP522">
        <v>46265</v>
      </c>
      <c r="AQ522">
        <v>46265</v>
      </c>
      <c r="AR522">
        <v>46265</v>
      </c>
      <c r="AS522">
        <v>46265</v>
      </c>
      <c r="AT522" t="s">
        <v>1281</v>
      </c>
      <c r="AU522" t="s">
        <v>1177</v>
      </c>
      <c r="AV522" t="s">
        <v>1192</v>
      </c>
      <c r="AW522" t="s">
        <v>1177</v>
      </c>
      <c r="AX522">
        <v>0</v>
      </c>
      <c r="AY522">
        <v>0</v>
      </c>
      <c r="AZ522" t="s">
        <v>1177</v>
      </c>
      <c r="BA522">
        <v>2</v>
      </c>
      <c r="BB522" t="s">
        <v>1262</v>
      </c>
      <c r="BC522" t="e">
        <v>#N/A</v>
      </c>
      <c r="BD522" t="e">
        <v>#N/A</v>
      </c>
      <c r="BE522" t="e">
        <v>#N/A</v>
      </c>
      <c r="BF522" t="e">
        <v>#N/A</v>
      </c>
      <c r="BG522" t="e">
        <v>#N/A</v>
      </c>
      <c r="BH522" t="e">
        <v>#N/A</v>
      </c>
      <c r="BI522" t="e">
        <v>#N/A</v>
      </c>
    </row>
    <row r="523" spans="1:61" x14ac:dyDescent="0.35">
      <c r="A523" s="7" t="str">
        <f t="shared" si="16"/>
        <v>462664300011852</v>
      </c>
      <c r="B523" s="7" t="str">
        <f t="shared" si="17"/>
        <v>GP124059B856</v>
      </c>
      <c r="C523" t="s">
        <v>3050</v>
      </c>
      <c r="D523" t="s">
        <v>1198</v>
      </c>
      <c r="E523" t="s">
        <v>1177</v>
      </c>
      <c r="F523" t="s">
        <v>1270</v>
      </c>
      <c r="G523" t="s">
        <v>1236</v>
      </c>
      <c r="H523" t="s">
        <v>1271</v>
      </c>
      <c r="I523">
        <v>46266</v>
      </c>
      <c r="J523" t="s">
        <v>3051</v>
      </c>
      <c r="K523" t="s">
        <v>1182</v>
      </c>
      <c r="L523" t="s">
        <v>1177</v>
      </c>
      <c r="M523" t="s">
        <v>1274</v>
      </c>
      <c r="N523" t="s">
        <v>23</v>
      </c>
      <c r="O523" t="s">
        <v>959</v>
      </c>
      <c r="P523">
        <v>46266</v>
      </c>
      <c r="Q523" t="s">
        <v>1177</v>
      </c>
      <c r="R523" t="s">
        <v>21</v>
      </c>
      <c r="S523" t="s">
        <v>853</v>
      </c>
      <c r="T523" t="s">
        <v>258</v>
      </c>
      <c r="U523" t="s">
        <v>2966</v>
      </c>
      <c r="V523">
        <v>3</v>
      </c>
      <c r="W523" t="s">
        <v>1262</v>
      </c>
      <c r="X523" t="s">
        <v>1262</v>
      </c>
      <c r="Y523">
        <v>0</v>
      </c>
      <c r="Z523" t="s">
        <v>1186</v>
      </c>
      <c r="AA523" t="s">
        <v>1177</v>
      </c>
      <c r="AB523" t="s">
        <v>1177</v>
      </c>
      <c r="AC523" t="s">
        <v>1177</v>
      </c>
      <c r="AD523" t="s">
        <v>1204</v>
      </c>
      <c r="AE523" t="s">
        <v>1205</v>
      </c>
      <c r="AF523" t="s">
        <v>1189</v>
      </c>
      <c r="AG523" t="s">
        <v>1189</v>
      </c>
      <c r="AH523" t="s">
        <v>1178</v>
      </c>
      <c r="AI523" t="s">
        <v>1177</v>
      </c>
      <c r="AJ523" t="s">
        <v>1190</v>
      </c>
      <c r="AK523">
        <v>3</v>
      </c>
      <c r="AL523" t="s">
        <v>1262</v>
      </c>
      <c r="AM523">
        <v>46360</v>
      </c>
      <c r="AN523">
        <v>46360</v>
      </c>
      <c r="AO523">
        <v>46360</v>
      </c>
      <c r="AP523">
        <v>46360</v>
      </c>
      <c r="AQ523">
        <v>46360</v>
      </c>
      <c r="AR523">
        <v>46360</v>
      </c>
      <c r="AS523">
        <v>46364</v>
      </c>
      <c r="AT523" t="s">
        <v>1281</v>
      </c>
      <c r="AU523" t="s">
        <v>1177</v>
      </c>
      <c r="AV523" t="s">
        <v>1192</v>
      </c>
      <c r="AW523" t="s">
        <v>1177</v>
      </c>
      <c r="AX523">
        <v>94</v>
      </c>
      <c r="AY523">
        <v>2</v>
      </c>
      <c r="AZ523" t="s">
        <v>1177</v>
      </c>
      <c r="BA523">
        <v>3</v>
      </c>
      <c r="BB523" t="s">
        <v>1262</v>
      </c>
      <c r="BC523" t="e">
        <v>#N/A</v>
      </c>
      <c r="BD523" t="e">
        <v>#N/A</v>
      </c>
      <c r="BE523" t="e">
        <v>#N/A</v>
      </c>
      <c r="BF523" t="e">
        <v>#N/A</v>
      </c>
      <c r="BG523" t="e">
        <v>#N/A</v>
      </c>
      <c r="BH523" t="e">
        <v>#N/A</v>
      </c>
      <c r="BI523" t="e">
        <v>#N/A</v>
      </c>
    </row>
    <row r="524" spans="1:61" x14ac:dyDescent="0.35">
      <c r="A524" s="7" t="str">
        <f t="shared" si="16"/>
        <v>462664300011854</v>
      </c>
      <c r="B524" s="7" t="str">
        <f t="shared" si="17"/>
        <v>GP000248B867</v>
      </c>
      <c r="C524" t="s">
        <v>3052</v>
      </c>
      <c r="D524" t="s">
        <v>1182</v>
      </c>
      <c r="E524" t="s">
        <v>1177</v>
      </c>
      <c r="F524" t="s">
        <v>1334</v>
      </c>
      <c r="G524" t="s">
        <v>1236</v>
      </c>
      <c r="H524" t="s">
        <v>1271</v>
      </c>
      <c r="I524">
        <v>46266</v>
      </c>
      <c r="J524" t="s">
        <v>3053</v>
      </c>
      <c r="K524" t="s">
        <v>1182</v>
      </c>
      <c r="L524" t="s">
        <v>1177</v>
      </c>
      <c r="M524" t="s">
        <v>1274</v>
      </c>
      <c r="N524" t="s">
        <v>1079</v>
      </c>
      <c r="O524" t="s">
        <v>1275</v>
      </c>
      <c r="P524">
        <v>46266</v>
      </c>
      <c r="Q524" t="s">
        <v>1177</v>
      </c>
      <c r="R524" t="s">
        <v>25</v>
      </c>
      <c r="S524" t="s">
        <v>1060</v>
      </c>
      <c r="T524" t="s">
        <v>1012</v>
      </c>
      <c r="U524" t="s">
        <v>1013</v>
      </c>
      <c r="V524">
        <v>2</v>
      </c>
      <c r="W524" t="s">
        <v>1262</v>
      </c>
      <c r="X524" t="s">
        <v>1262</v>
      </c>
      <c r="Y524">
        <v>0</v>
      </c>
      <c r="Z524" t="s">
        <v>1186</v>
      </c>
      <c r="AA524" t="s">
        <v>1177</v>
      </c>
      <c r="AB524" t="s">
        <v>1276</v>
      </c>
      <c r="AC524" t="s">
        <v>1277</v>
      </c>
      <c r="AD524" t="s">
        <v>1278</v>
      </c>
      <c r="AE524" t="s">
        <v>1997</v>
      </c>
      <c r="AF524" t="s">
        <v>1178</v>
      </c>
      <c r="AG524" t="s">
        <v>1190</v>
      </c>
      <c r="AH524" t="s">
        <v>1178</v>
      </c>
      <c r="AI524" t="s">
        <v>1280</v>
      </c>
      <c r="AJ524" t="s">
        <v>1189</v>
      </c>
      <c r="AK524">
        <v>2</v>
      </c>
      <c r="AL524" t="s">
        <v>1262</v>
      </c>
      <c r="AM524">
        <v>46295</v>
      </c>
      <c r="AN524">
        <v>46289</v>
      </c>
      <c r="AO524">
        <v>46289</v>
      </c>
      <c r="AP524">
        <v>46293</v>
      </c>
      <c r="AQ524">
        <v>46293</v>
      </c>
      <c r="AR524">
        <v>46295</v>
      </c>
      <c r="AS524">
        <v>46297</v>
      </c>
      <c r="AT524" t="s">
        <v>1281</v>
      </c>
      <c r="AU524" t="s">
        <v>1177</v>
      </c>
      <c r="AV524" t="s">
        <v>1192</v>
      </c>
      <c r="AW524" t="s">
        <v>1177</v>
      </c>
      <c r="AX524">
        <v>33</v>
      </c>
      <c r="AY524">
        <v>2</v>
      </c>
      <c r="AZ524" t="s">
        <v>1177</v>
      </c>
      <c r="BA524">
        <v>0</v>
      </c>
      <c r="BB524" t="s">
        <v>1262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e">
        <v>#N/A</v>
      </c>
      <c r="BI524" t="e">
        <v>#N/A</v>
      </c>
    </row>
    <row r="525" spans="1:61" x14ac:dyDescent="0.35">
      <c r="A525" s="7" t="str">
        <f t="shared" si="16"/>
        <v>462674300011876</v>
      </c>
      <c r="B525" s="7" t="str">
        <f t="shared" si="17"/>
        <v>GP269293B825</v>
      </c>
      <c r="C525" t="s">
        <v>3054</v>
      </c>
      <c r="D525" t="s">
        <v>1182</v>
      </c>
      <c r="E525" t="s">
        <v>1177</v>
      </c>
      <c r="F525" t="s">
        <v>1179</v>
      </c>
      <c r="G525" t="s">
        <v>2603</v>
      </c>
      <c r="H525" t="s">
        <v>1271</v>
      </c>
      <c r="I525">
        <v>46267</v>
      </c>
      <c r="J525" t="s">
        <v>3055</v>
      </c>
      <c r="K525" t="s">
        <v>1295</v>
      </c>
      <c r="L525" t="s">
        <v>1177</v>
      </c>
      <c r="M525" t="s">
        <v>1274</v>
      </c>
      <c r="N525" t="s">
        <v>1079</v>
      </c>
      <c r="O525" t="s">
        <v>1080</v>
      </c>
      <c r="P525">
        <v>46274</v>
      </c>
      <c r="Q525" t="s">
        <v>1177</v>
      </c>
      <c r="R525" t="s">
        <v>16</v>
      </c>
      <c r="S525" t="s">
        <v>512</v>
      </c>
      <c r="T525" t="s">
        <v>1094</v>
      </c>
      <c r="U525" t="s">
        <v>3056</v>
      </c>
      <c r="V525">
        <v>1</v>
      </c>
      <c r="W525" t="s">
        <v>1262</v>
      </c>
      <c r="X525" t="s">
        <v>1262</v>
      </c>
      <c r="Y525">
        <v>0</v>
      </c>
      <c r="Z525" t="s">
        <v>1186</v>
      </c>
      <c r="AA525" t="s">
        <v>1177</v>
      </c>
      <c r="AB525" t="s">
        <v>1276</v>
      </c>
      <c r="AC525" t="s">
        <v>1277</v>
      </c>
      <c r="AD525" t="s">
        <v>1278</v>
      </c>
      <c r="AE525" t="s">
        <v>2166</v>
      </c>
      <c r="AF525" t="s">
        <v>1178</v>
      </c>
      <c r="AG525" t="s">
        <v>1190</v>
      </c>
      <c r="AH525" t="s">
        <v>1178</v>
      </c>
      <c r="AI525" t="s">
        <v>1349</v>
      </c>
      <c r="AJ525" t="s">
        <v>1190</v>
      </c>
      <c r="AK525">
        <v>0</v>
      </c>
      <c r="AL525" t="s">
        <v>1262</v>
      </c>
      <c r="AM525">
        <v>46437</v>
      </c>
      <c r="AN525">
        <v>46433</v>
      </c>
      <c r="AO525">
        <v>46433</v>
      </c>
      <c r="AP525">
        <v>46435</v>
      </c>
      <c r="AQ525">
        <v>46435</v>
      </c>
      <c r="AR525">
        <v>46437</v>
      </c>
      <c r="AS525">
        <v>46441</v>
      </c>
      <c r="AT525" t="s">
        <v>1281</v>
      </c>
      <c r="AU525" t="s">
        <v>1177</v>
      </c>
      <c r="AV525" t="s">
        <v>1192</v>
      </c>
      <c r="AW525" t="s">
        <v>1177</v>
      </c>
      <c r="AX525">
        <v>163</v>
      </c>
      <c r="AY525">
        <v>2</v>
      </c>
      <c r="AZ525" t="s">
        <v>1177</v>
      </c>
      <c r="BA525">
        <v>0</v>
      </c>
      <c r="BB525" t="s">
        <v>1262</v>
      </c>
      <c r="BC525" t="s">
        <v>3057</v>
      </c>
      <c r="BD525">
        <v>1</v>
      </c>
      <c r="BE525">
        <v>46288</v>
      </c>
      <c r="BF525" t="s">
        <v>1165</v>
      </c>
      <c r="BG525" t="e">
        <v>#N/A</v>
      </c>
      <c r="BH525" t="e">
        <v>#N/A</v>
      </c>
      <c r="BI525" t="e">
        <v>#N/A</v>
      </c>
    </row>
    <row r="526" spans="1:61" x14ac:dyDescent="0.35">
      <c r="A526" s="7" t="str">
        <f t="shared" si="16"/>
        <v>462694300011882</v>
      </c>
      <c r="B526" s="7" t="str">
        <f t="shared" si="17"/>
        <v>GP486500B857</v>
      </c>
      <c r="C526" t="s">
        <v>3058</v>
      </c>
      <c r="D526" t="s">
        <v>1285</v>
      </c>
      <c r="E526" t="s">
        <v>1177</v>
      </c>
      <c r="F526" t="s">
        <v>1334</v>
      </c>
      <c r="G526" t="s">
        <v>1236</v>
      </c>
      <c r="H526" t="s">
        <v>1271</v>
      </c>
      <c r="I526">
        <v>46269</v>
      </c>
      <c r="J526" t="s">
        <v>3059</v>
      </c>
      <c r="K526" t="s">
        <v>1285</v>
      </c>
      <c r="L526" t="s">
        <v>1177</v>
      </c>
      <c r="M526" t="s">
        <v>1274</v>
      </c>
      <c r="N526" t="s">
        <v>1079</v>
      </c>
      <c r="O526" t="s">
        <v>1275</v>
      </c>
      <c r="P526">
        <v>46269</v>
      </c>
      <c r="Q526" t="s">
        <v>1177</v>
      </c>
      <c r="R526" t="s">
        <v>23</v>
      </c>
      <c r="S526" t="s">
        <v>959</v>
      </c>
      <c r="T526" t="s">
        <v>108</v>
      </c>
      <c r="U526" t="s">
        <v>109</v>
      </c>
      <c r="V526">
        <v>20</v>
      </c>
      <c r="W526" t="s">
        <v>1262</v>
      </c>
      <c r="X526" t="s">
        <v>1262</v>
      </c>
      <c r="Y526">
        <v>0</v>
      </c>
      <c r="Z526" t="s">
        <v>1186</v>
      </c>
      <c r="AA526" t="s">
        <v>1177</v>
      </c>
      <c r="AB526" t="s">
        <v>1276</v>
      </c>
      <c r="AC526" t="s">
        <v>1277</v>
      </c>
      <c r="AD526" t="s">
        <v>1278</v>
      </c>
      <c r="AE526" t="s">
        <v>1750</v>
      </c>
      <c r="AF526" t="s">
        <v>1178</v>
      </c>
      <c r="AG526" t="s">
        <v>1190</v>
      </c>
      <c r="AH526" t="s">
        <v>1178</v>
      </c>
      <c r="AI526" t="s">
        <v>1280</v>
      </c>
      <c r="AJ526" t="s">
        <v>1189</v>
      </c>
      <c r="AK526">
        <v>20</v>
      </c>
      <c r="AL526" t="s">
        <v>1262</v>
      </c>
      <c r="AM526">
        <v>46295</v>
      </c>
      <c r="AN526">
        <v>46289</v>
      </c>
      <c r="AO526">
        <v>46289</v>
      </c>
      <c r="AP526">
        <v>46293</v>
      </c>
      <c r="AQ526">
        <v>46293</v>
      </c>
      <c r="AR526">
        <v>46295</v>
      </c>
      <c r="AS526">
        <v>46297</v>
      </c>
      <c r="AT526" t="s">
        <v>1281</v>
      </c>
      <c r="AU526" t="s">
        <v>1177</v>
      </c>
      <c r="AV526" t="s">
        <v>1192</v>
      </c>
      <c r="AW526" t="s">
        <v>1177</v>
      </c>
      <c r="AX526">
        <v>33</v>
      </c>
      <c r="AY526">
        <v>2</v>
      </c>
      <c r="AZ526" t="s">
        <v>1177</v>
      </c>
      <c r="BA526">
        <v>0</v>
      </c>
      <c r="BB526" t="s">
        <v>1262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</row>
    <row r="527" spans="1:61" x14ac:dyDescent="0.35">
      <c r="A527" s="7" t="str">
        <f t="shared" si="16"/>
        <v>462694300011886</v>
      </c>
      <c r="B527" s="7" t="str">
        <f t="shared" si="17"/>
        <v>GP249817B857</v>
      </c>
      <c r="C527" t="s">
        <v>3060</v>
      </c>
      <c r="D527" t="s">
        <v>1182</v>
      </c>
      <c r="E527" t="s">
        <v>1177</v>
      </c>
      <c r="F527" t="s">
        <v>1334</v>
      </c>
      <c r="G527" t="s">
        <v>1236</v>
      </c>
      <c r="H527" t="s">
        <v>1271</v>
      </c>
      <c r="I527">
        <v>46269</v>
      </c>
      <c r="J527" t="s">
        <v>3061</v>
      </c>
      <c r="K527" t="s">
        <v>1182</v>
      </c>
      <c r="L527" t="s">
        <v>1177</v>
      </c>
      <c r="M527" t="s">
        <v>1274</v>
      </c>
      <c r="N527" t="s">
        <v>1079</v>
      </c>
      <c r="O527" t="s">
        <v>1275</v>
      </c>
      <c r="P527">
        <v>46269</v>
      </c>
      <c r="Q527" t="s">
        <v>1177</v>
      </c>
      <c r="R527" t="s">
        <v>23</v>
      </c>
      <c r="S527" t="s">
        <v>959</v>
      </c>
      <c r="T527" t="s">
        <v>72</v>
      </c>
      <c r="U527" t="s">
        <v>73</v>
      </c>
      <c r="V527">
        <v>6</v>
      </c>
      <c r="W527" t="s">
        <v>1262</v>
      </c>
      <c r="X527" t="s">
        <v>1262</v>
      </c>
      <c r="Y527">
        <v>0</v>
      </c>
      <c r="Z527" t="s">
        <v>1186</v>
      </c>
      <c r="AA527" t="s">
        <v>1177</v>
      </c>
      <c r="AB527" t="s">
        <v>1276</v>
      </c>
      <c r="AC527" t="s">
        <v>1277</v>
      </c>
      <c r="AD527" t="s">
        <v>1278</v>
      </c>
      <c r="AE527" t="s">
        <v>1478</v>
      </c>
      <c r="AF527" t="s">
        <v>1178</v>
      </c>
      <c r="AG527" t="s">
        <v>1190</v>
      </c>
      <c r="AH527" t="s">
        <v>1178</v>
      </c>
      <c r="AI527" t="s">
        <v>1280</v>
      </c>
      <c r="AJ527" t="s">
        <v>1189</v>
      </c>
      <c r="AK527">
        <v>6</v>
      </c>
      <c r="AL527" t="s">
        <v>1262</v>
      </c>
      <c r="AM527">
        <v>46295</v>
      </c>
      <c r="AN527">
        <v>46289</v>
      </c>
      <c r="AO527">
        <v>46289</v>
      </c>
      <c r="AP527">
        <v>46293</v>
      </c>
      <c r="AQ527">
        <v>46293</v>
      </c>
      <c r="AR527">
        <v>46295</v>
      </c>
      <c r="AS527">
        <v>46297</v>
      </c>
      <c r="AT527" t="s">
        <v>1281</v>
      </c>
      <c r="AU527" t="s">
        <v>1177</v>
      </c>
      <c r="AV527" t="s">
        <v>1192</v>
      </c>
      <c r="AW527" t="s">
        <v>1177</v>
      </c>
      <c r="AX527">
        <v>33</v>
      </c>
      <c r="AY527">
        <v>2</v>
      </c>
      <c r="AZ527" t="s">
        <v>1177</v>
      </c>
      <c r="BA527">
        <v>0</v>
      </c>
      <c r="BB527" t="s">
        <v>1262</v>
      </c>
      <c r="BC527" t="e">
        <v>#N/A</v>
      </c>
      <c r="BD527" t="e">
        <v>#N/A</v>
      </c>
      <c r="BE527" t="e">
        <v>#N/A</v>
      </c>
      <c r="BF527" t="e">
        <v>#N/A</v>
      </c>
      <c r="BG527" t="e">
        <v>#N/A</v>
      </c>
      <c r="BH527" t="e">
        <v>#N/A</v>
      </c>
      <c r="BI527" t="e">
        <v>#N/A</v>
      </c>
    </row>
    <row r="528" spans="1:61" x14ac:dyDescent="0.35">
      <c r="A528" s="7" t="str">
        <f t="shared" si="16"/>
        <v>462694300011888</v>
      </c>
      <c r="B528" s="7" t="str">
        <f t="shared" si="17"/>
        <v>GP249817B867</v>
      </c>
      <c r="C528" t="s">
        <v>3062</v>
      </c>
      <c r="D528" t="s">
        <v>1182</v>
      </c>
      <c r="E528" t="s">
        <v>1177</v>
      </c>
      <c r="F528" t="s">
        <v>1334</v>
      </c>
      <c r="G528" t="s">
        <v>1236</v>
      </c>
      <c r="H528" t="s">
        <v>1271</v>
      </c>
      <c r="I528">
        <v>46269</v>
      </c>
      <c r="J528" t="s">
        <v>3063</v>
      </c>
      <c r="K528" t="s">
        <v>1182</v>
      </c>
      <c r="L528" t="s">
        <v>1177</v>
      </c>
      <c r="M528" t="s">
        <v>1274</v>
      </c>
      <c r="N528" t="s">
        <v>1079</v>
      </c>
      <c r="O528" t="s">
        <v>1275</v>
      </c>
      <c r="P528">
        <v>46269</v>
      </c>
      <c r="Q528" t="s">
        <v>1177</v>
      </c>
      <c r="R528" t="s">
        <v>25</v>
      </c>
      <c r="S528" t="s">
        <v>1060</v>
      </c>
      <c r="T528" t="s">
        <v>72</v>
      </c>
      <c r="U528" t="s">
        <v>73</v>
      </c>
      <c r="V528">
        <v>8</v>
      </c>
      <c r="W528" t="s">
        <v>1262</v>
      </c>
      <c r="X528" t="s">
        <v>1262</v>
      </c>
      <c r="Y528">
        <v>0</v>
      </c>
      <c r="Z528" t="s">
        <v>1186</v>
      </c>
      <c r="AA528" t="s">
        <v>1177</v>
      </c>
      <c r="AB528" t="s">
        <v>1276</v>
      </c>
      <c r="AC528" t="s">
        <v>1277</v>
      </c>
      <c r="AD528" t="s">
        <v>1278</v>
      </c>
      <c r="AE528" t="s">
        <v>1478</v>
      </c>
      <c r="AF528" t="s">
        <v>1178</v>
      </c>
      <c r="AG528" t="s">
        <v>1190</v>
      </c>
      <c r="AH528" t="s">
        <v>1178</v>
      </c>
      <c r="AI528" t="s">
        <v>1280</v>
      </c>
      <c r="AJ528" t="s">
        <v>1189</v>
      </c>
      <c r="AK528">
        <v>8</v>
      </c>
      <c r="AL528" t="s">
        <v>1262</v>
      </c>
      <c r="AM528">
        <v>46295</v>
      </c>
      <c r="AN528">
        <v>46289</v>
      </c>
      <c r="AO528">
        <v>46289</v>
      </c>
      <c r="AP528">
        <v>46293</v>
      </c>
      <c r="AQ528">
        <v>46293</v>
      </c>
      <c r="AR528">
        <v>46295</v>
      </c>
      <c r="AS528">
        <v>46297</v>
      </c>
      <c r="AT528" t="s">
        <v>1281</v>
      </c>
      <c r="AU528" t="s">
        <v>1177</v>
      </c>
      <c r="AV528" t="s">
        <v>1192</v>
      </c>
      <c r="AW528" t="s">
        <v>1177</v>
      </c>
      <c r="AX528">
        <v>33</v>
      </c>
      <c r="AY528">
        <v>2</v>
      </c>
      <c r="AZ528" t="s">
        <v>1177</v>
      </c>
      <c r="BA528">
        <v>0</v>
      </c>
      <c r="BB528" t="s">
        <v>1262</v>
      </c>
      <c r="BC528" t="e">
        <v>#N/A</v>
      </c>
      <c r="BD528" t="e">
        <v>#N/A</v>
      </c>
      <c r="BE528" t="e">
        <v>#N/A</v>
      </c>
      <c r="BF528" t="e">
        <v>#N/A</v>
      </c>
      <c r="BG528" t="e">
        <v>#N/A</v>
      </c>
      <c r="BH528" t="e">
        <v>#N/A</v>
      </c>
      <c r="BI528" t="e">
        <v>#N/A</v>
      </c>
    </row>
    <row r="529" spans="1:61" x14ac:dyDescent="0.35">
      <c r="A529" s="7" t="str">
        <f t="shared" si="16"/>
        <v>462734300011896</v>
      </c>
      <c r="B529" s="7" t="str">
        <f t="shared" si="17"/>
        <v>181921B864</v>
      </c>
      <c r="C529" t="s">
        <v>3064</v>
      </c>
      <c r="D529" t="s">
        <v>1182</v>
      </c>
      <c r="E529" t="s">
        <v>1177</v>
      </c>
      <c r="F529" t="s">
        <v>3029</v>
      </c>
      <c r="G529" t="s">
        <v>1236</v>
      </c>
      <c r="H529" t="s">
        <v>1271</v>
      </c>
      <c r="I529">
        <v>46273</v>
      </c>
      <c r="J529" t="s">
        <v>3065</v>
      </c>
      <c r="K529" t="s">
        <v>1182</v>
      </c>
      <c r="L529" t="s">
        <v>1177</v>
      </c>
      <c r="M529" t="s">
        <v>1274</v>
      </c>
      <c r="N529" t="s">
        <v>7</v>
      </c>
      <c r="O529" t="s">
        <v>1040</v>
      </c>
      <c r="P529">
        <v>46273</v>
      </c>
      <c r="Q529" t="s">
        <v>1185</v>
      </c>
      <c r="R529" t="s">
        <v>10</v>
      </c>
      <c r="S529" t="s">
        <v>1011</v>
      </c>
      <c r="T529" t="s">
        <v>2157</v>
      </c>
      <c r="U529" t="s">
        <v>2158</v>
      </c>
      <c r="V529">
        <v>10</v>
      </c>
      <c r="W529" t="s">
        <v>1262</v>
      </c>
      <c r="X529" t="s">
        <v>1262</v>
      </c>
      <c r="Y529">
        <v>0</v>
      </c>
      <c r="Z529" t="s">
        <v>1186</v>
      </c>
      <c r="AA529" t="s">
        <v>1177</v>
      </c>
      <c r="AB529" t="s">
        <v>1177</v>
      </c>
      <c r="AC529" t="s">
        <v>1177</v>
      </c>
      <c r="AD529" t="s">
        <v>1204</v>
      </c>
      <c r="AE529" t="s">
        <v>2159</v>
      </c>
      <c r="AF529" t="s">
        <v>1189</v>
      </c>
      <c r="AG529" t="s">
        <v>1178</v>
      </c>
      <c r="AH529" t="s">
        <v>1178</v>
      </c>
      <c r="AI529" t="s">
        <v>1177</v>
      </c>
      <c r="AJ529" t="s">
        <v>1190</v>
      </c>
      <c r="AK529">
        <v>3.5</v>
      </c>
      <c r="AL529" t="s">
        <v>1262</v>
      </c>
      <c r="AM529">
        <v>46304</v>
      </c>
      <c r="AN529">
        <v>2958465</v>
      </c>
      <c r="AO529">
        <v>46304</v>
      </c>
      <c r="AP529">
        <v>46304</v>
      </c>
      <c r="AQ529">
        <v>46304</v>
      </c>
      <c r="AR529">
        <v>46304</v>
      </c>
      <c r="AS529">
        <v>46309</v>
      </c>
      <c r="AT529" t="s">
        <v>1281</v>
      </c>
      <c r="AU529" t="s">
        <v>1177</v>
      </c>
      <c r="AV529" t="s">
        <v>1192</v>
      </c>
      <c r="AW529" t="s">
        <v>1177</v>
      </c>
      <c r="AX529">
        <v>33</v>
      </c>
      <c r="AY529">
        <v>2</v>
      </c>
      <c r="AZ529" t="s">
        <v>1177</v>
      </c>
      <c r="BA529">
        <v>0</v>
      </c>
      <c r="BB529" t="s">
        <v>1262</v>
      </c>
      <c r="BC529" t="e">
        <v>#N/A</v>
      </c>
      <c r="BD529" t="e">
        <v>#N/A</v>
      </c>
      <c r="BE529" t="e">
        <v>#N/A</v>
      </c>
      <c r="BF529" t="e">
        <v>#N/A</v>
      </c>
      <c r="BG529" t="e">
        <v>#N/A</v>
      </c>
      <c r="BH529" t="e">
        <v>#N/A</v>
      </c>
      <c r="BI529" t="e">
        <v>#N/A</v>
      </c>
    </row>
    <row r="530" spans="1:61" x14ac:dyDescent="0.35">
      <c r="A530" s="7" t="str">
        <f t="shared" si="16"/>
        <v>462744300011909</v>
      </c>
      <c r="B530" s="7" t="str">
        <f t="shared" si="17"/>
        <v>GP131157B865</v>
      </c>
      <c r="C530" t="s">
        <v>3066</v>
      </c>
      <c r="D530" t="s">
        <v>1182</v>
      </c>
      <c r="E530" t="s">
        <v>1177</v>
      </c>
      <c r="F530" t="s">
        <v>3029</v>
      </c>
      <c r="G530" t="s">
        <v>1236</v>
      </c>
      <c r="H530" t="s">
        <v>1271</v>
      </c>
      <c r="I530">
        <v>46274</v>
      </c>
      <c r="J530" t="s">
        <v>3067</v>
      </c>
      <c r="K530" t="s">
        <v>1182</v>
      </c>
      <c r="L530" t="s">
        <v>1177</v>
      </c>
      <c r="M530" t="s">
        <v>1274</v>
      </c>
      <c r="N530" t="s">
        <v>454</v>
      </c>
      <c r="O530" t="s">
        <v>455</v>
      </c>
      <c r="P530">
        <v>46274</v>
      </c>
      <c r="Q530" t="s">
        <v>1177</v>
      </c>
      <c r="R530" t="s">
        <v>7</v>
      </c>
      <c r="S530" t="s">
        <v>1040</v>
      </c>
      <c r="T530" t="s">
        <v>62</v>
      </c>
      <c r="U530" t="s">
        <v>63</v>
      </c>
      <c r="V530">
        <v>100</v>
      </c>
      <c r="W530" t="s">
        <v>1262</v>
      </c>
      <c r="X530" t="s">
        <v>1262</v>
      </c>
      <c r="Y530">
        <v>0</v>
      </c>
      <c r="Z530" t="s">
        <v>1186</v>
      </c>
      <c r="AA530" t="s">
        <v>1177</v>
      </c>
      <c r="AB530" t="s">
        <v>1177</v>
      </c>
      <c r="AC530" t="s">
        <v>1177</v>
      </c>
      <c r="AD530" t="s">
        <v>1313</v>
      </c>
      <c r="AE530" t="s">
        <v>2160</v>
      </c>
      <c r="AF530" t="s">
        <v>1189</v>
      </c>
      <c r="AG530" t="s">
        <v>1178</v>
      </c>
      <c r="AH530" t="s">
        <v>1178</v>
      </c>
      <c r="AI530" t="s">
        <v>1177</v>
      </c>
      <c r="AJ530" t="s">
        <v>1190</v>
      </c>
      <c r="AK530">
        <v>100</v>
      </c>
      <c r="AL530" t="s">
        <v>1262</v>
      </c>
      <c r="AM530">
        <v>46308</v>
      </c>
      <c r="AN530">
        <v>46308</v>
      </c>
      <c r="AO530">
        <v>46308</v>
      </c>
      <c r="AP530">
        <v>46308</v>
      </c>
      <c r="AQ530">
        <v>46308</v>
      </c>
      <c r="AR530">
        <v>46308</v>
      </c>
      <c r="AS530">
        <v>46310</v>
      </c>
      <c r="AT530" t="s">
        <v>1281</v>
      </c>
      <c r="AU530" t="s">
        <v>1177</v>
      </c>
      <c r="AV530" t="s">
        <v>1192</v>
      </c>
      <c r="AW530" t="s">
        <v>1177</v>
      </c>
      <c r="AX530">
        <v>33</v>
      </c>
      <c r="AY530">
        <v>2</v>
      </c>
      <c r="AZ530" t="s">
        <v>1177</v>
      </c>
      <c r="BA530">
        <v>100</v>
      </c>
      <c r="BB530" t="s">
        <v>1262</v>
      </c>
      <c r="BC530" t="e">
        <v>#N/A</v>
      </c>
      <c r="BD530" t="e">
        <v>#N/A</v>
      </c>
      <c r="BE530" t="e">
        <v>#N/A</v>
      </c>
      <c r="BF530" t="e">
        <v>#N/A</v>
      </c>
      <c r="BG530" t="e">
        <v>#N/A</v>
      </c>
      <c r="BH530" t="e">
        <v>#N/A</v>
      </c>
      <c r="BI530" t="e">
        <v>#N/A</v>
      </c>
    </row>
    <row r="531" spans="1:61" x14ac:dyDescent="0.35">
      <c r="A531" s="7" t="str">
        <f t="shared" si="16"/>
        <v>462744300011916</v>
      </c>
      <c r="B531" s="7" t="str">
        <f t="shared" si="17"/>
        <v>198001B867</v>
      </c>
      <c r="C531" t="s">
        <v>3068</v>
      </c>
      <c r="D531" t="s">
        <v>1199</v>
      </c>
      <c r="E531" t="s">
        <v>1177</v>
      </c>
      <c r="F531" t="s">
        <v>1270</v>
      </c>
      <c r="G531" t="s">
        <v>1236</v>
      </c>
      <c r="H531" t="s">
        <v>1271</v>
      </c>
      <c r="I531">
        <v>46274</v>
      </c>
      <c r="J531" t="s">
        <v>3069</v>
      </c>
      <c r="K531" t="s">
        <v>1182</v>
      </c>
      <c r="L531" t="s">
        <v>1177</v>
      </c>
      <c r="M531" t="s">
        <v>1274</v>
      </c>
      <c r="N531" t="s">
        <v>23</v>
      </c>
      <c r="O531" t="s">
        <v>959</v>
      </c>
      <c r="P531">
        <v>46274</v>
      </c>
      <c r="Q531" t="s">
        <v>1177</v>
      </c>
      <c r="R531" t="s">
        <v>25</v>
      </c>
      <c r="S531" t="s">
        <v>1060</v>
      </c>
      <c r="T531" t="s">
        <v>2836</v>
      </c>
      <c r="U531" t="s">
        <v>2837</v>
      </c>
      <c r="V531">
        <v>23</v>
      </c>
      <c r="W531" t="s">
        <v>1262</v>
      </c>
      <c r="X531" t="s">
        <v>1262</v>
      </c>
      <c r="Y531">
        <v>0</v>
      </c>
      <c r="Z531" t="s">
        <v>1186</v>
      </c>
      <c r="AA531" t="s">
        <v>1177</v>
      </c>
      <c r="AB531" t="s">
        <v>1177</v>
      </c>
      <c r="AC531" t="s">
        <v>1177</v>
      </c>
      <c r="AD531" t="s">
        <v>1313</v>
      </c>
      <c r="AE531" t="s">
        <v>2838</v>
      </c>
      <c r="AF531" t="s">
        <v>1189</v>
      </c>
      <c r="AG531" t="s">
        <v>1190</v>
      </c>
      <c r="AH531" t="s">
        <v>1178</v>
      </c>
      <c r="AI531" t="s">
        <v>1177</v>
      </c>
      <c r="AJ531" t="s">
        <v>1190</v>
      </c>
      <c r="AK531">
        <v>23</v>
      </c>
      <c r="AL531" t="s">
        <v>1262</v>
      </c>
      <c r="AM531">
        <v>46308</v>
      </c>
      <c r="AN531">
        <v>46308</v>
      </c>
      <c r="AO531">
        <v>46308</v>
      </c>
      <c r="AP531">
        <v>46308</v>
      </c>
      <c r="AQ531">
        <v>46308</v>
      </c>
      <c r="AR531">
        <v>46308</v>
      </c>
      <c r="AS531">
        <v>46310</v>
      </c>
      <c r="AT531" t="s">
        <v>1281</v>
      </c>
      <c r="AU531" t="s">
        <v>1177</v>
      </c>
      <c r="AV531" t="s">
        <v>1192</v>
      </c>
      <c r="AW531" t="s">
        <v>1177</v>
      </c>
      <c r="AX531">
        <v>33</v>
      </c>
      <c r="AY531">
        <v>2</v>
      </c>
      <c r="AZ531" t="s">
        <v>1177</v>
      </c>
      <c r="BA531">
        <v>23</v>
      </c>
      <c r="BB531" t="s">
        <v>1262</v>
      </c>
      <c r="BC531" t="e">
        <v>#N/A</v>
      </c>
      <c r="BD531" t="e">
        <v>#N/A</v>
      </c>
      <c r="BE531" t="e">
        <v>#N/A</v>
      </c>
      <c r="BF531" t="e">
        <v>#N/A</v>
      </c>
      <c r="BG531" t="e">
        <v>#N/A</v>
      </c>
      <c r="BH531" t="e">
        <v>#N/A</v>
      </c>
      <c r="BI531" t="e">
        <v>#N/A</v>
      </c>
    </row>
    <row r="532" spans="1:61" x14ac:dyDescent="0.35">
      <c r="A532" s="7" t="str">
        <f t="shared" si="16"/>
        <v>462754300011923</v>
      </c>
      <c r="B532" s="7" t="str">
        <f t="shared" si="17"/>
        <v>094588CB825</v>
      </c>
      <c r="C532" t="s">
        <v>3070</v>
      </c>
      <c r="D532" t="s">
        <v>1182</v>
      </c>
      <c r="E532" t="s">
        <v>1177</v>
      </c>
      <c r="F532" t="s">
        <v>1179</v>
      </c>
      <c r="G532" t="s">
        <v>1236</v>
      </c>
      <c r="H532" t="s">
        <v>1271</v>
      </c>
      <c r="I532">
        <v>46275</v>
      </c>
      <c r="J532" t="s">
        <v>3071</v>
      </c>
      <c r="K532" t="s">
        <v>1182</v>
      </c>
      <c r="L532" t="s">
        <v>1177</v>
      </c>
      <c r="M532" t="s">
        <v>1274</v>
      </c>
      <c r="N532" t="s">
        <v>1079</v>
      </c>
      <c r="O532" t="s">
        <v>1275</v>
      </c>
      <c r="P532">
        <v>46275</v>
      </c>
      <c r="Q532" t="s">
        <v>1177</v>
      </c>
      <c r="R532" t="s">
        <v>16</v>
      </c>
      <c r="S532" t="s">
        <v>512</v>
      </c>
      <c r="T532" t="s">
        <v>338</v>
      </c>
      <c r="U532" t="s">
        <v>339</v>
      </c>
      <c r="V532">
        <v>40</v>
      </c>
      <c r="W532" t="s">
        <v>1404</v>
      </c>
      <c r="X532" t="s">
        <v>1404</v>
      </c>
      <c r="Y532">
        <v>0</v>
      </c>
      <c r="Z532" t="s">
        <v>1186</v>
      </c>
      <c r="AA532" t="s">
        <v>1177</v>
      </c>
      <c r="AB532" t="s">
        <v>1286</v>
      </c>
      <c r="AC532" t="s">
        <v>1277</v>
      </c>
      <c r="AD532" t="s">
        <v>1278</v>
      </c>
      <c r="AE532" t="s">
        <v>2865</v>
      </c>
      <c r="AF532" t="s">
        <v>1178</v>
      </c>
      <c r="AG532" t="s">
        <v>1178</v>
      </c>
      <c r="AH532" t="s">
        <v>1178</v>
      </c>
      <c r="AI532" t="s">
        <v>1349</v>
      </c>
      <c r="AJ532" t="s">
        <v>1190</v>
      </c>
      <c r="AK532">
        <v>0</v>
      </c>
      <c r="AL532" t="s">
        <v>1404</v>
      </c>
      <c r="AM532">
        <v>46301</v>
      </c>
      <c r="AN532">
        <v>46329</v>
      </c>
      <c r="AO532">
        <v>46293</v>
      </c>
      <c r="AP532">
        <v>46295</v>
      </c>
      <c r="AQ532">
        <v>46295</v>
      </c>
      <c r="AR532">
        <v>46297</v>
      </c>
      <c r="AS532">
        <v>46301</v>
      </c>
      <c r="AT532" t="s">
        <v>1281</v>
      </c>
      <c r="AU532" t="s">
        <v>1177</v>
      </c>
      <c r="AV532" t="s">
        <v>1192</v>
      </c>
      <c r="AW532" t="s">
        <v>1177</v>
      </c>
      <c r="AX532">
        <v>33</v>
      </c>
      <c r="AY532">
        <v>2</v>
      </c>
      <c r="AZ532" t="s">
        <v>1177</v>
      </c>
      <c r="BA532">
        <v>0</v>
      </c>
      <c r="BB532" t="s">
        <v>1404</v>
      </c>
      <c r="BC532" t="e">
        <v>#N/A</v>
      </c>
      <c r="BD532" t="e">
        <v>#N/A</v>
      </c>
      <c r="BE532" t="e">
        <v>#N/A</v>
      </c>
      <c r="BF532" t="e">
        <v>#N/A</v>
      </c>
      <c r="BG532" t="e">
        <v>#N/A</v>
      </c>
      <c r="BH532" t="e">
        <v>#N/A</v>
      </c>
      <c r="BI532" t="e">
        <v>#N/A</v>
      </c>
    </row>
    <row r="533" spans="1:61" x14ac:dyDescent="0.35">
      <c r="A533" s="7" t="str">
        <f t="shared" si="16"/>
        <v>462754300011924</v>
      </c>
      <c r="B533" s="7" t="str">
        <f t="shared" si="17"/>
        <v>132425B865</v>
      </c>
      <c r="C533" t="s">
        <v>3072</v>
      </c>
      <c r="D533" t="s">
        <v>1182</v>
      </c>
      <c r="E533" t="s">
        <v>1177</v>
      </c>
      <c r="F533" t="s">
        <v>1179</v>
      </c>
      <c r="G533" t="s">
        <v>1236</v>
      </c>
      <c r="H533" t="s">
        <v>1271</v>
      </c>
      <c r="I533">
        <v>46275</v>
      </c>
      <c r="J533" t="s">
        <v>3073</v>
      </c>
      <c r="K533" t="s">
        <v>1182</v>
      </c>
      <c r="L533" t="s">
        <v>1177</v>
      </c>
      <c r="M533" t="s">
        <v>1274</v>
      </c>
      <c r="N533" t="s">
        <v>1079</v>
      </c>
      <c r="O533" t="s">
        <v>1275</v>
      </c>
      <c r="P533">
        <v>46275</v>
      </c>
      <c r="Q533" t="s">
        <v>1177</v>
      </c>
      <c r="R533" t="s">
        <v>7</v>
      </c>
      <c r="S533" t="s">
        <v>1040</v>
      </c>
      <c r="T533" t="s">
        <v>2773</v>
      </c>
      <c r="U533" t="s">
        <v>2774</v>
      </c>
      <c r="V533">
        <v>1</v>
      </c>
      <c r="W533" t="s">
        <v>1262</v>
      </c>
      <c r="X533" t="s">
        <v>1262</v>
      </c>
      <c r="Y533">
        <v>0</v>
      </c>
      <c r="Z533" t="s">
        <v>1186</v>
      </c>
      <c r="AA533" t="s">
        <v>1177</v>
      </c>
      <c r="AB533" t="s">
        <v>1276</v>
      </c>
      <c r="AC533" t="s">
        <v>1277</v>
      </c>
      <c r="AD533" t="s">
        <v>1278</v>
      </c>
      <c r="AE533" t="s">
        <v>1743</v>
      </c>
      <c r="AF533" t="s">
        <v>1178</v>
      </c>
      <c r="AG533" t="s">
        <v>1190</v>
      </c>
      <c r="AH533" t="s">
        <v>1178</v>
      </c>
      <c r="AI533" t="s">
        <v>1349</v>
      </c>
      <c r="AJ533" t="s">
        <v>1189</v>
      </c>
      <c r="AK533">
        <v>1</v>
      </c>
      <c r="AL533" t="s">
        <v>1262</v>
      </c>
      <c r="AM533">
        <v>46297</v>
      </c>
      <c r="AN533">
        <v>46293</v>
      </c>
      <c r="AO533">
        <v>46293</v>
      </c>
      <c r="AP533">
        <v>46295</v>
      </c>
      <c r="AQ533">
        <v>46295</v>
      </c>
      <c r="AR533">
        <v>46297</v>
      </c>
      <c r="AS533">
        <v>46301</v>
      </c>
      <c r="AT533" t="s">
        <v>1281</v>
      </c>
      <c r="AU533" t="s">
        <v>1177</v>
      </c>
      <c r="AV533" t="s">
        <v>1192</v>
      </c>
      <c r="AW533" t="s">
        <v>1177</v>
      </c>
      <c r="AX533">
        <v>33</v>
      </c>
      <c r="AY533">
        <v>2</v>
      </c>
      <c r="AZ533" t="s">
        <v>1177</v>
      </c>
      <c r="BA533">
        <v>0</v>
      </c>
      <c r="BB533" t="s">
        <v>1262</v>
      </c>
      <c r="BC533" t="s">
        <v>3074</v>
      </c>
      <c r="BD533">
        <v>1</v>
      </c>
      <c r="BE533">
        <v>46288</v>
      </c>
      <c r="BF533" t="s">
        <v>1165</v>
      </c>
      <c r="BG533" t="e">
        <v>#N/A</v>
      </c>
      <c r="BH533" t="e">
        <v>#N/A</v>
      </c>
      <c r="BI533" t="e">
        <v>#N/A</v>
      </c>
    </row>
    <row r="534" spans="1:61" x14ac:dyDescent="0.35">
      <c r="A534" s="7" t="str">
        <f t="shared" si="16"/>
        <v>462754300011925</v>
      </c>
      <c r="B534" s="7" t="str">
        <f t="shared" si="17"/>
        <v>149391-002B825</v>
      </c>
      <c r="C534" t="s">
        <v>3075</v>
      </c>
      <c r="D534" t="s">
        <v>1182</v>
      </c>
      <c r="E534" t="s">
        <v>1177</v>
      </c>
      <c r="F534" t="s">
        <v>1179</v>
      </c>
      <c r="G534" t="s">
        <v>1236</v>
      </c>
      <c r="H534" t="s">
        <v>1271</v>
      </c>
      <c r="I534">
        <v>46275</v>
      </c>
      <c r="J534" t="s">
        <v>3076</v>
      </c>
      <c r="K534" t="s">
        <v>1182</v>
      </c>
      <c r="L534" t="s">
        <v>1177</v>
      </c>
      <c r="M534" t="s">
        <v>1274</v>
      </c>
      <c r="N534" t="s">
        <v>1079</v>
      </c>
      <c r="O534" t="s">
        <v>1275</v>
      </c>
      <c r="P534">
        <v>46275</v>
      </c>
      <c r="Q534" t="s">
        <v>1177</v>
      </c>
      <c r="R534" t="s">
        <v>16</v>
      </c>
      <c r="S534" t="s">
        <v>512</v>
      </c>
      <c r="T534" t="s">
        <v>135</v>
      </c>
      <c r="U534" t="s">
        <v>136</v>
      </c>
      <c r="V534">
        <v>20</v>
      </c>
      <c r="W534" t="s">
        <v>1185</v>
      </c>
      <c r="X534" t="s">
        <v>1185</v>
      </c>
      <c r="Y534">
        <v>0</v>
      </c>
      <c r="Z534" t="s">
        <v>1186</v>
      </c>
      <c r="AA534" t="s">
        <v>1177</v>
      </c>
      <c r="AB534" t="s">
        <v>1177</v>
      </c>
      <c r="AC534" t="s">
        <v>1177</v>
      </c>
      <c r="AD534" t="s">
        <v>1204</v>
      </c>
      <c r="AE534" t="s">
        <v>2246</v>
      </c>
      <c r="AF534" t="s">
        <v>1189</v>
      </c>
      <c r="AG534" t="s">
        <v>1190</v>
      </c>
      <c r="AH534" t="s">
        <v>1178</v>
      </c>
      <c r="AI534" t="s">
        <v>1349</v>
      </c>
      <c r="AJ534" t="s">
        <v>1189</v>
      </c>
      <c r="AK534">
        <v>20</v>
      </c>
      <c r="AL534" t="s">
        <v>1185</v>
      </c>
      <c r="AM534">
        <v>46297</v>
      </c>
      <c r="AN534">
        <v>46293</v>
      </c>
      <c r="AO534">
        <v>46293</v>
      </c>
      <c r="AP534">
        <v>46295</v>
      </c>
      <c r="AQ534">
        <v>46295</v>
      </c>
      <c r="AR534">
        <v>46297</v>
      </c>
      <c r="AS534">
        <v>46301</v>
      </c>
      <c r="AT534" t="s">
        <v>1281</v>
      </c>
      <c r="AU534" t="s">
        <v>1177</v>
      </c>
      <c r="AV534" t="s">
        <v>1192</v>
      </c>
      <c r="AW534" t="s">
        <v>1177</v>
      </c>
      <c r="AX534">
        <v>33</v>
      </c>
      <c r="AY534">
        <v>2</v>
      </c>
      <c r="AZ534" t="s">
        <v>1177</v>
      </c>
      <c r="BA534">
        <v>0</v>
      </c>
      <c r="BB534" t="s">
        <v>1185</v>
      </c>
      <c r="BC534" t="e">
        <v>#N/A</v>
      </c>
      <c r="BD534" t="e">
        <v>#N/A</v>
      </c>
      <c r="BE534" t="e">
        <v>#N/A</v>
      </c>
      <c r="BF534" t="e">
        <v>#N/A</v>
      </c>
      <c r="BG534" t="e">
        <v>#N/A</v>
      </c>
      <c r="BH534" t="e">
        <v>#N/A</v>
      </c>
      <c r="BI534" t="e">
        <v>#N/A</v>
      </c>
    </row>
    <row r="535" spans="1:61" x14ac:dyDescent="0.35">
      <c r="A535" s="7" t="str">
        <f t="shared" si="16"/>
        <v>462754300011926</v>
      </c>
      <c r="B535" s="7" t="str">
        <f t="shared" si="17"/>
        <v>149774B856</v>
      </c>
      <c r="C535" t="s">
        <v>3077</v>
      </c>
      <c r="D535" t="s">
        <v>1182</v>
      </c>
      <c r="E535" t="s">
        <v>1177</v>
      </c>
      <c r="F535" t="s">
        <v>1179</v>
      </c>
      <c r="G535" t="s">
        <v>1236</v>
      </c>
      <c r="H535" t="s">
        <v>1271</v>
      </c>
      <c r="I535">
        <v>46275</v>
      </c>
      <c r="J535" t="s">
        <v>3078</v>
      </c>
      <c r="K535" t="s">
        <v>1182</v>
      </c>
      <c r="L535" t="s">
        <v>1177</v>
      </c>
      <c r="M535" t="s">
        <v>1274</v>
      </c>
      <c r="N535" t="s">
        <v>1079</v>
      </c>
      <c r="O535" t="s">
        <v>1275</v>
      </c>
      <c r="P535">
        <v>46275</v>
      </c>
      <c r="Q535" t="s">
        <v>1177</v>
      </c>
      <c r="R535" t="s">
        <v>21</v>
      </c>
      <c r="S535" t="s">
        <v>853</v>
      </c>
      <c r="T535" t="s">
        <v>2521</v>
      </c>
      <c r="U535" t="s">
        <v>2522</v>
      </c>
      <c r="V535">
        <v>1</v>
      </c>
      <c r="W535" t="s">
        <v>1262</v>
      </c>
      <c r="X535" t="s">
        <v>1262</v>
      </c>
      <c r="Y535">
        <v>0</v>
      </c>
      <c r="Z535" t="s">
        <v>1186</v>
      </c>
      <c r="AA535" t="s">
        <v>1177</v>
      </c>
      <c r="AB535" t="s">
        <v>1177</v>
      </c>
      <c r="AC535" t="s">
        <v>1177</v>
      </c>
      <c r="AD535" t="s">
        <v>1204</v>
      </c>
      <c r="AE535" t="s">
        <v>1463</v>
      </c>
      <c r="AF535" t="s">
        <v>1189</v>
      </c>
      <c r="AG535" t="s">
        <v>1190</v>
      </c>
      <c r="AH535" t="s">
        <v>1178</v>
      </c>
      <c r="AI535" t="s">
        <v>1280</v>
      </c>
      <c r="AJ535" t="s">
        <v>1189</v>
      </c>
      <c r="AK535">
        <v>1</v>
      </c>
      <c r="AL535" t="s">
        <v>1262</v>
      </c>
      <c r="AM535">
        <v>46351</v>
      </c>
      <c r="AN535">
        <v>46345</v>
      </c>
      <c r="AO535">
        <v>46345</v>
      </c>
      <c r="AP535">
        <v>46349</v>
      </c>
      <c r="AQ535">
        <v>46349</v>
      </c>
      <c r="AR535">
        <v>46351</v>
      </c>
      <c r="AS535">
        <v>46353</v>
      </c>
      <c r="AT535" t="s">
        <v>1281</v>
      </c>
      <c r="AU535" t="s">
        <v>1177</v>
      </c>
      <c r="AV535" t="s">
        <v>1192</v>
      </c>
      <c r="AW535" t="s">
        <v>1177</v>
      </c>
      <c r="AX535">
        <v>33</v>
      </c>
      <c r="AY535">
        <v>2</v>
      </c>
      <c r="AZ535" t="s">
        <v>1193</v>
      </c>
      <c r="BA535">
        <v>0</v>
      </c>
      <c r="BB535" t="s">
        <v>1262</v>
      </c>
      <c r="BC535" t="e">
        <v>#N/A</v>
      </c>
      <c r="BD535" t="e">
        <v>#N/A</v>
      </c>
      <c r="BE535" t="e">
        <v>#N/A</v>
      </c>
      <c r="BF535" t="e">
        <v>#N/A</v>
      </c>
      <c r="BG535" t="e">
        <v>#N/A</v>
      </c>
      <c r="BH535" t="e">
        <v>#N/A</v>
      </c>
      <c r="BI535" t="e">
        <v>#N/A</v>
      </c>
    </row>
    <row r="536" spans="1:61" x14ac:dyDescent="0.35">
      <c r="A536" s="7" t="str">
        <f t="shared" si="16"/>
        <v>462754300011927</v>
      </c>
      <c r="B536" s="7" t="str">
        <f t="shared" si="17"/>
        <v>195051B856</v>
      </c>
      <c r="C536" t="s">
        <v>3079</v>
      </c>
      <c r="D536" t="s">
        <v>1182</v>
      </c>
      <c r="E536" t="s">
        <v>1177</v>
      </c>
      <c r="F536" t="s">
        <v>1179</v>
      </c>
      <c r="G536" t="s">
        <v>1236</v>
      </c>
      <c r="H536" t="s">
        <v>1271</v>
      </c>
      <c r="I536">
        <v>46275</v>
      </c>
      <c r="J536" t="s">
        <v>3080</v>
      </c>
      <c r="K536" t="s">
        <v>1182</v>
      </c>
      <c r="L536" t="s">
        <v>1177</v>
      </c>
      <c r="M536" t="s">
        <v>1274</v>
      </c>
      <c r="N536" t="s">
        <v>1079</v>
      </c>
      <c r="O536" t="s">
        <v>1275</v>
      </c>
      <c r="P536">
        <v>46275</v>
      </c>
      <c r="Q536" t="s">
        <v>1177</v>
      </c>
      <c r="R536" t="s">
        <v>21</v>
      </c>
      <c r="S536" t="s">
        <v>853</v>
      </c>
      <c r="T536" t="s">
        <v>3081</v>
      </c>
      <c r="U536" t="s">
        <v>3082</v>
      </c>
      <c r="V536">
        <v>1</v>
      </c>
      <c r="W536" t="s">
        <v>1262</v>
      </c>
      <c r="X536" t="s">
        <v>1262</v>
      </c>
      <c r="Y536">
        <v>0</v>
      </c>
      <c r="Z536" t="s">
        <v>1186</v>
      </c>
      <c r="AA536" t="s">
        <v>1177</v>
      </c>
      <c r="AB536" t="s">
        <v>1276</v>
      </c>
      <c r="AC536" t="s">
        <v>1277</v>
      </c>
      <c r="AD536" t="s">
        <v>1278</v>
      </c>
      <c r="AE536" t="s">
        <v>1883</v>
      </c>
      <c r="AF536" t="s">
        <v>1178</v>
      </c>
      <c r="AG536" t="s">
        <v>1190</v>
      </c>
      <c r="AH536" t="s">
        <v>1178</v>
      </c>
      <c r="AI536" t="s">
        <v>1280</v>
      </c>
      <c r="AJ536" t="s">
        <v>1189</v>
      </c>
      <c r="AK536">
        <v>1</v>
      </c>
      <c r="AL536" t="s">
        <v>1262</v>
      </c>
      <c r="AM536">
        <v>46295</v>
      </c>
      <c r="AN536">
        <v>46289</v>
      </c>
      <c r="AO536">
        <v>46289</v>
      </c>
      <c r="AP536">
        <v>46293</v>
      </c>
      <c r="AQ536">
        <v>46293</v>
      </c>
      <c r="AR536">
        <v>46295</v>
      </c>
      <c r="AS536">
        <v>46297</v>
      </c>
      <c r="AT536" t="s">
        <v>1281</v>
      </c>
      <c r="AU536" t="s">
        <v>1177</v>
      </c>
      <c r="AV536" t="s">
        <v>1192</v>
      </c>
      <c r="AW536" t="s">
        <v>1177</v>
      </c>
      <c r="AX536">
        <v>33</v>
      </c>
      <c r="AY536">
        <v>2</v>
      </c>
      <c r="AZ536" t="s">
        <v>1177</v>
      </c>
      <c r="BA536">
        <v>0</v>
      </c>
      <c r="BB536" t="s">
        <v>1262</v>
      </c>
      <c r="BC536" t="e">
        <v>#N/A</v>
      </c>
      <c r="BD536" t="e">
        <v>#N/A</v>
      </c>
      <c r="BE536" t="e">
        <v>#N/A</v>
      </c>
      <c r="BF536" t="e">
        <v>#N/A</v>
      </c>
      <c r="BG536" t="e">
        <v>#N/A</v>
      </c>
      <c r="BH536" t="e">
        <v>#N/A</v>
      </c>
      <c r="BI536" t="e">
        <v>#N/A</v>
      </c>
    </row>
    <row r="537" spans="1:61" x14ac:dyDescent="0.35">
      <c r="A537" s="7" t="str">
        <f t="shared" si="16"/>
        <v>462754300011928</v>
      </c>
      <c r="B537" s="7" t="str">
        <f t="shared" si="17"/>
        <v>198001B867</v>
      </c>
      <c r="C537" t="s">
        <v>3083</v>
      </c>
      <c r="D537" t="s">
        <v>1182</v>
      </c>
      <c r="E537" t="s">
        <v>1177</v>
      </c>
      <c r="F537" t="s">
        <v>1179</v>
      </c>
      <c r="G537" t="s">
        <v>1236</v>
      </c>
      <c r="H537" t="s">
        <v>1271</v>
      </c>
      <c r="I537">
        <v>46275</v>
      </c>
      <c r="J537" t="s">
        <v>3084</v>
      </c>
      <c r="K537" t="s">
        <v>1182</v>
      </c>
      <c r="L537" t="s">
        <v>1177</v>
      </c>
      <c r="M537" t="s">
        <v>1274</v>
      </c>
      <c r="N537" t="s">
        <v>1079</v>
      </c>
      <c r="O537" t="s">
        <v>1275</v>
      </c>
      <c r="P537">
        <v>46275</v>
      </c>
      <c r="Q537" t="s">
        <v>1177</v>
      </c>
      <c r="R537" t="s">
        <v>25</v>
      </c>
      <c r="S537" t="s">
        <v>1060</v>
      </c>
      <c r="T537" t="s">
        <v>2836</v>
      </c>
      <c r="U537" t="s">
        <v>2837</v>
      </c>
      <c r="V537">
        <v>1</v>
      </c>
      <c r="W537" t="s">
        <v>1262</v>
      </c>
      <c r="X537" t="s">
        <v>1262</v>
      </c>
      <c r="Y537">
        <v>0</v>
      </c>
      <c r="Z537" t="s">
        <v>1186</v>
      </c>
      <c r="AA537" t="s">
        <v>1177</v>
      </c>
      <c r="AB537" t="s">
        <v>1177</v>
      </c>
      <c r="AC537" t="s">
        <v>1177</v>
      </c>
      <c r="AD537" t="s">
        <v>1313</v>
      </c>
      <c r="AE537" t="s">
        <v>2838</v>
      </c>
      <c r="AF537" t="s">
        <v>1189</v>
      </c>
      <c r="AG537" t="s">
        <v>1190</v>
      </c>
      <c r="AH537" t="s">
        <v>1178</v>
      </c>
      <c r="AI537" t="s">
        <v>1280</v>
      </c>
      <c r="AJ537" t="s">
        <v>1189</v>
      </c>
      <c r="AK537">
        <v>1</v>
      </c>
      <c r="AL537" t="s">
        <v>1262</v>
      </c>
      <c r="AM537">
        <v>46295</v>
      </c>
      <c r="AN537">
        <v>46289</v>
      </c>
      <c r="AO537">
        <v>46289</v>
      </c>
      <c r="AP537">
        <v>46293</v>
      </c>
      <c r="AQ537">
        <v>46293</v>
      </c>
      <c r="AR537">
        <v>46295</v>
      </c>
      <c r="AS537">
        <v>46297</v>
      </c>
      <c r="AT537" t="s">
        <v>1281</v>
      </c>
      <c r="AU537" t="s">
        <v>1177</v>
      </c>
      <c r="AV537" t="s">
        <v>1192</v>
      </c>
      <c r="AW537" t="s">
        <v>1177</v>
      </c>
      <c r="AX537">
        <v>33</v>
      </c>
      <c r="AY537">
        <v>2</v>
      </c>
      <c r="AZ537" t="s">
        <v>1177</v>
      </c>
      <c r="BA537">
        <v>0</v>
      </c>
      <c r="BB537" t="s">
        <v>1262</v>
      </c>
      <c r="BC537" t="e">
        <v>#N/A</v>
      </c>
      <c r="BD537" t="e">
        <v>#N/A</v>
      </c>
      <c r="BE537" t="e">
        <v>#N/A</v>
      </c>
      <c r="BF537" t="e">
        <v>#N/A</v>
      </c>
      <c r="BG537" t="e">
        <v>#N/A</v>
      </c>
      <c r="BH537" t="e">
        <v>#N/A</v>
      </c>
      <c r="BI537" t="e">
        <v>#N/A</v>
      </c>
    </row>
    <row r="538" spans="1:61" x14ac:dyDescent="0.35">
      <c r="A538" s="7" t="str">
        <f t="shared" si="16"/>
        <v>462764300011961</v>
      </c>
      <c r="B538" s="7" t="str">
        <f t="shared" si="17"/>
        <v>P393126B825</v>
      </c>
      <c r="C538" t="s">
        <v>3085</v>
      </c>
      <c r="D538" t="s">
        <v>1182</v>
      </c>
      <c r="E538" t="s">
        <v>1177</v>
      </c>
      <c r="F538" t="s">
        <v>1179</v>
      </c>
      <c r="G538" t="s">
        <v>1236</v>
      </c>
      <c r="H538" t="s">
        <v>1271</v>
      </c>
      <c r="I538">
        <v>46276</v>
      </c>
      <c r="J538" t="s">
        <v>3086</v>
      </c>
      <c r="K538" t="s">
        <v>1423</v>
      </c>
      <c r="L538" t="s">
        <v>1177</v>
      </c>
      <c r="M538" t="s">
        <v>1274</v>
      </c>
      <c r="N538" t="s">
        <v>1079</v>
      </c>
      <c r="O538" t="s">
        <v>1275</v>
      </c>
      <c r="P538">
        <v>46276</v>
      </c>
      <c r="Q538" t="s">
        <v>1177</v>
      </c>
      <c r="R538" t="s">
        <v>16</v>
      </c>
      <c r="S538" t="s">
        <v>512</v>
      </c>
      <c r="T538" t="s">
        <v>202</v>
      </c>
      <c r="U538" t="s">
        <v>3087</v>
      </c>
      <c r="V538">
        <v>1</v>
      </c>
      <c r="W538" t="s">
        <v>1262</v>
      </c>
      <c r="X538" t="s">
        <v>1262</v>
      </c>
      <c r="Y538">
        <v>0</v>
      </c>
      <c r="Z538" t="s">
        <v>1186</v>
      </c>
      <c r="AA538" t="s">
        <v>1177</v>
      </c>
      <c r="AB538" t="s">
        <v>1276</v>
      </c>
      <c r="AC538" t="s">
        <v>1277</v>
      </c>
      <c r="AD538" t="s">
        <v>1278</v>
      </c>
      <c r="AE538" t="s">
        <v>1357</v>
      </c>
      <c r="AF538" t="s">
        <v>1178</v>
      </c>
      <c r="AG538" t="s">
        <v>1190</v>
      </c>
      <c r="AH538" t="s">
        <v>1178</v>
      </c>
      <c r="AI538" t="s">
        <v>1349</v>
      </c>
      <c r="AJ538" t="s">
        <v>1190</v>
      </c>
      <c r="AK538">
        <v>0</v>
      </c>
      <c r="AL538" t="s">
        <v>1262</v>
      </c>
      <c r="AM538">
        <v>46301</v>
      </c>
      <c r="AN538">
        <v>46293</v>
      </c>
      <c r="AO538">
        <v>46293</v>
      </c>
      <c r="AP538">
        <v>46295</v>
      </c>
      <c r="AQ538">
        <v>46295</v>
      </c>
      <c r="AR538">
        <v>46297</v>
      </c>
      <c r="AS538">
        <v>46301</v>
      </c>
      <c r="AT538" t="s">
        <v>1281</v>
      </c>
      <c r="AU538" t="s">
        <v>1177</v>
      </c>
      <c r="AV538" t="s">
        <v>1192</v>
      </c>
      <c r="AW538" t="s">
        <v>1177</v>
      </c>
      <c r="AX538">
        <v>33</v>
      </c>
      <c r="AY538">
        <v>2</v>
      </c>
      <c r="AZ538" t="s">
        <v>1177</v>
      </c>
      <c r="BA538">
        <v>0</v>
      </c>
      <c r="BB538" t="s">
        <v>1262</v>
      </c>
      <c r="BC538" t="e">
        <v>#N/A</v>
      </c>
      <c r="BD538" t="e">
        <v>#N/A</v>
      </c>
      <c r="BE538" t="e">
        <v>#N/A</v>
      </c>
      <c r="BF538" t="e">
        <v>#N/A</v>
      </c>
      <c r="BG538" t="e">
        <v>#N/A</v>
      </c>
      <c r="BH538" t="e">
        <v>#N/A</v>
      </c>
      <c r="BI538" t="e">
        <v>#N/A</v>
      </c>
    </row>
    <row r="539" spans="1:61" x14ac:dyDescent="0.35">
      <c r="A539" s="7" t="str">
        <f t="shared" si="16"/>
        <v>462764300011962</v>
      </c>
      <c r="B539" s="7" t="str">
        <f t="shared" si="17"/>
        <v>GP239836B832</v>
      </c>
      <c r="C539" t="s">
        <v>3088</v>
      </c>
      <c r="D539" t="s">
        <v>1182</v>
      </c>
      <c r="E539" t="s">
        <v>1177</v>
      </c>
      <c r="F539" t="s">
        <v>1179</v>
      </c>
      <c r="G539" t="s">
        <v>1236</v>
      </c>
      <c r="H539" t="s">
        <v>1271</v>
      </c>
      <c r="I539">
        <v>46276</v>
      </c>
      <c r="J539" t="s">
        <v>3089</v>
      </c>
      <c r="K539" t="s">
        <v>1182</v>
      </c>
      <c r="L539" t="s">
        <v>1177</v>
      </c>
      <c r="M539" t="s">
        <v>1274</v>
      </c>
      <c r="N539" t="s">
        <v>1079</v>
      </c>
      <c r="O539" t="s">
        <v>1275</v>
      </c>
      <c r="P539">
        <v>46276</v>
      </c>
      <c r="Q539" t="s">
        <v>1177</v>
      </c>
      <c r="R539" t="s">
        <v>19</v>
      </c>
      <c r="S539" t="s">
        <v>654</v>
      </c>
      <c r="T539" t="s">
        <v>477</v>
      </c>
      <c r="U539" t="s">
        <v>478</v>
      </c>
      <c r="V539">
        <v>2</v>
      </c>
      <c r="W539" t="s">
        <v>1262</v>
      </c>
      <c r="X539" t="s">
        <v>1262</v>
      </c>
      <c r="Y539">
        <v>0</v>
      </c>
      <c r="Z539" t="s">
        <v>1186</v>
      </c>
      <c r="AA539" t="s">
        <v>1177</v>
      </c>
      <c r="AB539" t="s">
        <v>1276</v>
      </c>
      <c r="AC539" t="s">
        <v>1277</v>
      </c>
      <c r="AD539" t="s">
        <v>1278</v>
      </c>
      <c r="AE539" t="s">
        <v>1776</v>
      </c>
      <c r="AF539" t="s">
        <v>1178</v>
      </c>
      <c r="AG539" t="s">
        <v>1190</v>
      </c>
      <c r="AH539" t="s">
        <v>1178</v>
      </c>
      <c r="AI539" t="s">
        <v>1349</v>
      </c>
      <c r="AJ539" t="s">
        <v>1190</v>
      </c>
      <c r="AK539">
        <v>0</v>
      </c>
      <c r="AL539" t="s">
        <v>1262</v>
      </c>
      <c r="AM539">
        <v>46301</v>
      </c>
      <c r="AN539">
        <v>46293</v>
      </c>
      <c r="AO539">
        <v>46293</v>
      </c>
      <c r="AP539">
        <v>46295</v>
      </c>
      <c r="AQ539">
        <v>46295</v>
      </c>
      <c r="AR539">
        <v>46297</v>
      </c>
      <c r="AS539">
        <v>46301</v>
      </c>
      <c r="AT539" t="s">
        <v>1281</v>
      </c>
      <c r="AU539" t="s">
        <v>1177</v>
      </c>
      <c r="AV539" t="s">
        <v>1192</v>
      </c>
      <c r="AW539" t="s">
        <v>1177</v>
      </c>
      <c r="AX539">
        <v>33</v>
      </c>
      <c r="AY539">
        <v>2</v>
      </c>
      <c r="AZ539" t="s">
        <v>1177</v>
      </c>
      <c r="BA539">
        <v>0</v>
      </c>
      <c r="BB539" t="s">
        <v>1262</v>
      </c>
      <c r="BC539" t="e">
        <v>#N/A</v>
      </c>
      <c r="BD539" t="e">
        <v>#N/A</v>
      </c>
      <c r="BE539" t="e">
        <v>#N/A</v>
      </c>
      <c r="BF539" t="e">
        <v>#N/A</v>
      </c>
      <c r="BG539" t="e">
        <v>#N/A</v>
      </c>
      <c r="BH539" t="e">
        <v>#N/A</v>
      </c>
      <c r="BI539" t="e">
        <v>#N/A</v>
      </c>
    </row>
    <row r="540" spans="1:61" x14ac:dyDescent="0.35">
      <c r="A540" s="7" t="str">
        <f t="shared" si="16"/>
        <v>462764300011963</v>
      </c>
      <c r="B540" s="7" t="str">
        <f t="shared" si="17"/>
        <v>GP240740B832</v>
      </c>
      <c r="C540" t="s">
        <v>3090</v>
      </c>
      <c r="D540" t="s">
        <v>1182</v>
      </c>
      <c r="E540" t="s">
        <v>1177</v>
      </c>
      <c r="F540" t="s">
        <v>1179</v>
      </c>
      <c r="G540" t="s">
        <v>1236</v>
      </c>
      <c r="H540" t="s">
        <v>1271</v>
      </c>
      <c r="I540">
        <v>46276</v>
      </c>
      <c r="J540" t="s">
        <v>3091</v>
      </c>
      <c r="K540" t="s">
        <v>1182</v>
      </c>
      <c r="L540" t="s">
        <v>1177</v>
      </c>
      <c r="M540" t="s">
        <v>1274</v>
      </c>
      <c r="N540" t="s">
        <v>1079</v>
      </c>
      <c r="O540" t="s">
        <v>1275</v>
      </c>
      <c r="P540">
        <v>46276</v>
      </c>
      <c r="Q540" t="s">
        <v>1177</v>
      </c>
      <c r="R540" t="s">
        <v>19</v>
      </c>
      <c r="S540" t="s">
        <v>654</v>
      </c>
      <c r="T540" t="s">
        <v>578</v>
      </c>
      <c r="U540" t="s">
        <v>2997</v>
      </c>
      <c r="V540">
        <v>1</v>
      </c>
      <c r="W540" t="s">
        <v>1262</v>
      </c>
      <c r="X540" t="s">
        <v>1262</v>
      </c>
      <c r="Y540">
        <v>0</v>
      </c>
      <c r="Z540" t="s">
        <v>1186</v>
      </c>
      <c r="AA540" t="s">
        <v>1177</v>
      </c>
      <c r="AB540" t="s">
        <v>1276</v>
      </c>
      <c r="AC540" t="s">
        <v>1277</v>
      </c>
      <c r="AD540" t="s">
        <v>1278</v>
      </c>
      <c r="AE540" t="s">
        <v>1566</v>
      </c>
      <c r="AF540" t="s">
        <v>1178</v>
      </c>
      <c r="AG540" t="s">
        <v>1190</v>
      </c>
      <c r="AH540" t="s">
        <v>1178</v>
      </c>
      <c r="AI540" t="s">
        <v>1349</v>
      </c>
      <c r="AJ540" t="s">
        <v>1190</v>
      </c>
      <c r="AK540">
        <v>0</v>
      </c>
      <c r="AL540" t="s">
        <v>1262</v>
      </c>
      <c r="AM540">
        <v>46301</v>
      </c>
      <c r="AN540">
        <v>46461</v>
      </c>
      <c r="AO540">
        <v>46293</v>
      </c>
      <c r="AP540">
        <v>46295</v>
      </c>
      <c r="AQ540">
        <v>46295</v>
      </c>
      <c r="AR540">
        <v>46297</v>
      </c>
      <c r="AS540">
        <v>46301</v>
      </c>
      <c r="AT540" t="s">
        <v>1281</v>
      </c>
      <c r="AU540" t="s">
        <v>1177</v>
      </c>
      <c r="AV540" t="s">
        <v>1192</v>
      </c>
      <c r="AW540" t="s">
        <v>1177</v>
      </c>
      <c r="AX540">
        <v>33</v>
      </c>
      <c r="AY540">
        <v>2</v>
      </c>
      <c r="AZ540" t="s">
        <v>1177</v>
      </c>
      <c r="BA540">
        <v>0</v>
      </c>
      <c r="BB540" t="s">
        <v>1262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e">
        <v>#N/A</v>
      </c>
      <c r="BI540" t="e">
        <v>#N/A</v>
      </c>
    </row>
    <row r="541" spans="1:61" x14ac:dyDescent="0.35">
      <c r="A541" s="7" t="str">
        <f t="shared" si="16"/>
        <v>462764300011967</v>
      </c>
      <c r="B541" s="7" t="str">
        <f t="shared" si="17"/>
        <v>P670090B833</v>
      </c>
      <c r="C541" t="s">
        <v>3092</v>
      </c>
      <c r="D541" t="s">
        <v>1182</v>
      </c>
      <c r="E541" t="s">
        <v>1177</v>
      </c>
      <c r="F541" t="s">
        <v>1179</v>
      </c>
      <c r="G541" t="s">
        <v>1236</v>
      </c>
      <c r="H541" t="s">
        <v>1271</v>
      </c>
      <c r="I541">
        <v>46276</v>
      </c>
      <c r="J541" t="s">
        <v>3093</v>
      </c>
      <c r="K541" t="s">
        <v>1713</v>
      </c>
      <c r="L541" t="s">
        <v>1177</v>
      </c>
      <c r="M541" t="s">
        <v>1274</v>
      </c>
      <c r="N541" t="s">
        <v>1079</v>
      </c>
      <c r="O541" t="s">
        <v>1275</v>
      </c>
      <c r="P541">
        <v>46276</v>
      </c>
      <c r="Q541" t="s">
        <v>1177</v>
      </c>
      <c r="R541" t="s">
        <v>697</v>
      </c>
      <c r="S541" t="s">
        <v>699</v>
      </c>
      <c r="T541" t="s">
        <v>3094</v>
      </c>
      <c r="U541" t="s">
        <v>3095</v>
      </c>
      <c r="V541">
        <v>588</v>
      </c>
      <c r="W541" t="s">
        <v>1262</v>
      </c>
      <c r="X541" t="s">
        <v>1262</v>
      </c>
      <c r="Y541">
        <v>0</v>
      </c>
      <c r="Z541" t="s">
        <v>1186</v>
      </c>
      <c r="AA541" t="s">
        <v>1177</v>
      </c>
      <c r="AB541" t="s">
        <v>1286</v>
      </c>
      <c r="AC541" t="s">
        <v>1277</v>
      </c>
      <c r="AD541" t="s">
        <v>1278</v>
      </c>
      <c r="AE541" t="s">
        <v>1383</v>
      </c>
      <c r="AF541" t="s">
        <v>1178</v>
      </c>
      <c r="AG541" t="s">
        <v>1178</v>
      </c>
      <c r="AH541" t="s">
        <v>1178</v>
      </c>
      <c r="AI541" t="s">
        <v>1349</v>
      </c>
      <c r="AJ541" t="s">
        <v>1190</v>
      </c>
      <c r="AK541">
        <v>0</v>
      </c>
      <c r="AL541" t="s">
        <v>1262</v>
      </c>
      <c r="AM541">
        <v>46295</v>
      </c>
      <c r="AN541">
        <v>46318</v>
      </c>
      <c r="AO541">
        <v>46286</v>
      </c>
      <c r="AP541">
        <v>46288</v>
      </c>
      <c r="AQ541">
        <v>46288</v>
      </c>
      <c r="AR541">
        <v>46290</v>
      </c>
      <c r="AS541">
        <v>46290</v>
      </c>
      <c r="AT541" t="s">
        <v>1281</v>
      </c>
      <c r="AU541" t="s">
        <v>1177</v>
      </c>
      <c r="AV541" t="s">
        <v>1192</v>
      </c>
      <c r="AW541" t="s">
        <v>1177</v>
      </c>
      <c r="AX541">
        <v>0</v>
      </c>
      <c r="AY541">
        <v>0</v>
      </c>
      <c r="AZ541" t="s">
        <v>1177</v>
      </c>
      <c r="BA541">
        <v>0</v>
      </c>
      <c r="BB541" t="s">
        <v>1262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e">
        <v>#N/A</v>
      </c>
      <c r="BI541" t="e">
        <v>#N/A</v>
      </c>
    </row>
    <row r="542" spans="1:61" x14ac:dyDescent="0.35">
      <c r="A542" s="7" t="str">
        <f t="shared" si="16"/>
        <v>462764300011968</v>
      </c>
      <c r="B542" s="7" t="str">
        <f t="shared" si="17"/>
        <v>GP091184B838</v>
      </c>
      <c r="C542" t="s">
        <v>3096</v>
      </c>
      <c r="D542" t="s">
        <v>1182</v>
      </c>
      <c r="E542" t="s">
        <v>1177</v>
      </c>
      <c r="F542" t="s">
        <v>1179</v>
      </c>
      <c r="G542" t="s">
        <v>1236</v>
      </c>
      <c r="H542" t="s">
        <v>1271</v>
      </c>
      <c r="I542">
        <v>46276</v>
      </c>
      <c r="J542" t="s">
        <v>3097</v>
      </c>
      <c r="K542" t="s">
        <v>1182</v>
      </c>
      <c r="L542" t="s">
        <v>1177</v>
      </c>
      <c r="M542" t="s">
        <v>1274</v>
      </c>
      <c r="N542" t="s">
        <v>1079</v>
      </c>
      <c r="O542" t="s">
        <v>1275</v>
      </c>
      <c r="P542">
        <v>46276</v>
      </c>
      <c r="Q542" t="s">
        <v>1177</v>
      </c>
      <c r="R542" t="s">
        <v>48</v>
      </c>
      <c r="S542" t="s">
        <v>745</v>
      </c>
      <c r="T542" t="s">
        <v>169</v>
      </c>
      <c r="U542" t="s">
        <v>3098</v>
      </c>
      <c r="V542">
        <v>1</v>
      </c>
      <c r="W542" t="s">
        <v>1262</v>
      </c>
      <c r="X542" t="s">
        <v>1262</v>
      </c>
      <c r="Y542">
        <v>0</v>
      </c>
      <c r="Z542" t="s">
        <v>1186</v>
      </c>
      <c r="AA542" t="s">
        <v>1177</v>
      </c>
      <c r="AB542" t="s">
        <v>1276</v>
      </c>
      <c r="AC542" t="s">
        <v>1277</v>
      </c>
      <c r="AD542" t="s">
        <v>1278</v>
      </c>
      <c r="AE542" t="s">
        <v>2138</v>
      </c>
      <c r="AF542" t="s">
        <v>1178</v>
      </c>
      <c r="AG542" t="s">
        <v>1190</v>
      </c>
      <c r="AH542" t="s">
        <v>1178</v>
      </c>
      <c r="AI542" t="s">
        <v>1280</v>
      </c>
      <c r="AJ542" t="s">
        <v>1190</v>
      </c>
      <c r="AK542">
        <v>0</v>
      </c>
      <c r="AL542" t="s">
        <v>1262</v>
      </c>
      <c r="AM542">
        <v>46301</v>
      </c>
      <c r="AN542">
        <v>46289</v>
      </c>
      <c r="AO542">
        <v>46289</v>
      </c>
      <c r="AP542">
        <v>46293</v>
      </c>
      <c r="AQ542">
        <v>46293</v>
      </c>
      <c r="AR542">
        <v>46295</v>
      </c>
      <c r="AS542">
        <v>46297</v>
      </c>
      <c r="AT542" t="s">
        <v>1281</v>
      </c>
      <c r="AU542" t="s">
        <v>1177</v>
      </c>
      <c r="AV542" t="s">
        <v>1192</v>
      </c>
      <c r="AW542" t="s">
        <v>1177</v>
      </c>
      <c r="AX542">
        <v>33</v>
      </c>
      <c r="AY542">
        <v>2</v>
      </c>
      <c r="AZ542" t="s">
        <v>1177</v>
      </c>
      <c r="BA542">
        <v>0</v>
      </c>
      <c r="BB542" t="s">
        <v>1262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e">
        <v>#N/A</v>
      </c>
      <c r="BI542" t="e">
        <v>#N/A</v>
      </c>
    </row>
    <row r="543" spans="1:61" x14ac:dyDescent="0.35">
      <c r="A543" s="7" t="str">
        <f t="shared" si="16"/>
        <v>462764300011969</v>
      </c>
      <c r="B543" s="7" t="str">
        <f t="shared" si="17"/>
        <v>GP112325B856</v>
      </c>
      <c r="C543" t="s">
        <v>3099</v>
      </c>
      <c r="D543" t="s">
        <v>1182</v>
      </c>
      <c r="E543" t="s">
        <v>1177</v>
      </c>
      <c r="F543" t="s">
        <v>1179</v>
      </c>
      <c r="G543" t="s">
        <v>1236</v>
      </c>
      <c r="H543" t="s">
        <v>1271</v>
      </c>
      <c r="I543">
        <v>46276</v>
      </c>
      <c r="J543" t="s">
        <v>3100</v>
      </c>
      <c r="K543" t="s">
        <v>1283</v>
      </c>
      <c r="L543" t="s">
        <v>1177</v>
      </c>
      <c r="M543" t="s">
        <v>1274</v>
      </c>
      <c r="N543" t="s">
        <v>1079</v>
      </c>
      <c r="O543" t="s">
        <v>1275</v>
      </c>
      <c r="P543">
        <v>46276</v>
      </c>
      <c r="Q543" t="s">
        <v>1177</v>
      </c>
      <c r="R543" t="s">
        <v>21</v>
      </c>
      <c r="S543" t="s">
        <v>853</v>
      </c>
      <c r="T543" t="s">
        <v>397</v>
      </c>
      <c r="U543" t="s">
        <v>398</v>
      </c>
      <c r="V543">
        <v>1</v>
      </c>
      <c r="W543" t="s">
        <v>1262</v>
      </c>
      <c r="X543" t="s">
        <v>1262</v>
      </c>
      <c r="Y543">
        <v>0</v>
      </c>
      <c r="Z543" t="s">
        <v>1186</v>
      </c>
      <c r="AA543" t="s">
        <v>1177</v>
      </c>
      <c r="AB543" t="s">
        <v>1177</v>
      </c>
      <c r="AC543" t="s">
        <v>1177</v>
      </c>
      <c r="AD543" t="s">
        <v>1204</v>
      </c>
      <c r="AE543" t="s">
        <v>2191</v>
      </c>
      <c r="AF543" t="s">
        <v>1189</v>
      </c>
      <c r="AG543" t="s">
        <v>1190</v>
      </c>
      <c r="AH543" t="s">
        <v>1178</v>
      </c>
      <c r="AI543" t="s">
        <v>1280</v>
      </c>
      <c r="AJ543" t="s">
        <v>1189</v>
      </c>
      <c r="AK543">
        <v>1</v>
      </c>
      <c r="AL543" t="s">
        <v>1262</v>
      </c>
      <c r="AM543">
        <v>46351</v>
      </c>
      <c r="AN543">
        <v>46345</v>
      </c>
      <c r="AO543">
        <v>46345</v>
      </c>
      <c r="AP543">
        <v>46349</v>
      </c>
      <c r="AQ543">
        <v>46349</v>
      </c>
      <c r="AR543">
        <v>46351</v>
      </c>
      <c r="AS543">
        <v>46353</v>
      </c>
      <c r="AT543" t="s">
        <v>1281</v>
      </c>
      <c r="AU543" t="s">
        <v>1177</v>
      </c>
      <c r="AV543" t="s">
        <v>1192</v>
      </c>
      <c r="AW543" t="s">
        <v>1177</v>
      </c>
      <c r="AX543">
        <v>33</v>
      </c>
      <c r="AY543">
        <v>2</v>
      </c>
      <c r="AZ543" t="s">
        <v>1177</v>
      </c>
      <c r="BA543">
        <v>0</v>
      </c>
      <c r="BB543" t="s">
        <v>1262</v>
      </c>
      <c r="BC543" t="s">
        <v>3101</v>
      </c>
      <c r="BD543">
        <v>2</v>
      </c>
      <c r="BE543">
        <v>46293</v>
      </c>
      <c r="BF543" t="s">
        <v>1165</v>
      </c>
      <c r="BG543" t="e">
        <v>#N/A</v>
      </c>
      <c r="BH543" t="e">
        <v>#N/A</v>
      </c>
      <c r="BI543" t="e">
        <v>#N/A</v>
      </c>
    </row>
    <row r="544" spans="1:61" x14ac:dyDescent="0.35">
      <c r="A544" s="7" t="str">
        <f t="shared" si="16"/>
        <v>462764300011970</v>
      </c>
      <c r="B544" s="7" t="str">
        <f t="shared" si="17"/>
        <v>GP007157B857</v>
      </c>
      <c r="C544" t="s">
        <v>3102</v>
      </c>
      <c r="D544" t="s">
        <v>1182</v>
      </c>
      <c r="E544" t="s">
        <v>1177</v>
      </c>
      <c r="F544" t="s">
        <v>1179</v>
      </c>
      <c r="G544" t="s">
        <v>1236</v>
      </c>
      <c r="H544" t="s">
        <v>1271</v>
      </c>
      <c r="I544">
        <v>46276</v>
      </c>
      <c r="J544" t="s">
        <v>3103</v>
      </c>
      <c r="K544" t="s">
        <v>1182</v>
      </c>
      <c r="L544" t="s">
        <v>1177</v>
      </c>
      <c r="M544" t="s">
        <v>1274</v>
      </c>
      <c r="N544" t="s">
        <v>1079</v>
      </c>
      <c r="O544" t="s">
        <v>1275</v>
      </c>
      <c r="P544">
        <v>46276</v>
      </c>
      <c r="Q544" t="s">
        <v>1177</v>
      </c>
      <c r="R544" t="s">
        <v>23</v>
      </c>
      <c r="S544" t="s">
        <v>959</v>
      </c>
      <c r="T544" t="s">
        <v>152</v>
      </c>
      <c r="U544" t="s">
        <v>2030</v>
      </c>
      <c r="V544">
        <v>1</v>
      </c>
      <c r="W544" t="s">
        <v>1262</v>
      </c>
      <c r="X544" t="s">
        <v>1262</v>
      </c>
      <c r="Y544">
        <v>0</v>
      </c>
      <c r="Z544" t="s">
        <v>1186</v>
      </c>
      <c r="AA544" t="s">
        <v>1177</v>
      </c>
      <c r="AB544" t="s">
        <v>1276</v>
      </c>
      <c r="AC544" t="s">
        <v>1277</v>
      </c>
      <c r="AD544" t="s">
        <v>1278</v>
      </c>
      <c r="AE544" t="s">
        <v>1357</v>
      </c>
      <c r="AF544" t="s">
        <v>1178</v>
      </c>
      <c r="AG544" t="s">
        <v>1190</v>
      </c>
      <c r="AH544" t="s">
        <v>1178</v>
      </c>
      <c r="AI544" t="s">
        <v>1280</v>
      </c>
      <c r="AJ544" t="s">
        <v>1189</v>
      </c>
      <c r="AK544">
        <v>1</v>
      </c>
      <c r="AL544" t="s">
        <v>1262</v>
      </c>
      <c r="AM544">
        <v>46295</v>
      </c>
      <c r="AN544">
        <v>46289</v>
      </c>
      <c r="AO544">
        <v>46289</v>
      </c>
      <c r="AP544">
        <v>46293</v>
      </c>
      <c r="AQ544">
        <v>46293</v>
      </c>
      <c r="AR544">
        <v>46295</v>
      </c>
      <c r="AS544">
        <v>46297</v>
      </c>
      <c r="AT544" t="s">
        <v>1281</v>
      </c>
      <c r="AU544" t="s">
        <v>1177</v>
      </c>
      <c r="AV544" t="s">
        <v>1192</v>
      </c>
      <c r="AW544" t="s">
        <v>1177</v>
      </c>
      <c r="AX544">
        <v>33</v>
      </c>
      <c r="AY544">
        <v>2</v>
      </c>
      <c r="AZ544" t="s">
        <v>1177</v>
      </c>
      <c r="BA544">
        <v>0</v>
      </c>
      <c r="BB544" t="s">
        <v>1262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e">
        <v>#N/A</v>
      </c>
      <c r="BI544" t="e">
        <v>#N/A</v>
      </c>
    </row>
    <row r="545" spans="1:61" x14ac:dyDescent="0.35">
      <c r="A545" s="7" t="str">
        <f t="shared" si="16"/>
        <v>462764300011971</v>
      </c>
      <c r="B545" s="7" t="str">
        <f t="shared" si="17"/>
        <v>96589B865</v>
      </c>
      <c r="C545" t="s">
        <v>3104</v>
      </c>
      <c r="D545" t="s">
        <v>1182</v>
      </c>
      <c r="E545" t="s">
        <v>1177</v>
      </c>
      <c r="F545" t="s">
        <v>1179</v>
      </c>
      <c r="G545" t="s">
        <v>1236</v>
      </c>
      <c r="H545" t="s">
        <v>1271</v>
      </c>
      <c r="I545">
        <v>46276</v>
      </c>
      <c r="J545" t="s">
        <v>3105</v>
      </c>
      <c r="K545" t="s">
        <v>1182</v>
      </c>
      <c r="L545" t="s">
        <v>1177</v>
      </c>
      <c r="M545" t="s">
        <v>1274</v>
      </c>
      <c r="N545" t="s">
        <v>1079</v>
      </c>
      <c r="O545" t="s">
        <v>1275</v>
      </c>
      <c r="P545">
        <v>46276</v>
      </c>
      <c r="Q545" t="s">
        <v>1177</v>
      </c>
      <c r="R545" t="s">
        <v>7</v>
      </c>
      <c r="S545" t="s">
        <v>1040</v>
      </c>
      <c r="T545" t="s">
        <v>2005</v>
      </c>
      <c r="U545" t="s">
        <v>2006</v>
      </c>
      <c r="V545">
        <v>3</v>
      </c>
      <c r="W545" t="s">
        <v>1262</v>
      </c>
      <c r="X545" t="s">
        <v>1262</v>
      </c>
      <c r="Y545">
        <v>0</v>
      </c>
      <c r="Z545" t="s">
        <v>1186</v>
      </c>
      <c r="AA545" t="s">
        <v>1177</v>
      </c>
      <c r="AB545" t="s">
        <v>1177</v>
      </c>
      <c r="AC545" t="s">
        <v>1177</v>
      </c>
      <c r="AD545" t="s">
        <v>1204</v>
      </c>
      <c r="AE545" t="s">
        <v>2007</v>
      </c>
      <c r="AF545" t="s">
        <v>1189</v>
      </c>
      <c r="AG545" t="s">
        <v>1190</v>
      </c>
      <c r="AH545" t="s">
        <v>1178</v>
      </c>
      <c r="AI545" t="s">
        <v>1349</v>
      </c>
      <c r="AJ545" t="s">
        <v>1190</v>
      </c>
      <c r="AK545">
        <v>0</v>
      </c>
      <c r="AL545" t="s">
        <v>1262</v>
      </c>
      <c r="AM545">
        <v>46301</v>
      </c>
      <c r="AN545">
        <v>46335</v>
      </c>
      <c r="AO545">
        <v>46293</v>
      </c>
      <c r="AP545">
        <v>46295</v>
      </c>
      <c r="AQ545">
        <v>46295</v>
      </c>
      <c r="AR545">
        <v>46297</v>
      </c>
      <c r="AS545">
        <v>46301</v>
      </c>
      <c r="AT545" t="s">
        <v>1281</v>
      </c>
      <c r="AU545" t="s">
        <v>1177</v>
      </c>
      <c r="AV545" t="s">
        <v>1192</v>
      </c>
      <c r="AW545" t="s">
        <v>1177</v>
      </c>
      <c r="AX545">
        <v>33</v>
      </c>
      <c r="AY545">
        <v>2</v>
      </c>
      <c r="AZ545" t="s">
        <v>1177</v>
      </c>
      <c r="BA545">
        <v>0</v>
      </c>
      <c r="BB545" t="s">
        <v>1262</v>
      </c>
      <c r="BC545" t="e">
        <v>#N/A</v>
      </c>
      <c r="BD545" t="e">
        <v>#N/A</v>
      </c>
      <c r="BE545" t="e">
        <v>#N/A</v>
      </c>
      <c r="BF545" t="e">
        <v>#N/A</v>
      </c>
      <c r="BG545" t="e">
        <v>#N/A</v>
      </c>
      <c r="BH545" t="e">
        <v>#N/A</v>
      </c>
      <c r="BI545" t="e">
        <v>#N/A</v>
      </c>
    </row>
    <row r="546" spans="1:61" x14ac:dyDescent="0.35">
      <c r="A546" s="7" t="str">
        <f t="shared" si="16"/>
        <v>462764300011972</v>
      </c>
      <c r="B546" s="7" t="str">
        <f t="shared" si="17"/>
        <v>A9B10237532B867</v>
      </c>
      <c r="C546" t="s">
        <v>3106</v>
      </c>
      <c r="D546" t="s">
        <v>1182</v>
      </c>
      <c r="E546" t="s">
        <v>1177</v>
      </c>
      <c r="F546" t="s">
        <v>1179</v>
      </c>
      <c r="G546" t="s">
        <v>1236</v>
      </c>
      <c r="H546" t="s">
        <v>1271</v>
      </c>
      <c r="I546">
        <v>46276</v>
      </c>
      <c r="J546" t="s">
        <v>3107</v>
      </c>
      <c r="K546" t="s">
        <v>1182</v>
      </c>
      <c r="L546" t="s">
        <v>1177</v>
      </c>
      <c r="M546" t="s">
        <v>1274</v>
      </c>
      <c r="N546" t="s">
        <v>1079</v>
      </c>
      <c r="O546" t="s">
        <v>1275</v>
      </c>
      <c r="P546">
        <v>46276</v>
      </c>
      <c r="Q546" t="s">
        <v>1177</v>
      </c>
      <c r="R546" t="s">
        <v>25</v>
      </c>
      <c r="S546" t="s">
        <v>1060</v>
      </c>
      <c r="T546" t="s">
        <v>1078</v>
      </c>
      <c r="U546" t="s">
        <v>3108</v>
      </c>
      <c r="V546">
        <v>2</v>
      </c>
      <c r="W546" t="s">
        <v>1262</v>
      </c>
      <c r="X546" t="s">
        <v>1262</v>
      </c>
      <c r="Y546">
        <v>0</v>
      </c>
      <c r="Z546" t="s">
        <v>1186</v>
      </c>
      <c r="AA546" t="s">
        <v>1177</v>
      </c>
      <c r="AB546" t="s">
        <v>1276</v>
      </c>
      <c r="AC546" t="s">
        <v>1277</v>
      </c>
      <c r="AD546" t="s">
        <v>1278</v>
      </c>
      <c r="AE546" t="s">
        <v>1359</v>
      </c>
      <c r="AF546" t="s">
        <v>1178</v>
      </c>
      <c r="AG546" t="s">
        <v>1190</v>
      </c>
      <c r="AH546" t="s">
        <v>1178</v>
      </c>
      <c r="AI546" t="s">
        <v>1280</v>
      </c>
      <c r="AJ546" t="s">
        <v>1189</v>
      </c>
      <c r="AK546">
        <v>2</v>
      </c>
      <c r="AL546" t="s">
        <v>1262</v>
      </c>
      <c r="AM546">
        <v>46295</v>
      </c>
      <c r="AN546">
        <v>46289</v>
      </c>
      <c r="AO546">
        <v>46289</v>
      </c>
      <c r="AP546">
        <v>46293</v>
      </c>
      <c r="AQ546">
        <v>46293</v>
      </c>
      <c r="AR546">
        <v>46295</v>
      </c>
      <c r="AS546">
        <v>46297</v>
      </c>
      <c r="AT546" t="s">
        <v>1281</v>
      </c>
      <c r="AU546" t="s">
        <v>1177</v>
      </c>
      <c r="AV546" t="s">
        <v>1192</v>
      </c>
      <c r="AW546" t="s">
        <v>1177</v>
      </c>
      <c r="AX546">
        <v>33</v>
      </c>
      <c r="AY546">
        <v>2</v>
      </c>
      <c r="AZ546" t="s">
        <v>1177</v>
      </c>
      <c r="BA546">
        <v>0</v>
      </c>
      <c r="BB546" t="s">
        <v>1262</v>
      </c>
      <c r="BC546" t="e">
        <v>#N/A</v>
      </c>
      <c r="BD546" t="e">
        <v>#N/A</v>
      </c>
      <c r="BE546" t="e">
        <v>#N/A</v>
      </c>
      <c r="BF546" t="e">
        <v>#N/A</v>
      </c>
      <c r="BG546" t="e">
        <v>#N/A</v>
      </c>
      <c r="BH546" t="e">
        <v>#N/A</v>
      </c>
      <c r="BI546" t="e">
        <v>#N/A</v>
      </c>
    </row>
    <row r="547" spans="1:61" x14ac:dyDescent="0.35">
      <c r="A547" s="7" t="str">
        <f t="shared" si="16"/>
        <v>462764300011973</v>
      </c>
      <c r="B547" s="7" t="str">
        <f t="shared" si="17"/>
        <v>GP411469B867</v>
      </c>
      <c r="C547" t="s">
        <v>3109</v>
      </c>
      <c r="D547" t="s">
        <v>1199</v>
      </c>
      <c r="E547" t="s">
        <v>1177</v>
      </c>
      <c r="F547" t="s">
        <v>1270</v>
      </c>
      <c r="G547" t="s">
        <v>1236</v>
      </c>
      <c r="H547" t="s">
        <v>1271</v>
      </c>
      <c r="I547">
        <v>46276</v>
      </c>
      <c r="J547" t="s">
        <v>3110</v>
      </c>
      <c r="K547" t="s">
        <v>1182</v>
      </c>
      <c r="L547" t="s">
        <v>1177</v>
      </c>
      <c r="M547" t="s">
        <v>1274</v>
      </c>
      <c r="N547" t="s">
        <v>1079</v>
      </c>
      <c r="O547" t="s">
        <v>1275</v>
      </c>
      <c r="P547">
        <v>46276</v>
      </c>
      <c r="Q547" t="s">
        <v>1177</v>
      </c>
      <c r="R547" t="s">
        <v>25</v>
      </c>
      <c r="S547" t="s">
        <v>1060</v>
      </c>
      <c r="T547" t="s">
        <v>100</v>
      </c>
      <c r="U547" t="s">
        <v>2765</v>
      </c>
      <c r="V547">
        <v>2</v>
      </c>
      <c r="W547" t="s">
        <v>1262</v>
      </c>
      <c r="X547" t="s">
        <v>1262</v>
      </c>
      <c r="Y547">
        <v>0</v>
      </c>
      <c r="Z547" t="s">
        <v>1186</v>
      </c>
      <c r="AA547" t="s">
        <v>1177</v>
      </c>
      <c r="AB547" t="s">
        <v>1286</v>
      </c>
      <c r="AC547" t="s">
        <v>1277</v>
      </c>
      <c r="AD547" t="s">
        <v>1278</v>
      </c>
      <c r="AE547" t="s">
        <v>1998</v>
      </c>
      <c r="AF547" t="s">
        <v>1178</v>
      </c>
      <c r="AG547" t="s">
        <v>1178</v>
      </c>
      <c r="AH547" t="s">
        <v>1178</v>
      </c>
      <c r="AI547" t="s">
        <v>1280</v>
      </c>
      <c r="AJ547" t="s">
        <v>1190</v>
      </c>
      <c r="AK547">
        <v>0</v>
      </c>
      <c r="AL547" t="s">
        <v>1262</v>
      </c>
      <c r="AM547">
        <v>46309</v>
      </c>
      <c r="AN547">
        <v>46476</v>
      </c>
      <c r="AO547">
        <v>46296</v>
      </c>
      <c r="AP547">
        <v>46300</v>
      </c>
      <c r="AQ547">
        <v>46300</v>
      </c>
      <c r="AR547">
        <v>46302</v>
      </c>
      <c r="AS547">
        <v>46304</v>
      </c>
      <c r="AT547" t="s">
        <v>1281</v>
      </c>
      <c r="AU547" t="s">
        <v>1177</v>
      </c>
      <c r="AV547" t="s">
        <v>1192</v>
      </c>
      <c r="AW547" t="s">
        <v>1177</v>
      </c>
      <c r="AX547">
        <v>33</v>
      </c>
      <c r="AY547">
        <v>2</v>
      </c>
      <c r="AZ547" t="s">
        <v>1177</v>
      </c>
      <c r="BA547">
        <v>0</v>
      </c>
      <c r="BB547" t="s">
        <v>1262</v>
      </c>
      <c r="BC547" t="e">
        <v>#N/A</v>
      </c>
      <c r="BD547" t="e">
        <v>#N/A</v>
      </c>
      <c r="BE547" t="e">
        <v>#N/A</v>
      </c>
      <c r="BF547" t="e">
        <v>#N/A</v>
      </c>
      <c r="BG547" t="e">
        <v>#N/A</v>
      </c>
      <c r="BH547" t="e">
        <v>#N/A</v>
      </c>
      <c r="BI547" t="e">
        <v>#N/A</v>
      </c>
    </row>
  </sheetData>
  <autoFilter ref="A1:BI547" xr:uid="{9299197F-0224-42B4-96FB-ECF9C478379A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85E1-BB0D-4531-8FFD-4D38C68ECC04}">
  <dimension ref="A1:AV1850"/>
  <sheetViews>
    <sheetView workbookViewId="0">
      <selection activeCell="D5" sqref="D5"/>
    </sheetView>
  </sheetViews>
  <sheetFormatPr defaultColWidth="17.08984375" defaultRowHeight="14.5" x14ac:dyDescent="0.35"/>
  <cols>
    <col min="2" max="2" width="17" bestFit="1" customWidth="1"/>
    <col min="3" max="3" width="47.26953125" bestFit="1" customWidth="1"/>
    <col min="4" max="4" width="14.1796875" bestFit="1" customWidth="1"/>
    <col min="5" max="5" width="9.90625" bestFit="1" customWidth="1"/>
    <col min="6" max="6" width="9.36328125" bestFit="1" customWidth="1"/>
    <col min="7" max="7" width="9.90625" bestFit="1" customWidth="1"/>
    <col min="8" max="8" width="13.1796875" bestFit="1" customWidth="1"/>
    <col min="9" max="9" width="11.90625" bestFit="1" customWidth="1"/>
    <col min="10" max="10" width="11.08984375" bestFit="1" customWidth="1"/>
    <col min="11" max="11" width="10.81640625" bestFit="1" customWidth="1"/>
    <col min="12" max="12" width="7" bestFit="1" customWidth="1"/>
    <col min="13" max="13" width="13.90625" bestFit="1" customWidth="1"/>
    <col min="14" max="14" width="16.08984375" bestFit="1" customWidth="1"/>
    <col min="15" max="15" width="16.26953125" bestFit="1" customWidth="1"/>
  </cols>
  <sheetData>
    <row r="1" spans="1:48" ht="58" x14ac:dyDescent="0.35">
      <c r="A1" t="s">
        <v>1121</v>
      </c>
      <c r="B1" s="27" t="s">
        <v>127</v>
      </c>
      <c r="C1" s="27" t="s">
        <v>3165</v>
      </c>
      <c r="D1" s="28" t="s">
        <v>3166</v>
      </c>
      <c r="E1" s="27" t="s">
        <v>3167</v>
      </c>
      <c r="F1" s="27" t="s">
        <v>3168</v>
      </c>
      <c r="G1" s="28" t="s">
        <v>3169</v>
      </c>
      <c r="H1" s="27" t="s">
        <v>3170</v>
      </c>
      <c r="I1" s="27" t="s">
        <v>3171</v>
      </c>
      <c r="J1" s="27" t="s">
        <v>3172</v>
      </c>
      <c r="K1" s="28" t="s">
        <v>3173</v>
      </c>
      <c r="L1" s="28" t="s">
        <v>3174</v>
      </c>
      <c r="M1" s="28" t="s">
        <v>3175</v>
      </c>
      <c r="N1" s="28" t="s">
        <v>3176</v>
      </c>
      <c r="O1" s="28" t="s">
        <v>3177</v>
      </c>
      <c r="P1" s="28" t="s">
        <v>3178</v>
      </c>
      <c r="Q1" s="27" t="s">
        <v>3179</v>
      </c>
      <c r="R1" s="28" t="s">
        <v>3180</v>
      </c>
      <c r="S1" s="28" t="s">
        <v>3181</v>
      </c>
      <c r="T1" s="28" t="s">
        <v>3182</v>
      </c>
      <c r="U1" s="28" t="s">
        <v>3183</v>
      </c>
      <c r="V1" s="28" t="s">
        <v>3184</v>
      </c>
      <c r="W1" s="27" t="s">
        <v>3185</v>
      </c>
      <c r="X1" s="28" t="s">
        <v>3186</v>
      </c>
      <c r="Y1" s="27" t="s">
        <v>3187</v>
      </c>
      <c r="Z1" s="28" t="s">
        <v>3188</v>
      </c>
      <c r="AA1" s="28" t="s">
        <v>3189</v>
      </c>
      <c r="AB1" s="28" t="s">
        <v>3190</v>
      </c>
      <c r="AC1" s="27" t="s">
        <v>3191</v>
      </c>
      <c r="AD1" s="28" t="s">
        <v>3192</v>
      </c>
      <c r="AE1" s="27" t="s">
        <v>3193</v>
      </c>
      <c r="AF1" s="27" t="s">
        <v>3194</v>
      </c>
      <c r="AG1" s="27" t="s">
        <v>3195</v>
      </c>
      <c r="AH1" s="27" t="s">
        <v>3196</v>
      </c>
      <c r="AI1" s="27" t="s">
        <v>3197</v>
      </c>
      <c r="AJ1" s="28" t="s">
        <v>3198</v>
      </c>
      <c r="AK1" s="27" t="s">
        <v>3199</v>
      </c>
      <c r="AL1" s="27" t="s">
        <v>3200</v>
      </c>
      <c r="AM1" s="27" t="s">
        <v>3201</v>
      </c>
      <c r="AN1" s="28" t="s">
        <v>3202</v>
      </c>
      <c r="AO1" s="27" t="s">
        <v>3203</v>
      </c>
      <c r="AP1" s="27" t="s">
        <v>3204</v>
      </c>
      <c r="AQ1" s="27" t="s">
        <v>3205</v>
      </c>
      <c r="AR1" s="28" t="s">
        <v>3206</v>
      </c>
      <c r="AS1" s="27" t="s">
        <v>3207</v>
      </c>
      <c r="AT1" s="27" t="s">
        <v>3208</v>
      </c>
      <c r="AU1" s="27" t="s">
        <v>3209</v>
      </c>
      <c r="AV1" s="27" t="s">
        <v>3210</v>
      </c>
    </row>
    <row r="2" spans="1:48" x14ac:dyDescent="0.35">
      <c r="A2" t="str">
        <f>_xlfn.CONCAT(B2,D2)</f>
        <v>50013B832</v>
      </c>
      <c r="B2" s="7" t="s">
        <v>3211</v>
      </c>
      <c r="C2" s="7" t="s">
        <v>653</v>
      </c>
      <c r="D2" s="7" t="s">
        <v>19</v>
      </c>
      <c r="E2" s="7" t="s">
        <v>1177</v>
      </c>
      <c r="F2" s="7" t="s">
        <v>128</v>
      </c>
      <c r="G2" s="7" t="s">
        <v>130</v>
      </c>
      <c r="H2" s="7" t="s">
        <v>129</v>
      </c>
      <c r="I2" s="30">
        <v>3</v>
      </c>
      <c r="J2" s="7" t="s">
        <v>1177</v>
      </c>
      <c r="K2" s="7" t="s">
        <v>1178</v>
      </c>
      <c r="L2" s="7" t="s">
        <v>132</v>
      </c>
      <c r="M2" s="7" t="s">
        <v>133</v>
      </c>
      <c r="N2" s="30">
        <v>0</v>
      </c>
      <c r="O2" s="30">
        <v>0</v>
      </c>
      <c r="P2" s="30">
        <v>0</v>
      </c>
      <c r="Q2" s="30">
        <v>0</v>
      </c>
      <c r="R2" s="29">
        <v>0</v>
      </c>
      <c r="S2" s="36">
        <v>0</v>
      </c>
      <c r="T2" s="7" t="s">
        <v>131</v>
      </c>
      <c r="U2" s="7" t="s">
        <v>654</v>
      </c>
      <c r="V2" s="7" t="s">
        <v>654</v>
      </c>
      <c r="W2" s="7" t="s">
        <v>1177</v>
      </c>
      <c r="X2" s="30">
        <v>1</v>
      </c>
      <c r="Y2" s="7" t="s">
        <v>1177</v>
      </c>
      <c r="Z2" s="7" t="s">
        <v>1178</v>
      </c>
      <c r="AA2" s="30">
        <v>0</v>
      </c>
      <c r="AB2" s="36">
        <v>0</v>
      </c>
      <c r="AC2" s="7" t="s">
        <v>1177</v>
      </c>
      <c r="AD2" s="37">
        <v>0</v>
      </c>
      <c r="AE2" s="7" t="s">
        <v>1177</v>
      </c>
      <c r="AF2" s="7" t="s">
        <v>1177</v>
      </c>
      <c r="AG2" s="7" t="s">
        <v>1177</v>
      </c>
      <c r="AH2" s="38"/>
      <c r="AI2" s="36">
        <v>0</v>
      </c>
      <c r="AJ2" s="7" t="s">
        <v>1193</v>
      </c>
      <c r="AK2" s="7" t="s">
        <v>1177</v>
      </c>
      <c r="AL2" s="7" t="s">
        <v>1177</v>
      </c>
      <c r="AM2" s="7" t="s">
        <v>1177</v>
      </c>
      <c r="AN2" s="7" t="s">
        <v>3212</v>
      </c>
      <c r="AO2" s="7" t="s">
        <v>1177</v>
      </c>
      <c r="AP2" s="7" t="s">
        <v>1177</v>
      </c>
      <c r="AQ2" s="7" t="s">
        <v>1177</v>
      </c>
      <c r="AR2" s="29">
        <v>0</v>
      </c>
      <c r="AS2" s="7" t="s">
        <v>1177</v>
      </c>
      <c r="AT2" s="7" t="s">
        <v>1363</v>
      </c>
      <c r="AU2" s="38">
        <v>46275</v>
      </c>
      <c r="AV2" s="39">
        <v>0.60385416666667002</v>
      </c>
    </row>
    <row r="3" spans="1:48" x14ac:dyDescent="0.35">
      <c r="A3" t="str">
        <f t="shared" ref="A3:A66" si="0">_xlfn.CONCAT(B3,D3)</f>
        <v>50013B838</v>
      </c>
      <c r="B3" s="7" t="s">
        <v>3211</v>
      </c>
      <c r="C3" s="7" t="s">
        <v>744</v>
      </c>
      <c r="D3" s="7" t="s">
        <v>48</v>
      </c>
      <c r="E3" s="7" t="s">
        <v>1177</v>
      </c>
      <c r="F3" s="7" t="s">
        <v>128</v>
      </c>
      <c r="G3" s="7" t="s">
        <v>130</v>
      </c>
      <c r="H3" s="7" t="s">
        <v>129</v>
      </c>
      <c r="I3" s="30">
        <v>2</v>
      </c>
      <c r="J3" s="7" t="s">
        <v>1177</v>
      </c>
      <c r="K3" s="7" t="s">
        <v>1178</v>
      </c>
      <c r="L3" s="7" t="s">
        <v>132</v>
      </c>
      <c r="M3" s="7" t="s">
        <v>133</v>
      </c>
      <c r="N3" s="30">
        <v>0</v>
      </c>
      <c r="O3" s="30">
        <v>0</v>
      </c>
      <c r="P3" s="30">
        <v>0</v>
      </c>
      <c r="Q3" s="30">
        <v>0</v>
      </c>
      <c r="R3" s="29">
        <v>0</v>
      </c>
      <c r="S3" s="36">
        <v>0</v>
      </c>
      <c r="T3" s="7" t="s">
        <v>131</v>
      </c>
      <c r="U3" s="7" t="s">
        <v>745</v>
      </c>
      <c r="V3" s="7" t="s">
        <v>745</v>
      </c>
      <c r="W3" s="7" t="s">
        <v>1177</v>
      </c>
      <c r="X3" s="30">
        <v>1</v>
      </c>
      <c r="Y3" s="7" t="s">
        <v>1177</v>
      </c>
      <c r="Z3" s="7" t="s">
        <v>1178</v>
      </c>
      <c r="AA3" s="30">
        <v>0</v>
      </c>
      <c r="AB3" s="36">
        <v>0</v>
      </c>
      <c r="AC3" s="7" t="s">
        <v>1177</v>
      </c>
      <c r="AD3" s="37">
        <v>0</v>
      </c>
      <c r="AE3" s="7" t="s">
        <v>1177</v>
      </c>
      <c r="AF3" s="7" t="s">
        <v>1177</v>
      </c>
      <c r="AG3" s="7" t="s">
        <v>1177</v>
      </c>
      <c r="AH3" s="38"/>
      <c r="AI3" s="36">
        <v>0</v>
      </c>
      <c r="AJ3" s="7" t="s">
        <v>1193</v>
      </c>
      <c r="AK3" s="7" t="s">
        <v>1177</v>
      </c>
      <c r="AL3" s="7" t="s">
        <v>1177</v>
      </c>
      <c r="AM3" s="7" t="s">
        <v>1177</v>
      </c>
      <c r="AN3" s="7" t="s">
        <v>3212</v>
      </c>
      <c r="AO3" s="7" t="s">
        <v>1177</v>
      </c>
      <c r="AP3" s="7" t="s">
        <v>1177</v>
      </c>
      <c r="AQ3" s="7" t="s">
        <v>1177</v>
      </c>
      <c r="AR3" s="29">
        <v>0</v>
      </c>
      <c r="AS3" s="7" t="s">
        <v>1177</v>
      </c>
      <c r="AT3" s="7" t="s">
        <v>1363</v>
      </c>
      <c r="AU3" s="38">
        <v>46275</v>
      </c>
      <c r="AV3" s="39">
        <v>0.60465277777778004</v>
      </c>
    </row>
    <row r="4" spans="1:48" x14ac:dyDescent="0.35">
      <c r="A4" t="str">
        <f t="shared" si="0"/>
        <v>50096B857</v>
      </c>
      <c r="B4" s="7" t="s">
        <v>3213</v>
      </c>
      <c r="C4" s="7" t="s">
        <v>958</v>
      </c>
      <c r="D4" s="7" t="s">
        <v>23</v>
      </c>
      <c r="E4" s="7" t="s">
        <v>1177</v>
      </c>
      <c r="F4" s="7" t="s">
        <v>128</v>
      </c>
      <c r="G4" s="7" t="s">
        <v>130</v>
      </c>
      <c r="H4" s="7" t="s">
        <v>129</v>
      </c>
      <c r="I4" s="30">
        <v>1</v>
      </c>
      <c r="J4" s="7" t="s">
        <v>1177</v>
      </c>
      <c r="K4" s="7" t="s">
        <v>1178</v>
      </c>
      <c r="L4" s="7" t="s">
        <v>132</v>
      </c>
      <c r="M4" s="7" t="s">
        <v>133</v>
      </c>
      <c r="N4" s="30">
        <v>0</v>
      </c>
      <c r="O4" s="30">
        <v>0</v>
      </c>
      <c r="P4" s="30">
        <v>0</v>
      </c>
      <c r="Q4" s="30">
        <v>0</v>
      </c>
      <c r="R4" s="29">
        <v>0</v>
      </c>
      <c r="S4" s="36">
        <v>0</v>
      </c>
      <c r="T4" s="7" t="s">
        <v>131</v>
      </c>
      <c r="U4" s="7" t="s">
        <v>959</v>
      </c>
      <c r="V4" s="7" t="s">
        <v>959</v>
      </c>
      <c r="W4" s="7" t="s">
        <v>1177</v>
      </c>
      <c r="X4" s="30">
        <v>1</v>
      </c>
      <c r="Y4" s="7" t="s">
        <v>1177</v>
      </c>
      <c r="Z4" s="7" t="s">
        <v>1178</v>
      </c>
      <c r="AA4" s="30">
        <v>0</v>
      </c>
      <c r="AB4" s="36">
        <v>0</v>
      </c>
      <c r="AC4" s="7" t="s">
        <v>1177</v>
      </c>
      <c r="AD4" s="37">
        <v>0</v>
      </c>
      <c r="AE4" s="7" t="s">
        <v>1177</v>
      </c>
      <c r="AF4" s="7" t="s">
        <v>1177</v>
      </c>
      <c r="AG4" s="7" t="s">
        <v>1177</v>
      </c>
      <c r="AH4" s="38"/>
      <c r="AI4" s="36">
        <v>0</v>
      </c>
      <c r="AJ4" s="7" t="s">
        <v>1193</v>
      </c>
      <c r="AK4" s="7" t="s">
        <v>1177</v>
      </c>
      <c r="AL4" s="7" t="s">
        <v>1177</v>
      </c>
      <c r="AM4" s="7" t="s">
        <v>1177</v>
      </c>
      <c r="AN4" s="7" t="s">
        <v>3212</v>
      </c>
      <c r="AO4" s="7" t="s">
        <v>1177</v>
      </c>
      <c r="AP4" s="7" t="s">
        <v>1177</v>
      </c>
      <c r="AQ4" s="7" t="s">
        <v>1177</v>
      </c>
      <c r="AR4" s="29">
        <v>0</v>
      </c>
      <c r="AS4" s="7" t="s">
        <v>1177</v>
      </c>
      <c r="AT4" s="7" t="s">
        <v>1363</v>
      </c>
      <c r="AU4" s="38">
        <v>46275</v>
      </c>
      <c r="AV4" s="39">
        <v>0.60532407407406996</v>
      </c>
    </row>
    <row r="5" spans="1:48" x14ac:dyDescent="0.35">
      <c r="A5" t="str">
        <f t="shared" si="0"/>
        <v>50116B832</v>
      </c>
      <c r="B5" s="7" t="s">
        <v>3214</v>
      </c>
      <c r="C5" s="7" t="s">
        <v>653</v>
      </c>
      <c r="D5" s="7" t="s">
        <v>19</v>
      </c>
      <c r="E5" s="7" t="s">
        <v>1177</v>
      </c>
      <c r="F5" s="7" t="s">
        <v>134</v>
      </c>
      <c r="G5" s="7" t="s">
        <v>130</v>
      </c>
      <c r="H5" s="7" t="s">
        <v>129</v>
      </c>
      <c r="I5" s="30">
        <v>2</v>
      </c>
      <c r="J5" s="7" t="s">
        <v>1177</v>
      </c>
      <c r="K5" s="7" t="s">
        <v>1178</v>
      </c>
      <c r="L5" s="7" t="s">
        <v>132</v>
      </c>
      <c r="M5" s="7" t="s">
        <v>133</v>
      </c>
      <c r="N5" s="30">
        <v>0</v>
      </c>
      <c r="O5" s="30">
        <v>0</v>
      </c>
      <c r="P5" s="30">
        <v>0</v>
      </c>
      <c r="Q5" s="30">
        <v>0</v>
      </c>
      <c r="R5" s="29">
        <v>0</v>
      </c>
      <c r="S5" s="36">
        <v>0</v>
      </c>
      <c r="T5" s="7" t="s">
        <v>131</v>
      </c>
      <c r="U5" s="7" t="s">
        <v>654</v>
      </c>
      <c r="V5" s="7" t="s">
        <v>654</v>
      </c>
      <c r="W5" s="7" t="s">
        <v>1177</v>
      </c>
      <c r="X5" s="30">
        <v>2</v>
      </c>
      <c r="Y5" s="7" t="s">
        <v>1177</v>
      </c>
      <c r="Z5" s="7" t="s">
        <v>1178</v>
      </c>
      <c r="AA5" s="30">
        <v>0</v>
      </c>
      <c r="AB5" s="36">
        <v>0</v>
      </c>
      <c r="AC5" s="7" t="s">
        <v>1177</v>
      </c>
      <c r="AD5" s="37">
        <v>0</v>
      </c>
      <c r="AE5" s="7" t="s">
        <v>1177</v>
      </c>
      <c r="AF5" s="7" t="s">
        <v>1177</v>
      </c>
      <c r="AG5" s="7" t="s">
        <v>1177</v>
      </c>
      <c r="AH5" s="38"/>
      <c r="AI5" s="36">
        <v>0</v>
      </c>
      <c r="AJ5" s="7" t="s">
        <v>1193</v>
      </c>
      <c r="AK5" s="7" t="s">
        <v>1177</v>
      </c>
      <c r="AL5" s="7" t="s">
        <v>1177</v>
      </c>
      <c r="AM5" s="7" t="s">
        <v>1177</v>
      </c>
      <c r="AN5" s="7" t="s">
        <v>3212</v>
      </c>
      <c r="AO5" s="7" t="s">
        <v>1177</v>
      </c>
      <c r="AP5" s="7" t="s">
        <v>1177</v>
      </c>
      <c r="AQ5" s="7" t="s">
        <v>1177</v>
      </c>
      <c r="AR5" s="29">
        <v>0</v>
      </c>
      <c r="AS5" s="7" t="s">
        <v>1177</v>
      </c>
      <c r="AT5" s="7" t="s">
        <v>1363</v>
      </c>
      <c r="AU5" s="38">
        <v>46275</v>
      </c>
      <c r="AV5" s="39">
        <v>0.60385416666667002</v>
      </c>
    </row>
    <row r="6" spans="1:48" x14ac:dyDescent="0.35">
      <c r="A6" t="str">
        <f t="shared" si="0"/>
        <v>50233B825</v>
      </c>
      <c r="B6" s="7" t="s">
        <v>3215</v>
      </c>
      <c r="C6" s="7" t="s">
        <v>511</v>
      </c>
      <c r="D6" s="7" t="s">
        <v>16</v>
      </c>
      <c r="E6" s="7" t="s">
        <v>1177</v>
      </c>
      <c r="F6" s="7" t="s">
        <v>128</v>
      </c>
      <c r="G6" s="7" t="s">
        <v>130</v>
      </c>
      <c r="H6" s="7" t="s">
        <v>129</v>
      </c>
      <c r="I6" s="30">
        <v>2</v>
      </c>
      <c r="J6" s="7" t="s">
        <v>1177</v>
      </c>
      <c r="K6" s="7" t="s">
        <v>1178</v>
      </c>
      <c r="L6" s="7" t="s">
        <v>132</v>
      </c>
      <c r="M6" s="7" t="s">
        <v>133</v>
      </c>
      <c r="N6" s="30">
        <v>0</v>
      </c>
      <c r="O6" s="30">
        <v>0</v>
      </c>
      <c r="P6" s="30">
        <v>0</v>
      </c>
      <c r="Q6" s="30">
        <v>0</v>
      </c>
      <c r="R6" s="29">
        <v>0</v>
      </c>
      <c r="S6" s="36">
        <v>0</v>
      </c>
      <c r="T6" s="7" t="s">
        <v>131</v>
      </c>
      <c r="U6" s="7" t="s">
        <v>512</v>
      </c>
      <c r="V6" s="7" t="s">
        <v>512</v>
      </c>
      <c r="W6" s="7" t="s">
        <v>1177</v>
      </c>
      <c r="X6" s="30">
        <v>1</v>
      </c>
      <c r="Y6" s="7" t="s">
        <v>1177</v>
      </c>
      <c r="Z6" s="7" t="s">
        <v>1178</v>
      </c>
      <c r="AA6" s="30">
        <v>0</v>
      </c>
      <c r="AB6" s="36">
        <v>0</v>
      </c>
      <c r="AC6" s="7" t="s">
        <v>1177</v>
      </c>
      <c r="AD6" s="37">
        <v>0</v>
      </c>
      <c r="AE6" s="7" t="s">
        <v>1177</v>
      </c>
      <c r="AF6" s="7" t="s">
        <v>1177</v>
      </c>
      <c r="AG6" s="7" t="s">
        <v>1177</v>
      </c>
      <c r="AH6" s="38"/>
      <c r="AI6" s="36">
        <v>0</v>
      </c>
      <c r="AJ6" s="7" t="s">
        <v>1193</v>
      </c>
      <c r="AK6" s="7" t="s">
        <v>1177</v>
      </c>
      <c r="AL6" s="7" t="s">
        <v>1177</v>
      </c>
      <c r="AM6" s="7" t="s">
        <v>1177</v>
      </c>
      <c r="AN6" s="7" t="s">
        <v>3212</v>
      </c>
      <c r="AO6" s="7" t="s">
        <v>1177</v>
      </c>
      <c r="AP6" s="7" t="s">
        <v>1177</v>
      </c>
      <c r="AQ6" s="7" t="s">
        <v>1177</v>
      </c>
      <c r="AR6" s="29">
        <v>0</v>
      </c>
      <c r="AS6" s="7" t="s">
        <v>1177</v>
      </c>
      <c r="AT6" s="7" t="s">
        <v>1363</v>
      </c>
      <c r="AU6" s="38">
        <v>46275</v>
      </c>
      <c r="AV6" s="39">
        <v>0.60354166666666997</v>
      </c>
    </row>
    <row r="7" spans="1:48" x14ac:dyDescent="0.35">
      <c r="A7" t="str">
        <f t="shared" si="0"/>
        <v>50234B832</v>
      </c>
      <c r="B7" s="7" t="s">
        <v>3039</v>
      </c>
      <c r="C7" s="7" t="s">
        <v>653</v>
      </c>
      <c r="D7" s="7" t="s">
        <v>19</v>
      </c>
      <c r="E7" s="7" t="s">
        <v>1177</v>
      </c>
      <c r="F7" s="7" t="s">
        <v>128</v>
      </c>
      <c r="G7" s="7" t="s">
        <v>130</v>
      </c>
      <c r="H7" s="7" t="s">
        <v>129</v>
      </c>
      <c r="I7" s="30">
        <v>2</v>
      </c>
      <c r="J7" s="7" t="s">
        <v>1177</v>
      </c>
      <c r="K7" s="7" t="s">
        <v>1178</v>
      </c>
      <c r="L7" s="7" t="s">
        <v>132</v>
      </c>
      <c r="M7" s="7" t="s">
        <v>133</v>
      </c>
      <c r="N7" s="30">
        <v>0</v>
      </c>
      <c r="O7" s="30">
        <v>0</v>
      </c>
      <c r="P7" s="30">
        <v>0</v>
      </c>
      <c r="Q7" s="30">
        <v>0</v>
      </c>
      <c r="R7" s="29">
        <v>0</v>
      </c>
      <c r="S7" s="36">
        <v>0</v>
      </c>
      <c r="T7" s="7" t="s">
        <v>131</v>
      </c>
      <c r="U7" s="7" t="s">
        <v>654</v>
      </c>
      <c r="V7" s="7" t="s">
        <v>654</v>
      </c>
      <c r="W7" s="7" t="s">
        <v>1177</v>
      </c>
      <c r="X7" s="30">
        <v>1</v>
      </c>
      <c r="Y7" s="7" t="s">
        <v>1177</v>
      </c>
      <c r="Z7" s="7" t="s">
        <v>1178</v>
      </c>
      <c r="AA7" s="30">
        <v>0</v>
      </c>
      <c r="AB7" s="36">
        <v>0</v>
      </c>
      <c r="AC7" s="7" t="s">
        <v>1177</v>
      </c>
      <c r="AD7" s="37">
        <v>0</v>
      </c>
      <c r="AE7" s="7" t="s">
        <v>1177</v>
      </c>
      <c r="AF7" s="7" t="s">
        <v>1177</v>
      </c>
      <c r="AG7" s="7" t="s">
        <v>1177</v>
      </c>
      <c r="AH7" s="38"/>
      <c r="AI7" s="36">
        <v>0</v>
      </c>
      <c r="AJ7" s="7" t="s">
        <v>1193</v>
      </c>
      <c r="AK7" s="7" t="s">
        <v>1177</v>
      </c>
      <c r="AL7" s="7" t="s">
        <v>1177</v>
      </c>
      <c r="AM7" s="7" t="s">
        <v>1177</v>
      </c>
      <c r="AN7" s="7" t="s">
        <v>3212</v>
      </c>
      <c r="AO7" s="7" t="s">
        <v>1177</v>
      </c>
      <c r="AP7" s="7" t="s">
        <v>1177</v>
      </c>
      <c r="AQ7" s="7" t="s">
        <v>1177</v>
      </c>
      <c r="AR7" s="29">
        <v>0</v>
      </c>
      <c r="AS7" s="7" t="s">
        <v>1177</v>
      </c>
      <c r="AT7" s="7" t="s">
        <v>1363</v>
      </c>
      <c r="AU7" s="38">
        <v>46275</v>
      </c>
      <c r="AV7" s="39">
        <v>0.62333333333332996</v>
      </c>
    </row>
    <row r="8" spans="1:48" x14ac:dyDescent="0.35">
      <c r="A8" t="str">
        <f t="shared" si="0"/>
        <v>50234B864</v>
      </c>
      <c r="B8" s="7" t="s">
        <v>3039</v>
      </c>
      <c r="C8" s="7" t="s">
        <v>1010</v>
      </c>
      <c r="D8" s="7" t="s">
        <v>10</v>
      </c>
      <c r="E8" s="7" t="s">
        <v>1177</v>
      </c>
      <c r="F8" s="7" t="s">
        <v>128</v>
      </c>
      <c r="G8" s="7" t="s">
        <v>130</v>
      </c>
      <c r="H8" s="7" t="s">
        <v>129</v>
      </c>
      <c r="I8" s="30">
        <v>2</v>
      </c>
      <c r="J8" s="7" t="s">
        <v>1177</v>
      </c>
      <c r="K8" s="7" t="s">
        <v>1178</v>
      </c>
      <c r="L8" s="7" t="s">
        <v>132</v>
      </c>
      <c r="M8" s="7" t="s">
        <v>133</v>
      </c>
      <c r="N8" s="30">
        <v>0</v>
      </c>
      <c r="O8" s="30">
        <v>0</v>
      </c>
      <c r="P8" s="30">
        <v>0</v>
      </c>
      <c r="Q8" s="30">
        <v>0</v>
      </c>
      <c r="R8" s="29">
        <v>0</v>
      </c>
      <c r="S8" s="36">
        <v>0</v>
      </c>
      <c r="T8" s="7" t="s">
        <v>131</v>
      </c>
      <c r="U8" s="7" t="s">
        <v>1011</v>
      </c>
      <c r="V8" s="7" t="s">
        <v>1011</v>
      </c>
      <c r="W8" s="7" t="s">
        <v>1177</v>
      </c>
      <c r="X8" s="30">
        <v>1</v>
      </c>
      <c r="Y8" s="7" t="s">
        <v>1177</v>
      </c>
      <c r="Z8" s="7" t="s">
        <v>1178</v>
      </c>
      <c r="AA8" s="30">
        <v>0</v>
      </c>
      <c r="AB8" s="36">
        <v>0</v>
      </c>
      <c r="AC8" s="7" t="s">
        <v>1177</v>
      </c>
      <c r="AD8" s="37">
        <v>0</v>
      </c>
      <c r="AE8" s="7" t="s">
        <v>1177</v>
      </c>
      <c r="AF8" s="7" t="s">
        <v>1177</v>
      </c>
      <c r="AG8" s="7" t="s">
        <v>1177</v>
      </c>
      <c r="AH8" s="38"/>
      <c r="AI8" s="36">
        <v>0</v>
      </c>
      <c r="AJ8" s="7" t="s">
        <v>1193</v>
      </c>
      <c r="AK8" s="7" t="s">
        <v>1177</v>
      </c>
      <c r="AL8" s="7" t="s">
        <v>1177</v>
      </c>
      <c r="AM8" s="7" t="s">
        <v>1177</v>
      </c>
      <c r="AN8" s="7" t="s">
        <v>3212</v>
      </c>
      <c r="AO8" s="7" t="s">
        <v>1177</v>
      </c>
      <c r="AP8" s="7" t="s">
        <v>1177</v>
      </c>
      <c r="AQ8" s="7" t="s">
        <v>1177</v>
      </c>
      <c r="AR8" s="29">
        <v>0</v>
      </c>
      <c r="AS8" s="7" t="s">
        <v>1177</v>
      </c>
      <c r="AT8" s="7" t="s">
        <v>1363</v>
      </c>
      <c r="AU8" s="38">
        <v>46275</v>
      </c>
      <c r="AV8" s="39">
        <v>0.62651620370369998</v>
      </c>
    </row>
    <row r="9" spans="1:48" x14ac:dyDescent="0.35">
      <c r="A9" t="str">
        <f t="shared" si="0"/>
        <v>50234B865</v>
      </c>
      <c r="B9" s="7" t="s">
        <v>3039</v>
      </c>
      <c r="C9" s="7" t="s">
        <v>1039</v>
      </c>
      <c r="D9" s="7" t="s">
        <v>7</v>
      </c>
      <c r="E9" s="7" t="s">
        <v>1177</v>
      </c>
      <c r="F9" s="7" t="s">
        <v>128</v>
      </c>
      <c r="G9" s="7" t="s">
        <v>130</v>
      </c>
      <c r="H9" s="7" t="s">
        <v>129</v>
      </c>
      <c r="I9" s="30">
        <v>2</v>
      </c>
      <c r="J9" s="7" t="s">
        <v>1177</v>
      </c>
      <c r="K9" s="7" t="s">
        <v>1178</v>
      </c>
      <c r="L9" s="7" t="s">
        <v>132</v>
      </c>
      <c r="M9" s="7" t="s">
        <v>133</v>
      </c>
      <c r="N9" s="30">
        <v>0</v>
      </c>
      <c r="O9" s="30">
        <v>0</v>
      </c>
      <c r="P9" s="30">
        <v>0</v>
      </c>
      <c r="Q9" s="30">
        <v>0</v>
      </c>
      <c r="R9" s="29">
        <v>0</v>
      </c>
      <c r="S9" s="36">
        <v>0</v>
      </c>
      <c r="T9" s="7" t="s">
        <v>131</v>
      </c>
      <c r="U9" s="7" t="s">
        <v>1040</v>
      </c>
      <c r="V9" s="7" t="s">
        <v>1040</v>
      </c>
      <c r="W9" s="7" t="s">
        <v>1177</v>
      </c>
      <c r="X9" s="30">
        <v>1</v>
      </c>
      <c r="Y9" s="7" t="s">
        <v>1177</v>
      </c>
      <c r="Z9" s="7" t="s">
        <v>1178</v>
      </c>
      <c r="AA9" s="30">
        <v>0</v>
      </c>
      <c r="AB9" s="36">
        <v>0</v>
      </c>
      <c r="AC9" s="7" t="s">
        <v>1177</v>
      </c>
      <c r="AD9" s="37">
        <v>0</v>
      </c>
      <c r="AE9" s="7" t="s">
        <v>1177</v>
      </c>
      <c r="AF9" s="7" t="s">
        <v>1177</v>
      </c>
      <c r="AG9" s="7" t="s">
        <v>1177</v>
      </c>
      <c r="AH9" s="38"/>
      <c r="AI9" s="36">
        <v>0</v>
      </c>
      <c r="AJ9" s="7" t="s">
        <v>1193</v>
      </c>
      <c r="AK9" s="7" t="s">
        <v>1177</v>
      </c>
      <c r="AL9" s="7" t="s">
        <v>1177</v>
      </c>
      <c r="AM9" s="7" t="s">
        <v>1177</v>
      </c>
      <c r="AN9" s="7" t="s">
        <v>3212</v>
      </c>
      <c r="AO9" s="7" t="s">
        <v>1177</v>
      </c>
      <c r="AP9" s="7" t="s">
        <v>1177</v>
      </c>
      <c r="AQ9" s="7" t="s">
        <v>1177</v>
      </c>
      <c r="AR9" s="29">
        <v>0</v>
      </c>
      <c r="AS9" s="7" t="s">
        <v>1177</v>
      </c>
      <c r="AT9" s="7" t="s">
        <v>1363</v>
      </c>
      <c r="AU9" s="38">
        <v>46275</v>
      </c>
      <c r="AV9" s="39">
        <v>0.62665509259259</v>
      </c>
    </row>
    <row r="10" spans="1:48" x14ac:dyDescent="0.35">
      <c r="A10" t="str">
        <f t="shared" si="0"/>
        <v>50235B832</v>
      </c>
      <c r="B10" s="7" t="s">
        <v>1680</v>
      </c>
      <c r="C10" s="7" t="s">
        <v>653</v>
      </c>
      <c r="D10" s="7" t="s">
        <v>19</v>
      </c>
      <c r="E10" s="7" t="s">
        <v>1177</v>
      </c>
      <c r="F10" s="7" t="s">
        <v>128</v>
      </c>
      <c r="G10" s="7" t="s">
        <v>130</v>
      </c>
      <c r="H10" s="7" t="s">
        <v>129</v>
      </c>
      <c r="I10" s="30">
        <v>2</v>
      </c>
      <c r="J10" s="7" t="s">
        <v>1177</v>
      </c>
      <c r="K10" s="7" t="s">
        <v>1178</v>
      </c>
      <c r="L10" s="7" t="s">
        <v>132</v>
      </c>
      <c r="M10" s="7" t="s">
        <v>133</v>
      </c>
      <c r="N10" s="30">
        <v>0</v>
      </c>
      <c r="O10" s="30">
        <v>0</v>
      </c>
      <c r="P10" s="30">
        <v>0</v>
      </c>
      <c r="Q10" s="30">
        <v>0</v>
      </c>
      <c r="R10" s="29">
        <v>0</v>
      </c>
      <c r="S10" s="36">
        <v>0</v>
      </c>
      <c r="T10" s="7" t="s">
        <v>131</v>
      </c>
      <c r="U10" s="7" t="s">
        <v>654</v>
      </c>
      <c r="V10" s="7" t="s">
        <v>654</v>
      </c>
      <c r="W10" s="7" t="s">
        <v>1177</v>
      </c>
      <c r="X10" s="30">
        <v>1</v>
      </c>
      <c r="Y10" s="7" t="s">
        <v>1177</v>
      </c>
      <c r="Z10" s="7" t="s">
        <v>1178</v>
      </c>
      <c r="AA10" s="30">
        <v>0</v>
      </c>
      <c r="AB10" s="36">
        <v>0</v>
      </c>
      <c r="AC10" s="7" t="s">
        <v>1177</v>
      </c>
      <c r="AD10" s="37">
        <v>0</v>
      </c>
      <c r="AE10" s="7" t="s">
        <v>1177</v>
      </c>
      <c r="AF10" s="7" t="s">
        <v>1177</v>
      </c>
      <c r="AG10" s="7" t="s">
        <v>1177</v>
      </c>
      <c r="AH10" s="38"/>
      <c r="AI10" s="36">
        <v>0</v>
      </c>
      <c r="AJ10" s="7" t="s">
        <v>1193</v>
      </c>
      <c r="AK10" s="7" t="s">
        <v>1177</v>
      </c>
      <c r="AL10" s="7" t="s">
        <v>1177</v>
      </c>
      <c r="AM10" s="7" t="s">
        <v>1177</v>
      </c>
      <c r="AN10" s="7" t="s">
        <v>3212</v>
      </c>
      <c r="AO10" s="7" t="s">
        <v>1177</v>
      </c>
      <c r="AP10" s="7" t="s">
        <v>1177</v>
      </c>
      <c r="AQ10" s="7" t="s">
        <v>1177</v>
      </c>
      <c r="AR10" s="29">
        <v>0</v>
      </c>
      <c r="AS10" s="7" t="s">
        <v>1177</v>
      </c>
      <c r="AT10" s="7" t="s">
        <v>1363</v>
      </c>
      <c r="AU10" s="38">
        <v>46275</v>
      </c>
      <c r="AV10" s="39">
        <v>0.60391203703703999</v>
      </c>
    </row>
    <row r="11" spans="1:48" x14ac:dyDescent="0.35">
      <c r="A11" t="str">
        <f t="shared" si="0"/>
        <v>50235B838</v>
      </c>
      <c r="B11" s="7" t="s">
        <v>1680</v>
      </c>
      <c r="C11" s="7" t="s">
        <v>744</v>
      </c>
      <c r="D11" s="7" t="s">
        <v>48</v>
      </c>
      <c r="E11" s="7" t="s">
        <v>1177</v>
      </c>
      <c r="F11" s="7" t="s">
        <v>128</v>
      </c>
      <c r="G11" s="7" t="s">
        <v>130</v>
      </c>
      <c r="H11" s="7" t="s">
        <v>129</v>
      </c>
      <c r="I11" s="30">
        <v>2</v>
      </c>
      <c r="J11" s="7" t="s">
        <v>1177</v>
      </c>
      <c r="K11" s="7" t="s">
        <v>1178</v>
      </c>
      <c r="L11" s="7" t="s">
        <v>132</v>
      </c>
      <c r="M11" s="7" t="s">
        <v>133</v>
      </c>
      <c r="N11" s="30">
        <v>0</v>
      </c>
      <c r="O11" s="30">
        <v>0</v>
      </c>
      <c r="P11" s="30">
        <v>0</v>
      </c>
      <c r="Q11" s="30">
        <v>0</v>
      </c>
      <c r="R11" s="29">
        <v>0</v>
      </c>
      <c r="S11" s="36">
        <v>0</v>
      </c>
      <c r="T11" s="7" t="s">
        <v>131</v>
      </c>
      <c r="U11" s="7" t="s">
        <v>745</v>
      </c>
      <c r="V11" s="7" t="s">
        <v>745</v>
      </c>
      <c r="W11" s="7" t="s">
        <v>1177</v>
      </c>
      <c r="X11" s="30">
        <v>1</v>
      </c>
      <c r="Y11" s="7" t="s">
        <v>1177</v>
      </c>
      <c r="Z11" s="7" t="s">
        <v>1178</v>
      </c>
      <c r="AA11" s="30">
        <v>0</v>
      </c>
      <c r="AB11" s="36">
        <v>0</v>
      </c>
      <c r="AC11" s="7" t="s">
        <v>1177</v>
      </c>
      <c r="AD11" s="37">
        <v>0</v>
      </c>
      <c r="AE11" s="7" t="s">
        <v>1177</v>
      </c>
      <c r="AF11" s="7" t="s">
        <v>1177</v>
      </c>
      <c r="AG11" s="7" t="s">
        <v>1177</v>
      </c>
      <c r="AH11" s="38"/>
      <c r="AI11" s="36">
        <v>0</v>
      </c>
      <c r="AJ11" s="7" t="s">
        <v>1193</v>
      </c>
      <c r="AK11" s="7" t="s">
        <v>1177</v>
      </c>
      <c r="AL11" s="7" t="s">
        <v>1177</v>
      </c>
      <c r="AM11" s="7" t="s">
        <v>1177</v>
      </c>
      <c r="AN11" s="7" t="s">
        <v>3212</v>
      </c>
      <c r="AO11" s="7" t="s">
        <v>1177</v>
      </c>
      <c r="AP11" s="7" t="s">
        <v>1177</v>
      </c>
      <c r="AQ11" s="7" t="s">
        <v>1177</v>
      </c>
      <c r="AR11" s="29">
        <v>0</v>
      </c>
      <c r="AS11" s="7" t="s">
        <v>1177</v>
      </c>
      <c r="AT11" s="7" t="s">
        <v>1363</v>
      </c>
      <c r="AU11" s="38">
        <v>46275</v>
      </c>
      <c r="AV11" s="39">
        <v>0.60471064814815001</v>
      </c>
    </row>
    <row r="12" spans="1:48" x14ac:dyDescent="0.35">
      <c r="A12" t="str">
        <f t="shared" si="0"/>
        <v>50235B856</v>
      </c>
      <c r="B12" s="7" t="s">
        <v>1680</v>
      </c>
      <c r="C12" s="7" t="s">
        <v>852</v>
      </c>
      <c r="D12" s="7" t="s">
        <v>21</v>
      </c>
      <c r="E12" s="7" t="s">
        <v>1177</v>
      </c>
      <c r="F12" s="7" t="s">
        <v>128</v>
      </c>
      <c r="G12" s="7" t="s">
        <v>130</v>
      </c>
      <c r="H12" s="7" t="s">
        <v>129</v>
      </c>
      <c r="I12" s="30">
        <v>1</v>
      </c>
      <c r="J12" s="7" t="s">
        <v>1177</v>
      </c>
      <c r="K12" s="7" t="s">
        <v>1178</v>
      </c>
      <c r="L12" s="7" t="s">
        <v>132</v>
      </c>
      <c r="M12" s="7" t="s">
        <v>133</v>
      </c>
      <c r="N12" s="30">
        <v>0</v>
      </c>
      <c r="O12" s="30">
        <v>0</v>
      </c>
      <c r="P12" s="30">
        <v>0</v>
      </c>
      <c r="Q12" s="30">
        <v>0</v>
      </c>
      <c r="R12" s="29">
        <v>0</v>
      </c>
      <c r="S12" s="36">
        <v>0</v>
      </c>
      <c r="T12" s="7" t="s">
        <v>131</v>
      </c>
      <c r="U12" s="7" t="s">
        <v>853</v>
      </c>
      <c r="V12" s="7" t="s">
        <v>853</v>
      </c>
      <c r="W12" s="7" t="s">
        <v>1177</v>
      </c>
      <c r="X12" s="30">
        <v>1</v>
      </c>
      <c r="Y12" s="7" t="s">
        <v>1177</v>
      </c>
      <c r="Z12" s="7" t="s">
        <v>1178</v>
      </c>
      <c r="AA12" s="30">
        <v>0</v>
      </c>
      <c r="AB12" s="36">
        <v>0</v>
      </c>
      <c r="AC12" s="7" t="s">
        <v>1177</v>
      </c>
      <c r="AD12" s="37">
        <v>0</v>
      </c>
      <c r="AE12" s="7" t="s">
        <v>1177</v>
      </c>
      <c r="AF12" s="7" t="s">
        <v>1177</v>
      </c>
      <c r="AG12" s="7" t="s">
        <v>1177</v>
      </c>
      <c r="AH12" s="38"/>
      <c r="AI12" s="36">
        <v>0</v>
      </c>
      <c r="AJ12" s="7" t="s">
        <v>1193</v>
      </c>
      <c r="AK12" s="7" t="s">
        <v>1177</v>
      </c>
      <c r="AL12" s="7" t="s">
        <v>1177</v>
      </c>
      <c r="AM12" s="7" t="s">
        <v>1177</v>
      </c>
      <c r="AN12" s="7" t="s">
        <v>3212</v>
      </c>
      <c r="AO12" s="7" t="s">
        <v>1177</v>
      </c>
      <c r="AP12" s="7" t="s">
        <v>1177</v>
      </c>
      <c r="AQ12" s="7" t="s">
        <v>1177</v>
      </c>
      <c r="AR12" s="29">
        <v>0</v>
      </c>
      <c r="AS12" s="7" t="s">
        <v>1177</v>
      </c>
      <c r="AT12" s="7" t="s">
        <v>1363</v>
      </c>
      <c r="AU12" s="38">
        <v>46275</v>
      </c>
      <c r="AV12" s="39">
        <v>0.60523148148147998</v>
      </c>
    </row>
    <row r="13" spans="1:48" x14ac:dyDescent="0.35">
      <c r="A13" t="str">
        <f t="shared" si="0"/>
        <v>50235B857</v>
      </c>
      <c r="B13" s="7" t="s">
        <v>1680</v>
      </c>
      <c r="C13" s="7" t="s">
        <v>958</v>
      </c>
      <c r="D13" s="7" t="s">
        <v>23</v>
      </c>
      <c r="E13" s="7" t="s">
        <v>1177</v>
      </c>
      <c r="F13" s="7" t="s">
        <v>128</v>
      </c>
      <c r="G13" s="7" t="s">
        <v>130</v>
      </c>
      <c r="H13" s="7" t="s">
        <v>129</v>
      </c>
      <c r="I13" s="30">
        <v>2</v>
      </c>
      <c r="J13" s="7" t="s">
        <v>1177</v>
      </c>
      <c r="K13" s="7" t="s">
        <v>1178</v>
      </c>
      <c r="L13" s="7" t="s">
        <v>132</v>
      </c>
      <c r="M13" s="7" t="s">
        <v>133</v>
      </c>
      <c r="N13" s="30">
        <v>0</v>
      </c>
      <c r="O13" s="30">
        <v>0</v>
      </c>
      <c r="P13" s="30">
        <v>0</v>
      </c>
      <c r="Q13" s="30">
        <v>0</v>
      </c>
      <c r="R13" s="29">
        <v>0</v>
      </c>
      <c r="S13" s="36">
        <v>0</v>
      </c>
      <c r="T13" s="7" t="s">
        <v>131</v>
      </c>
      <c r="U13" s="7" t="s">
        <v>959</v>
      </c>
      <c r="V13" s="7" t="s">
        <v>959</v>
      </c>
      <c r="W13" s="7" t="s">
        <v>1177</v>
      </c>
      <c r="X13" s="30">
        <v>1</v>
      </c>
      <c r="Y13" s="7" t="s">
        <v>1177</v>
      </c>
      <c r="Z13" s="7" t="s">
        <v>1178</v>
      </c>
      <c r="AA13" s="30">
        <v>0</v>
      </c>
      <c r="AB13" s="36">
        <v>0</v>
      </c>
      <c r="AC13" s="7" t="s">
        <v>1177</v>
      </c>
      <c r="AD13" s="37">
        <v>0</v>
      </c>
      <c r="AE13" s="7" t="s">
        <v>1177</v>
      </c>
      <c r="AF13" s="7" t="s">
        <v>1177</v>
      </c>
      <c r="AG13" s="7" t="s">
        <v>1177</v>
      </c>
      <c r="AH13" s="38"/>
      <c r="AI13" s="36">
        <v>0</v>
      </c>
      <c r="AJ13" s="7" t="s">
        <v>1193</v>
      </c>
      <c r="AK13" s="7" t="s">
        <v>1177</v>
      </c>
      <c r="AL13" s="7" t="s">
        <v>1177</v>
      </c>
      <c r="AM13" s="7" t="s">
        <v>1177</v>
      </c>
      <c r="AN13" s="7" t="s">
        <v>3212</v>
      </c>
      <c r="AO13" s="7" t="s">
        <v>1177</v>
      </c>
      <c r="AP13" s="7" t="s">
        <v>1177</v>
      </c>
      <c r="AQ13" s="7" t="s">
        <v>1177</v>
      </c>
      <c r="AR13" s="29">
        <v>0</v>
      </c>
      <c r="AS13" s="7" t="s">
        <v>1177</v>
      </c>
      <c r="AT13" s="7" t="s">
        <v>1363</v>
      </c>
      <c r="AU13" s="38">
        <v>46275</v>
      </c>
      <c r="AV13" s="39">
        <v>0.60532407407406996</v>
      </c>
    </row>
    <row r="14" spans="1:48" x14ac:dyDescent="0.35">
      <c r="A14" t="str">
        <f t="shared" si="0"/>
        <v>50235B865</v>
      </c>
      <c r="B14" s="7" t="s">
        <v>1680</v>
      </c>
      <c r="C14" s="7" t="s">
        <v>1039</v>
      </c>
      <c r="D14" s="7" t="s">
        <v>7</v>
      </c>
      <c r="E14" s="7" t="s">
        <v>1177</v>
      </c>
      <c r="F14" s="7" t="s">
        <v>128</v>
      </c>
      <c r="G14" s="7" t="s">
        <v>130</v>
      </c>
      <c r="H14" s="7" t="s">
        <v>129</v>
      </c>
      <c r="I14" s="30">
        <v>2</v>
      </c>
      <c r="J14" s="7" t="s">
        <v>1177</v>
      </c>
      <c r="K14" s="7" t="s">
        <v>1178</v>
      </c>
      <c r="L14" s="7" t="s">
        <v>132</v>
      </c>
      <c r="M14" s="7" t="s">
        <v>133</v>
      </c>
      <c r="N14" s="30">
        <v>0</v>
      </c>
      <c r="O14" s="30">
        <v>0</v>
      </c>
      <c r="P14" s="30">
        <v>0</v>
      </c>
      <c r="Q14" s="30">
        <v>0</v>
      </c>
      <c r="R14" s="29">
        <v>0</v>
      </c>
      <c r="S14" s="36">
        <v>0</v>
      </c>
      <c r="T14" s="7" t="s">
        <v>131</v>
      </c>
      <c r="U14" s="7" t="s">
        <v>1040</v>
      </c>
      <c r="V14" s="7" t="s">
        <v>1040</v>
      </c>
      <c r="W14" s="7" t="s">
        <v>1177</v>
      </c>
      <c r="X14" s="30">
        <v>1</v>
      </c>
      <c r="Y14" s="7" t="s">
        <v>1177</v>
      </c>
      <c r="Z14" s="7" t="s">
        <v>1178</v>
      </c>
      <c r="AA14" s="30">
        <v>0</v>
      </c>
      <c r="AB14" s="36">
        <v>0</v>
      </c>
      <c r="AC14" s="7" t="s">
        <v>1177</v>
      </c>
      <c r="AD14" s="37">
        <v>0</v>
      </c>
      <c r="AE14" s="7" t="s">
        <v>1177</v>
      </c>
      <c r="AF14" s="7" t="s">
        <v>1177</v>
      </c>
      <c r="AG14" s="7" t="s">
        <v>1177</v>
      </c>
      <c r="AH14" s="38"/>
      <c r="AI14" s="36">
        <v>0</v>
      </c>
      <c r="AJ14" s="7" t="s">
        <v>1193</v>
      </c>
      <c r="AK14" s="7" t="s">
        <v>1177</v>
      </c>
      <c r="AL14" s="7" t="s">
        <v>1177</v>
      </c>
      <c r="AM14" s="7" t="s">
        <v>1177</v>
      </c>
      <c r="AN14" s="7" t="s">
        <v>3212</v>
      </c>
      <c r="AO14" s="7" t="s">
        <v>1177</v>
      </c>
      <c r="AP14" s="7" t="s">
        <v>1177</v>
      </c>
      <c r="AQ14" s="7" t="s">
        <v>1177</v>
      </c>
      <c r="AR14" s="29">
        <v>0</v>
      </c>
      <c r="AS14" s="7" t="s">
        <v>1177</v>
      </c>
      <c r="AT14" s="7" t="s">
        <v>1363</v>
      </c>
      <c r="AU14" s="38">
        <v>46275</v>
      </c>
      <c r="AV14" s="39">
        <v>0.60550925925926002</v>
      </c>
    </row>
    <row r="15" spans="1:48" x14ac:dyDescent="0.35">
      <c r="A15" t="str">
        <f t="shared" si="0"/>
        <v>50241B825</v>
      </c>
      <c r="B15" s="7" t="s">
        <v>3216</v>
      </c>
      <c r="C15" s="7" t="s">
        <v>511</v>
      </c>
      <c r="D15" s="7" t="s">
        <v>16</v>
      </c>
      <c r="E15" s="7" t="s">
        <v>1177</v>
      </c>
      <c r="F15" s="7" t="s">
        <v>128</v>
      </c>
      <c r="G15" s="7" t="s">
        <v>130</v>
      </c>
      <c r="H15" s="7" t="s">
        <v>129</v>
      </c>
      <c r="I15" s="30">
        <v>2</v>
      </c>
      <c r="J15" s="7" t="s">
        <v>1177</v>
      </c>
      <c r="K15" s="7" t="s">
        <v>1178</v>
      </c>
      <c r="L15" s="7" t="s">
        <v>132</v>
      </c>
      <c r="M15" s="7" t="s">
        <v>133</v>
      </c>
      <c r="N15" s="30">
        <v>0</v>
      </c>
      <c r="O15" s="30">
        <v>0</v>
      </c>
      <c r="P15" s="30">
        <v>0</v>
      </c>
      <c r="Q15" s="30">
        <v>0</v>
      </c>
      <c r="R15" s="29">
        <v>0</v>
      </c>
      <c r="S15" s="36">
        <v>0</v>
      </c>
      <c r="T15" s="7" t="s">
        <v>131</v>
      </c>
      <c r="U15" s="7" t="s">
        <v>512</v>
      </c>
      <c r="V15" s="7" t="s">
        <v>512</v>
      </c>
      <c r="W15" s="7" t="s">
        <v>1177</v>
      </c>
      <c r="X15" s="30">
        <v>1</v>
      </c>
      <c r="Y15" s="7" t="s">
        <v>1177</v>
      </c>
      <c r="Z15" s="7" t="s">
        <v>1178</v>
      </c>
      <c r="AA15" s="30">
        <v>0</v>
      </c>
      <c r="AB15" s="36">
        <v>0</v>
      </c>
      <c r="AC15" s="7" t="s">
        <v>1177</v>
      </c>
      <c r="AD15" s="37">
        <v>0</v>
      </c>
      <c r="AE15" s="7" t="s">
        <v>1177</v>
      </c>
      <c r="AF15" s="7" t="s">
        <v>1177</v>
      </c>
      <c r="AG15" s="7" t="s">
        <v>1177</v>
      </c>
      <c r="AH15" s="38"/>
      <c r="AI15" s="36">
        <v>0</v>
      </c>
      <c r="AJ15" s="7" t="s">
        <v>1193</v>
      </c>
      <c r="AK15" s="7" t="s">
        <v>1177</v>
      </c>
      <c r="AL15" s="7" t="s">
        <v>1177</v>
      </c>
      <c r="AM15" s="7" t="s">
        <v>1177</v>
      </c>
      <c r="AN15" s="7" t="s">
        <v>3212</v>
      </c>
      <c r="AO15" s="7" t="s">
        <v>1177</v>
      </c>
      <c r="AP15" s="7" t="s">
        <v>1177</v>
      </c>
      <c r="AQ15" s="7" t="s">
        <v>1177</v>
      </c>
      <c r="AR15" s="29">
        <v>0</v>
      </c>
      <c r="AS15" s="7" t="s">
        <v>1177</v>
      </c>
      <c r="AT15" s="7" t="s">
        <v>1363</v>
      </c>
      <c r="AU15" s="38">
        <v>46275</v>
      </c>
      <c r="AV15" s="39">
        <v>0.60354166666666997</v>
      </c>
    </row>
    <row r="16" spans="1:48" x14ac:dyDescent="0.35">
      <c r="A16" t="str">
        <f t="shared" si="0"/>
        <v>50244B825</v>
      </c>
      <c r="B16" s="7" t="s">
        <v>3217</v>
      </c>
      <c r="C16" s="7" t="s">
        <v>511</v>
      </c>
      <c r="D16" s="7" t="s">
        <v>16</v>
      </c>
      <c r="E16" s="7" t="s">
        <v>1177</v>
      </c>
      <c r="F16" s="7" t="s">
        <v>128</v>
      </c>
      <c r="G16" s="7" t="s">
        <v>130</v>
      </c>
      <c r="H16" s="7" t="s">
        <v>129</v>
      </c>
      <c r="I16" s="30">
        <v>4</v>
      </c>
      <c r="J16" s="7" t="s">
        <v>1177</v>
      </c>
      <c r="K16" s="7" t="s">
        <v>1178</v>
      </c>
      <c r="L16" s="7" t="s">
        <v>132</v>
      </c>
      <c r="M16" s="7" t="s">
        <v>133</v>
      </c>
      <c r="N16" s="30">
        <v>0</v>
      </c>
      <c r="O16" s="30">
        <v>0</v>
      </c>
      <c r="P16" s="30">
        <v>0</v>
      </c>
      <c r="Q16" s="30">
        <v>0</v>
      </c>
      <c r="R16" s="29">
        <v>0</v>
      </c>
      <c r="S16" s="36">
        <v>0</v>
      </c>
      <c r="T16" s="7" t="s">
        <v>131</v>
      </c>
      <c r="U16" s="7" t="s">
        <v>512</v>
      </c>
      <c r="V16" s="7" t="s">
        <v>512</v>
      </c>
      <c r="W16" s="7" t="s">
        <v>1177</v>
      </c>
      <c r="X16" s="30">
        <v>1</v>
      </c>
      <c r="Y16" s="7" t="s">
        <v>1177</v>
      </c>
      <c r="Z16" s="7" t="s">
        <v>1178</v>
      </c>
      <c r="AA16" s="30">
        <v>0</v>
      </c>
      <c r="AB16" s="36">
        <v>0</v>
      </c>
      <c r="AC16" s="7" t="s">
        <v>1177</v>
      </c>
      <c r="AD16" s="37">
        <v>0</v>
      </c>
      <c r="AE16" s="7" t="s">
        <v>1177</v>
      </c>
      <c r="AF16" s="7" t="s">
        <v>1177</v>
      </c>
      <c r="AG16" s="7" t="s">
        <v>1177</v>
      </c>
      <c r="AH16" s="38"/>
      <c r="AI16" s="36">
        <v>0</v>
      </c>
      <c r="AJ16" s="7" t="s">
        <v>1193</v>
      </c>
      <c r="AK16" s="7" t="s">
        <v>1177</v>
      </c>
      <c r="AL16" s="7" t="s">
        <v>1177</v>
      </c>
      <c r="AM16" s="7" t="s">
        <v>1177</v>
      </c>
      <c r="AN16" s="7" t="s">
        <v>3212</v>
      </c>
      <c r="AO16" s="7" t="s">
        <v>1177</v>
      </c>
      <c r="AP16" s="7" t="s">
        <v>1177</v>
      </c>
      <c r="AQ16" s="7" t="s">
        <v>1177</v>
      </c>
      <c r="AR16" s="29">
        <v>0</v>
      </c>
      <c r="AS16" s="7" t="s">
        <v>1177</v>
      </c>
      <c r="AT16" s="7" t="s">
        <v>1363</v>
      </c>
      <c r="AU16" s="38">
        <v>46275</v>
      </c>
      <c r="AV16" s="39">
        <v>0.60354166666666997</v>
      </c>
    </row>
    <row r="17" spans="1:48" x14ac:dyDescent="0.35">
      <c r="A17" t="str">
        <f t="shared" si="0"/>
        <v>50245B838</v>
      </c>
      <c r="B17" s="7" t="s">
        <v>3218</v>
      </c>
      <c r="C17" s="7" t="s">
        <v>744</v>
      </c>
      <c r="D17" s="7" t="s">
        <v>48</v>
      </c>
      <c r="E17" s="7" t="s">
        <v>1177</v>
      </c>
      <c r="F17" s="7" t="s">
        <v>128</v>
      </c>
      <c r="G17" s="7" t="s">
        <v>130</v>
      </c>
      <c r="H17" s="7" t="s">
        <v>129</v>
      </c>
      <c r="I17" s="30">
        <v>2</v>
      </c>
      <c r="J17" s="7" t="s">
        <v>1177</v>
      </c>
      <c r="K17" s="7" t="s">
        <v>1178</v>
      </c>
      <c r="L17" s="7" t="s">
        <v>132</v>
      </c>
      <c r="M17" s="7" t="s">
        <v>133</v>
      </c>
      <c r="N17" s="30">
        <v>0</v>
      </c>
      <c r="O17" s="30">
        <v>0</v>
      </c>
      <c r="P17" s="30">
        <v>0</v>
      </c>
      <c r="Q17" s="30">
        <v>0</v>
      </c>
      <c r="R17" s="29">
        <v>0</v>
      </c>
      <c r="S17" s="36">
        <v>0</v>
      </c>
      <c r="T17" s="7" t="s">
        <v>131</v>
      </c>
      <c r="U17" s="7" t="s">
        <v>745</v>
      </c>
      <c r="V17" s="7" t="s">
        <v>745</v>
      </c>
      <c r="W17" s="7" t="s">
        <v>1177</v>
      </c>
      <c r="X17" s="30">
        <v>1</v>
      </c>
      <c r="Y17" s="7" t="s">
        <v>1177</v>
      </c>
      <c r="Z17" s="7" t="s">
        <v>1178</v>
      </c>
      <c r="AA17" s="30">
        <v>0</v>
      </c>
      <c r="AB17" s="36">
        <v>0</v>
      </c>
      <c r="AC17" s="7" t="s">
        <v>1177</v>
      </c>
      <c r="AD17" s="37">
        <v>0</v>
      </c>
      <c r="AE17" s="7" t="s">
        <v>1177</v>
      </c>
      <c r="AF17" s="7" t="s">
        <v>1177</v>
      </c>
      <c r="AG17" s="7" t="s">
        <v>1177</v>
      </c>
      <c r="AH17" s="38"/>
      <c r="AI17" s="36">
        <v>0</v>
      </c>
      <c r="AJ17" s="7" t="s">
        <v>1193</v>
      </c>
      <c r="AK17" s="7" t="s">
        <v>1177</v>
      </c>
      <c r="AL17" s="7" t="s">
        <v>1177</v>
      </c>
      <c r="AM17" s="7" t="s">
        <v>1177</v>
      </c>
      <c r="AN17" s="7" t="s">
        <v>3212</v>
      </c>
      <c r="AO17" s="7" t="s">
        <v>1177</v>
      </c>
      <c r="AP17" s="7" t="s">
        <v>1177</v>
      </c>
      <c r="AQ17" s="7" t="s">
        <v>1177</v>
      </c>
      <c r="AR17" s="29">
        <v>0</v>
      </c>
      <c r="AS17" s="7" t="s">
        <v>1177</v>
      </c>
      <c r="AT17" s="7" t="s">
        <v>1363</v>
      </c>
      <c r="AU17" s="38">
        <v>46275</v>
      </c>
      <c r="AV17" s="39">
        <v>0.60471064814815001</v>
      </c>
    </row>
    <row r="18" spans="1:48" x14ac:dyDescent="0.35">
      <c r="A18" t="str">
        <f t="shared" si="0"/>
        <v>50246B825</v>
      </c>
      <c r="B18" s="7" t="s">
        <v>3219</v>
      </c>
      <c r="C18" s="7" t="s">
        <v>511</v>
      </c>
      <c r="D18" s="7" t="s">
        <v>16</v>
      </c>
      <c r="E18" s="7" t="s">
        <v>1177</v>
      </c>
      <c r="F18" s="7" t="s">
        <v>128</v>
      </c>
      <c r="G18" s="7" t="s">
        <v>130</v>
      </c>
      <c r="H18" s="7" t="s">
        <v>129</v>
      </c>
      <c r="I18" s="30">
        <v>1</v>
      </c>
      <c r="J18" s="7" t="s">
        <v>1177</v>
      </c>
      <c r="K18" s="7" t="s">
        <v>1178</v>
      </c>
      <c r="L18" s="7" t="s">
        <v>132</v>
      </c>
      <c r="M18" s="7" t="s">
        <v>133</v>
      </c>
      <c r="N18" s="30">
        <v>0</v>
      </c>
      <c r="O18" s="30">
        <v>0</v>
      </c>
      <c r="P18" s="30">
        <v>0</v>
      </c>
      <c r="Q18" s="30">
        <v>0</v>
      </c>
      <c r="R18" s="29">
        <v>0</v>
      </c>
      <c r="S18" s="36">
        <v>0</v>
      </c>
      <c r="T18" s="7" t="s">
        <v>131</v>
      </c>
      <c r="U18" s="7" t="s">
        <v>512</v>
      </c>
      <c r="V18" s="7" t="s">
        <v>512</v>
      </c>
      <c r="W18" s="7" t="s">
        <v>1177</v>
      </c>
      <c r="X18" s="30">
        <v>1</v>
      </c>
      <c r="Y18" s="7" t="s">
        <v>1177</v>
      </c>
      <c r="Z18" s="7" t="s">
        <v>1178</v>
      </c>
      <c r="AA18" s="30">
        <v>0</v>
      </c>
      <c r="AB18" s="36">
        <v>0</v>
      </c>
      <c r="AC18" s="7" t="s">
        <v>1177</v>
      </c>
      <c r="AD18" s="37">
        <v>0</v>
      </c>
      <c r="AE18" s="7" t="s">
        <v>1177</v>
      </c>
      <c r="AF18" s="7" t="s">
        <v>1177</v>
      </c>
      <c r="AG18" s="7" t="s">
        <v>1177</v>
      </c>
      <c r="AH18" s="38"/>
      <c r="AI18" s="36">
        <v>0</v>
      </c>
      <c r="AJ18" s="7" t="s">
        <v>1193</v>
      </c>
      <c r="AK18" s="7" t="s">
        <v>1177</v>
      </c>
      <c r="AL18" s="7" t="s">
        <v>1177</v>
      </c>
      <c r="AM18" s="7" t="s">
        <v>1177</v>
      </c>
      <c r="AN18" s="7" t="s">
        <v>3212</v>
      </c>
      <c r="AO18" s="7" t="s">
        <v>1177</v>
      </c>
      <c r="AP18" s="7" t="s">
        <v>1177</v>
      </c>
      <c r="AQ18" s="7" t="s">
        <v>1177</v>
      </c>
      <c r="AR18" s="29">
        <v>0</v>
      </c>
      <c r="AS18" s="7" t="s">
        <v>1177</v>
      </c>
      <c r="AT18" s="7" t="s">
        <v>1363</v>
      </c>
      <c r="AU18" s="38">
        <v>46275</v>
      </c>
      <c r="AV18" s="39">
        <v>0.60353009259259005</v>
      </c>
    </row>
    <row r="19" spans="1:48" x14ac:dyDescent="0.35">
      <c r="A19" t="str">
        <f t="shared" si="0"/>
        <v>50554B825</v>
      </c>
      <c r="B19" s="7" t="s">
        <v>3220</v>
      </c>
      <c r="C19" s="7" t="s">
        <v>511</v>
      </c>
      <c r="D19" s="7" t="s">
        <v>16</v>
      </c>
      <c r="E19" s="7" t="s">
        <v>1177</v>
      </c>
      <c r="F19" s="7" t="s">
        <v>128</v>
      </c>
      <c r="G19" s="7" t="s">
        <v>130</v>
      </c>
      <c r="H19" s="7" t="s">
        <v>129</v>
      </c>
      <c r="I19" s="30">
        <v>1</v>
      </c>
      <c r="J19" s="7" t="s">
        <v>1177</v>
      </c>
      <c r="K19" s="7" t="s">
        <v>1178</v>
      </c>
      <c r="L19" s="7" t="s">
        <v>132</v>
      </c>
      <c r="M19" s="7" t="s">
        <v>133</v>
      </c>
      <c r="N19" s="30">
        <v>0</v>
      </c>
      <c r="O19" s="30">
        <v>0</v>
      </c>
      <c r="P19" s="30">
        <v>0</v>
      </c>
      <c r="Q19" s="30">
        <v>0</v>
      </c>
      <c r="R19" s="29">
        <v>0</v>
      </c>
      <c r="S19" s="36">
        <v>0</v>
      </c>
      <c r="T19" s="7" t="s">
        <v>131</v>
      </c>
      <c r="U19" s="7" t="s">
        <v>512</v>
      </c>
      <c r="V19" s="7" t="s">
        <v>512</v>
      </c>
      <c r="W19" s="7" t="s">
        <v>1177</v>
      </c>
      <c r="X19" s="30">
        <v>1</v>
      </c>
      <c r="Y19" s="7" t="s">
        <v>1177</v>
      </c>
      <c r="Z19" s="7" t="s">
        <v>1178</v>
      </c>
      <c r="AA19" s="30">
        <v>0</v>
      </c>
      <c r="AB19" s="36">
        <v>0</v>
      </c>
      <c r="AC19" s="7" t="s">
        <v>1177</v>
      </c>
      <c r="AD19" s="37">
        <v>0</v>
      </c>
      <c r="AE19" s="7" t="s">
        <v>1177</v>
      </c>
      <c r="AF19" s="7" t="s">
        <v>1177</v>
      </c>
      <c r="AG19" s="7" t="s">
        <v>1177</v>
      </c>
      <c r="AH19" s="38"/>
      <c r="AI19" s="36">
        <v>0</v>
      </c>
      <c r="AJ19" s="7" t="s">
        <v>1193</v>
      </c>
      <c r="AK19" s="7" t="s">
        <v>1177</v>
      </c>
      <c r="AL19" s="7" t="s">
        <v>1177</v>
      </c>
      <c r="AM19" s="7" t="s">
        <v>1177</v>
      </c>
      <c r="AN19" s="7" t="s">
        <v>3212</v>
      </c>
      <c r="AO19" s="7" t="s">
        <v>1177</v>
      </c>
      <c r="AP19" s="7" t="s">
        <v>1177</v>
      </c>
      <c r="AQ19" s="7" t="s">
        <v>1177</v>
      </c>
      <c r="AR19" s="29">
        <v>0</v>
      </c>
      <c r="AS19" s="7" t="s">
        <v>1177</v>
      </c>
      <c r="AT19" s="7" t="s">
        <v>1363</v>
      </c>
      <c r="AU19" s="38">
        <v>46275</v>
      </c>
      <c r="AV19" s="39">
        <v>0.60353009259259005</v>
      </c>
    </row>
    <row r="20" spans="1:48" x14ac:dyDescent="0.35">
      <c r="A20" t="str">
        <f t="shared" si="0"/>
        <v>50785B825</v>
      </c>
      <c r="B20" s="7" t="s">
        <v>2663</v>
      </c>
      <c r="C20" s="7" t="s">
        <v>511</v>
      </c>
      <c r="D20" s="7" t="s">
        <v>16</v>
      </c>
      <c r="E20" s="7" t="s">
        <v>1177</v>
      </c>
      <c r="F20" s="7" t="s">
        <v>128</v>
      </c>
      <c r="G20" s="7" t="s">
        <v>130</v>
      </c>
      <c r="H20" s="7" t="s">
        <v>129</v>
      </c>
      <c r="I20" s="30">
        <v>2</v>
      </c>
      <c r="J20" s="7" t="s">
        <v>1177</v>
      </c>
      <c r="K20" s="7" t="s">
        <v>1178</v>
      </c>
      <c r="L20" s="7" t="s">
        <v>132</v>
      </c>
      <c r="M20" s="7" t="s">
        <v>133</v>
      </c>
      <c r="N20" s="30">
        <v>0</v>
      </c>
      <c r="O20" s="30">
        <v>0</v>
      </c>
      <c r="P20" s="30">
        <v>0</v>
      </c>
      <c r="Q20" s="30">
        <v>0</v>
      </c>
      <c r="R20" s="29">
        <v>0</v>
      </c>
      <c r="S20" s="36">
        <v>0</v>
      </c>
      <c r="T20" s="7" t="s">
        <v>131</v>
      </c>
      <c r="U20" s="7" t="s">
        <v>512</v>
      </c>
      <c r="V20" s="7" t="s">
        <v>512</v>
      </c>
      <c r="W20" s="7" t="s">
        <v>1177</v>
      </c>
      <c r="X20" s="30">
        <v>1</v>
      </c>
      <c r="Y20" s="7" t="s">
        <v>1177</v>
      </c>
      <c r="Z20" s="7" t="s">
        <v>1178</v>
      </c>
      <c r="AA20" s="30">
        <v>0</v>
      </c>
      <c r="AB20" s="36">
        <v>0</v>
      </c>
      <c r="AC20" s="7" t="s">
        <v>1177</v>
      </c>
      <c r="AD20" s="37">
        <v>0</v>
      </c>
      <c r="AE20" s="7" t="s">
        <v>1177</v>
      </c>
      <c r="AF20" s="7" t="s">
        <v>1177</v>
      </c>
      <c r="AG20" s="7" t="s">
        <v>1177</v>
      </c>
      <c r="AH20" s="38"/>
      <c r="AI20" s="36">
        <v>0</v>
      </c>
      <c r="AJ20" s="7" t="s">
        <v>1193</v>
      </c>
      <c r="AK20" s="7" t="s">
        <v>1177</v>
      </c>
      <c r="AL20" s="7" t="s">
        <v>1177</v>
      </c>
      <c r="AM20" s="7" t="s">
        <v>1177</v>
      </c>
      <c r="AN20" s="7" t="s">
        <v>3212</v>
      </c>
      <c r="AO20" s="7" t="s">
        <v>1177</v>
      </c>
      <c r="AP20" s="7" t="s">
        <v>1177</v>
      </c>
      <c r="AQ20" s="7" t="s">
        <v>1177</v>
      </c>
      <c r="AR20" s="29">
        <v>0</v>
      </c>
      <c r="AS20" s="7" t="s">
        <v>1177</v>
      </c>
      <c r="AT20" s="7" t="s">
        <v>1363</v>
      </c>
      <c r="AU20" s="38">
        <v>46275</v>
      </c>
      <c r="AV20" s="39">
        <v>0.60353009259259005</v>
      </c>
    </row>
    <row r="21" spans="1:48" x14ac:dyDescent="0.35">
      <c r="A21" t="str">
        <f t="shared" si="0"/>
        <v>50785B832</v>
      </c>
      <c r="B21" s="7" t="s">
        <v>2663</v>
      </c>
      <c r="C21" s="7" t="s">
        <v>653</v>
      </c>
      <c r="D21" s="7" t="s">
        <v>19</v>
      </c>
      <c r="E21" s="7" t="s">
        <v>1177</v>
      </c>
      <c r="F21" s="7" t="s">
        <v>128</v>
      </c>
      <c r="G21" s="7" t="s">
        <v>130</v>
      </c>
      <c r="H21" s="7" t="s">
        <v>129</v>
      </c>
      <c r="I21" s="30">
        <v>1</v>
      </c>
      <c r="J21" s="7" t="s">
        <v>1177</v>
      </c>
      <c r="K21" s="7" t="s">
        <v>1178</v>
      </c>
      <c r="L21" s="7" t="s">
        <v>132</v>
      </c>
      <c r="M21" s="7" t="s">
        <v>133</v>
      </c>
      <c r="N21" s="30">
        <v>0</v>
      </c>
      <c r="O21" s="30">
        <v>0</v>
      </c>
      <c r="P21" s="30">
        <v>0</v>
      </c>
      <c r="Q21" s="30">
        <v>0</v>
      </c>
      <c r="R21" s="29">
        <v>0</v>
      </c>
      <c r="S21" s="36">
        <v>0</v>
      </c>
      <c r="T21" s="7" t="s">
        <v>131</v>
      </c>
      <c r="U21" s="7" t="s">
        <v>654</v>
      </c>
      <c r="V21" s="7" t="s">
        <v>654</v>
      </c>
      <c r="W21" s="7" t="s">
        <v>1177</v>
      </c>
      <c r="X21" s="30">
        <v>1</v>
      </c>
      <c r="Y21" s="7" t="s">
        <v>1177</v>
      </c>
      <c r="Z21" s="7" t="s">
        <v>1178</v>
      </c>
      <c r="AA21" s="30">
        <v>0</v>
      </c>
      <c r="AB21" s="36">
        <v>0</v>
      </c>
      <c r="AC21" s="7" t="s">
        <v>1177</v>
      </c>
      <c r="AD21" s="37">
        <v>0</v>
      </c>
      <c r="AE21" s="7" t="s">
        <v>1177</v>
      </c>
      <c r="AF21" s="7" t="s">
        <v>1177</v>
      </c>
      <c r="AG21" s="7" t="s">
        <v>1177</v>
      </c>
      <c r="AH21" s="38"/>
      <c r="AI21" s="36">
        <v>0</v>
      </c>
      <c r="AJ21" s="7" t="s">
        <v>1193</v>
      </c>
      <c r="AK21" s="7" t="s">
        <v>1177</v>
      </c>
      <c r="AL21" s="7" t="s">
        <v>1177</v>
      </c>
      <c r="AM21" s="7" t="s">
        <v>1177</v>
      </c>
      <c r="AN21" s="7" t="s">
        <v>3212</v>
      </c>
      <c r="AO21" s="7" t="s">
        <v>1177</v>
      </c>
      <c r="AP21" s="7" t="s">
        <v>1177</v>
      </c>
      <c r="AQ21" s="7" t="s">
        <v>1177</v>
      </c>
      <c r="AR21" s="29">
        <v>0</v>
      </c>
      <c r="AS21" s="7" t="s">
        <v>1177</v>
      </c>
      <c r="AT21" s="7" t="s">
        <v>1363</v>
      </c>
      <c r="AU21" s="38">
        <v>46275</v>
      </c>
      <c r="AV21" s="39">
        <v>0.60391203703703999</v>
      </c>
    </row>
    <row r="22" spans="1:48" x14ac:dyDescent="0.35">
      <c r="A22" t="str">
        <f t="shared" si="0"/>
        <v>50785B838</v>
      </c>
      <c r="B22" s="7" t="s">
        <v>2663</v>
      </c>
      <c r="C22" s="7" t="s">
        <v>744</v>
      </c>
      <c r="D22" s="7" t="s">
        <v>48</v>
      </c>
      <c r="E22" s="7" t="s">
        <v>1177</v>
      </c>
      <c r="F22" s="7" t="s">
        <v>128</v>
      </c>
      <c r="G22" s="7" t="s">
        <v>130</v>
      </c>
      <c r="H22" s="7" t="s">
        <v>129</v>
      </c>
      <c r="I22" s="30">
        <v>2</v>
      </c>
      <c r="J22" s="7" t="s">
        <v>1177</v>
      </c>
      <c r="K22" s="7" t="s">
        <v>1178</v>
      </c>
      <c r="L22" s="7" t="s">
        <v>132</v>
      </c>
      <c r="M22" s="7" t="s">
        <v>133</v>
      </c>
      <c r="N22" s="30">
        <v>0</v>
      </c>
      <c r="O22" s="30">
        <v>0</v>
      </c>
      <c r="P22" s="30">
        <v>0</v>
      </c>
      <c r="Q22" s="30">
        <v>0</v>
      </c>
      <c r="R22" s="29">
        <v>0</v>
      </c>
      <c r="S22" s="36">
        <v>0</v>
      </c>
      <c r="T22" s="7" t="s">
        <v>131</v>
      </c>
      <c r="U22" s="7" t="s">
        <v>745</v>
      </c>
      <c r="V22" s="7" t="s">
        <v>745</v>
      </c>
      <c r="W22" s="7" t="s">
        <v>1177</v>
      </c>
      <c r="X22" s="30">
        <v>1</v>
      </c>
      <c r="Y22" s="7" t="s">
        <v>1177</v>
      </c>
      <c r="Z22" s="7" t="s">
        <v>1178</v>
      </c>
      <c r="AA22" s="30">
        <v>0</v>
      </c>
      <c r="AB22" s="36">
        <v>0</v>
      </c>
      <c r="AC22" s="7" t="s">
        <v>1177</v>
      </c>
      <c r="AD22" s="37">
        <v>0</v>
      </c>
      <c r="AE22" s="7" t="s">
        <v>1177</v>
      </c>
      <c r="AF22" s="7" t="s">
        <v>1177</v>
      </c>
      <c r="AG22" s="7" t="s">
        <v>1177</v>
      </c>
      <c r="AH22" s="38"/>
      <c r="AI22" s="36">
        <v>0</v>
      </c>
      <c r="AJ22" s="7" t="s">
        <v>1193</v>
      </c>
      <c r="AK22" s="7" t="s">
        <v>1177</v>
      </c>
      <c r="AL22" s="7" t="s">
        <v>1177</v>
      </c>
      <c r="AM22" s="7" t="s">
        <v>1177</v>
      </c>
      <c r="AN22" s="7" t="s">
        <v>3212</v>
      </c>
      <c r="AO22" s="7" t="s">
        <v>1177</v>
      </c>
      <c r="AP22" s="7" t="s">
        <v>1177</v>
      </c>
      <c r="AQ22" s="7" t="s">
        <v>1177</v>
      </c>
      <c r="AR22" s="29">
        <v>0</v>
      </c>
      <c r="AS22" s="7" t="s">
        <v>1177</v>
      </c>
      <c r="AT22" s="7" t="s">
        <v>1363</v>
      </c>
      <c r="AU22" s="38">
        <v>46275</v>
      </c>
      <c r="AV22" s="39">
        <v>0.60471064814815001</v>
      </c>
    </row>
    <row r="23" spans="1:48" x14ac:dyDescent="0.35">
      <c r="A23" t="str">
        <f t="shared" si="0"/>
        <v>50785B856</v>
      </c>
      <c r="B23" s="7" t="s">
        <v>2663</v>
      </c>
      <c r="C23" s="7" t="s">
        <v>852</v>
      </c>
      <c r="D23" s="7" t="s">
        <v>21</v>
      </c>
      <c r="E23" s="7" t="s">
        <v>1177</v>
      </c>
      <c r="F23" s="7" t="s">
        <v>128</v>
      </c>
      <c r="G23" s="7" t="s">
        <v>130</v>
      </c>
      <c r="H23" s="7" t="s">
        <v>129</v>
      </c>
      <c r="I23" s="30">
        <v>2</v>
      </c>
      <c r="J23" s="7" t="s">
        <v>1177</v>
      </c>
      <c r="K23" s="7" t="s">
        <v>1178</v>
      </c>
      <c r="L23" s="7" t="s">
        <v>132</v>
      </c>
      <c r="M23" s="7" t="s">
        <v>133</v>
      </c>
      <c r="N23" s="30">
        <v>0</v>
      </c>
      <c r="O23" s="30">
        <v>0</v>
      </c>
      <c r="P23" s="30">
        <v>0</v>
      </c>
      <c r="Q23" s="30">
        <v>0</v>
      </c>
      <c r="R23" s="29">
        <v>0</v>
      </c>
      <c r="S23" s="36">
        <v>0</v>
      </c>
      <c r="T23" s="7" t="s">
        <v>131</v>
      </c>
      <c r="U23" s="7" t="s">
        <v>853</v>
      </c>
      <c r="V23" s="7" t="s">
        <v>853</v>
      </c>
      <c r="W23" s="7" t="s">
        <v>1177</v>
      </c>
      <c r="X23" s="30">
        <v>1</v>
      </c>
      <c r="Y23" s="7" t="s">
        <v>1177</v>
      </c>
      <c r="Z23" s="7" t="s">
        <v>1178</v>
      </c>
      <c r="AA23" s="30">
        <v>0</v>
      </c>
      <c r="AB23" s="36">
        <v>0</v>
      </c>
      <c r="AC23" s="7" t="s">
        <v>1177</v>
      </c>
      <c r="AD23" s="37">
        <v>0</v>
      </c>
      <c r="AE23" s="7" t="s">
        <v>1177</v>
      </c>
      <c r="AF23" s="7" t="s">
        <v>1177</v>
      </c>
      <c r="AG23" s="7" t="s">
        <v>1177</v>
      </c>
      <c r="AH23" s="38"/>
      <c r="AI23" s="36">
        <v>0</v>
      </c>
      <c r="AJ23" s="7" t="s">
        <v>1193</v>
      </c>
      <c r="AK23" s="7" t="s">
        <v>1177</v>
      </c>
      <c r="AL23" s="7" t="s">
        <v>1177</v>
      </c>
      <c r="AM23" s="7" t="s">
        <v>1177</v>
      </c>
      <c r="AN23" s="7" t="s">
        <v>3212</v>
      </c>
      <c r="AO23" s="7" t="s">
        <v>1177</v>
      </c>
      <c r="AP23" s="7" t="s">
        <v>1177</v>
      </c>
      <c r="AQ23" s="7" t="s">
        <v>1177</v>
      </c>
      <c r="AR23" s="29">
        <v>0</v>
      </c>
      <c r="AS23" s="7" t="s">
        <v>1177</v>
      </c>
      <c r="AT23" s="7" t="s">
        <v>1363</v>
      </c>
      <c r="AU23" s="38">
        <v>46275</v>
      </c>
      <c r="AV23" s="39">
        <v>0.60523148148147998</v>
      </c>
    </row>
    <row r="24" spans="1:48" x14ac:dyDescent="0.35">
      <c r="A24" t="str">
        <f t="shared" si="0"/>
        <v>50785B857</v>
      </c>
      <c r="B24" s="7" t="s">
        <v>2663</v>
      </c>
      <c r="C24" s="7" t="s">
        <v>958</v>
      </c>
      <c r="D24" s="7" t="s">
        <v>23</v>
      </c>
      <c r="E24" s="7" t="s">
        <v>1177</v>
      </c>
      <c r="F24" s="7" t="s">
        <v>128</v>
      </c>
      <c r="G24" s="7" t="s">
        <v>130</v>
      </c>
      <c r="H24" s="7" t="s">
        <v>129</v>
      </c>
      <c r="I24" s="30">
        <v>2</v>
      </c>
      <c r="J24" s="7" t="s">
        <v>1177</v>
      </c>
      <c r="K24" s="7" t="s">
        <v>1178</v>
      </c>
      <c r="L24" s="7" t="s">
        <v>132</v>
      </c>
      <c r="M24" s="7" t="s">
        <v>133</v>
      </c>
      <c r="N24" s="30">
        <v>0</v>
      </c>
      <c r="O24" s="30">
        <v>0</v>
      </c>
      <c r="P24" s="30">
        <v>0</v>
      </c>
      <c r="Q24" s="30">
        <v>0</v>
      </c>
      <c r="R24" s="29">
        <v>0</v>
      </c>
      <c r="S24" s="36">
        <v>0</v>
      </c>
      <c r="T24" s="7" t="s">
        <v>131</v>
      </c>
      <c r="U24" s="7" t="s">
        <v>959</v>
      </c>
      <c r="V24" s="7" t="s">
        <v>959</v>
      </c>
      <c r="W24" s="7" t="s">
        <v>1177</v>
      </c>
      <c r="X24" s="30">
        <v>1</v>
      </c>
      <c r="Y24" s="7" t="s">
        <v>1177</v>
      </c>
      <c r="Z24" s="7" t="s">
        <v>1178</v>
      </c>
      <c r="AA24" s="30">
        <v>0</v>
      </c>
      <c r="AB24" s="36">
        <v>0</v>
      </c>
      <c r="AC24" s="7" t="s">
        <v>1177</v>
      </c>
      <c r="AD24" s="37">
        <v>0</v>
      </c>
      <c r="AE24" s="7" t="s">
        <v>1177</v>
      </c>
      <c r="AF24" s="7" t="s">
        <v>1177</v>
      </c>
      <c r="AG24" s="7" t="s">
        <v>1177</v>
      </c>
      <c r="AH24" s="38"/>
      <c r="AI24" s="36">
        <v>0</v>
      </c>
      <c r="AJ24" s="7" t="s">
        <v>1193</v>
      </c>
      <c r="AK24" s="7" t="s">
        <v>1177</v>
      </c>
      <c r="AL24" s="7" t="s">
        <v>1177</v>
      </c>
      <c r="AM24" s="7" t="s">
        <v>1177</v>
      </c>
      <c r="AN24" s="7" t="s">
        <v>3212</v>
      </c>
      <c r="AO24" s="7" t="s">
        <v>1177</v>
      </c>
      <c r="AP24" s="7" t="s">
        <v>1177</v>
      </c>
      <c r="AQ24" s="7" t="s">
        <v>1177</v>
      </c>
      <c r="AR24" s="29">
        <v>0</v>
      </c>
      <c r="AS24" s="7" t="s">
        <v>1177</v>
      </c>
      <c r="AT24" s="7" t="s">
        <v>1363</v>
      </c>
      <c r="AU24" s="38">
        <v>46275</v>
      </c>
      <c r="AV24" s="39">
        <v>0.60530092592592999</v>
      </c>
    </row>
    <row r="25" spans="1:48" x14ac:dyDescent="0.35">
      <c r="A25" t="str">
        <f t="shared" si="0"/>
        <v>50786B832</v>
      </c>
      <c r="B25" s="7" t="s">
        <v>3221</v>
      </c>
      <c r="C25" s="7" t="s">
        <v>653</v>
      </c>
      <c r="D25" s="7" t="s">
        <v>19</v>
      </c>
      <c r="E25" s="7" t="s">
        <v>1177</v>
      </c>
      <c r="F25" s="7" t="s">
        <v>128</v>
      </c>
      <c r="G25" s="7" t="s">
        <v>130</v>
      </c>
      <c r="H25" s="7" t="s">
        <v>129</v>
      </c>
      <c r="I25" s="30">
        <v>2</v>
      </c>
      <c r="J25" s="7" t="s">
        <v>1177</v>
      </c>
      <c r="K25" s="7" t="s">
        <v>1178</v>
      </c>
      <c r="L25" s="7" t="s">
        <v>132</v>
      </c>
      <c r="M25" s="7" t="s">
        <v>133</v>
      </c>
      <c r="N25" s="30">
        <v>0</v>
      </c>
      <c r="O25" s="30">
        <v>0</v>
      </c>
      <c r="P25" s="30">
        <v>0</v>
      </c>
      <c r="Q25" s="30">
        <v>0</v>
      </c>
      <c r="R25" s="29">
        <v>0</v>
      </c>
      <c r="S25" s="36">
        <v>0</v>
      </c>
      <c r="T25" s="7" t="s">
        <v>131</v>
      </c>
      <c r="U25" s="7" t="s">
        <v>654</v>
      </c>
      <c r="V25" s="7" t="s">
        <v>654</v>
      </c>
      <c r="W25" s="7" t="s">
        <v>1177</v>
      </c>
      <c r="X25" s="30">
        <v>1</v>
      </c>
      <c r="Y25" s="7" t="s">
        <v>1177</v>
      </c>
      <c r="Z25" s="7" t="s">
        <v>1178</v>
      </c>
      <c r="AA25" s="30">
        <v>0</v>
      </c>
      <c r="AB25" s="36">
        <v>0</v>
      </c>
      <c r="AC25" s="7" t="s">
        <v>1177</v>
      </c>
      <c r="AD25" s="37">
        <v>0</v>
      </c>
      <c r="AE25" s="7" t="s">
        <v>1177</v>
      </c>
      <c r="AF25" s="7" t="s">
        <v>1177</v>
      </c>
      <c r="AG25" s="7" t="s">
        <v>1177</v>
      </c>
      <c r="AH25" s="38"/>
      <c r="AI25" s="36">
        <v>0</v>
      </c>
      <c r="AJ25" s="7" t="s">
        <v>1193</v>
      </c>
      <c r="AK25" s="7" t="s">
        <v>1177</v>
      </c>
      <c r="AL25" s="7" t="s">
        <v>1177</v>
      </c>
      <c r="AM25" s="7" t="s">
        <v>1177</v>
      </c>
      <c r="AN25" s="7" t="s">
        <v>3212</v>
      </c>
      <c r="AO25" s="7" t="s">
        <v>1177</v>
      </c>
      <c r="AP25" s="7" t="s">
        <v>1177</v>
      </c>
      <c r="AQ25" s="7" t="s">
        <v>1177</v>
      </c>
      <c r="AR25" s="29">
        <v>0</v>
      </c>
      <c r="AS25" s="7" t="s">
        <v>1177</v>
      </c>
      <c r="AT25" s="7" t="s">
        <v>1363</v>
      </c>
      <c r="AU25" s="38">
        <v>46275</v>
      </c>
      <c r="AV25" s="39">
        <v>0.60391203703703999</v>
      </c>
    </row>
    <row r="26" spans="1:48" x14ac:dyDescent="0.35">
      <c r="A26" t="str">
        <f t="shared" si="0"/>
        <v>50786B857</v>
      </c>
      <c r="B26" s="7" t="s">
        <v>3221</v>
      </c>
      <c r="C26" s="7" t="s">
        <v>958</v>
      </c>
      <c r="D26" s="7" t="s">
        <v>23</v>
      </c>
      <c r="E26" s="7" t="s">
        <v>1177</v>
      </c>
      <c r="F26" s="7" t="s">
        <v>128</v>
      </c>
      <c r="G26" s="7" t="s">
        <v>130</v>
      </c>
      <c r="H26" s="7" t="s">
        <v>129</v>
      </c>
      <c r="I26" s="30">
        <v>2</v>
      </c>
      <c r="J26" s="7" t="s">
        <v>1177</v>
      </c>
      <c r="K26" s="7" t="s">
        <v>1178</v>
      </c>
      <c r="L26" s="7" t="s">
        <v>132</v>
      </c>
      <c r="M26" s="7" t="s">
        <v>133</v>
      </c>
      <c r="N26" s="30">
        <v>0</v>
      </c>
      <c r="O26" s="30">
        <v>0</v>
      </c>
      <c r="P26" s="30">
        <v>0</v>
      </c>
      <c r="Q26" s="30">
        <v>0</v>
      </c>
      <c r="R26" s="29">
        <v>0</v>
      </c>
      <c r="S26" s="36">
        <v>0</v>
      </c>
      <c r="T26" s="7" t="s">
        <v>131</v>
      </c>
      <c r="U26" s="7" t="s">
        <v>959</v>
      </c>
      <c r="V26" s="7" t="s">
        <v>959</v>
      </c>
      <c r="W26" s="7" t="s">
        <v>1177</v>
      </c>
      <c r="X26" s="30">
        <v>1</v>
      </c>
      <c r="Y26" s="7" t="s">
        <v>1177</v>
      </c>
      <c r="Z26" s="7" t="s">
        <v>1178</v>
      </c>
      <c r="AA26" s="30">
        <v>0</v>
      </c>
      <c r="AB26" s="36">
        <v>0</v>
      </c>
      <c r="AC26" s="7" t="s">
        <v>1177</v>
      </c>
      <c r="AD26" s="37">
        <v>0</v>
      </c>
      <c r="AE26" s="7" t="s">
        <v>1177</v>
      </c>
      <c r="AF26" s="7" t="s">
        <v>1177</v>
      </c>
      <c r="AG26" s="7" t="s">
        <v>1177</v>
      </c>
      <c r="AH26" s="38"/>
      <c r="AI26" s="36">
        <v>0</v>
      </c>
      <c r="AJ26" s="7" t="s">
        <v>1193</v>
      </c>
      <c r="AK26" s="7" t="s">
        <v>1177</v>
      </c>
      <c r="AL26" s="7" t="s">
        <v>1177</v>
      </c>
      <c r="AM26" s="7" t="s">
        <v>1177</v>
      </c>
      <c r="AN26" s="7" t="s">
        <v>3212</v>
      </c>
      <c r="AO26" s="7" t="s">
        <v>1177</v>
      </c>
      <c r="AP26" s="7" t="s">
        <v>1177</v>
      </c>
      <c r="AQ26" s="7" t="s">
        <v>1177</v>
      </c>
      <c r="AR26" s="29">
        <v>0</v>
      </c>
      <c r="AS26" s="7" t="s">
        <v>1177</v>
      </c>
      <c r="AT26" s="7" t="s">
        <v>1363</v>
      </c>
      <c r="AU26" s="38">
        <v>46275</v>
      </c>
      <c r="AV26" s="39">
        <v>0.60531250000000003</v>
      </c>
    </row>
    <row r="27" spans="1:48" x14ac:dyDescent="0.35">
      <c r="A27" t="str">
        <f t="shared" si="0"/>
        <v>50786B864</v>
      </c>
      <c r="B27" s="7" t="s">
        <v>3221</v>
      </c>
      <c r="C27" s="7" t="s">
        <v>1010</v>
      </c>
      <c r="D27" s="7" t="s">
        <v>10</v>
      </c>
      <c r="E27" s="7" t="s">
        <v>1177</v>
      </c>
      <c r="F27" s="7" t="s">
        <v>128</v>
      </c>
      <c r="G27" s="7" t="s">
        <v>130</v>
      </c>
      <c r="H27" s="7" t="s">
        <v>129</v>
      </c>
      <c r="I27" s="30">
        <v>2</v>
      </c>
      <c r="J27" s="7" t="s">
        <v>1177</v>
      </c>
      <c r="K27" s="7" t="s">
        <v>1178</v>
      </c>
      <c r="L27" s="7" t="s">
        <v>132</v>
      </c>
      <c r="M27" s="7" t="s">
        <v>133</v>
      </c>
      <c r="N27" s="30">
        <v>0</v>
      </c>
      <c r="O27" s="30">
        <v>0</v>
      </c>
      <c r="P27" s="30">
        <v>0</v>
      </c>
      <c r="Q27" s="30">
        <v>0</v>
      </c>
      <c r="R27" s="29">
        <v>0</v>
      </c>
      <c r="S27" s="36">
        <v>0</v>
      </c>
      <c r="T27" s="7" t="s">
        <v>131</v>
      </c>
      <c r="U27" s="7" t="s">
        <v>1011</v>
      </c>
      <c r="V27" s="7" t="s">
        <v>1011</v>
      </c>
      <c r="W27" s="7" t="s">
        <v>1177</v>
      </c>
      <c r="X27" s="30">
        <v>1</v>
      </c>
      <c r="Y27" s="7" t="s">
        <v>1177</v>
      </c>
      <c r="Z27" s="7" t="s">
        <v>1178</v>
      </c>
      <c r="AA27" s="30">
        <v>0</v>
      </c>
      <c r="AB27" s="36">
        <v>0</v>
      </c>
      <c r="AC27" s="7" t="s">
        <v>1177</v>
      </c>
      <c r="AD27" s="37">
        <v>0</v>
      </c>
      <c r="AE27" s="7" t="s">
        <v>1177</v>
      </c>
      <c r="AF27" s="7" t="s">
        <v>1177</v>
      </c>
      <c r="AG27" s="7" t="s">
        <v>1177</v>
      </c>
      <c r="AH27" s="38"/>
      <c r="AI27" s="36">
        <v>0</v>
      </c>
      <c r="AJ27" s="7" t="s">
        <v>1193</v>
      </c>
      <c r="AK27" s="7" t="s">
        <v>1177</v>
      </c>
      <c r="AL27" s="7" t="s">
        <v>1177</v>
      </c>
      <c r="AM27" s="7" t="s">
        <v>1177</v>
      </c>
      <c r="AN27" s="7" t="s">
        <v>3212</v>
      </c>
      <c r="AO27" s="7" t="s">
        <v>1177</v>
      </c>
      <c r="AP27" s="7" t="s">
        <v>1177</v>
      </c>
      <c r="AQ27" s="7" t="s">
        <v>1177</v>
      </c>
      <c r="AR27" s="29">
        <v>0</v>
      </c>
      <c r="AS27" s="7" t="s">
        <v>1177</v>
      </c>
      <c r="AT27" s="7" t="s">
        <v>1363</v>
      </c>
      <c r="AU27" s="38">
        <v>46275</v>
      </c>
      <c r="AV27" s="39">
        <v>0.60541666666667004</v>
      </c>
    </row>
    <row r="28" spans="1:48" x14ac:dyDescent="0.35">
      <c r="A28" t="str">
        <f t="shared" si="0"/>
        <v>50834B825</v>
      </c>
      <c r="B28" s="7" t="s">
        <v>1346</v>
      </c>
      <c r="C28" s="7" t="s">
        <v>511</v>
      </c>
      <c r="D28" s="7" t="s">
        <v>16</v>
      </c>
      <c r="E28" s="7" t="s">
        <v>1177</v>
      </c>
      <c r="F28" s="7" t="s">
        <v>128</v>
      </c>
      <c r="G28" s="7" t="s">
        <v>130</v>
      </c>
      <c r="H28" s="7" t="s">
        <v>129</v>
      </c>
      <c r="I28" s="30">
        <v>1</v>
      </c>
      <c r="J28" s="7" t="s">
        <v>1177</v>
      </c>
      <c r="K28" s="7" t="s">
        <v>1178</v>
      </c>
      <c r="L28" s="7" t="s">
        <v>132</v>
      </c>
      <c r="M28" s="7" t="s">
        <v>133</v>
      </c>
      <c r="N28" s="30">
        <v>0</v>
      </c>
      <c r="O28" s="30">
        <v>0</v>
      </c>
      <c r="P28" s="30">
        <v>0</v>
      </c>
      <c r="Q28" s="30">
        <v>0</v>
      </c>
      <c r="R28" s="29">
        <v>0</v>
      </c>
      <c r="S28" s="36">
        <v>0</v>
      </c>
      <c r="T28" s="7" t="s">
        <v>131</v>
      </c>
      <c r="U28" s="7" t="s">
        <v>512</v>
      </c>
      <c r="V28" s="7" t="s">
        <v>512</v>
      </c>
      <c r="W28" s="7" t="s">
        <v>1177</v>
      </c>
      <c r="X28" s="30">
        <v>1</v>
      </c>
      <c r="Y28" s="7" t="s">
        <v>1177</v>
      </c>
      <c r="Z28" s="7" t="s">
        <v>1178</v>
      </c>
      <c r="AA28" s="30">
        <v>0</v>
      </c>
      <c r="AB28" s="36">
        <v>0</v>
      </c>
      <c r="AC28" s="7" t="s">
        <v>1177</v>
      </c>
      <c r="AD28" s="37">
        <v>0</v>
      </c>
      <c r="AE28" s="7" t="s">
        <v>1177</v>
      </c>
      <c r="AF28" s="7" t="s">
        <v>1177</v>
      </c>
      <c r="AG28" s="7" t="s">
        <v>1177</v>
      </c>
      <c r="AH28" s="38"/>
      <c r="AI28" s="36">
        <v>0</v>
      </c>
      <c r="AJ28" s="7" t="s">
        <v>1193</v>
      </c>
      <c r="AK28" s="7" t="s">
        <v>1177</v>
      </c>
      <c r="AL28" s="7" t="s">
        <v>1177</v>
      </c>
      <c r="AM28" s="7" t="s">
        <v>1177</v>
      </c>
      <c r="AN28" s="7" t="s">
        <v>3212</v>
      </c>
      <c r="AO28" s="7" t="s">
        <v>1177</v>
      </c>
      <c r="AP28" s="7" t="s">
        <v>1177</v>
      </c>
      <c r="AQ28" s="7" t="s">
        <v>1177</v>
      </c>
      <c r="AR28" s="29">
        <v>0</v>
      </c>
      <c r="AS28" s="7" t="s">
        <v>1177</v>
      </c>
      <c r="AT28" s="7" t="s">
        <v>1363</v>
      </c>
      <c r="AU28" s="38">
        <v>46275</v>
      </c>
      <c r="AV28" s="39">
        <v>0.60353009259259005</v>
      </c>
    </row>
    <row r="29" spans="1:48" x14ac:dyDescent="0.35">
      <c r="A29" t="str">
        <f t="shared" si="0"/>
        <v>50835B825</v>
      </c>
      <c r="B29" s="7" t="s">
        <v>3222</v>
      </c>
      <c r="C29" s="7" t="s">
        <v>511</v>
      </c>
      <c r="D29" s="7" t="s">
        <v>16</v>
      </c>
      <c r="E29" s="7" t="s">
        <v>1177</v>
      </c>
      <c r="F29" s="7" t="s">
        <v>128</v>
      </c>
      <c r="G29" s="7" t="s">
        <v>130</v>
      </c>
      <c r="H29" s="7" t="s">
        <v>129</v>
      </c>
      <c r="I29" s="30">
        <v>2</v>
      </c>
      <c r="J29" s="7" t="s">
        <v>1177</v>
      </c>
      <c r="K29" s="7" t="s">
        <v>1178</v>
      </c>
      <c r="L29" s="7" t="s">
        <v>132</v>
      </c>
      <c r="M29" s="7" t="s">
        <v>133</v>
      </c>
      <c r="N29" s="30">
        <v>0</v>
      </c>
      <c r="O29" s="30">
        <v>0</v>
      </c>
      <c r="P29" s="30">
        <v>0</v>
      </c>
      <c r="Q29" s="30">
        <v>0</v>
      </c>
      <c r="R29" s="29">
        <v>0</v>
      </c>
      <c r="S29" s="36">
        <v>0</v>
      </c>
      <c r="T29" s="7" t="s">
        <v>131</v>
      </c>
      <c r="U29" s="7" t="s">
        <v>512</v>
      </c>
      <c r="V29" s="7" t="s">
        <v>512</v>
      </c>
      <c r="W29" s="7" t="s">
        <v>1177</v>
      </c>
      <c r="X29" s="30">
        <v>1</v>
      </c>
      <c r="Y29" s="7" t="s">
        <v>1177</v>
      </c>
      <c r="Z29" s="7" t="s">
        <v>1178</v>
      </c>
      <c r="AA29" s="30">
        <v>0</v>
      </c>
      <c r="AB29" s="36">
        <v>0</v>
      </c>
      <c r="AC29" s="7" t="s">
        <v>1177</v>
      </c>
      <c r="AD29" s="37">
        <v>0</v>
      </c>
      <c r="AE29" s="7" t="s">
        <v>1177</v>
      </c>
      <c r="AF29" s="7" t="s">
        <v>1177</v>
      </c>
      <c r="AG29" s="7" t="s">
        <v>1177</v>
      </c>
      <c r="AH29" s="38"/>
      <c r="AI29" s="36">
        <v>0</v>
      </c>
      <c r="AJ29" s="7" t="s">
        <v>1193</v>
      </c>
      <c r="AK29" s="7" t="s">
        <v>1177</v>
      </c>
      <c r="AL29" s="7" t="s">
        <v>1177</v>
      </c>
      <c r="AM29" s="7" t="s">
        <v>1177</v>
      </c>
      <c r="AN29" s="7" t="s">
        <v>3212</v>
      </c>
      <c r="AO29" s="7" t="s">
        <v>1177</v>
      </c>
      <c r="AP29" s="7" t="s">
        <v>1177</v>
      </c>
      <c r="AQ29" s="7" t="s">
        <v>1177</v>
      </c>
      <c r="AR29" s="29">
        <v>0</v>
      </c>
      <c r="AS29" s="7" t="s">
        <v>1177</v>
      </c>
      <c r="AT29" s="7" t="s">
        <v>1363</v>
      </c>
      <c r="AU29" s="38">
        <v>46275</v>
      </c>
      <c r="AV29" s="39">
        <v>0.60353009259259005</v>
      </c>
    </row>
    <row r="30" spans="1:48" x14ac:dyDescent="0.35">
      <c r="A30" t="str">
        <f t="shared" si="0"/>
        <v>50835B838</v>
      </c>
      <c r="B30" s="7" t="s">
        <v>3222</v>
      </c>
      <c r="C30" s="7" t="s">
        <v>744</v>
      </c>
      <c r="D30" s="7" t="s">
        <v>48</v>
      </c>
      <c r="E30" s="7" t="s">
        <v>1177</v>
      </c>
      <c r="F30" s="7" t="s">
        <v>128</v>
      </c>
      <c r="G30" s="7" t="s">
        <v>130</v>
      </c>
      <c r="H30" s="7" t="s">
        <v>129</v>
      </c>
      <c r="I30" s="30">
        <v>2</v>
      </c>
      <c r="J30" s="7" t="s">
        <v>1177</v>
      </c>
      <c r="K30" s="7" t="s">
        <v>1178</v>
      </c>
      <c r="L30" s="7" t="s">
        <v>132</v>
      </c>
      <c r="M30" s="7" t="s">
        <v>133</v>
      </c>
      <c r="N30" s="30">
        <v>0</v>
      </c>
      <c r="O30" s="30">
        <v>0</v>
      </c>
      <c r="P30" s="30">
        <v>0</v>
      </c>
      <c r="Q30" s="30">
        <v>0</v>
      </c>
      <c r="R30" s="29">
        <v>0</v>
      </c>
      <c r="S30" s="36">
        <v>0</v>
      </c>
      <c r="T30" s="7" t="s">
        <v>131</v>
      </c>
      <c r="U30" s="7" t="s">
        <v>745</v>
      </c>
      <c r="V30" s="7" t="s">
        <v>745</v>
      </c>
      <c r="W30" s="7" t="s">
        <v>1177</v>
      </c>
      <c r="X30" s="30">
        <v>1</v>
      </c>
      <c r="Y30" s="7" t="s">
        <v>1177</v>
      </c>
      <c r="Z30" s="7" t="s">
        <v>1178</v>
      </c>
      <c r="AA30" s="30">
        <v>0</v>
      </c>
      <c r="AB30" s="36">
        <v>0</v>
      </c>
      <c r="AC30" s="7" t="s">
        <v>1177</v>
      </c>
      <c r="AD30" s="37">
        <v>0</v>
      </c>
      <c r="AE30" s="7" t="s">
        <v>1177</v>
      </c>
      <c r="AF30" s="7" t="s">
        <v>1177</v>
      </c>
      <c r="AG30" s="7" t="s">
        <v>1177</v>
      </c>
      <c r="AH30" s="38"/>
      <c r="AI30" s="36">
        <v>0</v>
      </c>
      <c r="AJ30" s="7" t="s">
        <v>1193</v>
      </c>
      <c r="AK30" s="7" t="s">
        <v>1177</v>
      </c>
      <c r="AL30" s="7" t="s">
        <v>1177</v>
      </c>
      <c r="AM30" s="7" t="s">
        <v>1177</v>
      </c>
      <c r="AN30" s="7" t="s">
        <v>3212</v>
      </c>
      <c r="AO30" s="7" t="s">
        <v>1177</v>
      </c>
      <c r="AP30" s="7" t="s">
        <v>1177</v>
      </c>
      <c r="AQ30" s="7" t="s">
        <v>1177</v>
      </c>
      <c r="AR30" s="29">
        <v>0</v>
      </c>
      <c r="AS30" s="7" t="s">
        <v>1177</v>
      </c>
      <c r="AT30" s="7" t="s">
        <v>1363</v>
      </c>
      <c r="AU30" s="38">
        <v>46275</v>
      </c>
      <c r="AV30" s="39">
        <v>0.60472222222222005</v>
      </c>
    </row>
    <row r="31" spans="1:48" x14ac:dyDescent="0.35">
      <c r="A31" t="str">
        <f t="shared" si="0"/>
        <v>50835B857</v>
      </c>
      <c r="B31" s="7" t="s">
        <v>3222</v>
      </c>
      <c r="C31" s="7" t="s">
        <v>958</v>
      </c>
      <c r="D31" s="7" t="s">
        <v>23</v>
      </c>
      <c r="E31" s="7" t="s">
        <v>1177</v>
      </c>
      <c r="F31" s="7" t="s">
        <v>128</v>
      </c>
      <c r="G31" s="7" t="s">
        <v>130</v>
      </c>
      <c r="H31" s="7" t="s">
        <v>129</v>
      </c>
      <c r="I31" s="30">
        <v>2</v>
      </c>
      <c r="J31" s="7" t="s">
        <v>1177</v>
      </c>
      <c r="K31" s="7" t="s">
        <v>1178</v>
      </c>
      <c r="L31" s="7" t="s">
        <v>132</v>
      </c>
      <c r="M31" s="7" t="s">
        <v>133</v>
      </c>
      <c r="N31" s="30">
        <v>0</v>
      </c>
      <c r="O31" s="30">
        <v>0</v>
      </c>
      <c r="P31" s="30">
        <v>0</v>
      </c>
      <c r="Q31" s="30">
        <v>0</v>
      </c>
      <c r="R31" s="29">
        <v>0</v>
      </c>
      <c r="S31" s="36">
        <v>0</v>
      </c>
      <c r="T31" s="7" t="s">
        <v>131</v>
      </c>
      <c r="U31" s="7" t="s">
        <v>959</v>
      </c>
      <c r="V31" s="7" t="s">
        <v>959</v>
      </c>
      <c r="W31" s="7" t="s">
        <v>1177</v>
      </c>
      <c r="X31" s="30">
        <v>1</v>
      </c>
      <c r="Y31" s="7" t="s">
        <v>1177</v>
      </c>
      <c r="Z31" s="7" t="s">
        <v>1178</v>
      </c>
      <c r="AA31" s="30">
        <v>0</v>
      </c>
      <c r="AB31" s="36">
        <v>0</v>
      </c>
      <c r="AC31" s="7" t="s">
        <v>1177</v>
      </c>
      <c r="AD31" s="37">
        <v>0</v>
      </c>
      <c r="AE31" s="7" t="s">
        <v>1177</v>
      </c>
      <c r="AF31" s="7" t="s">
        <v>1177</v>
      </c>
      <c r="AG31" s="7" t="s">
        <v>1177</v>
      </c>
      <c r="AH31" s="38"/>
      <c r="AI31" s="36">
        <v>0</v>
      </c>
      <c r="AJ31" s="7" t="s">
        <v>1193</v>
      </c>
      <c r="AK31" s="7" t="s">
        <v>1177</v>
      </c>
      <c r="AL31" s="7" t="s">
        <v>1177</v>
      </c>
      <c r="AM31" s="7" t="s">
        <v>1177</v>
      </c>
      <c r="AN31" s="7" t="s">
        <v>3212</v>
      </c>
      <c r="AO31" s="7" t="s">
        <v>1177</v>
      </c>
      <c r="AP31" s="7" t="s">
        <v>1177</v>
      </c>
      <c r="AQ31" s="7" t="s">
        <v>1177</v>
      </c>
      <c r="AR31" s="29">
        <v>0</v>
      </c>
      <c r="AS31" s="7" t="s">
        <v>1177</v>
      </c>
      <c r="AT31" s="7" t="s">
        <v>1363</v>
      </c>
      <c r="AU31" s="38">
        <v>46275</v>
      </c>
      <c r="AV31" s="39">
        <v>0.60531250000000003</v>
      </c>
    </row>
    <row r="32" spans="1:48" x14ac:dyDescent="0.35">
      <c r="A32" t="str">
        <f t="shared" si="0"/>
        <v>50835B867</v>
      </c>
      <c r="B32" s="7" t="s">
        <v>3222</v>
      </c>
      <c r="C32" s="7" t="s">
        <v>1059</v>
      </c>
      <c r="D32" s="7" t="s">
        <v>25</v>
      </c>
      <c r="E32" s="7" t="s">
        <v>1177</v>
      </c>
      <c r="F32" s="7" t="s">
        <v>128</v>
      </c>
      <c r="G32" s="7" t="s">
        <v>130</v>
      </c>
      <c r="H32" s="7" t="s">
        <v>129</v>
      </c>
      <c r="I32" s="30">
        <v>2</v>
      </c>
      <c r="J32" s="7" t="s">
        <v>1177</v>
      </c>
      <c r="K32" s="7" t="s">
        <v>1178</v>
      </c>
      <c r="L32" s="7" t="s">
        <v>132</v>
      </c>
      <c r="M32" s="7" t="s">
        <v>133</v>
      </c>
      <c r="N32" s="30">
        <v>0</v>
      </c>
      <c r="O32" s="30">
        <v>0</v>
      </c>
      <c r="P32" s="30">
        <v>0</v>
      </c>
      <c r="Q32" s="30">
        <v>0</v>
      </c>
      <c r="R32" s="29">
        <v>0</v>
      </c>
      <c r="S32" s="36">
        <v>0</v>
      </c>
      <c r="T32" s="7" t="s">
        <v>131</v>
      </c>
      <c r="U32" s="7" t="s">
        <v>1060</v>
      </c>
      <c r="V32" s="7" t="s">
        <v>1060</v>
      </c>
      <c r="W32" s="7" t="s">
        <v>1177</v>
      </c>
      <c r="X32" s="30">
        <v>1</v>
      </c>
      <c r="Y32" s="7" t="s">
        <v>1177</v>
      </c>
      <c r="Z32" s="7" t="s">
        <v>1178</v>
      </c>
      <c r="AA32" s="30">
        <v>0</v>
      </c>
      <c r="AB32" s="36">
        <v>0</v>
      </c>
      <c r="AC32" s="7" t="s">
        <v>1177</v>
      </c>
      <c r="AD32" s="37">
        <v>0</v>
      </c>
      <c r="AE32" s="7" t="s">
        <v>1177</v>
      </c>
      <c r="AF32" s="7" t="s">
        <v>1177</v>
      </c>
      <c r="AG32" s="7" t="s">
        <v>1177</v>
      </c>
      <c r="AH32" s="38"/>
      <c r="AI32" s="36">
        <v>0</v>
      </c>
      <c r="AJ32" s="7" t="s">
        <v>1193</v>
      </c>
      <c r="AK32" s="7" t="s">
        <v>1177</v>
      </c>
      <c r="AL32" s="7" t="s">
        <v>1177</v>
      </c>
      <c r="AM32" s="7" t="s">
        <v>1177</v>
      </c>
      <c r="AN32" s="7" t="s">
        <v>3212</v>
      </c>
      <c r="AO32" s="7" t="s">
        <v>1177</v>
      </c>
      <c r="AP32" s="7" t="s">
        <v>1177</v>
      </c>
      <c r="AQ32" s="7" t="s">
        <v>1177</v>
      </c>
      <c r="AR32" s="29">
        <v>0</v>
      </c>
      <c r="AS32" s="7" t="s">
        <v>1177</v>
      </c>
      <c r="AT32" s="7" t="s">
        <v>1363</v>
      </c>
      <c r="AU32" s="38">
        <v>46275</v>
      </c>
      <c r="AV32" s="39">
        <v>0.60568287037037005</v>
      </c>
    </row>
    <row r="33" spans="1:48" x14ac:dyDescent="0.35">
      <c r="A33" t="str">
        <f t="shared" si="0"/>
        <v>50836B825</v>
      </c>
      <c r="B33" s="7" t="s">
        <v>3223</v>
      </c>
      <c r="C33" s="7" t="s">
        <v>511</v>
      </c>
      <c r="D33" s="7" t="s">
        <v>16</v>
      </c>
      <c r="E33" s="7" t="s">
        <v>1177</v>
      </c>
      <c r="F33" s="7" t="s">
        <v>128</v>
      </c>
      <c r="G33" s="7" t="s">
        <v>130</v>
      </c>
      <c r="H33" s="7" t="s">
        <v>129</v>
      </c>
      <c r="I33" s="30">
        <v>2</v>
      </c>
      <c r="J33" s="7" t="s">
        <v>1177</v>
      </c>
      <c r="K33" s="7" t="s">
        <v>1178</v>
      </c>
      <c r="L33" s="7" t="s">
        <v>132</v>
      </c>
      <c r="M33" s="7" t="s">
        <v>133</v>
      </c>
      <c r="N33" s="30">
        <v>0</v>
      </c>
      <c r="O33" s="30">
        <v>0</v>
      </c>
      <c r="P33" s="30">
        <v>0</v>
      </c>
      <c r="Q33" s="30">
        <v>0</v>
      </c>
      <c r="R33" s="29">
        <v>0</v>
      </c>
      <c r="S33" s="36">
        <v>0</v>
      </c>
      <c r="T33" s="7" t="s">
        <v>131</v>
      </c>
      <c r="U33" s="7" t="s">
        <v>512</v>
      </c>
      <c r="V33" s="7" t="s">
        <v>512</v>
      </c>
      <c r="W33" s="7" t="s">
        <v>1177</v>
      </c>
      <c r="X33" s="30">
        <v>1</v>
      </c>
      <c r="Y33" s="7" t="s">
        <v>1177</v>
      </c>
      <c r="Z33" s="7" t="s">
        <v>1178</v>
      </c>
      <c r="AA33" s="30">
        <v>0</v>
      </c>
      <c r="AB33" s="36">
        <v>0</v>
      </c>
      <c r="AC33" s="7" t="s">
        <v>1177</v>
      </c>
      <c r="AD33" s="37">
        <v>0</v>
      </c>
      <c r="AE33" s="7" t="s">
        <v>1177</v>
      </c>
      <c r="AF33" s="7" t="s">
        <v>1177</v>
      </c>
      <c r="AG33" s="7" t="s">
        <v>1177</v>
      </c>
      <c r="AH33" s="38"/>
      <c r="AI33" s="36">
        <v>0</v>
      </c>
      <c r="AJ33" s="7" t="s">
        <v>1193</v>
      </c>
      <c r="AK33" s="7" t="s">
        <v>1177</v>
      </c>
      <c r="AL33" s="7" t="s">
        <v>1177</v>
      </c>
      <c r="AM33" s="7" t="s">
        <v>1177</v>
      </c>
      <c r="AN33" s="7" t="s">
        <v>3212</v>
      </c>
      <c r="AO33" s="7" t="s">
        <v>1177</v>
      </c>
      <c r="AP33" s="7" t="s">
        <v>1177</v>
      </c>
      <c r="AQ33" s="7" t="s">
        <v>1177</v>
      </c>
      <c r="AR33" s="29">
        <v>0</v>
      </c>
      <c r="AS33" s="7" t="s">
        <v>1177</v>
      </c>
      <c r="AT33" s="7" t="s">
        <v>1363</v>
      </c>
      <c r="AU33" s="38">
        <v>46275</v>
      </c>
      <c r="AV33" s="39">
        <v>0.60353009259259005</v>
      </c>
    </row>
    <row r="34" spans="1:48" x14ac:dyDescent="0.35">
      <c r="A34" t="str">
        <f t="shared" si="0"/>
        <v>50836B857</v>
      </c>
      <c r="B34" s="7" t="s">
        <v>3223</v>
      </c>
      <c r="C34" s="7" t="s">
        <v>958</v>
      </c>
      <c r="D34" s="7" t="s">
        <v>23</v>
      </c>
      <c r="E34" s="7" t="s">
        <v>1177</v>
      </c>
      <c r="F34" s="7" t="s">
        <v>128</v>
      </c>
      <c r="G34" s="7" t="s">
        <v>130</v>
      </c>
      <c r="H34" s="7" t="s">
        <v>129</v>
      </c>
      <c r="I34" s="30">
        <v>2</v>
      </c>
      <c r="J34" s="7" t="s">
        <v>1177</v>
      </c>
      <c r="K34" s="7" t="s">
        <v>1178</v>
      </c>
      <c r="L34" s="7" t="s">
        <v>132</v>
      </c>
      <c r="M34" s="7" t="s">
        <v>133</v>
      </c>
      <c r="N34" s="30">
        <v>0</v>
      </c>
      <c r="O34" s="30">
        <v>0</v>
      </c>
      <c r="P34" s="30">
        <v>0</v>
      </c>
      <c r="Q34" s="30">
        <v>0</v>
      </c>
      <c r="R34" s="29">
        <v>0</v>
      </c>
      <c r="S34" s="36">
        <v>0</v>
      </c>
      <c r="T34" s="7" t="s">
        <v>131</v>
      </c>
      <c r="U34" s="7" t="s">
        <v>959</v>
      </c>
      <c r="V34" s="7" t="s">
        <v>959</v>
      </c>
      <c r="W34" s="7" t="s">
        <v>1177</v>
      </c>
      <c r="X34" s="30">
        <v>1</v>
      </c>
      <c r="Y34" s="7" t="s">
        <v>1177</v>
      </c>
      <c r="Z34" s="7" t="s">
        <v>1178</v>
      </c>
      <c r="AA34" s="30">
        <v>0</v>
      </c>
      <c r="AB34" s="36">
        <v>0</v>
      </c>
      <c r="AC34" s="7" t="s">
        <v>1177</v>
      </c>
      <c r="AD34" s="37">
        <v>0</v>
      </c>
      <c r="AE34" s="7" t="s">
        <v>1177</v>
      </c>
      <c r="AF34" s="7" t="s">
        <v>1177</v>
      </c>
      <c r="AG34" s="7" t="s">
        <v>1177</v>
      </c>
      <c r="AH34" s="38"/>
      <c r="AI34" s="36">
        <v>0</v>
      </c>
      <c r="AJ34" s="7" t="s">
        <v>1193</v>
      </c>
      <c r="AK34" s="7" t="s">
        <v>1177</v>
      </c>
      <c r="AL34" s="7" t="s">
        <v>1177</v>
      </c>
      <c r="AM34" s="7" t="s">
        <v>1177</v>
      </c>
      <c r="AN34" s="7" t="s">
        <v>3212</v>
      </c>
      <c r="AO34" s="7" t="s">
        <v>1177</v>
      </c>
      <c r="AP34" s="7" t="s">
        <v>1177</v>
      </c>
      <c r="AQ34" s="7" t="s">
        <v>1177</v>
      </c>
      <c r="AR34" s="29">
        <v>0</v>
      </c>
      <c r="AS34" s="7" t="s">
        <v>1177</v>
      </c>
      <c r="AT34" s="7" t="s">
        <v>1363</v>
      </c>
      <c r="AU34" s="38">
        <v>46275</v>
      </c>
      <c r="AV34" s="39">
        <v>0.60531250000000003</v>
      </c>
    </row>
    <row r="35" spans="1:48" x14ac:dyDescent="0.35">
      <c r="A35" t="str">
        <f t="shared" si="0"/>
        <v>50836B867</v>
      </c>
      <c r="B35" s="7" t="s">
        <v>3223</v>
      </c>
      <c r="C35" s="7" t="s">
        <v>1059</v>
      </c>
      <c r="D35" s="7" t="s">
        <v>25</v>
      </c>
      <c r="E35" s="7" t="s">
        <v>1177</v>
      </c>
      <c r="F35" s="7" t="s">
        <v>128</v>
      </c>
      <c r="G35" s="7" t="s">
        <v>130</v>
      </c>
      <c r="H35" s="7" t="s">
        <v>129</v>
      </c>
      <c r="I35" s="30">
        <v>2</v>
      </c>
      <c r="J35" s="7" t="s">
        <v>1177</v>
      </c>
      <c r="K35" s="7" t="s">
        <v>1178</v>
      </c>
      <c r="L35" s="7" t="s">
        <v>132</v>
      </c>
      <c r="M35" s="7" t="s">
        <v>133</v>
      </c>
      <c r="N35" s="30">
        <v>0</v>
      </c>
      <c r="O35" s="30">
        <v>0</v>
      </c>
      <c r="P35" s="30">
        <v>0</v>
      </c>
      <c r="Q35" s="30">
        <v>0</v>
      </c>
      <c r="R35" s="29">
        <v>0</v>
      </c>
      <c r="S35" s="36">
        <v>0</v>
      </c>
      <c r="T35" s="7" t="s">
        <v>131</v>
      </c>
      <c r="U35" s="7" t="s">
        <v>1060</v>
      </c>
      <c r="V35" s="7" t="s">
        <v>1060</v>
      </c>
      <c r="W35" s="7" t="s">
        <v>1177</v>
      </c>
      <c r="X35" s="30">
        <v>1</v>
      </c>
      <c r="Y35" s="7" t="s">
        <v>1177</v>
      </c>
      <c r="Z35" s="7" t="s">
        <v>1178</v>
      </c>
      <c r="AA35" s="30">
        <v>0</v>
      </c>
      <c r="AB35" s="36">
        <v>0</v>
      </c>
      <c r="AC35" s="7" t="s">
        <v>1177</v>
      </c>
      <c r="AD35" s="37">
        <v>0</v>
      </c>
      <c r="AE35" s="7" t="s">
        <v>1177</v>
      </c>
      <c r="AF35" s="7" t="s">
        <v>1177</v>
      </c>
      <c r="AG35" s="7" t="s">
        <v>1177</v>
      </c>
      <c r="AH35" s="38"/>
      <c r="AI35" s="36">
        <v>0</v>
      </c>
      <c r="AJ35" s="7" t="s">
        <v>1193</v>
      </c>
      <c r="AK35" s="7" t="s">
        <v>1177</v>
      </c>
      <c r="AL35" s="7" t="s">
        <v>1177</v>
      </c>
      <c r="AM35" s="7" t="s">
        <v>1177</v>
      </c>
      <c r="AN35" s="7" t="s">
        <v>3212</v>
      </c>
      <c r="AO35" s="7" t="s">
        <v>1177</v>
      </c>
      <c r="AP35" s="7" t="s">
        <v>1177</v>
      </c>
      <c r="AQ35" s="7" t="s">
        <v>1177</v>
      </c>
      <c r="AR35" s="29">
        <v>0</v>
      </c>
      <c r="AS35" s="7" t="s">
        <v>1177</v>
      </c>
      <c r="AT35" s="7" t="s">
        <v>1363</v>
      </c>
      <c r="AU35" s="38">
        <v>46275</v>
      </c>
      <c r="AV35" s="39">
        <v>0.60568287037037005</v>
      </c>
    </row>
    <row r="36" spans="1:48" x14ac:dyDescent="0.35">
      <c r="A36" t="str">
        <f t="shared" si="0"/>
        <v>50837B825</v>
      </c>
      <c r="B36" s="7" t="s">
        <v>3224</v>
      </c>
      <c r="C36" s="7" t="s">
        <v>511</v>
      </c>
      <c r="D36" s="7" t="s">
        <v>16</v>
      </c>
      <c r="E36" s="7" t="s">
        <v>1177</v>
      </c>
      <c r="F36" s="7" t="s">
        <v>128</v>
      </c>
      <c r="G36" s="7" t="s">
        <v>130</v>
      </c>
      <c r="H36" s="7" t="s">
        <v>129</v>
      </c>
      <c r="I36" s="30">
        <v>2</v>
      </c>
      <c r="J36" s="7" t="s">
        <v>1177</v>
      </c>
      <c r="K36" s="7" t="s">
        <v>1178</v>
      </c>
      <c r="L36" s="7" t="s">
        <v>132</v>
      </c>
      <c r="M36" s="7" t="s">
        <v>133</v>
      </c>
      <c r="N36" s="30">
        <v>0</v>
      </c>
      <c r="O36" s="30">
        <v>0</v>
      </c>
      <c r="P36" s="30">
        <v>0</v>
      </c>
      <c r="Q36" s="30">
        <v>0</v>
      </c>
      <c r="R36" s="29">
        <v>0</v>
      </c>
      <c r="S36" s="36">
        <v>0</v>
      </c>
      <c r="T36" s="7" t="s">
        <v>131</v>
      </c>
      <c r="U36" s="7" t="s">
        <v>512</v>
      </c>
      <c r="V36" s="7" t="s">
        <v>512</v>
      </c>
      <c r="W36" s="7" t="s">
        <v>1177</v>
      </c>
      <c r="X36" s="30">
        <v>1</v>
      </c>
      <c r="Y36" s="7" t="s">
        <v>1177</v>
      </c>
      <c r="Z36" s="7" t="s">
        <v>1178</v>
      </c>
      <c r="AA36" s="30">
        <v>0</v>
      </c>
      <c r="AB36" s="36">
        <v>0</v>
      </c>
      <c r="AC36" s="7" t="s">
        <v>1177</v>
      </c>
      <c r="AD36" s="37">
        <v>0</v>
      </c>
      <c r="AE36" s="7" t="s">
        <v>1177</v>
      </c>
      <c r="AF36" s="7" t="s">
        <v>1177</v>
      </c>
      <c r="AG36" s="7" t="s">
        <v>1177</v>
      </c>
      <c r="AH36" s="38"/>
      <c r="AI36" s="36">
        <v>0</v>
      </c>
      <c r="AJ36" s="7" t="s">
        <v>1193</v>
      </c>
      <c r="AK36" s="7" t="s">
        <v>1177</v>
      </c>
      <c r="AL36" s="7" t="s">
        <v>1177</v>
      </c>
      <c r="AM36" s="7" t="s">
        <v>1177</v>
      </c>
      <c r="AN36" s="7" t="s">
        <v>3212</v>
      </c>
      <c r="AO36" s="7" t="s">
        <v>1177</v>
      </c>
      <c r="AP36" s="7" t="s">
        <v>1177</v>
      </c>
      <c r="AQ36" s="7" t="s">
        <v>1177</v>
      </c>
      <c r="AR36" s="29">
        <v>0</v>
      </c>
      <c r="AS36" s="7" t="s">
        <v>1177</v>
      </c>
      <c r="AT36" s="7" t="s">
        <v>1363</v>
      </c>
      <c r="AU36" s="38">
        <v>46275</v>
      </c>
      <c r="AV36" s="39">
        <v>0.60353009259259005</v>
      </c>
    </row>
    <row r="37" spans="1:48" x14ac:dyDescent="0.35">
      <c r="A37" t="str">
        <f t="shared" si="0"/>
        <v>50837B856</v>
      </c>
      <c r="B37" s="7" t="s">
        <v>3224</v>
      </c>
      <c r="C37" s="7" t="s">
        <v>852</v>
      </c>
      <c r="D37" s="7" t="s">
        <v>21</v>
      </c>
      <c r="E37" s="7" t="s">
        <v>1177</v>
      </c>
      <c r="F37" s="7" t="s">
        <v>128</v>
      </c>
      <c r="G37" s="7" t="s">
        <v>130</v>
      </c>
      <c r="H37" s="7" t="s">
        <v>129</v>
      </c>
      <c r="I37" s="30">
        <v>2</v>
      </c>
      <c r="J37" s="7" t="s">
        <v>1177</v>
      </c>
      <c r="K37" s="7" t="s">
        <v>1178</v>
      </c>
      <c r="L37" s="7" t="s">
        <v>132</v>
      </c>
      <c r="M37" s="7" t="s">
        <v>133</v>
      </c>
      <c r="N37" s="30">
        <v>0</v>
      </c>
      <c r="O37" s="30">
        <v>0</v>
      </c>
      <c r="P37" s="30">
        <v>0</v>
      </c>
      <c r="Q37" s="30">
        <v>0</v>
      </c>
      <c r="R37" s="29">
        <v>0</v>
      </c>
      <c r="S37" s="36">
        <v>0</v>
      </c>
      <c r="T37" s="7" t="s">
        <v>131</v>
      </c>
      <c r="U37" s="7" t="s">
        <v>853</v>
      </c>
      <c r="V37" s="7" t="s">
        <v>853</v>
      </c>
      <c r="W37" s="7" t="s">
        <v>1177</v>
      </c>
      <c r="X37" s="30">
        <v>1</v>
      </c>
      <c r="Y37" s="7" t="s">
        <v>1177</v>
      </c>
      <c r="Z37" s="7" t="s">
        <v>1178</v>
      </c>
      <c r="AA37" s="30">
        <v>0</v>
      </c>
      <c r="AB37" s="36">
        <v>0</v>
      </c>
      <c r="AC37" s="7" t="s">
        <v>1177</v>
      </c>
      <c r="AD37" s="37">
        <v>0</v>
      </c>
      <c r="AE37" s="7" t="s">
        <v>1177</v>
      </c>
      <c r="AF37" s="7" t="s">
        <v>1177</v>
      </c>
      <c r="AG37" s="7" t="s">
        <v>1177</v>
      </c>
      <c r="AH37" s="38"/>
      <c r="AI37" s="36">
        <v>0</v>
      </c>
      <c r="AJ37" s="7" t="s">
        <v>1193</v>
      </c>
      <c r="AK37" s="7" t="s">
        <v>1177</v>
      </c>
      <c r="AL37" s="7" t="s">
        <v>1177</v>
      </c>
      <c r="AM37" s="7" t="s">
        <v>1177</v>
      </c>
      <c r="AN37" s="7" t="s">
        <v>3212</v>
      </c>
      <c r="AO37" s="7" t="s">
        <v>1177</v>
      </c>
      <c r="AP37" s="7" t="s">
        <v>1177</v>
      </c>
      <c r="AQ37" s="7" t="s">
        <v>1177</v>
      </c>
      <c r="AR37" s="29">
        <v>0</v>
      </c>
      <c r="AS37" s="7" t="s">
        <v>1177</v>
      </c>
      <c r="AT37" s="7" t="s">
        <v>1363</v>
      </c>
      <c r="AU37" s="38">
        <v>46275</v>
      </c>
      <c r="AV37" s="39">
        <v>0.60523148148147998</v>
      </c>
    </row>
    <row r="38" spans="1:48" x14ac:dyDescent="0.35">
      <c r="A38" t="str">
        <f t="shared" si="0"/>
        <v>50837B857</v>
      </c>
      <c r="B38" s="7" t="s">
        <v>3224</v>
      </c>
      <c r="C38" s="7" t="s">
        <v>958</v>
      </c>
      <c r="D38" s="7" t="s">
        <v>23</v>
      </c>
      <c r="E38" s="7" t="s">
        <v>1177</v>
      </c>
      <c r="F38" s="7" t="s">
        <v>128</v>
      </c>
      <c r="G38" s="7" t="s">
        <v>130</v>
      </c>
      <c r="H38" s="7" t="s">
        <v>129</v>
      </c>
      <c r="I38" s="30">
        <v>2</v>
      </c>
      <c r="J38" s="7" t="s">
        <v>1177</v>
      </c>
      <c r="K38" s="7" t="s">
        <v>1178</v>
      </c>
      <c r="L38" s="7" t="s">
        <v>132</v>
      </c>
      <c r="M38" s="7" t="s">
        <v>133</v>
      </c>
      <c r="N38" s="30">
        <v>0</v>
      </c>
      <c r="O38" s="30">
        <v>0</v>
      </c>
      <c r="P38" s="30">
        <v>0</v>
      </c>
      <c r="Q38" s="30">
        <v>0</v>
      </c>
      <c r="R38" s="29">
        <v>0</v>
      </c>
      <c r="S38" s="36">
        <v>0</v>
      </c>
      <c r="T38" s="7" t="s">
        <v>131</v>
      </c>
      <c r="U38" s="7" t="s">
        <v>959</v>
      </c>
      <c r="V38" s="7" t="s">
        <v>959</v>
      </c>
      <c r="W38" s="7" t="s">
        <v>1177</v>
      </c>
      <c r="X38" s="30">
        <v>1</v>
      </c>
      <c r="Y38" s="7" t="s">
        <v>1177</v>
      </c>
      <c r="Z38" s="7" t="s">
        <v>1178</v>
      </c>
      <c r="AA38" s="30">
        <v>0</v>
      </c>
      <c r="AB38" s="36">
        <v>0</v>
      </c>
      <c r="AC38" s="7" t="s">
        <v>1177</v>
      </c>
      <c r="AD38" s="37">
        <v>0</v>
      </c>
      <c r="AE38" s="7" t="s">
        <v>1177</v>
      </c>
      <c r="AF38" s="7" t="s">
        <v>1177</v>
      </c>
      <c r="AG38" s="7" t="s">
        <v>1177</v>
      </c>
      <c r="AH38" s="38"/>
      <c r="AI38" s="36">
        <v>0</v>
      </c>
      <c r="AJ38" s="7" t="s">
        <v>1193</v>
      </c>
      <c r="AK38" s="7" t="s">
        <v>1177</v>
      </c>
      <c r="AL38" s="7" t="s">
        <v>1177</v>
      </c>
      <c r="AM38" s="7" t="s">
        <v>1177</v>
      </c>
      <c r="AN38" s="7" t="s">
        <v>3212</v>
      </c>
      <c r="AO38" s="7" t="s">
        <v>1177</v>
      </c>
      <c r="AP38" s="7" t="s">
        <v>1177</v>
      </c>
      <c r="AQ38" s="7" t="s">
        <v>1177</v>
      </c>
      <c r="AR38" s="29">
        <v>0</v>
      </c>
      <c r="AS38" s="7" t="s">
        <v>1177</v>
      </c>
      <c r="AT38" s="7" t="s">
        <v>1363</v>
      </c>
      <c r="AU38" s="38">
        <v>46275</v>
      </c>
      <c r="AV38" s="39">
        <v>0.60531250000000003</v>
      </c>
    </row>
    <row r="39" spans="1:48" x14ac:dyDescent="0.35">
      <c r="A39" t="str">
        <f t="shared" si="0"/>
        <v>50837B867</v>
      </c>
      <c r="B39" s="7" t="s">
        <v>3224</v>
      </c>
      <c r="C39" s="7" t="s">
        <v>1059</v>
      </c>
      <c r="D39" s="7" t="s">
        <v>25</v>
      </c>
      <c r="E39" s="7" t="s">
        <v>1177</v>
      </c>
      <c r="F39" s="7" t="s">
        <v>128</v>
      </c>
      <c r="G39" s="7" t="s">
        <v>130</v>
      </c>
      <c r="H39" s="7" t="s">
        <v>129</v>
      </c>
      <c r="I39" s="30">
        <v>2</v>
      </c>
      <c r="J39" s="7" t="s">
        <v>1177</v>
      </c>
      <c r="K39" s="7" t="s">
        <v>1178</v>
      </c>
      <c r="L39" s="7" t="s">
        <v>132</v>
      </c>
      <c r="M39" s="7" t="s">
        <v>133</v>
      </c>
      <c r="N39" s="30">
        <v>0</v>
      </c>
      <c r="O39" s="30">
        <v>0</v>
      </c>
      <c r="P39" s="30">
        <v>0</v>
      </c>
      <c r="Q39" s="30">
        <v>0</v>
      </c>
      <c r="R39" s="29">
        <v>0</v>
      </c>
      <c r="S39" s="36">
        <v>0</v>
      </c>
      <c r="T39" s="7" t="s">
        <v>131</v>
      </c>
      <c r="U39" s="7" t="s">
        <v>1060</v>
      </c>
      <c r="V39" s="7" t="s">
        <v>1060</v>
      </c>
      <c r="W39" s="7" t="s">
        <v>1177</v>
      </c>
      <c r="X39" s="30">
        <v>1</v>
      </c>
      <c r="Y39" s="7" t="s">
        <v>1177</v>
      </c>
      <c r="Z39" s="7" t="s">
        <v>1178</v>
      </c>
      <c r="AA39" s="30">
        <v>0</v>
      </c>
      <c r="AB39" s="36">
        <v>0</v>
      </c>
      <c r="AC39" s="7" t="s">
        <v>1177</v>
      </c>
      <c r="AD39" s="37">
        <v>0</v>
      </c>
      <c r="AE39" s="7" t="s">
        <v>1177</v>
      </c>
      <c r="AF39" s="7" t="s">
        <v>1177</v>
      </c>
      <c r="AG39" s="7" t="s">
        <v>1177</v>
      </c>
      <c r="AH39" s="38"/>
      <c r="AI39" s="36">
        <v>0</v>
      </c>
      <c r="AJ39" s="7" t="s">
        <v>1193</v>
      </c>
      <c r="AK39" s="7" t="s">
        <v>1177</v>
      </c>
      <c r="AL39" s="7" t="s">
        <v>1177</v>
      </c>
      <c r="AM39" s="7" t="s">
        <v>1177</v>
      </c>
      <c r="AN39" s="7" t="s">
        <v>3212</v>
      </c>
      <c r="AO39" s="7" t="s">
        <v>1177</v>
      </c>
      <c r="AP39" s="7" t="s">
        <v>1177</v>
      </c>
      <c r="AQ39" s="7" t="s">
        <v>1177</v>
      </c>
      <c r="AR39" s="29">
        <v>0</v>
      </c>
      <c r="AS39" s="7" t="s">
        <v>1177</v>
      </c>
      <c r="AT39" s="7" t="s">
        <v>1363</v>
      </c>
      <c r="AU39" s="38">
        <v>46275</v>
      </c>
      <c r="AV39" s="39">
        <v>0.60568287037037005</v>
      </c>
    </row>
    <row r="40" spans="1:48" x14ac:dyDescent="0.35">
      <c r="A40" t="str">
        <f t="shared" si="0"/>
        <v>50847B825</v>
      </c>
      <c r="B40" s="7" t="s">
        <v>3225</v>
      </c>
      <c r="C40" s="7" t="s">
        <v>511</v>
      </c>
      <c r="D40" s="7" t="s">
        <v>16</v>
      </c>
      <c r="E40" s="7" t="s">
        <v>1177</v>
      </c>
      <c r="F40" s="7" t="s">
        <v>128</v>
      </c>
      <c r="G40" s="7" t="s">
        <v>130</v>
      </c>
      <c r="H40" s="7" t="s">
        <v>129</v>
      </c>
      <c r="I40" s="30">
        <v>1</v>
      </c>
      <c r="J40" s="7" t="s">
        <v>1177</v>
      </c>
      <c r="K40" s="7" t="s">
        <v>1178</v>
      </c>
      <c r="L40" s="7" t="s">
        <v>132</v>
      </c>
      <c r="M40" s="7" t="s">
        <v>133</v>
      </c>
      <c r="N40" s="30">
        <v>0</v>
      </c>
      <c r="O40" s="30">
        <v>0</v>
      </c>
      <c r="P40" s="30">
        <v>0</v>
      </c>
      <c r="Q40" s="30">
        <v>0</v>
      </c>
      <c r="R40" s="29">
        <v>0</v>
      </c>
      <c r="S40" s="36">
        <v>0</v>
      </c>
      <c r="T40" s="7" t="s">
        <v>131</v>
      </c>
      <c r="U40" s="7" t="s">
        <v>512</v>
      </c>
      <c r="V40" s="7" t="s">
        <v>512</v>
      </c>
      <c r="W40" s="7" t="s">
        <v>1177</v>
      </c>
      <c r="X40" s="30">
        <v>1</v>
      </c>
      <c r="Y40" s="7" t="s">
        <v>1177</v>
      </c>
      <c r="Z40" s="7" t="s">
        <v>1178</v>
      </c>
      <c r="AA40" s="30">
        <v>0</v>
      </c>
      <c r="AB40" s="36">
        <v>0</v>
      </c>
      <c r="AC40" s="7" t="s">
        <v>1177</v>
      </c>
      <c r="AD40" s="37">
        <v>0</v>
      </c>
      <c r="AE40" s="7" t="s">
        <v>1177</v>
      </c>
      <c r="AF40" s="7" t="s">
        <v>1177</v>
      </c>
      <c r="AG40" s="7" t="s">
        <v>1177</v>
      </c>
      <c r="AH40" s="38"/>
      <c r="AI40" s="36">
        <v>0</v>
      </c>
      <c r="AJ40" s="7" t="s">
        <v>1193</v>
      </c>
      <c r="AK40" s="7" t="s">
        <v>1177</v>
      </c>
      <c r="AL40" s="7" t="s">
        <v>1177</v>
      </c>
      <c r="AM40" s="7" t="s">
        <v>1177</v>
      </c>
      <c r="AN40" s="7" t="s">
        <v>3212</v>
      </c>
      <c r="AO40" s="7" t="s">
        <v>1177</v>
      </c>
      <c r="AP40" s="7" t="s">
        <v>1177</v>
      </c>
      <c r="AQ40" s="7" t="s">
        <v>1177</v>
      </c>
      <c r="AR40" s="29">
        <v>0</v>
      </c>
      <c r="AS40" s="7" t="s">
        <v>1177</v>
      </c>
      <c r="AT40" s="7" t="s">
        <v>1363</v>
      </c>
      <c r="AU40" s="38">
        <v>46275</v>
      </c>
      <c r="AV40" s="39">
        <v>0.60353009259259005</v>
      </c>
    </row>
    <row r="41" spans="1:48" x14ac:dyDescent="0.35">
      <c r="A41" t="str">
        <f t="shared" si="0"/>
        <v>50847B856</v>
      </c>
      <c r="B41" s="7" t="s">
        <v>3225</v>
      </c>
      <c r="C41" s="7" t="s">
        <v>852</v>
      </c>
      <c r="D41" s="7" t="s">
        <v>21</v>
      </c>
      <c r="E41" s="7" t="s">
        <v>1177</v>
      </c>
      <c r="F41" s="7" t="s">
        <v>128</v>
      </c>
      <c r="G41" s="7" t="s">
        <v>130</v>
      </c>
      <c r="H41" s="7" t="s">
        <v>129</v>
      </c>
      <c r="I41" s="30">
        <v>1</v>
      </c>
      <c r="J41" s="7" t="s">
        <v>1177</v>
      </c>
      <c r="K41" s="7" t="s">
        <v>1178</v>
      </c>
      <c r="L41" s="7" t="s">
        <v>132</v>
      </c>
      <c r="M41" s="7" t="s">
        <v>133</v>
      </c>
      <c r="N41" s="30">
        <v>0</v>
      </c>
      <c r="O41" s="30">
        <v>0</v>
      </c>
      <c r="P41" s="30">
        <v>0</v>
      </c>
      <c r="Q41" s="30">
        <v>0</v>
      </c>
      <c r="R41" s="29">
        <v>0</v>
      </c>
      <c r="S41" s="36">
        <v>0</v>
      </c>
      <c r="T41" s="7" t="s">
        <v>131</v>
      </c>
      <c r="U41" s="7" t="s">
        <v>853</v>
      </c>
      <c r="V41" s="7" t="s">
        <v>853</v>
      </c>
      <c r="W41" s="7" t="s">
        <v>1177</v>
      </c>
      <c r="X41" s="30">
        <v>1</v>
      </c>
      <c r="Y41" s="7" t="s">
        <v>1177</v>
      </c>
      <c r="Z41" s="7" t="s">
        <v>1178</v>
      </c>
      <c r="AA41" s="30">
        <v>0</v>
      </c>
      <c r="AB41" s="36">
        <v>0</v>
      </c>
      <c r="AC41" s="7" t="s">
        <v>1177</v>
      </c>
      <c r="AD41" s="37">
        <v>0</v>
      </c>
      <c r="AE41" s="7" t="s">
        <v>1177</v>
      </c>
      <c r="AF41" s="7" t="s">
        <v>1177</v>
      </c>
      <c r="AG41" s="7" t="s">
        <v>1177</v>
      </c>
      <c r="AH41" s="38"/>
      <c r="AI41" s="36">
        <v>0</v>
      </c>
      <c r="AJ41" s="7" t="s">
        <v>1193</v>
      </c>
      <c r="AK41" s="7" t="s">
        <v>1177</v>
      </c>
      <c r="AL41" s="7" t="s">
        <v>1177</v>
      </c>
      <c r="AM41" s="7" t="s">
        <v>1177</v>
      </c>
      <c r="AN41" s="7" t="s">
        <v>3212</v>
      </c>
      <c r="AO41" s="7" t="s">
        <v>1177</v>
      </c>
      <c r="AP41" s="7" t="s">
        <v>1177</v>
      </c>
      <c r="AQ41" s="7" t="s">
        <v>1177</v>
      </c>
      <c r="AR41" s="29">
        <v>0</v>
      </c>
      <c r="AS41" s="7" t="s">
        <v>1177</v>
      </c>
      <c r="AT41" s="7" t="s">
        <v>1363</v>
      </c>
      <c r="AU41" s="38">
        <v>46275</v>
      </c>
      <c r="AV41" s="39">
        <v>0.60523148148147998</v>
      </c>
    </row>
    <row r="42" spans="1:48" x14ac:dyDescent="0.35">
      <c r="A42" t="str">
        <f t="shared" si="0"/>
        <v>50850B832</v>
      </c>
      <c r="B42" s="7" t="s">
        <v>3226</v>
      </c>
      <c r="C42" s="7" t="s">
        <v>653</v>
      </c>
      <c r="D42" s="7" t="s">
        <v>19</v>
      </c>
      <c r="E42" s="7" t="s">
        <v>1177</v>
      </c>
      <c r="F42" s="7" t="s">
        <v>128</v>
      </c>
      <c r="G42" s="7" t="s">
        <v>130</v>
      </c>
      <c r="H42" s="7" t="s">
        <v>129</v>
      </c>
      <c r="I42" s="30">
        <v>1</v>
      </c>
      <c r="J42" s="7" t="s">
        <v>1177</v>
      </c>
      <c r="K42" s="7" t="s">
        <v>1178</v>
      </c>
      <c r="L42" s="7" t="s">
        <v>132</v>
      </c>
      <c r="M42" s="7" t="s">
        <v>133</v>
      </c>
      <c r="N42" s="30">
        <v>0</v>
      </c>
      <c r="O42" s="30">
        <v>0</v>
      </c>
      <c r="P42" s="30">
        <v>0</v>
      </c>
      <c r="Q42" s="30">
        <v>0</v>
      </c>
      <c r="R42" s="29">
        <v>0</v>
      </c>
      <c r="S42" s="36">
        <v>0</v>
      </c>
      <c r="T42" s="7" t="s">
        <v>131</v>
      </c>
      <c r="U42" s="7" t="s">
        <v>654</v>
      </c>
      <c r="V42" s="7" t="s">
        <v>654</v>
      </c>
      <c r="W42" s="7" t="s">
        <v>1177</v>
      </c>
      <c r="X42" s="30">
        <v>1</v>
      </c>
      <c r="Y42" s="7" t="s">
        <v>1177</v>
      </c>
      <c r="Z42" s="7" t="s">
        <v>1178</v>
      </c>
      <c r="AA42" s="30">
        <v>0</v>
      </c>
      <c r="AB42" s="36">
        <v>0</v>
      </c>
      <c r="AC42" s="7" t="s">
        <v>1177</v>
      </c>
      <c r="AD42" s="37">
        <v>0</v>
      </c>
      <c r="AE42" s="7" t="s">
        <v>1177</v>
      </c>
      <c r="AF42" s="7" t="s">
        <v>1177</v>
      </c>
      <c r="AG42" s="7" t="s">
        <v>1177</v>
      </c>
      <c r="AH42" s="38"/>
      <c r="AI42" s="36">
        <v>0</v>
      </c>
      <c r="AJ42" s="7" t="s">
        <v>1193</v>
      </c>
      <c r="AK42" s="7" t="s">
        <v>1177</v>
      </c>
      <c r="AL42" s="7" t="s">
        <v>1177</v>
      </c>
      <c r="AM42" s="7" t="s">
        <v>1177</v>
      </c>
      <c r="AN42" s="7" t="s">
        <v>3212</v>
      </c>
      <c r="AO42" s="7" t="s">
        <v>1177</v>
      </c>
      <c r="AP42" s="7" t="s">
        <v>1177</v>
      </c>
      <c r="AQ42" s="7" t="s">
        <v>1177</v>
      </c>
      <c r="AR42" s="29">
        <v>0</v>
      </c>
      <c r="AS42" s="7" t="s">
        <v>1177</v>
      </c>
      <c r="AT42" s="7" t="s">
        <v>1363</v>
      </c>
      <c r="AU42" s="38">
        <v>46275</v>
      </c>
      <c r="AV42" s="39">
        <v>0.60391203703703999</v>
      </c>
    </row>
    <row r="43" spans="1:48" x14ac:dyDescent="0.35">
      <c r="A43" t="str">
        <f t="shared" si="0"/>
        <v>50856B867</v>
      </c>
      <c r="B43" s="7" t="s">
        <v>3227</v>
      </c>
      <c r="C43" s="7" t="s">
        <v>1059</v>
      </c>
      <c r="D43" s="7" t="s">
        <v>25</v>
      </c>
      <c r="E43" s="7" t="s">
        <v>1177</v>
      </c>
      <c r="F43" s="7" t="s">
        <v>128</v>
      </c>
      <c r="G43" s="7" t="s">
        <v>130</v>
      </c>
      <c r="H43" s="7" t="s">
        <v>129</v>
      </c>
      <c r="I43" s="30">
        <v>1</v>
      </c>
      <c r="J43" s="7" t="s">
        <v>1177</v>
      </c>
      <c r="K43" s="7" t="s">
        <v>1178</v>
      </c>
      <c r="L43" s="7" t="s">
        <v>132</v>
      </c>
      <c r="M43" s="7" t="s">
        <v>133</v>
      </c>
      <c r="N43" s="30">
        <v>0</v>
      </c>
      <c r="O43" s="30">
        <v>0</v>
      </c>
      <c r="P43" s="30">
        <v>0</v>
      </c>
      <c r="Q43" s="30">
        <v>0</v>
      </c>
      <c r="R43" s="29">
        <v>0</v>
      </c>
      <c r="S43" s="36">
        <v>0</v>
      </c>
      <c r="T43" s="7" t="s">
        <v>131</v>
      </c>
      <c r="U43" s="7" t="s">
        <v>1060</v>
      </c>
      <c r="V43" s="7" t="s">
        <v>1060</v>
      </c>
      <c r="W43" s="7" t="s">
        <v>1177</v>
      </c>
      <c r="X43" s="30">
        <v>1</v>
      </c>
      <c r="Y43" s="7" t="s">
        <v>1177</v>
      </c>
      <c r="Z43" s="7" t="s">
        <v>1178</v>
      </c>
      <c r="AA43" s="30">
        <v>0</v>
      </c>
      <c r="AB43" s="36">
        <v>0</v>
      </c>
      <c r="AC43" s="7" t="s">
        <v>1177</v>
      </c>
      <c r="AD43" s="37">
        <v>0</v>
      </c>
      <c r="AE43" s="7" t="s">
        <v>1177</v>
      </c>
      <c r="AF43" s="7" t="s">
        <v>1177</v>
      </c>
      <c r="AG43" s="7" t="s">
        <v>1177</v>
      </c>
      <c r="AH43" s="38"/>
      <c r="AI43" s="36">
        <v>0</v>
      </c>
      <c r="AJ43" s="7" t="s">
        <v>1193</v>
      </c>
      <c r="AK43" s="7" t="s">
        <v>1177</v>
      </c>
      <c r="AL43" s="7" t="s">
        <v>1177</v>
      </c>
      <c r="AM43" s="7" t="s">
        <v>1177</v>
      </c>
      <c r="AN43" s="7" t="s">
        <v>3212</v>
      </c>
      <c r="AO43" s="7" t="s">
        <v>1177</v>
      </c>
      <c r="AP43" s="7" t="s">
        <v>1177</v>
      </c>
      <c r="AQ43" s="7" t="s">
        <v>1177</v>
      </c>
      <c r="AR43" s="29">
        <v>0</v>
      </c>
      <c r="AS43" s="7" t="s">
        <v>1177</v>
      </c>
      <c r="AT43" s="7" t="s">
        <v>1363</v>
      </c>
      <c r="AU43" s="38">
        <v>46275</v>
      </c>
      <c r="AV43" s="39">
        <v>0.60568287037037005</v>
      </c>
    </row>
    <row r="44" spans="1:48" x14ac:dyDescent="0.35">
      <c r="A44" t="str">
        <f t="shared" si="0"/>
        <v>50858B825</v>
      </c>
      <c r="B44" s="7" t="s">
        <v>3228</v>
      </c>
      <c r="C44" s="7" t="s">
        <v>511</v>
      </c>
      <c r="D44" s="7" t="s">
        <v>16</v>
      </c>
      <c r="E44" s="7" t="s">
        <v>1177</v>
      </c>
      <c r="F44" s="7" t="s">
        <v>128</v>
      </c>
      <c r="G44" s="7" t="s">
        <v>130</v>
      </c>
      <c r="H44" s="7" t="s">
        <v>129</v>
      </c>
      <c r="I44" s="30">
        <v>2</v>
      </c>
      <c r="J44" s="7" t="s">
        <v>1177</v>
      </c>
      <c r="K44" s="7" t="s">
        <v>1178</v>
      </c>
      <c r="L44" s="7" t="s">
        <v>132</v>
      </c>
      <c r="M44" s="7" t="s">
        <v>133</v>
      </c>
      <c r="N44" s="30">
        <v>0</v>
      </c>
      <c r="O44" s="30">
        <v>0</v>
      </c>
      <c r="P44" s="30">
        <v>0</v>
      </c>
      <c r="Q44" s="30">
        <v>0</v>
      </c>
      <c r="R44" s="29">
        <v>0</v>
      </c>
      <c r="S44" s="36">
        <v>0</v>
      </c>
      <c r="T44" s="7" t="s">
        <v>131</v>
      </c>
      <c r="U44" s="7" t="s">
        <v>512</v>
      </c>
      <c r="V44" s="7" t="s">
        <v>512</v>
      </c>
      <c r="W44" s="7" t="s">
        <v>1177</v>
      </c>
      <c r="X44" s="30">
        <v>1</v>
      </c>
      <c r="Y44" s="7" t="s">
        <v>1177</v>
      </c>
      <c r="Z44" s="7" t="s">
        <v>1178</v>
      </c>
      <c r="AA44" s="30">
        <v>0</v>
      </c>
      <c r="AB44" s="36">
        <v>0</v>
      </c>
      <c r="AC44" s="7" t="s">
        <v>1177</v>
      </c>
      <c r="AD44" s="37">
        <v>0</v>
      </c>
      <c r="AE44" s="7" t="s">
        <v>1177</v>
      </c>
      <c r="AF44" s="7" t="s">
        <v>1177</v>
      </c>
      <c r="AG44" s="7" t="s">
        <v>1177</v>
      </c>
      <c r="AH44" s="38"/>
      <c r="AI44" s="36">
        <v>0</v>
      </c>
      <c r="AJ44" s="7" t="s">
        <v>1193</v>
      </c>
      <c r="AK44" s="7" t="s">
        <v>1177</v>
      </c>
      <c r="AL44" s="7" t="s">
        <v>1177</v>
      </c>
      <c r="AM44" s="7" t="s">
        <v>1177</v>
      </c>
      <c r="AN44" s="7" t="s">
        <v>3212</v>
      </c>
      <c r="AO44" s="7" t="s">
        <v>1177</v>
      </c>
      <c r="AP44" s="7" t="s">
        <v>1177</v>
      </c>
      <c r="AQ44" s="7" t="s">
        <v>1177</v>
      </c>
      <c r="AR44" s="29">
        <v>0</v>
      </c>
      <c r="AS44" s="7" t="s">
        <v>1177</v>
      </c>
      <c r="AT44" s="7" t="s">
        <v>1363</v>
      </c>
      <c r="AU44" s="38">
        <v>46275</v>
      </c>
      <c r="AV44" s="39">
        <v>0.60353009259259005</v>
      </c>
    </row>
    <row r="45" spans="1:48" x14ac:dyDescent="0.35">
      <c r="A45" t="str">
        <f t="shared" si="0"/>
        <v>50858B838</v>
      </c>
      <c r="B45" s="7" t="s">
        <v>3228</v>
      </c>
      <c r="C45" s="7" t="s">
        <v>744</v>
      </c>
      <c r="D45" s="7" t="s">
        <v>48</v>
      </c>
      <c r="E45" s="7" t="s">
        <v>1177</v>
      </c>
      <c r="F45" s="7" t="s">
        <v>128</v>
      </c>
      <c r="G45" s="7" t="s">
        <v>130</v>
      </c>
      <c r="H45" s="7" t="s">
        <v>129</v>
      </c>
      <c r="I45" s="30">
        <v>2</v>
      </c>
      <c r="J45" s="7" t="s">
        <v>1177</v>
      </c>
      <c r="K45" s="7" t="s">
        <v>1178</v>
      </c>
      <c r="L45" s="7" t="s">
        <v>132</v>
      </c>
      <c r="M45" s="7" t="s">
        <v>133</v>
      </c>
      <c r="N45" s="30">
        <v>0</v>
      </c>
      <c r="O45" s="30">
        <v>0</v>
      </c>
      <c r="P45" s="30">
        <v>0</v>
      </c>
      <c r="Q45" s="30">
        <v>0</v>
      </c>
      <c r="R45" s="29">
        <v>0</v>
      </c>
      <c r="S45" s="36">
        <v>0</v>
      </c>
      <c r="T45" s="7" t="s">
        <v>131</v>
      </c>
      <c r="U45" s="7" t="s">
        <v>745</v>
      </c>
      <c r="V45" s="7" t="s">
        <v>745</v>
      </c>
      <c r="W45" s="7" t="s">
        <v>1177</v>
      </c>
      <c r="X45" s="30">
        <v>1</v>
      </c>
      <c r="Y45" s="7" t="s">
        <v>1177</v>
      </c>
      <c r="Z45" s="7" t="s">
        <v>1178</v>
      </c>
      <c r="AA45" s="30">
        <v>0</v>
      </c>
      <c r="AB45" s="36">
        <v>0</v>
      </c>
      <c r="AC45" s="7" t="s">
        <v>1177</v>
      </c>
      <c r="AD45" s="37">
        <v>0</v>
      </c>
      <c r="AE45" s="7" t="s">
        <v>1177</v>
      </c>
      <c r="AF45" s="7" t="s">
        <v>1177</v>
      </c>
      <c r="AG45" s="7" t="s">
        <v>1177</v>
      </c>
      <c r="AH45" s="38"/>
      <c r="AI45" s="36">
        <v>0</v>
      </c>
      <c r="AJ45" s="7" t="s">
        <v>1193</v>
      </c>
      <c r="AK45" s="7" t="s">
        <v>1177</v>
      </c>
      <c r="AL45" s="7" t="s">
        <v>1177</v>
      </c>
      <c r="AM45" s="7" t="s">
        <v>1177</v>
      </c>
      <c r="AN45" s="7" t="s">
        <v>3212</v>
      </c>
      <c r="AO45" s="7" t="s">
        <v>1177</v>
      </c>
      <c r="AP45" s="7" t="s">
        <v>1177</v>
      </c>
      <c r="AQ45" s="7" t="s">
        <v>1177</v>
      </c>
      <c r="AR45" s="29">
        <v>0</v>
      </c>
      <c r="AS45" s="7" t="s">
        <v>1177</v>
      </c>
      <c r="AT45" s="7" t="s">
        <v>1363</v>
      </c>
      <c r="AU45" s="38">
        <v>46275</v>
      </c>
      <c r="AV45" s="39">
        <v>0.60472222222222005</v>
      </c>
    </row>
    <row r="46" spans="1:48" x14ac:dyDescent="0.35">
      <c r="A46" t="str">
        <f t="shared" si="0"/>
        <v>50859B867</v>
      </c>
      <c r="B46" s="7" t="s">
        <v>3229</v>
      </c>
      <c r="C46" s="7" t="s">
        <v>1059</v>
      </c>
      <c r="D46" s="7" t="s">
        <v>25</v>
      </c>
      <c r="E46" s="7" t="s">
        <v>1177</v>
      </c>
      <c r="F46" s="7" t="s">
        <v>128</v>
      </c>
      <c r="G46" s="7" t="s">
        <v>130</v>
      </c>
      <c r="H46" s="7" t="s">
        <v>129</v>
      </c>
      <c r="I46" s="30">
        <v>1</v>
      </c>
      <c r="J46" s="7" t="s">
        <v>1177</v>
      </c>
      <c r="K46" s="7" t="s">
        <v>1178</v>
      </c>
      <c r="L46" s="7" t="s">
        <v>132</v>
      </c>
      <c r="M46" s="7" t="s">
        <v>133</v>
      </c>
      <c r="N46" s="30">
        <v>0</v>
      </c>
      <c r="O46" s="30">
        <v>0</v>
      </c>
      <c r="P46" s="30">
        <v>0</v>
      </c>
      <c r="Q46" s="30">
        <v>0</v>
      </c>
      <c r="R46" s="29">
        <v>0</v>
      </c>
      <c r="S46" s="36">
        <v>0</v>
      </c>
      <c r="T46" s="7" t="s">
        <v>131</v>
      </c>
      <c r="U46" s="7" t="s">
        <v>1060</v>
      </c>
      <c r="V46" s="7" t="s">
        <v>1060</v>
      </c>
      <c r="W46" s="7" t="s">
        <v>1177</v>
      </c>
      <c r="X46" s="30">
        <v>1</v>
      </c>
      <c r="Y46" s="7" t="s">
        <v>1177</v>
      </c>
      <c r="Z46" s="7" t="s">
        <v>1178</v>
      </c>
      <c r="AA46" s="30">
        <v>0</v>
      </c>
      <c r="AB46" s="36">
        <v>0</v>
      </c>
      <c r="AC46" s="7" t="s">
        <v>1177</v>
      </c>
      <c r="AD46" s="37">
        <v>0</v>
      </c>
      <c r="AE46" s="7" t="s">
        <v>1177</v>
      </c>
      <c r="AF46" s="7" t="s">
        <v>1177</v>
      </c>
      <c r="AG46" s="7" t="s">
        <v>1177</v>
      </c>
      <c r="AH46" s="38"/>
      <c r="AI46" s="36">
        <v>0</v>
      </c>
      <c r="AJ46" s="7" t="s">
        <v>1193</v>
      </c>
      <c r="AK46" s="7" t="s">
        <v>1177</v>
      </c>
      <c r="AL46" s="7" t="s">
        <v>1177</v>
      </c>
      <c r="AM46" s="7" t="s">
        <v>1177</v>
      </c>
      <c r="AN46" s="7" t="s">
        <v>3212</v>
      </c>
      <c r="AO46" s="7" t="s">
        <v>1177</v>
      </c>
      <c r="AP46" s="7" t="s">
        <v>1177</v>
      </c>
      <c r="AQ46" s="7" t="s">
        <v>1177</v>
      </c>
      <c r="AR46" s="29">
        <v>0</v>
      </c>
      <c r="AS46" s="7" t="s">
        <v>1177</v>
      </c>
      <c r="AT46" s="7" t="s">
        <v>1363</v>
      </c>
      <c r="AU46" s="38">
        <v>46275</v>
      </c>
      <c r="AV46" s="39">
        <v>0.60568287037037005</v>
      </c>
    </row>
    <row r="47" spans="1:48" x14ac:dyDescent="0.35">
      <c r="A47" t="str">
        <f t="shared" si="0"/>
        <v>50862B825</v>
      </c>
      <c r="B47" s="7" t="s">
        <v>3230</v>
      </c>
      <c r="C47" s="7" t="s">
        <v>511</v>
      </c>
      <c r="D47" s="7" t="s">
        <v>16</v>
      </c>
      <c r="E47" s="7" t="s">
        <v>1177</v>
      </c>
      <c r="F47" s="7" t="s">
        <v>128</v>
      </c>
      <c r="G47" s="7" t="s">
        <v>130</v>
      </c>
      <c r="H47" s="7" t="s">
        <v>129</v>
      </c>
      <c r="I47" s="30">
        <v>1</v>
      </c>
      <c r="J47" s="7" t="s">
        <v>1177</v>
      </c>
      <c r="K47" s="7" t="s">
        <v>1178</v>
      </c>
      <c r="L47" s="7" t="s">
        <v>132</v>
      </c>
      <c r="M47" s="7" t="s">
        <v>133</v>
      </c>
      <c r="N47" s="30">
        <v>0</v>
      </c>
      <c r="O47" s="30">
        <v>0</v>
      </c>
      <c r="P47" s="30">
        <v>0</v>
      </c>
      <c r="Q47" s="30">
        <v>0</v>
      </c>
      <c r="R47" s="29">
        <v>0</v>
      </c>
      <c r="S47" s="36">
        <v>0</v>
      </c>
      <c r="T47" s="7" t="s">
        <v>131</v>
      </c>
      <c r="U47" s="7" t="s">
        <v>512</v>
      </c>
      <c r="V47" s="7" t="s">
        <v>512</v>
      </c>
      <c r="W47" s="7" t="s">
        <v>1177</v>
      </c>
      <c r="X47" s="30">
        <v>1</v>
      </c>
      <c r="Y47" s="7" t="s">
        <v>1177</v>
      </c>
      <c r="Z47" s="7" t="s">
        <v>1178</v>
      </c>
      <c r="AA47" s="30">
        <v>0</v>
      </c>
      <c r="AB47" s="36">
        <v>0</v>
      </c>
      <c r="AC47" s="7" t="s">
        <v>1177</v>
      </c>
      <c r="AD47" s="37">
        <v>0</v>
      </c>
      <c r="AE47" s="7" t="s">
        <v>1177</v>
      </c>
      <c r="AF47" s="7" t="s">
        <v>1177</v>
      </c>
      <c r="AG47" s="7" t="s">
        <v>1177</v>
      </c>
      <c r="AH47" s="38"/>
      <c r="AI47" s="36">
        <v>0</v>
      </c>
      <c r="AJ47" s="7" t="s">
        <v>1193</v>
      </c>
      <c r="AK47" s="7" t="s">
        <v>1177</v>
      </c>
      <c r="AL47" s="7" t="s">
        <v>1177</v>
      </c>
      <c r="AM47" s="7" t="s">
        <v>1177</v>
      </c>
      <c r="AN47" s="7" t="s">
        <v>3212</v>
      </c>
      <c r="AO47" s="7" t="s">
        <v>1177</v>
      </c>
      <c r="AP47" s="7" t="s">
        <v>1177</v>
      </c>
      <c r="AQ47" s="7" t="s">
        <v>1177</v>
      </c>
      <c r="AR47" s="29">
        <v>0</v>
      </c>
      <c r="AS47" s="7" t="s">
        <v>1177</v>
      </c>
      <c r="AT47" s="7" t="s">
        <v>1363</v>
      </c>
      <c r="AU47" s="38">
        <v>46275</v>
      </c>
      <c r="AV47" s="39">
        <v>0.60353009259259005</v>
      </c>
    </row>
    <row r="48" spans="1:48" x14ac:dyDescent="0.35">
      <c r="A48" t="str">
        <f t="shared" si="0"/>
        <v>50862B856</v>
      </c>
      <c r="B48" s="7" t="s">
        <v>3230</v>
      </c>
      <c r="C48" s="7" t="s">
        <v>852</v>
      </c>
      <c r="D48" s="7" t="s">
        <v>21</v>
      </c>
      <c r="E48" s="7" t="s">
        <v>1177</v>
      </c>
      <c r="F48" s="7" t="s">
        <v>128</v>
      </c>
      <c r="G48" s="7" t="s">
        <v>130</v>
      </c>
      <c r="H48" s="7" t="s">
        <v>129</v>
      </c>
      <c r="I48" s="30">
        <v>1</v>
      </c>
      <c r="J48" s="7" t="s">
        <v>1177</v>
      </c>
      <c r="K48" s="7" t="s">
        <v>1178</v>
      </c>
      <c r="L48" s="7" t="s">
        <v>132</v>
      </c>
      <c r="M48" s="7" t="s">
        <v>133</v>
      </c>
      <c r="N48" s="30">
        <v>0</v>
      </c>
      <c r="O48" s="30">
        <v>0</v>
      </c>
      <c r="P48" s="30">
        <v>0</v>
      </c>
      <c r="Q48" s="30">
        <v>0</v>
      </c>
      <c r="R48" s="29">
        <v>0</v>
      </c>
      <c r="S48" s="36">
        <v>0</v>
      </c>
      <c r="T48" s="7" t="s">
        <v>131</v>
      </c>
      <c r="U48" s="7" t="s">
        <v>853</v>
      </c>
      <c r="V48" s="7" t="s">
        <v>853</v>
      </c>
      <c r="W48" s="7" t="s">
        <v>1177</v>
      </c>
      <c r="X48" s="30">
        <v>1</v>
      </c>
      <c r="Y48" s="7" t="s">
        <v>1177</v>
      </c>
      <c r="Z48" s="7" t="s">
        <v>1178</v>
      </c>
      <c r="AA48" s="30">
        <v>0</v>
      </c>
      <c r="AB48" s="36">
        <v>0</v>
      </c>
      <c r="AC48" s="7" t="s">
        <v>1177</v>
      </c>
      <c r="AD48" s="37">
        <v>0</v>
      </c>
      <c r="AE48" s="7" t="s">
        <v>1177</v>
      </c>
      <c r="AF48" s="7" t="s">
        <v>1177</v>
      </c>
      <c r="AG48" s="7" t="s">
        <v>1177</v>
      </c>
      <c r="AH48" s="38"/>
      <c r="AI48" s="36">
        <v>0</v>
      </c>
      <c r="AJ48" s="7" t="s">
        <v>1193</v>
      </c>
      <c r="AK48" s="7" t="s">
        <v>1177</v>
      </c>
      <c r="AL48" s="7" t="s">
        <v>1177</v>
      </c>
      <c r="AM48" s="7" t="s">
        <v>1177</v>
      </c>
      <c r="AN48" s="7" t="s">
        <v>3212</v>
      </c>
      <c r="AO48" s="7" t="s">
        <v>1177</v>
      </c>
      <c r="AP48" s="7" t="s">
        <v>1177</v>
      </c>
      <c r="AQ48" s="7" t="s">
        <v>1177</v>
      </c>
      <c r="AR48" s="29">
        <v>0</v>
      </c>
      <c r="AS48" s="7" t="s">
        <v>1177</v>
      </c>
      <c r="AT48" s="7" t="s">
        <v>1363</v>
      </c>
      <c r="AU48" s="38">
        <v>46275</v>
      </c>
      <c r="AV48" s="39">
        <v>0.60523148148147998</v>
      </c>
    </row>
    <row r="49" spans="1:48" x14ac:dyDescent="0.35">
      <c r="A49" t="str">
        <f t="shared" si="0"/>
        <v>50862B857</v>
      </c>
      <c r="B49" s="7" t="s">
        <v>3230</v>
      </c>
      <c r="C49" s="7" t="s">
        <v>958</v>
      </c>
      <c r="D49" s="7" t="s">
        <v>23</v>
      </c>
      <c r="E49" s="7" t="s">
        <v>1177</v>
      </c>
      <c r="F49" s="7" t="s">
        <v>128</v>
      </c>
      <c r="G49" s="7" t="s">
        <v>130</v>
      </c>
      <c r="H49" s="7" t="s">
        <v>129</v>
      </c>
      <c r="I49" s="30">
        <v>1</v>
      </c>
      <c r="J49" s="7" t="s">
        <v>1177</v>
      </c>
      <c r="K49" s="7" t="s">
        <v>1178</v>
      </c>
      <c r="L49" s="7" t="s">
        <v>132</v>
      </c>
      <c r="M49" s="7" t="s">
        <v>133</v>
      </c>
      <c r="N49" s="30">
        <v>0</v>
      </c>
      <c r="O49" s="30">
        <v>0</v>
      </c>
      <c r="P49" s="30">
        <v>0</v>
      </c>
      <c r="Q49" s="30">
        <v>0</v>
      </c>
      <c r="R49" s="29">
        <v>0</v>
      </c>
      <c r="S49" s="36">
        <v>0</v>
      </c>
      <c r="T49" s="7" t="s">
        <v>131</v>
      </c>
      <c r="U49" s="7" t="s">
        <v>959</v>
      </c>
      <c r="V49" s="7" t="s">
        <v>959</v>
      </c>
      <c r="W49" s="7" t="s">
        <v>1177</v>
      </c>
      <c r="X49" s="30">
        <v>1</v>
      </c>
      <c r="Y49" s="7" t="s">
        <v>1177</v>
      </c>
      <c r="Z49" s="7" t="s">
        <v>1178</v>
      </c>
      <c r="AA49" s="30">
        <v>0</v>
      </c>
      <c r="AB49" s="36">
        <v>0</v>
      </c>
      <c r="AC49" s="7" t="s">
        <v>1177</v>
      </c>
      <c r="AD49" s="37">
        <v>0</v>
      </c>
      <c r="AE49" s="7" t="s">
        <v>1177</v>
      </c>
      <c r="AF49" s="7" t="s">
        <v>1177</v>
      </c>
      <c r="AG49" s="7" t="s">
        <v>1177</v>
      </c>
      <c r="AH49" s="38"/>
      <c r="AI49" s="36">
        <v>0</v>
      </c>
      <c r="AJ49" s="7" t="s">
        <v>1193</v>
      </c>
      <c r="AK49" s="7" t="s">
        <v>1177</v>
      </c>
      <c r="AL49" s="7" t="s">
        <v>1177</v>
      </c>
      <c r="AM49" s="7" t="s">
        <v>1177</v>
      </c>
      <c r="AN49" s="7" t="s">
        <v>3212</v>
      </c>
      <c r="AO49" s="7" t="s">
        <v>1177</v>
      </c>
      <c r="AP49" s="7" t="s">
        <v>1177</v>
      </c>
      <c r="AQ49" s="7" t="s">
        <v>1177</v>
      </c>
      <c r="AR49" s="29">
        <v>0</v>
      </c>
      <c r="AS49" s="7" t="s">
        <v>1177</v>
      </c>
      <c r="AT49" s="7" t="s">
        <v>1363</v>
      </c>
      <c r="AU49" s="38">
        <v>46275</v>
      </c>
      <c r="AV49" s="39">
        <v>0.60531250000000003</v>
      </c>
    </row>
    <row r="50" spans="1:48" x14ac:dyDescent="0.35">
      <c r="A50" t="str">
        <f t="shared" si="0"/>
        <v>50863B838</v>
      </c>
      <c r="B50" s="7" t="s">
        <v>3231</v>
      </c>
      <c r="C50" s="7" t="s">
        <v>744</v>
      </c>
      <c r="D50" s="7" t="s">
        <v>48</v>
      </c>
      <c r="E50" s="7" t="s">
        <v>1177</v>
      </c>
      <c r="F50" s="7" t="s">
        <v>128</v>
      </c>
      <c r="G50" s="7" t="s">
        <v>130</v>
      </c>
      <c r="H50" s="7" t="s">
        <v>129</v>
      </c>
      <c r="I50" s="30">
        <v>2</v>
      </c>
      <c r="J50" s="7" t="s">
        <v>1177</v>
      </c>
      <c r="K50" s="7" t="s">
        <v>1178</v>
      </c>
      <c r="L50" s="7" t="s">
        <v>132</v>
      </c>
      <c r="M50" s="7" t="s">
        <v>133</v>
      </c>
      <c r="N50" s="30">
        <v>0</v>
      </c>
      <c r="O50" s="30">
        <v>0</v>
      </c>
      <c r="P50" s="30">
        <v>0</v>
      </c>
      <c r="Q50" s="30">
        <v>0</v>
      </c>
      <c r="R50" s="29">
        <v>0</v>
      </c>
      <c r="S50" s="36">
        <v>0</v>
      </c>
      <c r="T50" s="7" t="s">
        <v>131</v>
      </c>
      <c r="U50" s="7" t="s">
        <v>745</v>
      </c>
      <c r="V50" s="7" t="s">
        <v>745</v>
      </c>
      <c r="W50" s="7" t="s">
        <v>1177</v>
      </c>
      <c r="X50" s="30">
        <v>1</v>
      </c>
      <c r="Y50" s="7" t="s">
        <v>1177</v>
      </c>
      <c r="Z50" s="7" t="s">
        <v>1178</v>
      </c>
      <c r="AA50" s="30">
        <v>0</v>
      </c>
      <c r="AB50" s="36">
        <v>0</v>
      </c>
      <c r="AC50" s="7" t="s">
        <v>1177</v>
      </c>
      <c r="AD50" s="37">
        <v>0</v>
      </c>
      <c r="AE50" s="7" t="s">
        <v>1177</v>
      </c>
      <c r="AF50" s="7" t="s">
        <v>1177</v>
      </c>
      <c r="AG50" s="7" t="s">
        <v>1177</v>
      </c>
      <c r="AH50" s="38"/>
      <c r="AI50" s="36">
        <v>0</v>
      </c>
      <c r="AJ50" s="7" t="s">
        <v>1193</v>
      </c>
      <c r="AK50" s="7" t="s">
        <v>1177</v>
      </c>
      <c r="AL50" s="7" t="s">
        <v>1177</v>
      </c>
      <c r="AM50" s="7" t="s">
        <v>1177</v>
      </c>
      <c r="AN50" s="7" t="s">
        <v>3212</v>
      </c>
      <c r="AO50" s="7" t="s">
        <v>1177</v>
      </c>
      <c r="AP50" s="7" t="s">
        <v>1177</v>
      </c>
      <c r="AQ50" s="7" t="s">
        <v>1177</v>
      </c>
      <c r="AR50" s="29">
        <v>0</v>
      </c>
      <c r="AS50" s="7" t="s">
        <v>1177</v>
      </c>
      <c r="AT50" s="7" t="s">
        <v>1363</v>
      </c>
      <c r="AU50" s="38">
        <v>46275</v>
      </c>
      <c r="AV50" s="39">
        <v>0.60472222222222005</v>
      </c>
    </row>
    <row r="51" spans="1:48" x14ac:dyDescent="0.35">
      <c r="A51" t="str">
        <f t="shared" si="0"/>
        <v>50863B856</v>
      </c>
      <c r="B51" s="7" t="s">
        <v>3231</v>
      </c>
      <c r="C51" s="7" t="s">
        <v>852</v>
      </c>
      <c r="D51" s="7" t="s">
        <v>21</v>
      </c>
      <c r="E51" s="7" t="s">
        <v>1177</v>
      </c>
      <c r="F51" s="7" t="s">
        <v>128</v>
      </c>
      <c r="G51" s="7" t="s">
        <v>130</v>
      </c>
      <c r="H51" s="7" t="s">
        <v>129</v>
      </c>
      <c r="I51" s="30">
        <v>2</v>
      </c>
      <c r="J51" s="7" t="s">
        <v>1177</v>
      </c>
      <c r="K51" s="7" t="s">
        <v>1178</v>
      </c>
      <c r="L51" s="7" t="s">
        <v>132</v>
      </c>
      <c r="M51" s="7" t="s">
        <v>133</v>
      </c>
      <c r="N51" s="30">
        <v>0</v>
      </c>
      <c r="O51" s="30">
        <v>0</v>
      </c>
      <c r="P51" s="30">
        <v>0</v>
      </c>
      <c r="Q51" s="30">
        <v>0</v>
      </c>
      <c r="R51" s="29">
        <v>0</v>
      </c>
      <c r="S51" s="36">
        <v>0</v>
      </c>
      <c r="T51" s="7" t="s">
        <v>131</v>
      </c>
      <c r="U51" s="7" t="s">
        <v>853</v>
      </c>
      <c r="V51" s="7" t="s">
        <v>853</v>
      </c>
      <c r="W51" s="7" t="s">
        <v>1177</v>
      </c>
      <c r="X51" s="30">
        <v>1</v>
      </c>
      <c r="Y51" s="7" t="s">
        <v>1177</v>
      </c>
      <c r="Z51" s="7" t="s">
        <v>1178</v>
      </c>
      <c r="AA51" s="30">
        <v>0</v>
      </c>
      <c r="AB51" s="36">
        <v>0</v>
      </c>
      <c r="AC51" s="7" t="s">
        <v>1177</v>
      </c>
      <c r="AD51" s="37">
        <v>0</v>
      </c>
      <c r="AE51" s="7" t="s">
        <v>1177</v>
      </c>
      <c r="AF51" s="7" t="s">
        <v>1177</v>
      </c>
      <c r="AG51" s="7" t="s">
        <v>1177</v>
      </c>
      <c r="AH51" s="38"/>
      <c r="AI51" s="36">
        <v>0</v>
      </c>
      <c r="AJ51" s="7" t="s">
        <v>1193</v>
      </c>
      <c r="AK51" s="7" t="s">
        <v>1177</v>
      </c>
      <c r="AL51" s="7" t="s">
        <v>1177</v>
      </c>
      <c r="AM51" s="7" t="s">
        <v>1177</v>
      </c>
      <c r="AN51" s="7" t="s">
        <v>3212</v>
      </c>
      <c r="AO51" s="7" t="s">
        <v>1177</v>
      </c>
      <c r="AP51" s="7" t="s">
        <v>1177</v>
      </c>
      <c r="AQ51" s="7" t="s">
        <v>1177</v>
      </c>
      <c r="AR51" s="29">
        <v>0</v>
      </c>
      <c r="AS51" s="7" t="s">
        <v>1177</v>
      </c>
      <c r="AT51" s="7" t="s">
        <v>1363</v>
      </c>
      <c r="AU51" s="38">
        <v>46275</v>
      </c>
      <c r="AV51" s="39">
        <v>0.60523148148147998</v>
      </c>
    </row>
    <row r="52" spans="1:48" x14ac:dyDescent="0.35">
      <c r="A52" t="str">
        <f t="shared" si="0"/>
        <v>50863B857</v>
      </c>
      <c r="B52" s="7" t="s">
        <v>3231</v>
      </c>
      <c r="C52" s="7" t="s">
        <v>958</v>
      </c>
      <c r="D52" s="7" t="s">
        <v>23</v>
      </c>
      <c r="E52" s="7" t="s">
        <v>1177</v>
      </c>
      <c r="F52" s="7" t="s">
        <v>128</v>
      </c>
      <c r="G52" s="7" t="s">
        <v>130</v>
      </c>
      <c r="H52" s="7" t="s">
        <v>129</v>
      </c>
      <c r="I52" s="30">
        <v>2</v>
      </c>
      <c r="J52" s="7" t="s">
        <v>1177</v>
      </c>
      <c r="K52" s="7" t="s">
        <v>1178</v>
      </c>
      <c r="L52" s="7" t="s">
        <v>132</v>
      </c>
      <c r="M52" s="7" t="s">
        <v>133</v>
      </c>
      <c r="N52" s="30">
        <v>0</v>
      </c>
      <c r="O52" s="30">
        <v>0</v>
      </c>
      <c r="P52" s="30">
        <v>0</v>
      </c>
      <c r="Q52" s="30">
        <v>0</v>
      </c>
      <c r="R52" s="29">
        <v>0</v>
      </c>
      <c r="S52" s="36">
        <v>0</v>
      </c>
      <c r="T52" s="7" t="s">
        <v>131</v>
      </c>
      <c r="U52" s="7" t="s">
        <v>959</v>
      </c>
      <c r="V52" s="7" t="s">
        <v>959</v>
      </c>
      <c r="W52" s="7" t="s">
        <v>1177</v>
      </c>
      <c r="X52" s="30">
        <v>1</v>
      </c>
      <c r="Y52" s="7" t="s">
        <v>1177</v>
      </c>
      <c r="Z52" s="7" t="s">
        <v>1178</v>
      </c>
      <c r="AA52" s="30">
        <v>0</v>
      </c>
      <c r="AB52" s="36">
        <v>0</v>
      </c>
      <c r="AC52" s="7" t="s">
        <v>1177</v>
      </c>
      <c r="AD52" s="37">
        <v>0</v>
      </c>
      <c r="AE52" s="7" t="s">
        <v>1177</v>
      </c>
      <c r="AF52" s="7" t="s">
        <v>1177</v>
      </c>
      <c r="AG52" s="7" t="s">
        <v>1177</v>
      </c>
      <c r="AH52" s="38"/>
      <c r="AI52" s="36">
        <v>0</v>
      </c>
      <c r="AJ52" s="7" t="s">
        <v>1193</v>
      </c>
      <c r="AK52" s="7" t="s">
        <v>1177</v>
      </c>
      <c r="AL52" s="7" t="s">
        <v>1177</v>
      </c>
      <c r="AM52" s="7" t="s">
        <v>1177</v>
      </c>
      <c r="AN52" s="7" t="s">
        <v>3212</v>
      </c>
      <c r="AO52" s="7" t="s">
        <v>1177</v>
      </c>
      <c r="AP52" s="7" t="s">
        <v>1177</v>
      </c>
      <c r="AQ52" s="7" t="s">
        <v>1177</v>
      </c>
      <c r="AR52" s="29">
        <v>0</v>
      </c>
      <c r="AS52" s="7" t="s">
        <v>1177</v>
      </c>
      <c r="AT52" s="7" t="s">
        <v>1363</v>
      </c>
      <c r="AU52" s="38">
        <v>46275</v>
      </c>
      <c r="AV52" s="39">
        <v>0.60531250000000003</v>
      </c>
    </row>
    <row r="53" spans="1:48" x14ac:dyDescent="0.35">
      <c r="A53" t="str">
        <f t="shared" si="0"/>
        <v>50863B867</v>
      </c>
      <c r="B53" s="7" t="s">
        <v>3231</v>
      </c>
      <c r="C53" s="7" t="s">
        <v>1059</v>
      </c>
      <c r="D53" s="7" t="s">
        <v>25</v>
      </c>
      <c r="E53" s="7" t="s">
        <v>1177</v>
      </c>
      <c r="F53" s="7" t="s">
        <v>128</v>
      </c>
      <c r="G53" s="7" t="s">
        <v>130</v>
      </c>
      <c r="H53" s="7" t="s">
        <v>129</v>
      </c>
      <c r="I53" s="30">
        <v>1</v>
      </c>
      <c r="J53" s="7" t="s">
        <v>1177</v>
      </c>
      <c r="K53" s="7" t="s">
        <v>1178</v>
      </c>
      <c r="L53" s="7" t="s">
        <v>132</v>
      </c>
      <c r="M53" s="7" t="s">
        <v>133</v>
      </c>
      <c r="N53" s="30">
        <v>0</v>
      </c>
      <c r="O53" s="30">
        <v>0</v>
      </c>
      <c r="P53" s="30">
        <v>0</v>
      </c>
      <c r="Q53" s="30">
        <v>0</v>
      </c>
      <c r="R53" s="29">
        <v>0</v>
      </c>
      <c r="S53" s="36">
        <v>0</v>
      </c>
      <c r="T53" s="7" t="s">
        <v>131</v>
      </c>
      <c r="U53" s="7" t="s">
        <v>1060</v>
      </c>
      <c r="V53" s="7" t="s">
        <v>1060</v>
      </c>
      <c r="W53" s="7" t="s">
        <v>1177</v>
      </c>
      <c r="X53" s="30">
        <v>1</v>
      </c>
      <c r="Y53" s="7" t="s">
        <v>1177</v>
      </c>
      <c r="Z53" s="7" t="s">
        <v>1178</v>
      </c>
      <c r="AA53" s="30">
        <v>0</v>
      </c>
      <c r="AB53" s="36">
        <v>0</v>
      </c>
      <c r="AC53" s="7" t="s">
        <v>1177</v>
      </c>
      <c r="AD53" s="37">
        <v>0</v>
      </c>
      <c r="AE53" s="7" t="s">
        <v>1177</v>
      </c>
      <c r="AF53" s="7" t="s">
        <v>1177</v>
      </c>
      <c r="AG53" s="7" t="s">
        <v>1177</v>
      </c>
      <c r="AH53" s="38"/>
      <c r="AI53" s="36">
        <v>0</v>
      </c>
      <c r="AJ53" s="7" t="s">
        <v>1193</v>
      </c>
      <c r="AK53" s="7" t="s">
        <v>1177</v>
      </c>
      <c r="AL53" s="7" t="s">
        <v>1177</v>
      </c>
      <c r="AM53" s="7" t="s">
        <v>1177</v>
      </c>
      <c r="AN53" s="7" t="s">
        <v>3212</v>
      </c>
      <c r="AO53" s="7" t="s">
        <v>1177</v>
      </c>
      <c r="AP53" s="7" t="s">
        <v>1177</v>
      </c>
      <c r="AQ53" s="7" t="s">
        <v>1177</v>
      </c>
      <c r="AR53" s="29">
        <v>0</v>
      </c>
      <c r="AS53" s="7" t="s">
        <v>1177</v>
      </c>
      <c r="AT53" s="7" t="s">
        <v>1363</v>
      </c>
      <c r="AU53" s="38">
        <v>46275</v>
      </c>
      <c r="AV53" s="39">
        <v>0.60568287037037005</v>
      </c>
    </row>
    <row r="54" spans="1:48" x14ac:dyDescent="0.35">
      <c r="A54" t="str">
        <f t="shared" si="0"/>
        <v>50907B838</v>
      </c>
      <c r="B54" s="7" t="s">
        <v>3232</v>
      </c>
      <c r="C54" s="7" t="s">
        <v>744</v>
      </c>
      <c r="D54" s="7" t="s">
        <v>48</v>
      </c>
      <c r="E54" s="7" t="s">
        <v>1177</v>
      </c>
      <c r="F54" s="7" t="s">
        <v>128</v>
      </c>
      <c r="G54" s="7" t="s">
        <v>130</v>
      </c>
      <c r="H54" s="7" t="s">
        <v>129</v>
      </c>
      <c r="I54" s="30">
        <v>1</v>
      </c>
      <c r="J54" s="7" t="s">
        <v>1177</v>
      </c>
      <c r="K54" s="7" t="s">
        <v>1178</v>
      </c>
      <c r="L54" s="7" t="s">
        <v>132</v>
      </c>
      <c r="M54" s="7" t="s">
        <v>133</v>
      </c>
      <c r="N54" s="30">
        <v>0</v>
      </c>
      <c r="O54" s="30">
        <v>0</v>
      </c>
      <c r="P54" s="30">
        <v>0</v>
      </c>
      <c r="Q54" s="30">
        <v>0</v>
      </c>
      <c r="R54" s="29">
        <v>0</v>
      </c>
      <c r="S54" s="36">
        <v>0</v>
      </c>
      <c r="T54" s="7" t="s">
        <v>131</v>
      </c>
      <c r="U54" s="7" t="s">
        <v>745</v>
      </c>
      <c r="V54" s="7" t="s">
        <v>745</v>
      </c>
      <c r="W54" s="7" t="s">
        <v>1177</v>
      </c>
      <c r="X54" s="30">
        <v>1</v>
      </c>
      <c r="Y54" s="7" t="s">
        <v>1177</v>
      </c>
      <c r="Z54" s="7" t="s">
        <v>1178</v>
      </c>
      <c r="AA54" s="30">
        <v>0</v>
      </c>
      <c r="AB54" s="36">
        <v>0</v>
      </c>
      <c r="AC54" s="7" t="s">
        <v>1177</v>
      </c>
      <c r="AD54" s="37">
        <v>0</v>
      </c>
      <c r="AE54" s="7" t="s">
        <v>1177</v>
      </c>
      <c r="AF54" s="7" t="s">
        <v>1177</v>
      </c>
      <c r="AG54" s="7" t="s">
        <v>1177</v>
      </c>
      <c r="AH54" s="38"/>
      <c r="AI54" s="36">
        <v>0</v>
      </c>
      <c r="AJ54" s="7" t="s">
        <v>1193</v>
      </c>
      <c r="AK54" s="7" t="s">
        <v>1177</v>
      </c>
      <c r="AL54" s="7" t="s">
        <v>1177</v>
      </c>
      <c r="AM54" s="7" t="s">
        <v>1177</v>
      </c>
      <c r="AN54" s="7" t="s">
        <v>3212</v>
      </c>
      <c r="AO54" s="7" t="s">
        <v>1177</v>
      </c>
      <c r="AP54" s="7" t="s">
        <v>1177</v>
      </c>
      <c r="AQ54" s="7" t="s">
        <v>1177</v>
      </c>
      <c r="AR54" s="29">
        <v>0</v>
      </c>
      <c r="AS54" s="7" t="s">
        <v>1177</v>
      </c>
      <c r="AT54" s="7" t="s">
        <v>1363</v>
      </c>
      <c r="AU54" s="38">
        <v>46275</v>
      </c>
      <c r="AV54" s="39">
        <v>0.60447916666667001</v>
      </c>
    </row>
    <row r="55" spans="1:48" x14ac:dyDescent="0.35">
      <c r="A55" t="str">
        <f t="shared" si="0"/>
        <v>50940B825</v>
      </c>
      <c r="B55" s="7" t="s">
        <v>3233</v>
      </c>
      <c r="C55" s="7" t="s">
        <v>511</v>
      </c>
      <c r="D55" s="7" t="s">
        <v>16</v>
      </c>
      <c r="E55" s="7" t="s">
        <v>1177</v>
      </c>
      <c r="F55" s="7" t="s">
        <v>128</v>
      </c>
      <c r="G55" s="7" t="s">
        <v>130</v>
      </c>
      <c r="H55" s="7" t="s">
        <v>129</v>
      </c>
      <c r="I55" s="30">
        <v>2</v>
      </c>
      <c r="J55" s="7" t="s">
        <v>1177</v>
      </c>
      <c r="K55" s="7" t="s">
        <v>1178</v>
      </c>
      <c r="L55" s="7" t="s">
        <v>132</v>
      </c>
      <c r="M55" s="7" t="s">
        <v>133</v>
      </c>
      <c r="N55" s="30">
        <v>0</v>
      </c>
      <c r="O55" s="30">
        <v>0</v>
      </c>
      <c r="P55" s="30">
        <v>0</v>
      </c>
      <c r="Q55" s="30">
        <v>0</v>
      </c>
      <c r="R55" s="29">
        <v>0</v>
      </c>
      <c r="S55" s="36">
        <v>0</v>
      </c>
      <c r="T55" s="7" t="s">
        <v>131</v>
      </c>
      <c r="U55" s="7" t="s">
        <v>512</v>
      </c>
      <c r="V55" s="7" t="s">
        <v>512</v>
      </c>
      <c r="W55" s="7" t="s">
        <v>1177</v>
      </c>
      <c r="X55" s="30">
        <v>1</v>
      </c>
      <c r="Y55" s="7" t="s">
        <v>1177</v>
      </c>
      <c r="Z55" s="7" t="s">
        <v>1178</v>
      </c>
      <c r="AA55" s="30">
        <v>0</v>
      </c>
      <c r="AB55" s="36">
        <v>0</v>
      </c>
      <c r="AC55" s="7" t="s">
        <v>1177</v>
      </c>
      <c r="AD55" s="37">
        <v>0</v>
      </c>
      <c r="AE55" s="7" t="s">
        <v>1177</v>
      </c>
      <c r="AF55" s="7" t="s">
        <v>1177</v>
      </c>
      <c r="AG55" s="7" t="s">
        <v>1177</v>
      </c>
      <c r="AH55" s="38"/>
      <c r="AI55" s="36">
        <v>0</v>
      </c>
      <c r="AJ55" s="7" t="s">
        <v>1193</v>
      </c>
      <c r="AK55" s="7" t="s">
        <v>1177</v>
      </c>
      <c r="AL55" s="7" t="s">
        <v>1177</v>
      </c>
      <c r="AM55" s="7" t="s">
        <v>1177</v>
      </c>
      <c r="AN55" s="7" t="s">
        <v>3212</v>
      </c>
      <c r="AO55" s="7" t="s">
        <v>1177</v>
      </c>
      <c r="AP55" s="7" t="s">
        <v>1177</v>
      </c>
      <c r="AQ55" s="7" t="s">
        <v>1177</v>
      </c>
      <c r="AR55" s="29">
        <v>0</v>
      </c>
      <c r="AS55" s="7" t="s">
        <v>1177</v>
      </c>
      <c r="AT55" s="7" t="s">
        <v>1363</v>
      </c>
      <c r="AU55" s="38">
        <v>46275</v>
      </c>
      <c r="AV55" s="39">
        <v>0.60353009259259005</v>
      </c>
    </row>
    <row r="56" spans="1:48" x14ac:dyDescent="0.35">
      <c r="A56" t="str">
        <f t="shared" si="0"/>
        <v>50940B832</v>
      </c>
      <c r="B56" s="7" t="s">
        <v>3233</v>
      </c>
      <c r="C56" s="7" t="s">
        <v>653</v>
      </c>
      <c r="D56" s="7" t="s">
        <v>19</v>
      </c>
      <c r="E56" s="7" t="s">
        <v>1177</v>
      </c>
      <c r="F56" s="7" t="s">
        <v>128</v>
      </c>
      <c r="G56" s="7" t="s">
        <v>130</v>
      </c>
      <c r="H56" s="7" t="s">
        <v>129</v>
      </c>
      <c r="I56" s="30">
        <v>2</v>
      </c>
      <c r="J56" s="7" t="s">
        <v>1177</v>
      </c>
      <c r="K56" s="7" t="s">
        <v>1178</v>
      </c>
      <c r="L56" s="7" t="s">
        <v>132</v>
      </c>
      <c r="M56" s="7" t="s">
        <v>133</v>
      </c>
      <c r="N56" s="30">
        <v>0</v>
      </c>
      <c r="O56" s="30">
        <v>0</v>
      </c>
      <c r="P56" s="30">
        <v>0</v>
      </c>
      <c r="Q56" s="30">
        <v>0</v>
      </c>
      <c r="R56" s="29">
        <v>0</v>
      </c>
      <c r="S56" s="36">
        <v>0</v>
      </c>
      <c r="T56" s="7" t="s">
        <v>131</v>
      </c>
      <c r="U56" s="7" t="s">
        <v>654</v>
      </c>
      <c r="V56" s="7" t="s">
        <v>654</v>
      </c>
      <c r="W56" s="7" t="s">
        <v>1177</v>
      </c>
      <c r="X56" s="30">
        <v>1</v>
      </c>
      <c r="Y56" s="7" t="s">
        <v>1177</v>
      </c>
      <c r="Z56" s="7" t="s">
        <v>1178</v>
      </c>
      <c r="AA56" s="30">
        <v>0</v>
      </c>
      <c r="AB56" s="36">
        <v>0</v>
      </c>
      <c r="AC56" s="7" t="s">
        <v>1177</v>
      </c>
      <c r="AD56" s="37">
        <v>0</v>
      </c>
      <c r="AE56" s="7" t="s">
        <v>1177</v>
      </c>
      <c r="AF56" s="7" t="s">
        <v>1177</v>
      </c>
      <c r="AG56" s="7" t="s">
        <v>1177</v>
      </c>
      <c r="AH56" s="38"/>
      <c r="AI56" s="36">
        <v>0</v>
      </c>
      <c r="AJ56" s="7" t="s">
        <v>1193</v>
      </c>
      <c r="AK56" s="7" t="s">
        <v>1177</v>
      </c>
      <c r="AL56" s="7" t="s">
        <v>1177</v>
      </c>
      <c r="AM56" s="7" t="s">
        <v>1177</v>
      </c>
      <c r="AN56" s="7" t="s">
        <v>3212</v>
      </c>
      <c r="AO56" s="7" t="s">
        <v>1177</v>
      </c>
      <c r="AP56" s="7" t="s">
        <v>1177</v>
      </c>
      <c r="AQ56" s="7" t="s">
        <v>1177</v>
      </c>
      <c r="AR56" s="29">
        <v>0</v>
      </c>
      <c r="AS56" s="7" t="s">
        <v>1177</v>
      </c>
      <c r="AT56" s="7" t="s">
        <v>1363</v>
      </c>
      <c r="AU56" s="38">
        <v>46275</v>
      </c>
      <c r="AV56" s="39">
        <v>0.60391203703703999</v>
      </c>
    </row>
    <row r="57" spans="1:48" x14ac:dyDescent="0.35">
      <c r="A57" t="str">
        <f t="shared" si="0"/>
        <v>50971B825</v>
      </c>
      <c r="B57" s="7" t="s">
        <v>3234</v>
      </c>
      <c r="C57" s="7" t="s">
        <v>511</v>
      </c>
      <c r="D57" s="7" t="s">
        <v>16</v>
      </c>
      <c r="E57" s="7" t="s">
        <v>1177</v>
      </c>
      <c r="F57" s="7" t="s">
        <v>128</v>
      </c>
      <c r="G57" s="7" t="s">
        <v>130</v>
      </c>
      <c r="H57" s="7" t="s">
        <v>129</v>
      </c>
      <c r="I57" s="30">
        <v>1</v>
      </c>
      <c r="J57" s="7" t="s">
        <v>1177</v>
      </c>
      <c r="K57" s="7" t="s">
        <v>1178</v>
      </c>
      <c r="L57" s="7" t="s">
        <v>132</v>
      </c>
      <c r="M57" s="7" t="s">
        <v>133</v>
      </c>
      <c r="N57" s="30">
        <v>0</v>
      </c>
      <c r="O57" s="30">
        <v>0</v>
      </c>
      <c r="P57" s="30">
        <v>0</v>
      </c>
      <c r="Q57" s="30">
        <v>0</v>
      </c>
      <c r="R57" s="29">
        <v>0</v>
      </c>
      <c r="S57" s="36">
        <v>0</v>
      </c>
      <c r="T57" s="7" t="s">
        <v>131</v>
      </c>
      <c r="U57" s="7" t="s">
        <v>512</v>
      </c>
      <c r="V57" s="7" t="s">
        <v>512</v>
      </c>
      <c r="W57" s="7" t="s">
        <v>1177</v>
      </c>
      <c r="X57" s="30">
        <v>1</v>
      </c>
      <c r="Y57" s="7" t="s">
        <v>1177</v>
      </c>
      <c r="Z57" s="7" t="s">
        <v>1178</v>
      </c>
      <c r="AA57" s="30">
        <v>0</v>
      </c>
      <c r="AB57" s="36">
        <v>0</v>
      </c>
      <c r="AC57" s="7" t="s">
        <v>1177</v>
      </c>
      <c r="AD57" s="37">
        <v>0</v>
      </c>
      <c r="AE57" s="7" t="s">
        <v>1177</v>
      </c>
      <c r="AF57" s="7" t="s">
        <v>1177</v>
      </c>
      <c r="AG57" s="7" t="s">
        <v>1177</v>
      </c>
      <c r="AH57" s="38"/>
      <c r="AI57" s="36">
        <v>0</v>
      </c>
      <c r="AJ57" s="7" t="s">
        <v>1193</v>
      </c>
      <c r="AK57" s="7" t="s">
        <v>1177</v>
      </c>
      <c r="AL57" s="7" t="s">
        <v>1177</v>
      </c>
      <c r="AM57" s="7" t="s">
        <v>1177</v>
      </c>
      <c r="AN57" s="7" t="s">
        <v>3212</v>
      </c>
      <c r="AO57" s="7" t="s">
        <v>1177</v>
      </c>
      <c r="AP57" s="7" t="s">
        <v>1177</v>
      </c>
      <c r="AQ57" s="7" t="s">
        <v>1177</v>
      </c>
      <c r="AR57" s="29">
        <v>0</v>
      </c>
      <c r="AS57" s="7" t="s">
        <v>1177</v>
      </c>
      <c r="AT57" s="7" t="s">
        <v>1363</v>
      </c>
      <c r="AU57" s="38">
        <v>46275</v>
      </c>
      <c r="AV57" s="39">
        <v>0.60353009259259005</v>
      </c>
    </row>
    <row r="58" spans="1:48" x14ac:dyDescent="0.35">
      <c r="A58" t="str">
        <f t="shared" si="0"/>
        <v>50971B857</v>
      </c>
      <c r="B58" s="7" t="s">
        <v>3234</v>
      </c>
      <c r="C58" s="7" t="s">
        <v>958</v>
      </c>
      <c r="D58" s="7" t="s">
        <v>23</v>
      </c>
      <c r="E58" s="7" t="s">
        <v>1177</v>
      </c>
      <c r="F58" s="7" t="s">
        <v>128</v>
      </c>
      <c r="G58" s="7" t="s">
        <v>130</v>
      </c>
      <c r="H58" s="7" t="s">
        <v>129</v>
      </c>
      <c r="I58" s="30">
        <v>1</v>
      </c>
      <c r="J58" s="7" t="s">
        <v>1177</v>
      </c>
      <c r="K58" s="7" t="s">
        <v>1178</v>
      </c>
      <c r="L58" s="7" t="s">
        <v>132</v>
      </c>
      <c r="M58" s="7" t="s">
        <v>133</v>
      </c>
      <c r="N58" s="30">
        <v>0</v>
      </c>
      <c r="O58" s="30">
        <v>0</v>
      </c>
      <c r="P58" s="30">
        <v>0</v>
      </c>
      <c r="Q58" s="30">
        <v>0</v>
      </c>
      <c r="R58" s="29">
        <v>0</v>
      </c>
      <c r="S58" s="36">
        <v>0</v>
      </c>
      <c r="T58" s="7" t="s">
        <v>131</v>
      </c>
      <c r="U58" s="7" t="s">
        <v>959</v>
      </c>
      <c r="V58" s="7" t="s">
        <v>959</v>
      </c>
      <c r="W58" s="7" t="s">
        <v>1177</v>
      </c>
      <c r="X58" s="30">
        <v>1</v>
      </c>
      <c r="Y58" s="7" t="s">
        <v>1177</v>
      </c>
      <c r="Z58" s="7" t="s">
        <v>1178</v>
      </c>
      <c r="AA58" s="30">
        <v>0</v>
      </c>
      <c r="AB58" s="36">
        <v>0</v>
      </c>
      <c r="AC58" s="7" t="s">
        <v>1177</v>
      </c>
      <c r="AD58" s="37">
        <v>0</v>
      </c>
      <c r="AE58" s="7" t="s">
        <v>1177</v>
      </c>
      <c r="AF58" s="7" t="s">
        <v>1177</v>
      </c>
      <c r="AG58" s="7" t="s">
        <v>1177</v>
      </c>
      <c r="AH58" s="38"/>
      <c r="AI58" s="36">
        <v>0</v>
      </c>
      <c r="AJ58" s="7" t="s">
        <v>1193</v>
      </c>
      <c r="AK58" s="7" t="s">
        <v>1177</v>
      </c>
      <c r="AL58" s="7" t="s">
        <v>1177</v>
      </c>
      <c r="AM58" s="7" t="s">
        <v>1177</v>
      </c>
      <c r="AN58" s="7" t="s">
        <v>3212</v>
      </c>
      <c r="AO58" s="7" t="s">
        <v>1177</v>
      </c>
      <c r="AP58" s="7" t="s">
        <v>1177</v>
      </c>
      <c r="AQ58" s="7" t="s">
        <v>1177</v>
      </c>
      <c r="AR58" s="29">
        <v>0</v>
      </c>
      <c r="AS58" s="7" t="s">
        <v>1177</v>
      </c>
      <c r="AT58" s="7" t="s">
        <v>1363</v>
      </c>
      <c r="AU58" s="38">
        <v>46275</v>
      </c>
      <c r="AV58" s="39">
        <v>0.60531250000000003</v>
      </c>
    </row>
    <row r="59" spans="1:48" x14ac:dyDescent="0.35">
      <c r="A59" t="str">
        <f t="shared" si="0"/>
        <v>50971B864</v>
      </c>
      <c r="B59" s="7" t="s">
        <v>3234</v>
      </c>
      <c r="C59" s="7" t="s">
        <v>1010</v>
      </c>
      <c r="D59" s="7" t="s">
        <v>10</v>
      </c>
      <c r="E59" s="7" t="s">
        <v>1177</v>
      </c>
      <c r="F59" s="7" t="s">
        <v>128</v>
      </c>
      <c r="G59" s="7" t="s">
        <v>130</v>
      </c>
      <c r="H59" s="7" t="s">
        <v>129</v>
      </c>
      <c r="I59" s="30">
        <v>2</v>
      </c>
      <c r="J59" s="7" t="s">
        <v>1177</v>
      </c>
      <c r="K59" s="7" t="s">
        <v>1178</v>
      </c>
      <c r="L59" s="7" t="s">
        <v>132</v>
      </c>
      <c r="M59" s="7" t="s">
        <v>133</v>
      </c>
      <c r="N59" s="30">
        <v>0</v>
      </c>
      <c r="O59" s="30">
        <v>0</v>
      </c>
      <c r="P59" s="30">
        <v>0</v>
      </c>
      <c r="Q59" s="30">
        <v>0</v>
      </c>
      <c r="R59" s="29">
        <v>0</v>
      </c>
      <c r="S59" s="36">
        <v>0</v>
      </c>
      <c r="T59" s="7" t="s">
        <v>131</v>
      </c>
      <c r="U59" s="7" t="s">
        <v>1011</v>
      </c>
      <c r="V59" s="7" t="s">
        <v>1011</v>
      </c>
      <c r="W59" s="7" t="s">
        <v>1177</v>
      </c>
      <c r="X59" s="30">
        <v>1</v>
      </c>
      <c r="Y59" s="7" t="s">
        <v>1177</v>
      </c>
      <c r="Z59" s="7" t="s">
        <v>1178</v>
      </c>
      <c r="AA59" s="30">
        <v>0</v>
      </c>
      <c r="AB59" s="36">
        <v>0</v>
      </c>
      <c r="AC59" s="7" t="s">
        <v>1177</v>
      </c>
      <c r="AD59" s="37">
        <v>0</v>
      </c>
      <c r="AE59" s="7" t="s">
        <v>1177</v>
      </c>
      <c r="AF59" s="7" t="s">
        <v>1177</v>
      </c>
      <c r="AG59" s="7" t="s">
        <v>1177</v>
      </c>
      <c r="AH59" s="38"/>
      <c r="AI59" s="36">
        <v>0</v>
      </c>
      <c r="AJ59" s="7" t="s">
        <v>1193</v>
      </c>
      <c r="AK59" s="7" t="s">
        <v>1177</v>
      </c>
      <c r="AL59" s="7" t="s">
        <v>1177</v>
      </c>
      <c r="AM59" s="7" t="s">
        <v>1177</v>
      </c>
      <c r="AN59" s="7" t="s">
        <v>3212</v>
      </c>
      <c r="AO59" s="7" t="s">
        <v>1177</v>
      </c>
      <c r="AP59" s="7" t="s">
        <v>1177</v>
      </c>
      <c r="AQ59" s="7" t="s">
        <v>1177</v>
      </c>
      <c r="AR59" s="29">
        <v>0</v>
      </c>
      <c r="AS59" s="7" t="s">
        <v>1177</v>
      </c>
      <c r="AT59" s="7" t="s">
        <v>1363</v>
      </c>
      <c r="AU59" s="38">
        <v>46275</v>
      </c>
      <c r="AV59" s="39">
        <v>0.60541666666667004</v>
      </c>
    </row>
    <row r="60" spans="1:48" x14ac:dyDescent="0.35">
      <c r="A60" t="str">
        <f t="shared" si="0"/>
        <v>50971B865</v>
      </c>
      <c r="B60" s="7" t="s">
        <v>3234</v>
      </c>
      <c r="C60" s="7" t="s">
        <v>1039</v>
      </c>
      <c r="D60" s="7" t="s">
        <v>7</v>
      </c>
      <c r="E60" s="7" t="s">
        <v>1177</v>
      </c>
      <c r="F60" s="7" t="s">
        <v>128</v>
      </c>
      <c r="G60" s="7" t="s">
        <v>130</v>
      </c>
      <c r="H60" s="7" t="s">
        <v>129</v>
      </c>
      <c r="I60" s="30">
        <v>1</v>
      </c>
      <c r="J60" s="7" t="s">
        <v>1177</v>
      </c>
      <c r="K60" s="7" t="s">
        <v>1178</v>
      </c>
      <c r="L60" s="7" t="s">
        <v>132</v>
      </c>
      <c r="M60" s="7" t="s">
        <v>133</v>
      </c>
      <c r="N60" s="30">
        <v>0</v>
      </c>
      <c r="O60" s="30">
        <v>0</v>
      </c>
      <c r="P60" s="30">
        <v>0</v>
      </c>
      <c r="Q60" s="30">
        <v>0</v>
      </c>
      <c r="R60" s="29">
        <v>0</v>
      </c>
      <c r="S60" s="36">
        <v>0</v>
      </c>
      <c r="T60" s="7" t="s">
        <v>131</v>
      </c>
      <c r="U60" s="7" t="s">
        <v>1040</v>
      </c>
      <c r="V60" s="7" t="s">
        <v>1040</v>
      </c>
      <c r="W60" s="7" t="s">
        <v>1177</v>
      </c>
      <c r="X60" s="30">
        <v>1</v>
      </c>
      <c r="Y60" s="7" t="s">
        <v>1177</v>
      </c>
      <c r="Z60" s="7" t="s">
        <v>1178</v>
      </c>
      <c r="AA60" s="30">
        <v>0</v>
      </c>
      <c r="AB60" s="36">
        <v>0</v>
      </c>
      <c r="AC60" s="7" t="s">
        <v>1177</v>
      </c>
      <c r="AD60" s="37">
        <v>0</v>
      </c>
      <c r="AE60" s="7" t="s">
        <v>1177</v>
      </c>
      <c r="AF60" s="7" t="s">
        <v>1177</v>
      </c>
      <c r="AG60" s="7" t="s">
        <v>1177</v>
      </c>
      <c r="AH60" s="38"/>
      <c r="AI60" s="36">
        <v>0</v>
      </c>
      <c r="AJ60" s="7" t="s">
        <v>1193</v>
      </c>
      <c r="AK60" s="7" t="s">
        <v>1177</v>
      </c>
      <c r="AL60" s="7" t="s">
        <v>1177</v>
      </c>
      <c r="AM60" s="7" t="s">
        <v>1177</v>
      </c>
      <c r="AN60" s="7" t="s">
        <v>3212</v>
      </c>
      <c r="AO60" s="7" t="s">
        <v>1177</v>
      </c>
      <c r="AP60" s="7" t="s">
        <v>1177</v>
      </c>
      <c r="AQ60" s="7" t="s">
        <v>1177</v>
      </c>
      <c r="AR60" s="29">
        <v>0</v>
      </c>
      <c r="AS60" s="7" t="s">
        <v>1177</v>
      </c>
      <c r="AT60" s="7" t="s">
        <v>1363</v>
      </c>
      <c r="AU60" s="38">
        <v>46275</v>
      </c>
      <c r="AV60" s="39">
        <v>0.60550925925926002</v>
      </c>
    </row>
    <row r="61" spans="1:48" x14ac:dyDescent="0.35">
      <c r="A61" t="str">
        <f t="shared" si="0"/>
        <v>50971B867</v>
      </c>
      <c r="B61" s="7" t="s">
        <v>3234</v>
      </c>
      <c r="C61" s="7" t="s">
        <v>1059</v>
      </c>
      <c r="D61" s="7" t="s">
        <v>25</v>
      </c>
      <c r="E61" s="7" t="s">
        <v>1177</v>
      </c>
      <c r="F61" s="7" t="s">
        <v>128</v>
      </c>
      <c r="G61" s="7" t="s">
        <v>130</v>
      </c>
      <c r="H61" s="7" t="s">
        <v>129</v>
      </c>
      <c r="I61" s="30">
        <v>1</v>
      </c>
      <c r="J61" s="7" t="s">
        <v>1177</v>
      </c>
      <c r="K61" s="7" t="s">
        <v>1178</v>
      </c>
      <c r="L61" s="7" t="s">
        <v>132</v>
      </c>
      <c r="M61" s="7" t="s">
        <v>133</v>
      </c>
      <c r="N61" s="30">
        <v>0</v>
      </c>
      <c r="O61" s="30">
        <v>0</v>
      </c>
      <c r="P61" s="30">
        <v>0</v>
      </c>
      <c r="Q61" s="30">
        <v>0</v>
      </c>
      <c r="R61" s="29">
        <v>0</v>
      </c>
      <c r="S61" s="36">
        <v>0</v>
      </c>
      <c r="T61" s="7" t="s">
        <v>131</v>
      </c>
      <c r="U61" s="7" t="s">
        <v>1060</v>
      </c>
      <c r="V61" s="7" t="s">
        <v>1060</v>
      </c>
      <c r="W61" s="7" t="s">
        <v>1177</v>
      </c>
      <c r="X61" s="30">
        <v>1</v>
      </c>
      <c r="Y61" s="7" t="s">
        <v>1177</v>
      </c>
      <c r="Z61" s="7" t="s">
        <v>1178</v>
      </c>
      <c r="AA61" s="30">
        <v>0</v>
      </c>
      <c r="AB61" s="36">
        <v>0</v>
      </c>
      <c r="AC61" s="7" t="s">
        <v>1177</v>
      </c>
      <c r="AD61" s="37">
        <v>0</v>
      </c>
      <c r="AE61" s="7" t="s">
        <v>1177</v>
      </c>
      <c r="AF61" s="7" t="s">
        <v>1177</v>
      </c>
      <c r="AG61" s="7" t="s">
        <v>1177</v>
      </c>
      <c r="AH61" s="38"/>
      <c r="AI61" s="36">
        <v>0</v>
      </c>
      <c r="AJ61" s="7" t="s">
        <v>1193</v>
      </c>
      <c r="AK61" s="7" t="s">
        <v>1177</v>
      </c>
      <c r="AL61" s="7" t="s">
        <v>1177</v>
      </c>
      <c r="AM61" s="7" t="s">
        <v>1177</v>
      </c>
      <c r="AN61" s="7" t="s">
        <v>3212</v>
      </c>
      <c r="AO61" s="7" t="s">
        <v>1177</v>
      </c>
      <c r="AP61" s="7" t="s">
        <v>1177</v>
      </c>
      <c r="AQ61" s="7" t="s">
        <v>1177</v>
      </c>
      <c r="AR61" s="29">
        <v>0</v>
      </c>
      <c r="AS61" s="7" t="s">
        <v>1177</v>
      </c>
      <c r="AT61" s="7" t="s">
        <v>1363</v>
      </c>
      <c r="AU61" s="38">
        <v>46275</v>
      </c>
      <c r="AV61" s="39">
        <v>0.60568287037037005</v>
      </c>
    </row>
    <row r="62" spans="1:48" x14ac:dyDescent="0.35">
      <c r="A62" t="str">
        <f t="shared" si="0"/>
        <v>50972B856</v>
      </c>
      <c r="B62" s="7" t="s">
        <v>3235</v>
      </c>
      <c r="C62" s="7" t="s">
        <v>852</v>
      </c>
      <c r="D62" s="7" t="s">
        <v>21</v>
      </c>
      <c r="E62" s="7" t="s">
        <v>1177</v>
      </c>
      <c r="F62" s="7" t="s">
        <v>128</v>
      </c>
      <c r="G62" s="7" t="s">
        <v>130</v>
      </c>
      <c r="H62" s="7" t="s">
        <v>129</v>
      </c>
      <c r="I62" s="30">
        <v>1</v>
      </c>
      <c r="J62" s="7" t="s">
        <v>1177</v>
      </c>
      <c r="K62" s="7" t="s">
        <v>1178</v>
      </c>
      <c r="L62" s="7" t="s">
        <v>132</v>
      </c>
      <c r="M62" s="7" t="s">
        <v>133</v>
      </c>
      <c r="N62" s="30">
        <v>0</v>
      </c>
      <c r="O62" s="30">
        <v>0</v>
      </c>
      <c r="P62" s="30">
        <v>0</v>
      </c>
      <c r="Q62" s="30">
        <v>0</v>
      </c>
      <c r="R62" s="29">
        <v>0</v>
      </c>
      <c r="S62" s="36">
        <v>0</v>
      </c>
      <c r="T62" s="7" t="s">
        <v>131</v>
      </c>
      <c r="U62" s="7" t="s">
        <v>853</v>
      </c>
      <c r="V62" s="7" t="s">
        <v>853</v>
      </c>
      <c r="W62" s="7" t="s">
        <v>1177</v>
      </c>
      <c r="X62" s="30">
        <v>1</v>
      </c>
      <c r="Y62" s="7" t="s">
        <v>1177</v>
      </c>
      <c r="Z62" s="7" t="s">
        <v>1178</v>
      </c>
      <c r="AA62" s="30">
        <v>0</v>
      </c>
      <c r="AB62" s="36">
        <v>0</v>
      </c>
      <c r="AC62" s="7" t="s">
        <v>1177</v>
      </c>
      <c r="AD62" s="37">
        <v>0</v>
      </c>
      <c r="AE62" s="7" t="s">
        <v>1177</v>
      </c>
      <c r="AF62" s="7" t="s">
        <v>1177</v>
      </c>
      <c r="AG62" s="7" t="s">
        <v>1177</v>
      </c>
      <c r="AH62" s="38"/>
      <c r="AI62" s="36">
        <v>0</v>
      </c>
      <c r="AJ62" s="7" t="s">
        <v>1193</v>
      </c>
      <c r="AK62" s="7" t="s">
        <v>1177</v>
      </c>
      <c r="AL62" s="7" t="s">
        <v>1177</v>
      </c>
      <c r="AM62" s="7" t="s">
        <v>1177</v>
      </c>
      <c r="AN62" s="7" t="s">
        <v>3212</v>
      </c>
      <c r="AO62" s="7" t="s">
        <v>1177</v>
      </c>
      <c r="AP62" s="7" t="s">
        <v>1177</v>
      </c>
      <c r="AQ62" s="7" t="s">
        <v>1177</v>
      </c>
      <c r="AR62" s="29">
        <v>0</v>
      </c>
      <c r="AS62" s="7" t="s">
        <v>1177</v>
      </c>
      <c r="AT62" s="7" t="s">
        <v>1363</v>
      </c>
      <c r="AU62" s="38">
        <v>46275</v>
      </c>
      <c r="AV62" s="39">
        <v>0.60523148148147998</v>
      </c>
    </row>
    <row r="63" spans="1:48" x14ac:dyDescent="0.35">
      <c r="A63" t="str">
        <f t="shared" si="0"/>
        <v>50973B856</v>
      </c>
      <c r="B63" s="7" t="s">
        <v>1626</v>
      </c>
      <c r="C63" s="7" t="s">
        <v>852</v>
      </c>
      <c r="D63" s="7" t="s">
        <v>21</v>
      </c>
      <c r="E63" s="7" t="s">
        <v>1177</v>
      </c>
      <c r="F63" s="7" t="s">
        <v>128</v>
      </c>
      <c r="G63" s="7" t="s">
        <v>130</v>
      </c>
      <c r="H63" s="7" t="s">
        <v>129</v>
      </c>
      <c r="I63" s="30">
        <v>1</v>
      </c>
      <c r="J63" s="7" t="s">
        <v>1177</v>
      </c>
      <c r="K63" s="7" t="s">
        <v>1178</v>
      </c>
      <c r="L63" s="7" t="s">
        <v>132</v>
      </c>
      <c r="M63" s="7" t="s">
        <v>133</v>
      </c>
      <c r="N63" s="30">
        <v>0</v>
      </c>
      <c r="O63" s="30">
        <v>0</v>
      </c>
      <c r="P63" s="30">
        <v>0</v>
      </c>
      <c r="Q63" s="30">
        <v>0</v>
      </c>
      <c r="R63" s="29">
        <v>0</v>
      </c>
      <c r="S63" s="36">
        <v>0</v>
      </c>
      <c r="T63" s="7" t="s">
        <v>131</v>
      </c>
      <c r="U63" s="7" t="s">
        <v>853</v>
      </c>
      <c r="V63" s="7" t="s">
        <v>853</v>
      </c>
      <c r="W63" s="7" t="s">
        <v>1177</v>
      </c>
      <c r="X63" s="30">
        <v>1</v>
      </c>
      <c r="Y63" s="7" t="s">
        <v>1177</v>
      </c>
      <c r="Z63" s="7" t="s">
        <v>1178</v>
      </c>
      <c r="AA63" s="30">
        <v>0</v>
      </c>
      <c r="AB63" s="36">
        <v>0</v>
      </c>
      <c r="AC63" s="7" t="s">
        <v>1177</v>
      </c>
      <c r="AD63" s="37">
        <v>0</v>
      </c>
      <c r="AE63" s="7" t="s">
        <v>1177</v>
      </c>
      <c r="AF63" s="7" t="s">
        <v>1177</v>
      </c>
      <c r="AG63" s="7" t="s">
        <v>1177</v>
      </c>
      <c r="AH63" s="38"/>
      <c r="AI63" s="36">
        <v>0</v>
      </c>
      <c r="AJ63" s="7" t="s">
        <v>1193</v>
      </c>
      <c r="AK63" s="7" t="s">
        <v>1177</v>
      </c>
      <c r="AL63" s="7" t="s">
        <v>1177</v>
      </c>
      <c r="AM63" s="7" t="s">
        <v>1177</v>
      </c>
      <c r="AN63" s="7" t="s">
        <v>3212</v>
      </c>
      <c r="AO63" s="7" t="s">
        <v>1177</v>
      </c>
      <c r="AP63" s="7" t="s">
        <v>1177</v>
      </c>
      <c r="AQ63" s="7" t="s">
        <v>1177</v>
      </c>
      <c r="AR63" s="29">
        <v>0</v>
      </c>
      <c r="AS63" s="7" t="s">
        <v>1177</v>
      </c>
      <c r="AT63" s="7" t="s">
        <v>1363</v>
      </c>
      <c r="AU63" s="38">
        <v>46275</v>
      </c>
      <c r="AV63" s="39">
        <v>0.60523148148147998</v>
      </c>
    </row>
    <row r="64" spans="1:48" x14ac:dyDescent="0.35">
      <c r="A64" t="str">
        <f t="shared" si="0"/>
        <v>50973B867</v>
      </c>
      <c r="B64" s="7" t="s">
        <v>1626</v>
      </c>
      <c r="C64" s="7" t="s">
        <v>1059</v>
      </c>
      <c r="D64" s="7" t="s">
        <v>25</v>
      </c>
      <c r="E64" s="7" t="s">
        <v>1177</v>
      </c>
      <c r="F64" s="7" t="s">
        <v>128</v>
      </c>
      <c r="G64" s="7" t="s">
        <v>130</v>
      </c>
      <c r="H64" s="7" t="s">
        <v>129</v>
      </c>
      <c r="I64" s="30">
        <v>1</v>
      </c>
      <c r="J64" s="7" t="s">
        <v>1177</v>
      </c>
      <c r="K64" s="7" t="s">
        <v>1178</v>
      </c>
      <c r="L64" s="7" t="s">
        <v>132</v>
      </c>
      <c r="M64" s="7" t="s">
        <v>133</v>
      </c>
      <c r="N64" s="30">
        <v>0</v>
      </c>
      <c r="O64" s="30">
        <v>0</v>
      </c>
      <c r="P64" s="30">
        <v>0</v>
      </c>
      <c r="Q64" s="30">
        <v>0</v>
      </c>
      <c r="R64" s="29">
        <v>0</v>
      </c>
      <c r="S64" s="36">
        <v>0</v>
      </c>
      <c r="T64" s="7" t="s">
        <v>131</v>
      </c>
      <c r="U64" s="7" t="s">
        <v>1060</v>
      </c>
      <c r="V64" s="7" t="s">
        <v>1060</v>
      </c>
      <c r="W64" s="7" t="s">
        <v>1177</v>
      </c>
      <c r="X64" s="30">
        <v>1</v>
      </c>
      <c r="Y64" s="7" t="s">
        <v>1177</v>
      </c>
      <c r="Z64" s="7" t="s">
        <v>1178</v>
      </c>
      <c r="AA64" s="30">
        <v>0</v>
      </c>
      <c r="AB64" s="36">
        <v>0</v>
      </c>
      <c r="AC64" s="7" t="s">
        <v>1177</v>
      </c>
      <c r="AD64" s="37">
        <v>0</v>
      </c>
      <c r="AE64" s="7" t="s">
        <v>1177</v>
      </c>
      <c r="AF64" s="7" t="s">
        <v>1177</v>
      </c>
      <c r="AG64" s="7" t="s">
        <v>1177</v>
      </c>
      <c r="AH64" s="38"/>
      <c r="AI64" s="36">
        <v>0</v>
      </c>
      <c r="AJ64" s="7" t="s">
        <v>1193</v>
      </c>
      <c r="AK64" s="7" t="s">
        <v>1177</v>
      </c>
      <c r="AL64" s="7" t="s">
        <v>1177</v>
      </c>
      <c r="AM64" s="7" t="s">
        <v>1177</v>
      </c>
      <c r="AN64" s="7" t="s">
        <v>3212</v>
      </c>
      <c r="AO64" s="7" t="s">
        <v>1177</v>
      </c>
      <c r="AP64" s="7" t="s">
        <v>1177</v>
      </c>
      <c r="AQ64" s="7" t="s">
        <v>1177</v>
      </c>
      <c r="AR64" s="29">
        <v>0</v>
      </c>
      <c r="AS64" s="7" t="s">
        <v>1177</v>
      </c>
      <c r="AT64" s="7" t="s">
        <v>1363</v>
      </c>
      <c r="AU64" s="38">
        <v>46275</v>
      </c>
      <c r="AV64" s="39">
        <v>0.60568287037037005</v>
      </c>
    </row>
    <row r="65" spans="1:48" x14ac:dyDescent="0.35">
      <c r="A65" t="str">
        <f t="shared" si="0"/>
        <v>51027B838</v>
      </c>
      <c r="B65" s="7" t="s">
        <v>3236</v>
      </c>
      <c r="C65" s="7" t="s">
        <v>744</v>
      </c>
      <c r="D65" s="7" t="s">
        <v>48</v>
      </c>
      <c r="E65" s="7" t="s">
        <v>1177</v>
      </c>
      <c r="F65" s="7" t="s">
        <v>128</v>
      </c>
      <c r="G65" s="7" t="s">
        <v>130</v>
      </c>
      <c r="H65" s="7" t="s">
        <v>129</v>
      </c>
      <c r="I65" s="30">
        <v>1</v>
      </c>
      <c r="J65" s="7" t="s">
        <v>1177</v>
      </c>
      <c r="K65" s="7" t="s">
        <v>1178</v>
      </c>
      <c r="L65" s="7" t="s">
        <v>132</v>
      </c>
      <c r="M65" s="7" t="s">
        <v>133</v>
      </c>
      <c r="N65" s="30">
        <v>0</v>
      </c>
      <c r="O65" s="30">
        <v>0</v>
      </c>
      <c r="P65" s="30">
        <v>0</v>
      </c>
      <c r="Q65" s="30">
        <v>0</v>
      </c>
      <c r="R65" s="29">
        <v>0</v>
      </c>
      <c r="S65" s="36">
        <v>0</v>
      </c>
      <c r="T65" s="7" t="s">
        <v>131</v>
      </c>
      <c r="U65" s="7" t="s">
        <v>745</v>
      </c>
      <c r="V65" s="7" t="s">
        <v>745</v>
      </c>
      <c r="W65" s="7" t="s">
        <v>1177</v>
      </c>
      <c r="X65" s="30">
        <v>1</v>
      </c>
      <c r="Y65" s="7" t="s">
        <v>1177</v>
      </c>
      <c r="Z65" s="7" t="s">
        <v>1178</v>
      </c>
      <c r="AA65" s="30">
        <v>0</v>
      </c>
      <c r="AB65" s="36">
        <v>0</v>
      </c>
      <c r="AC65" s="7" t="s">
        <v>1177</v>
      </c>
      <c r="AD65" s="37">
        <v>0</v>
      </c>
      <c r="AE65" s="7" t="s">
        <v>1177</v>
      </c>
      <c r="AF65" s="7" t="s">
        <v>1177</v>
      </c>
      <c r="AG65" s="7" t="s">
        <v>1177</v>
      </c>
      <c r="AH65" s="38"/>
      <c r="AI65" s="36">
        <v>0</v>
      </c>
      <c r="AJ65" s="7" t="s">
        <v>1193</v>
      </c>
      <c r="AK65" s="7" t="s">
        <v>1177</v>
      </c>
      <c r="AL65" s="7" t="s">
        <v>1177</v>
      </c>
      <c r="AM65" s="7" t="s">
        <v>1177</v>
      </c>
      <c r="AN65" s="7" t="s">
        <v>3212</v>
      </c>
      <c r="AO65" s="7" t="s">
        <v>1177</v>
      </c>
      <c r="AP65" s="7" t="s">
        <v>1177</v>
      </c>
      <c r="AQ65" s="7" t="s">
        <v>1177</v>
      </c>
      <c r="AR65" s="29">
        <v>0</v>
      </c>
      <c r="AS65" s="7" t="s">
        <v>1177</v>
      </c>
      <c r="AT65" s="7" t="s">
        <v>1363</v>
      </c>
      <c r="AU65" s="38">
        <v>46275</v>
      </c>
      <c r="AV65" s="39">
        <v>0.60447916666667001</v>
      </c>
    </row>
    <row r="66" spans="1:48" x14ac:dyDescent="0.35">
      <c r="A66" t="str">
        <f t="shared" si="0"/>
        <v>51031B825</v>
      </c>
      <c r="B66" s="7" t="s">
        <v>3237</v>
      </c>
      <c r="C66" s="7" t="s">
        <v>511</v>
      </c>
      <c r="D66" s="7" t="s">
        <v>16</v>
      </c>
      <c r="E66" s="7" t="s">
        <v>1177</v>
      </c>
      <c r="F66" s="7" t="s">
        <v>128</v>
      </c>
      <c r="G66" s="7" t="s">
        <v>130</v>
      </c>
      <c r="H66" s="7" t="s">
        <v>129</v>
      </c>
      <c r="I66" s="30">
        <v>2</v>
      </c>
      <c r="J66" s="7" t="s">
        <v>1177</v>
      </c>
      <c r="K66" s="7" t="s">
        <v>1178</v>
      </c>
      <c r="L66" s="7" t="s">
        <v>132</v>
      </c>
      <c r="M66" s="7" t="s">
        <v>133</v>
      </c>
      <c r="N66" s="30">
        <v>0</v>
      </c>
      <c r="O66" s="30">
        <v>0</v>
      </c>
      <c r="P66" s="30">
        <v>0</v>
      </c>
      <c r="Q66" s="30">
        <v>0</v>
      </c>
      <c r="R66" s="29">
        <v>0</v>
      </c>
      <c r="S66" s="36">
        <v>0</v>
      </c>
      <c r="T66" s="7" t="s">
        <v>131</v>
      </c>
      <c r="U66" s="7" t="s">
        <v>512</v>
      </c>
      <c r="V66" s="7" t="s">
        <v>512</v>
      </c>
      <c r="W66" s="7" t="s">
        <v>1177</v>
      </c>
      <c r="X66" s="30">
        <v>1</v>
      </c>
      <c r="Y66" s="7" t="s">
        <v>1177</v>
      </c>
      <c r="Z66" s="7" t="s">
        <v>1178</v>
      </c>
      <c r="AA66" s="30">
        <v>0</v>
      </c>
      <c r="AB66" s="36">
        <v>0</v>
      </c>
      <c r="AC66" s="7" t="s">
        <v>1177</v>
      </c>
      <c r="AD66" s="37">
        <v>0</v>
      </c>
      <c r="AE66" s="7" t="s">
        <v>1177</v>
      </c>
      <c r="AF66" s="7" t="s">
        <v>1177</v>
      </c>
      <c r="AG66" s="7" t="s">
        <v>1177</v>
      </c>
      <c r="AH66" s="38"/>
      <c r="AI66" s="36">
        <v>0</v>
      </c>
      <c r="AJ66" s="7" t="s">
        <v>1193</v>
      </c>
      <c r="AK66" s="7" t="s">
        <v>1177</v>
      </c>
      <c r="AL66" s="7" t="s">
        <v>1177</v>
      </c>
      <c r="AM66" s="7" t="s">
        <v>1177</v>
      </c>
      <c r="AN66" s="7" t="s">
        <v>3212</v>
      </c>
      <c r="AO66" s="7" t="s">
        <v>1177</v>
      </c>
      <c r="AP66" s="7" t="s">
        <v>1177</v>
      </c>
      <c r="AQ66" s="7" t="s">
        <v>1177</v>
      </c>
      <c r="AR66" s="29">
        <v>0</v>
      </c>
      <c r="AS66" s="7" t="s">
        <v>1177</v>
      </c>
      <c r="AT66" s="7" t="s">
        <v>1363</v>
      </c>
      <c r="AU66" s="38">
        <v>46275</v>
      </c>
      <c r="AV66" s="39">
        <v>0.60353009259259005</v>
      </c>
    </row>
    <row r="67" spans="1:48" x14ac:dyDescent="0.35">
      <c r="A67" t="str">
        <f t="shared" ref="A67:A130" si="1">_xlfn.CONCAT(B67,D67)</f>
        <v>93312B838</v>
      </c>
      <c r="B67" s="7" t="s">
        <v>3238</v>
      </c>
      <c r="C67" s="7" t="s">
        <v>744</v>
      </c>
      <c r="D67" s="7" t="s">
        <v>48</v>
      </c>
      <c r="E67" s="7" t="s">
        <v>1177</v>
      </c>
      <c r="F67" s="7" t="s">
        <v>128</v>
      </c>
      <c r="G67" s="7" t="s">
        <v>130</v>
      </c>
      <c r="H67" s="7" t="s">
        <v>129</v>
      </c>
      <c r="I67" s="30">
        <v>2</v>
      </c>
      <c r="J67" s="7" t="s">
        <v>1177</v>
      </c>
      <c r="K67" s="7" t="s">
        <v>1178</v>
      </c>
      <c r="L67" s="7" t="s">
        <v>132</v>
      </c>
      <c r="M67" s="7" t="s">
        <v>133</v>
      </c>
      <c r="N67" s="30">
        <v>0</v>
      </c>
      <c r="O67" s="30">
        <v>0</v>
      </c>
      <c r="P67" s="30">
        <v>0</v>
      </c>
      <c r="Q67" s="30">
        <v>0</v>
      </c>
      <c r="R67" s="29">
        <v>0</v>
      </c>
      <c r="S67" s="36">
        <v>0</v>
      </c>
      <c r="T67" s="7" t="s">
        <v>131</v>
      </c>
      <c r="U67" s="7" t="s">
        <v>745</v>
      </c>
      <c r="V67" s="7" t="s">
        <v>745</v>
      </c>
      <c r="W67" s="7" t="s">
        <v>1177</v>
      </c>
      <c r="X67" s="30">
        <v>1</v>
      </c>
      <c r="Y67" s="7" t="s">
        <v>1177</v>
      </c>
      <c r="Z67" s="7" t="s">
        <v>1178</v>
      </c>
      <c r="AA67" s="30">
        <v>0</v>
      </c>
      <c r="AB67" s="36">
        <v>0</v>
      </c>
      <c r="AC67" s="7" t="s">
        <v>1177</v>
      </c>
      <c r="AD67" s="37">
        <v>0</v>
      </c>
      <c r="AE67" s="7" t="s">
        <v>1177</v>
      </c>
      <c r="AF67" s="7" t="s">
        <v>1177</v>
      </c>
      <c r="AG67" s="7" t="s">
        <v>1177</v>
      </c>
      <c r="AH67" s="38"/>
      <c r="AI67" s="36">
        <v>0</v>
      </c>
      <c r="AJ67" s="7" t="s">
        <v>1193</v>
      </c>
      <c r="AK67" s="7" t="s">
        <v>1177</v>
      </c>
      <c r="AL67" s="7" t="s">
        <v>1177</v>
      </c>
      <c r="AM67" s="7" t="s">
        <v>1177</v>
      </c>
      <c r="AN67" s="7" t="s">
        <v>3212</v>
      </c>
      <c r="AO67" s="7" t="s">
        <v>1177</v>
      </c>
      <c r="AP67" s="7" t="s">
        <v>1177</v>
      </c>
      <c r="AQ67" s="7" t="s">
        <v>1177</v>
      </c>
      <c r="AR67" s="29">
        <v>0</v>
      </c>
      <c r="AS67" s="7" t="s">
        <v>1177</v>
      </c>
      <c r="AT67" s="7" t="s">
        <v>1363</v>
      </c>
      <c r="AU67" s="38">
        <v>46275</v>
      </c>
      <c r="AV67" s="39">
        <v>0.60447916666667001</v>
      </c>
    </row>
    <row r="68" spans="1:48" x14ac:dyDescent="0.35">
      <c r="A68" t="str">
        <f t="shared" si="1"/>
        <v>94215B825</v>
      </c>
      <c r="B68" s="7" t="s">
        <v>3239</v>
      </c>
      <c r="C68" s="7" t="s">
        <v>511</v>
      </c>
      <c r="D68" s="7" t="s">
        <v>16</v>
      </c>
      <c r="E68" s="7" t="s">
        <v>1177</v>
      </c>
      <c r="F68" s="7" t="s">
        <v>128</v>
      </c>
      <c r="G68" s="7" t="s">
        <v>130</v>
      </c>
      <c r="H68" s="7" t="s">
        <v>129</v>
      </c>
      <c r="I68" s="30">
        <v>2</v>
      </c>
      <c r="J68" s="7" t="s">
        <v>1177</v>
      </c>
      <c r="K68" s="7" t="s">
        <v>1178</v>
      </c>
      <c r="L68" s="7" t="s">
        <v>132</v>
      </c>
      <c r="M68" s="7" t="s">
        <v>133</v>
      </c>
      <c r="N68" s="30">
        <v>0</v>
      </c>
      <c r="O68" s="30">
        <v>0</v>
      </c>
      <c r="P68" s="30">
        <v>0</v>
      </c>
      <c r="Q68" s="30">
        <v>0</v>
      </c>
      <c r="R68" s="29">
        <v>0</v>
      </c>
      <c r="S68" s="36">
        <v>0</v>
      </c>
      <c r="T68" s="7" t="s">
        <v>131</v>
      </c>
      <c r="U68" s="7" t="s">
        <v>512</v>
      </c>
      <c r="V68" s="7" t="s">
        <v>512</v>
      </c>
      <c r="W68" s="7" t="s">
        <v>1177</v>
      </c>
      <c r="X68" s="30">
        <v>1</v>
      </c>
      <c r="Y68" s="7" t="s">
        <v>1177</v>
      </c>
      <c r="Z68" s="7" t="s">
        <v>1178</v>
      </c>
      <c r="AA68" s="30">
        <v>0</v>
      </c>
      <c r="AB68" s="36">
        <v>0</v>
      </c>
      <c r="AC68" s="7" t="s">
        <v>1177</v>
      </c>
      <c r="AD68" s="37">
        <v>0</v>
      </c>
      <c r="AE68" s="7" t="s">
        <v>1177</v>
      </c>
      <c r="AF68" s="7" t="s">
        <v>1177</v>
      </c>
      <c r="AG68" s="7" t="s">
        <v>1177</v>
      </c>
      <c r="AH68" s="38"/>
      <c r="AI68" s="36">
        <v>0</v>
      </c>
      <c r="AJ68" s="7" t="s">
        <v>1193</v>
      </c>
      <c r="AK68" s="7" t="s">
        <v>1177</v>
      </c>
      <c r="AL68" s="7" t="s">
        <v>1177</v>
      </c>
      <c r="AM68" s="7" t="s">
        <v>1177</v>
      </c>
      <c r="AN68" s="7" t="s">
        <v>3212</v>
      </c>
      <c r="AO68" s="7" t="s">
        <v>1177</v>
      </c>
      <c r="AP68" s="7" t="s">
        <v>1177</v>
      </c>
      <c r="AQ68" s="7" t="s">
        <v>1177</v>
      </c>
      <c r="AR68" s="29">
        <v>0</v>
      </c>
      <c r="AS68" s="7" t="s">
        <v>1177</v>
      </c>
      <c r="AT68" s="7" t="s">
        <v>1363</v>
      </c>
      <c r="AU68" s="38">
        <v>46275</v>
      </c>
      <c r="AV68" s="39">
        <v>0.62302083333333003</v>
      </c>
    </row>
    <row r="69" spans="1:48" x14ac:dyDescent="0.35">
      <c r="A69" t="str">
        <f t="shared" si="1"/>
        <v>96589B825</v>
      </c>
      <c r="B69" s="7" t="s">
        <v>2005</v>
      </c>
      <c r="C69" s="7" t="s">
        <v>511</v>
      </c>
      <c r="D69" s="7" t="s">
        <v>16</v>
      </c>
      <c r="E69" s="7" t="s">
        <v>1177</v>
      </c>
      <c r="F69" s="7" t="s">
        <v>128</v>
      </c>
      <c r="G69" s="7" t="s">
        <v>130</v>
      </c>
      <c r="H69" s="7" t="s">
        <v>129</v>
      </c>
      <c r="I69" s="30">
        <v>20</v>
      </c>
      <c r="J69" s="7" t="s">
        <v>1177</v>
      </c>
      <c r="K69" s="7" t="s">
        <v>1178</v>
      </c>
      <c r="L69" s="7" t="s">
        <v>132</v>
      </c>
      <c r="M69" s="7" t="s">
        <v>133</v>
      </c>
      <c r="N69" s="30">
        <v>0</v>
      </c>
      <c r="O69" s="30">
        <v>0</v>
      </c>
      <c r="P69" s="30">
        <v>0</v>
      </c>
      <c r="Q69" s="30">
        <v>0</v>
      </c>
      <c r="R69" s="29">
        <v>0</v>
      </c>
      <c r="S69" s="36">
        <v>0</v>
      </c>
      <c r="T69" s="7" t="s">
        <v>131</v>
      </c>
      <c r="U69" s="7" t="s">
        <v>512</v>
      </c>
      <c r="V69" s="7" t="s">
        <v>512</v>
      </c>
      <c r="W69" s="7" t="s">
        <v>1177</v>
      </c>
      <c r="X69" s="30">
        <v>5</v>
      </c>
      <c r="Y69" s="7" t="s">
        <v>1177</v>
      </c>
      <c r="Z69" s="7" t="s">
        <v>1178</v>
      </c>
      <c r="AA69" s="30">
        <v>0</v>
      </c>
      <c r="AB69" s="36">
        <v>0</v>
      </c>
      <c r="AC69" s="7" t="s">
        <v>1177</v>
      </c>
      <c r="AD69" s="37">
        <v>0</v>
      </c>
      <c r="AE69" s="7" t="s">
        <v>1177</v>
      </c>
      <c r="AF69" s="7" t="s">
        <v>1177</v>
      </c>
      <c r="AG69" s="7" t="s">
        <v>1177</v>
      </c>
      <c r="AH69" s="38"/>
      <c r="AI69" s="36">
        <v>0</v>
      </c>
      <c r="AJ69" s="7" t="s">
        <v>1193</v>
      </c>
      <c r="AK69" s="7" t="s">
        <v>1177</v>
      </c>
      <c r="AL69" s="7" t="s">
        <v>1177</v>
      </c>
      <c r="AM69" s="7" t="s">
        <v>1177</v>
      </c>
      <c r="AN69" s="7" t="s">
        <v>3212</v>
      </c>
      <c r="AO69" s="7" t="s">
        <v>1177</v>
      </c>
      <c r="AP69" s="7" t="s">
        <v>1177</v>
      </c>
      <c r="AQ69" s="7" t="s">
        <v>1177</v>
      </c>
      <c r="AR69" s="29">
        <v>0</v>
      </c>
      <c r="AS69" s="7" t="s">
        <v>1177</v>
      </c>
      <c r="AT69" s="7" t="s">
        <v>1363</v>
      </c>
      <c r="AU69" s="38">
        <v>46275</v>
      </c>
      <c r="AV69" s="39">
        <v>0.60353009259259005</v>
      </c>
    </row>
    <row r="70" spans="1:48" x14ac:dyDescent="0.35">
      <c r="A70" t="str">
        <f t="shared" si="1"/>
        <v>96589B832</v>
      </c>
      <c r="B70" s="7" t="s">
        <v>2005</v>
      </c>
      <c r="C70" s="7" t="s">
        <v>653</v>
      </c>
      <c r="D70" s="7" t="s">
        <v>19</v>
      </c>
      <c r="E70" s="7" t="s">
        <v>1177</v>
      </c>
      <c r="F70" s="7" t="s">
        <v>128</v>
      </c>
      <c r="G70" s="7" t="s">
        <v>130</v>
      </c>
      <c r="H70" s="7" t="s">
        <v>129</v>
      </c>
      <c r="I70" s="30">
        <v>2</v>
      </c>
      <c r="J70" s="7" t="s">
        <v>1177</v>
      </c>
      <c r="K70" s="7" t="s">
        <v>1178</v>
      </c>
      <c r="L70" s="7" t="s">
        <v>132</v>
      </c>
      <c r="M70" s="7" t="s">
        <v>133</v>
      </c>
      <c r="N70" s="30">
        <v>0</v>
      </c>
      <c r="O70" s="30">
        <v>0</v>
      </c>
      <c r="P70" s="30">
        <v>0</v>
      </c>
      <c r="Q70" s="30">
        <v>0</v>
      </c>
      <c r="R70" s="29">
        <v>0</v>
      </c>
      <c r="S70" s="36">
        <v>0</v>
      </c>
      <c r="T70" s="7" t="s">
        <v>131</v>
      </c>
      <c r="U70" s="7" t="s">
        <v>654</v>
      </c>
      <c r="V70" s="7" t="s">
        <v>654</v>
      </c>
      <c r="W70" s="7" t="s">
        <v>1177</v>
      </c>
      <c r="X70" s="30">
        <v>1</v>
      </c>
      <c r="Y70" s="7" t="s">
        <v>1177</v>
      </c>
      <c r="Z70" s="7" t="s">
        <v>1178</v>
      </c>
      <c r="AA70" s="30">
        <v>0</v>
      </c>
      <c r="AB70" s="36">
        <v>0</v>
      </c>
      <c r="AC70" s="7" t="s">
        <v>1177</v>
      </c>
      <c r="AD70" s="37">
        <v>0</v>
      </c>
      <c r="AE70" s="7" t="s">
        <v>1177</v>
      </c>
      <c r="AF70" s="7" t="s">
        <v>1177</v>
      </c>
      <c r="AG70" s="7" t="s">
        <v>1177</v>
      </c>
      <c r="AH70" s="38"/>
      <c r="AI70" s="36">
        <v>0</v>
      </c>
      <c r="AJ70" s="7" t="s">
        <v>1193</v>
      </c>
      <c r="AK70" s="7" t="s">
        <v>1177</v>
      </c>
      <c r="AL70" s="7" t="s">
        <v>1177</v>
      </c>
      <c r="AM70" s="7" t="s">
        <v>1177</v>
      </c>
      <c r="AN70" s="7" t="s">
        <v>3212</v>
      </c>
      <c r="AO70" s="7" t="s">
        <v>1177</v>
      </c>
      <c r="AP70" s="7" t="s">
        <v>1177</v>
      </c>
      <c r="AQ70" s="7" t="s">
        <v>1177</v>
      </c>
      <c r="AR70" s="29">
        <v>0</v>
      </c>
      <c r="AS70" s="7" t="s">
        <v>1177</v>
      </c>
      <c r="AT70" s="7" t="s">
        <v>1363</v>
      </c>
      <c r="AU70" s="38">
        <v>46275</v>
      </c>
      <c r="AV70" s="39">
        <v>0.60391203703703999</v>
      </c>
    </row>
    <row r="71" spans="1:48" x14ac:dyDescent="0.35">
      <c r="A71" t="str">
        <f t="shared" si="1"/>
        <v>96589B865</v>
      </c>
      <c r="B71" s="7" t="s">
        <v>2005</v>
      </c>
      <c r="C71" s="7" t="s">
        <v>1039</v>
      </c>
      <c r="D71" s="7" t="s">
        <v>7</v>
      </c>
      <c r="E71" s="7" t="s">
        <v>1177</v>
      </c>
      <c r="F71" s="7" t="s">
        <v>128</v>
      </c>
      <c r="G71" s="7" t="s">
        <v>130</v>
      </c>
      <c r="H71" s="7" t="s">
        <v>129</v>
      </c>
      <c r="I71" s="30">
        <v>12</v>
      </c>
      <c r="J71" s="7" t="s">
        <v>1177</v>
      </c>
      <c r="K71" s="7" t="s">
        <v>1178</v>
      </c>
      <c r="L71" s="7" t="s">
        <v>132</v>
      </c>
      <c r="M71" s="7" t="s">
        <v>133</v>
      </c>
      <c r="N71" s="30">
        <v>0</v>
      </c>
      <c r="O71" s="30">
        <v>0</v>
      </c>
      <c r="P71" s="30">
        <v>0</v>
      </c>
      <c r="Q71" s="30">
        <v>0</v>
      </c>
      <c r="R71" s="29">
        <v>0</v>
      </c>
      <c r="S71" s="36">
        <v>0</v>
      </c>
      <c r="T71" s="7" t="s">
        <v>131</v>
      </c>
      <c r="U71" s="7" t="s">
        <v>1040</v>
      </c>
      <c r="V71" s="7" t="s">
        <v>1040</v>
      </c>
      <c r="W71" s="7" t="s">
        <v>1177</v>
      </c>
      <c r="X71" s="30">
        <v>3</v>
      </c>
      <c r="Y71" s="7" t="s">
        <v>1177</v>
      </c>
      <c r="Z71" s="7" t="s">
        <v>1178</v>
      </c>
      <c r="AA71" s="30">
        <v>0</v>
      </c>
      <c r="AB71" s="36">
        <v>0</v>
      </c>
      <c r="AC71" s="7" t="s">
        <v>1177</v>
      </c>
      <c r="AD71" s="37">
        <v>0</v>
      </c>
      <c r="AE71" s="7" t="s">
        <v>1177</v>
      </c>
      <c r="AF71" s="7" t="s">
        <v>1177</v>
      </c>
      <c r="AG71" s="7" t="s">
        <v>1177</v>
      </c>
      <c r="AH71" s="38"/>
      <c r="AI71" s="36">
        <v>0</v>
      </c>
      <c r="AJ71" s="7" t="s">
        <v>1193</v>
      </c>
      <c r="AK71" s="7" t="s">
        <v>1177</v>
      </c>
      <c r="AL71" s="7" t="s">
        <v>1177</v>
      </c>
      <c r="AM71" s="7" t="s">
        <v>1177</v>
      </c>
      <c r="AN71" s="7" t="s">
        <v>3212</v>
      </c>
      <c r="AO71" s="7" t="s">
        <v>1177</v>
      </c>
      <c r="AP71" s="7" t="s">
        <v>1177</v>
      </c>
      <c r="AQ71" s="7" t="s">
        <v>1177</v>
      </c>
      <c r="AR71" s="29">
        <v>0</v>
      </c>
      <c r="AS71" s="7" t="s">
        <v>1177</v>
      </c>
      <c r="AT71" s="7" t="s">
        <v>1363</v>
      </c>
      <c r="AU71" s="38">
        <v>46275</v>
      </c>
      <c r="AV71" s="39">
        <v>0.60550925925926002</v>
      </c>
    </row>
    <row r="72" spans="1:48" x14ac:dyDescent="0.35">
      <c r="A72" t="str">
        <f t="shared" si="1"/>
        <v>108184B825</v>
      </c>
      <c r="B72" s="7" t="s">
        <v>3240</v>
      </c>
      <c r="C72" s="7" t="s">
        <v>511</v>
      </c>
      <c r="D72" s="7" t="s">
        <v>16</v>
      </c>
      <c r="E72" s="7" t="s">
        <v>1177</v>
      </c>
      <c r="F72" s="7" t="s">
        <v>128</v>
      </c>
      <c r="G72" s="7" t="s">
        <v>130</v>
      </c>
      <c r="H72" s="7" t="s">
        <v>129</v>
      </c>
      <c r="I72" s="30">
        <v>2</v>
      </c>
      <c r="J72" s="7" t="s">
        <v>1177</v>
      </c>
      <c r="K72" s="7" t="s">
        <v>1178</v>
      </c>
      <c r="L72" s="7" t="s">
        <v>132</v>
      </c>
      <c r="M72" s="7" t="s">
        <v>133</v>
      </c>
      <c r="N72" s="30">
        <v>0</v>
      </c>
      <c r="O72" s="30">
        <v>0</v>
      </c>
      <c r="P72" s="30">
        <v>0</v>
      </c>
      <c r="Q72" s="30">
        <v>0</v>
      </c>
      <c r="R72" s="29">
        <v>0</v>
      </c>
      <c r="S72" s="36">
        <v>0</v>
      </c>
      <c r="T72" s="7" t="s">
        <v>131</v>
      </c>
      <c r="U72" s="7" t="s">
        <v>512</v>
      </c>
      <c r="V72" s="7" t="s">
        <v>512</v>
      </c>
      <c r="W72" s="7" t="s">
        <v>1177</v>
      </c>
      <c r="X72" s="30">
        <v>1</v>
      </c>
      <c r="Y72" s="7" t="s">
        <v>1177</v>
      </c>
      <c r="Z72" s="7" t="s">
        <v>1178</v>
      </c>
      <c r="AA72" s="30">
        <v>0</v>
      </c>
      <c r="AB72" s="36">
        <v>0</v>
      </c>
      <c r="AC72" s="7" t="s">
        <v>1177</v>
      </c>
      <c r="AD72" s="37">
        <v>0</v>
      </c>
      <c r="AE72" s="7" t="s">
        <v>1177</v>
      </c>
      <c r="AF72" s="7" t="s">
        <v>1177</v>
      </c>
      <c r="AG72" s="7" t="s">
        <v>1177</v>
      </c>
      <c r="AH72" s="38"/>
      <c r="AI72" s="36">
        <v>0</v>
      </c>
      <c r="AJ72" s="7" t="s">
        <v>1193</v>
      </c>
      <c r="AK72" s="7" t="s">
        <v>1177</v>
      </c>
      <c r="AL72" s="7" t="s">
        <v>1177</v>
      </c>
      <c r="AM72" s="7" t="s">
        <v>1177</v>
      </c>
      <c r="AN72" s="7" t="s">
        <v>3212</v>
      </c>
      <c r="AO72" s="7" t="s">
        <v>1177</v>
      </c>
      <c r="AP72" s="7" t="s">
        <v>1177</v>
      </c>
      <c r="AQ72" s="7" t="s">
        <v>1177</v>
      </c>
      <c r="AR72" s="29">
        <v>0</v>
      </c>
      <c r="AS72" s="7" t="s">
        <v>1177</v>
      </c>
      <c r="AT72" s="7" t="s">
        <v>1363</v>
      </c>
      <c r="AU72" s="38">
        <v>46275</v>
      </c>
      <c r="AV72" s="39">
        <v>0.60353009259259005</v>
      </c>
    </row>
    <row r="73" spans="1:48" x14ac:dyDescent="0.35">
      <c r="A73" t="str">
        <f t="shared" si="1"/>
        <v>109109B832</v>
      </c>
      <c r="B73" s="7" t="s">
        <v>3241</v>
      </c>
      <c r="C73" s="7" t="s">
        <v>653</v>
      </c>
      <c r="D73" s="7" t="s">
        <v>19</v>
      </c>
      <c r="E73" s="7" t="s">
        <v>1177</v>
      </c>
      <c r="F73" s="7" t="s">
        <v>128</v>
      </c>
      <c r="G73" s="7" t="s">
        <v>130</v>
      </c>
      <c r="H73" s="7" t="s">
        <v>129</v>
      </c>
      <c r="I73" s="30">
        <v>2</v>
      </c>
      <c r="J73" s="7" t="s">
        <v>1177</v>
      </c>
      <c r="K73" s="7" t="s">
        <v>1178</v>
      </c>
      <c r="L73" s="7" t="s">
        <v>132</v>
      </c>
      <c r="M73" s="7" t="s">
        <v>133</v>
      </c>
      <c r="N73" s="30">
        <v>0</v>
      </c>
      <c r="O73" s="30">
        <v>0</v>
      </c>
      <c r="P73" s="30">
        <v>0</v>
      </c>
      <c r="Q73" s="30">
        <v>0</v>
      </c>
      <c r="R73" s="29">
        <v>0</v>
      </c>
      <c r="S73" s="36">
        <v>0</v>
      </c>
      <c r="T73" s="7" t="s">
        <v>131</v>
      </c>
      <c r="U73" s="7" t="s">
        <v>654</v>
      </c>
      <c r="V73" s="7" t="s">
        <v>654</v>
      </c>
      <c r="W73" s="7" t="s">
        <v>1177</v>
      </c>
      <c r="X73" s="30">
        <v>1</v>
      </c>
      <c r="Y73" s="7" t="s">
        <v>1177</v>
      </c>
      <c r="Z73" s="7" t="s">
        <v>1178</v>
      </c>
      <c r="AA73" s="30">
        <v>0</v>
      </c>
      <c r="AB73" s="36">
        <v>0</v>
      </c>
      <c r="AC73" s="7" t="s">
        <v>1177</v>
      </c>
      <c r="AD73" s="37">
        <v>0</v>
      </c>
      <c r="AE73" s="7" t="s">
        <v>1177</v>
      </c>
      <c r="AF73" s="7" t="s">
        <v>1177</v>
      </c>
      <c r="AG73" s="7" t="s">
        <v>1177</v>
      </c>
      <c r="AH73" s="38"/>
      <c r="AI73" s="36">
        <v>0</v>
      </c>
      <c r="AJ73" s="7" t="s">
        <v>1193</v>
      </c>
      <c r="AK73" s="7" t="s">
        <v>1177</v>
      </c>
      <c r="AL73" s="7" t="s">
        <v>1177</v>
      </c>
      <c r="AM73" s="7" t="s">
        <v>1177</v>
      </c>
      <c r="AN73" s="7" t="s">
        <v>3212</v>
      </c>
      <c r="AO73" s="7" t="s">
        <v>1177</v>
      </c>
      <c r="AP73" s="7" t="s">
        <v>1177</v>
      </c>
      <c r="AQ73" s="7" t="s">
        <v>1177</v>
      </c>
      <c r="AR73" s="29">
        <v>0</v>
      </c>
      <c r="AS73" s="7" t="s">
        <v>1177</v>
      </c>
      <c r="AT73" s="7" t="s">
        <v>1363</v>
      </c>
      <c r="AU73" s="38">
        <v>46275</v>
      </c>
      <c r="AV73" s="39">
        <v>0.60391203703703999</v>
      </c>
    </row>
    <row r="74" spans="1:48" x14ac:dyDescent="0.35">
      <c r="A74" t="str">
        <f t="shared" si="1"/>
        <v>109109B865</v>
      </c>
      <c r="B74" s="7" t="s">
        <v>3241</v>
      </c>
      <c r="C74" s="7" t="s">
        <v>1039</v>
      </c>
      <c r="D74" s="7" t="s">
        <v>7</v>
      </c>
      <c r="E74" s="7" t="s">
        <v>1177</v>
      </c>
      <c r="F74" s="7" t="s">
        <v>128</v>
      </c>
      <c r="G74" s="7" t="s">
        <v>130</v>
      </c>
      <c r="H74" s="7" t="s">
        <v>129</v>
      </c>
      <c r="I74" s="30">
        <v>2</v>
      </c>
      <c r="J74" s="7" t="s">
        <v>1177</v>
      </c>
      <c r="K74" s="7" t="s">
        <v>1178</v>
      </c>
      <c r="L74" s="7" t="s">
        <v>132</v>
      </c>
      <c r="M74" s="7" t="s">
        <v>133</v>
      </c>
      <c r="N74" s="30">
        <v>0</v>
      </c>
      <c r="O74" s="30">
        <v>0</v>
      </c>
      <c r="P74" s="30">
        <v>0</v>
      </c>
      <c r="Q74" s="30">
        <v>0</v>
      </c>
      <c r="R74" s="29">
        <v>0</v>
      </c>
      <c r="S74" s="36">
        <v>0</v>
      </c>
      <c r="T74" s="7" t="s">
        <v>131</v>
      </c>
      <c r="U74" s="7" t="s">
        <v>1040</v>
      </c>
      <c r="V74" s="7" t="s">
        <v>1040</v>
      </c>
      <c r="W74" s="7" t="s">
        <v>1177</v>
      </c>
      <c r="X74" s="30">
        <v>1</v>
      </c>
      <c r="Y74" s="7" t="s">
        <v>1177</v>
      </c>
      <c r="Z74" s="7" t="s">
        <v>1178</v>
      </c>
      <c r="AA74" s="30">
        <v>0</v>
      </c>
      <c r="AB74" s="36">
        <v>0</v>
      </c>
      <c r="AC74" s="7" t="s">
        <v>1177</v>
      </c>
      <c r="AD74" s="37">
        <v>0</v>
      </c>
      <c r="AE74" s="7" t="s">
        <v>1177</v>
      </c>
      <c r="AF74" s="7" t="s">
        <v>1177</v>
      </c>
      <c r="AG74" s="7" t="s">
        <v>1177</v>
      </c>
      <c r="AH74" s="38"/>
      <c r="AI74" s="36">
        <v>0</v>
      </c>
      <c r="AJ74" s="7" t="s">
        <v>1193</v>
      </c>
      <c r="AK74" s="7" t="s">
        <v>1177</v>
      </c>
      <c r="AL74" s="7" t="s">
        <v>1177</v>
      </c>
      <c r="AM74" s="7" t="s">
        <v>1177</v>
      </c>
      <c r="AN74" s="7" t="s">
        <v>3212</v>
      </c>
      <c r="AO74" s="7" t="s">
        <v>1177</v>
      </c>
      <c r="AP74" s="7" t="s">
        <v>1177</v>
      </c>
      <c r="AQ74" s="7" t="s">
        <v>1177</v>
      </c>
      <c r="AR74" s="29">
        <v>0</v>
      </c>
      <c r="AS74" s="7" t="s">
        <v>1177</v>
      </c>
      <c r="AT74" s="7" t="s">
        <v>1363</v>
      </c>
      <c r="AU74" s="38">
        <v>46275</v>
      </c>
      <c r="AV74" s="39">
        <v>0.60550925925926002</v>
      </c>
    </row>
    <row r="75" spans="1:48" x14ac:dyDescent="0.35">
      <c r="A75" t="str">
        <f t="shared" si="1"/>
        <v>109534B825</v>
      </c>
      <c r="B75" s="7" t="s">
        <v>3242</v>
      </c>
      <c r="C75" s="7" t="s">
        <v>511</v>
      </c>
      <c r="D75" s="7" t="s">
        <v>16</v>
      </c>
      <c r="E75" s="7" t="s">
        <v>1177</v>
      </c>
      <c r="F75" s="7" t="s">
        <v>128</v>
      </c>
      <c r="G75" s="7" t="s">
        <v>130</v>
      </c>
      <c r="H75" s="7" t="s">
        <v>129</v>
      </c>
      <c r="I75" s="30">
        <v>2</v>
      </c>
      <c r="J75" s="7" t="s">
        <v>1177</v>
      </c>
      <c r="K75" s="7" t="s">
        <v>1178</v>
      </c>
      <c r="L75" s="7" t="s">
        <v>132</v>
      </c>
      <c r="M75" s="7" t="s">
        <v>133</v>
      </c>
      <c r="N75" s="30">
        <v>0</v>
      </c>
      <c r="O75" s="30">
        <v>0</v>
      </c>
      <c r="P75" s="30">
        <v>0</v>
      </c>
      <c r="Q75" s="30">
        <v>0</v>
      </c>
      <c r="R75" s="29">
        <v>0</v>
      </c>
      <c r="S75" s="36">
        <v>0</v>
      </c>
      <c r="T75" s="7" t="s">
        <v>131</v>
      </c>
      <c r="U75" s="7" t="s">
        <v>512</v>
      </c>
      <c r="V75" s="7" t="s">
        <v>512</v>
      </c>
      <c r="W75" s="7" t="s">
        <v>1177</v>
      </c>
      <c r="X75" s="30">
        <v>1</v>
      </c>
      <c r="Y75" s="7" t="s">
        <v>1177</v>
      </c>
      <c r="Z75" s="7" t="s">
        <v>1178</v>
      </c>
      <c r="AA75" s="30">
        <v>0</v>
      </c>
      <c r="AB75" s="36">
        <v>0</v>
      </c>
      <c r="AC75" s="7" t="s">
        <v>1177</v>
      </c>
      <c r="AD75" s="37">
        <v>0</v>
      </c>
      <c r="AE75" s="7" t="s">
        <v>1177</v>
      </c>
      <c r="AF75" s="7" t="s">
        <v>1177</v>
      </c>
      <c r="AG75" s="7" t="s">
        <v>1177</v>
      </c>
      <c r="AH75" s="38"/>
      <c r="AI75" s="36">
        <v>0</v>
      </c>
      <c r="AJ75" s="7" t="s">
        <v>1193</v>
      </c>
      <c r="AK75" s="7" t="s">
        <v>1177</v>
      </c>
      <c r="AL75" s="7" t="s">
        <v>1177</v>
      </c>
      <c r="AM75" s="7" t="s">
        <v>1177</v>
      </c>
      <c r="AN75" s="7" t="s">
        <v>3212</v>
      </c>
      <c r="AO75" s="7" t="s">
        <v>1177</v>
      </c>
      <c r="AP75" s="7" t="s">
        <v>1177</v>
      </c>
      <c r="AQ75" s="7" t="s">
        <v>1177</v>
      </c>
      <c r="AR75" s="29">
        <v>0</v>
      </c>
      <c r="AS75" s="7" t="s">
        <v>1177</v>
      </c>
      <c r="AT75" s="7" t="s">
        <v>1363</v>
      </c>
      <c r="AU75" s="38">
        <v>46275</v>
      </c>
      <c r="AV75" s="39">
        <v>0.60353009259259005</v>
      </c>
    </row>
    <row r="76" spans="1:48" x14ac:dyDescent="0.35">
      <c r="A76" t="str">
        <f t="shared" si="1"/>
        <v>109534B857</v>
      </c>
      <c r="B76" s="7" t="s">
        <v>3242</v>
      </c>
      <c r="C76" s="7" t="s">
        <v>958</v>
      </c>
      <c r="D76" s="7" t="s">
        <v>23</v>
      </c>
      <c r="E76" s="7" t="s">
        <v>1177</v>
      </c>
      <c r="F76" s="7" t="s">
        <v>128</v>
      </c>
      <c r="G76" s="7" t="s">
        <v>130</v>
      </c>
      <c r="H76" s="7" t="s">
        <v>129</v>
      </c>
      <c r="I76" s="30">
        <v>1</v>
      </c>
      <c r="J76" s="7" t="s">
        <v>1177</v>
      </c>
      <c r="K76" s="7" t="s">
        <v>1178</v>
      </c>
      <c r="L76" s="7" t="s">
        <v>132</v>
      </c>
      <c r="M76" s="7" t="s">
        <v>133</v>
      </c>
      <c r="N76" s="30">
        <v>0</v>
      </c>
      <c r="O76" s="30">
        <v>0</v>
      </c>
      <c r="P76" s="30">
        <v>0</v>
      </c>
      <c r="Q76" s="30">
        <v>0</v>
      </c>
      <c r="R76" s="29">
        <v>0</v>
      </c>
      <c r="S76" s="36">
        <v>0</v>
      </c>
      <c r="T76" s="7" t="s">
        <v>131</v>
      </c>
      <c r="U76" s="7" t="s">
        <v>959</v>
      </c>
      <c r="V76" s="7" t="s">
        <v>959</v>
      </c>
      <c r="W76" s="7" t="s">
        <v>1177</v>
      </c>
      <c r="X76" s="30">
        <v>1</v>
      </c>
      <c r="Y76" s="7" t="s">
        <v>1177</v>
      </c>
      <c r="Z76" s="7" t="s">
        <v>1178</v>
      </c>
      <c r="AA76" s="30">
        <v>0</v>
      </c>
      <c r="AB76" s="36">
        <v>0</v>
      </c>
      <c r="AC76" s="7" t="s">
        <v>1177</v>
      </c>
      <c r="AD76" s="37">
        <v>0</v>
      </c>
      <c r="AE76" s="7" t="s">
        <v>1177</v>
      </c>
      <c r="AF76" s="7" t="s">
        <v>1177</v>
      </c>
      <c r="AG76" s="7" t="s">
        <v>1177</v>
      </c>
      <c r="AH76" s="38"/>
      <c r="AI76" s="36">
        <v>0</v>
      </c>
      <c r="AJ76" s="7" t="s">
        <v>1193</v>
      </c>
      <c r="AK76" s="7" t="s">
        <v>1177</v>
      </c>
      <c r="AL76" s="7" t="s">
        <v>1177</v>
      </c>
      <c r="AM76" s="7" t="s">
        <v>1177</v>
      </c>
      <c r="AN76" s="7" t="s">
        <v>3212</v>
      </c>
      <c r="AO76" s="7" t="s">
        <v>1177</v>
      </c>
      <c r="AP76" s="7" t="s">
        <v>1177</v>
      </c>
      <c r="AQ76" s="7" t="s">
        <v>1177</v>
      </c>
      <c r="AR76" s="29">
        <v>0</v>
      </c>
      <c r="AS76" s="7" t="s">
        <v>1177</v>
      </c>
      <c r="AT76" s="7" t="s">
        <v>1363</v>
      </c>
      <c r="AU76" s="38">
        <v>46275</v>
      </c>
      <c r="AV76" s="39">
        <v>0.60531250000000003</v>
      </c>
    </row>
    <row r="77" spans="1:48" x14ac:dyDescent="0.35">
      <c r="A77" t="str">
        <f t="shared" si="1"/>
        <v>109534B867</v>
      </c>
      <c r="B77" s="7" t="s">
        <v>3242</v>
      </c>
      <c r="C77" s="7" t="s">
        <v>1059</v>
      </c>
      <c r="D77" s="7" t="s">
        <v>25</v>
      </c>
      <c r="E77" s="7" t="s">
        <v>1177</v>
      </c>
      <c r="F77" s="7" t="s">
        <v>128</v>
      </c>
      <c r="G77" s="7" t="s">
        <v>130</v>
      </c>
      <c r="H77" s="7" t="s">
        <v>129</v>
      </c>
      <c r="I77" s="30">
        <v>2</v>
      </c>
      <c r="J77" s="7" t="s">
        <v>1177</v>
      </c>
      <c r="K77" s="7" t="s">
        <v>1178</v>
      </c>
      <c r="L77" s="7" t="s">
        <v>132</v>
      </c>
      <c r="M77" s="7" t="s">
        <v>133</v>
      </c>
      <c r="N77" s="30">
        <v>0</v>
      </c>
      <c r="O77" s="30">
        <v>0</v>
      </c>
      <c r="P77" s="30">
        <v>0</v>
      </c>
      <c r="Q77" s="30">
        <v>0</v>
      </c>
      <c r="R77" s="29">
        <v>0</v>
      </c>
      <c r="S77" s="36">
        <v>0</v>
      </c>
      <c r="T77" s="7" t="s">
        <v>131</v>
      </c>
      <c r="U77" s="7" t="s">
        <v>1060</v>
      </c>
      <c r="V77" s="7" t="s">
        <v>1060</v>
      </c>
      <c r="W77" s="7" t="s">
        <v>1177</v>
      </c>
      <c r="X77" s="30">
        <v>1</v>
      </c>
      <c r="Y77" s="7" t="s">
        <v>1177</v>
      </c>
      <c r="Z77" s="7" t="s">
        <v>1178</v>
      </c>
      <c r="AA77" s="30">
        <v>0</v>
      </c>
      <c r="AB77" s="36">
        <v>0</v>
      </c>
      <c r="AC77" s="7" t="s">
        <v>1177</v>
      </c>
      <c r="AD77" s="37">
        <v>0</v>
      </c>
      <c r="AE77" s="7" t="s">
        <v>1177</v>
      </c>
      <c r="AF77" s="7" t="s">
        <v>1177</v>
      </c>
      <c r="AG77" s="7" t="s">
        <v>1177</v>
      </c>
      <c r="AH77" s="38"/>
      <c r="AI77" s="36">
        <v>0</v>
      </c>
      <c r="AJ77" s="7" t="s">
        <v>1193</v>
      </c>
      <c r="AK77" s="7" t="s">
        <v>1177</v>
      </c>
      <c r="AL77" s="7" t="s">
        <v>1177</v>
      </c>
      <c r="AM77" s="7" t="s">
        <v>1177</v>
      </c>
      <c r="AN77" s="7" t="s">
        <v>3212</v>
      </c>
      <c r="AO77" s="7" t="s">
        <v>1177</v>
      </c>
      <c r="AP77" s="7" t="s">
        <v>1177</v>
      </c>
      <c r="AQ77" s="7" t="s">
        <v>1177</v>
      </c>
      <c r="AR77" s="29">
        <v>0</v>
      </c>
      <c r="AS77" s="7" t="s">
        <v>1177</v>
      </c>
      <c r="AT77" s="7" t="s">
        <v>1363</v>
      </c>
      <c r="AU77" s="38">
        <v>46275</v>
      </c>
      <c r="AV77" s="39">
        <v>0.60569444444443998</v>
      </c>
    </row>
    <row r="78" spans="1:48" x14ac:dyDescent="0.35">
      <c r="A78" t="str">
        <f t="shared" si="1"/>
        <v>109537B825</v>
      </c>
      <c r="B78" s="7" t="s">
        <v>1336</v>
      </c>
      <c r="C78" s="7" t="s">
        <v>511</v>
      </c>
      <c r="D78" s="7" t="s">
        <v>16</v>
      </c>
      <c r="E78" s="7" t="s">
        <v>1177</v>
      </c>
      <c r="F78" s="7" t="s">
        <v>128</v>
      </c>
      <c r="G78" s="7" t="s">
        <v>130</v>
      </c>
      <c r="H78" s="7" t="s">
        <v>129</v>
      </c>
      <c r="I78" s="30">
        <v>2</v>
      </c>
      <c r="J78" s="7" t="s">
        <v>1177</v>
      </c>
      <c r="K78" s="7" t="s">
        <v>1178</v>
      </c>
      <c r="L78" s="7" t="s">
        <v>132</v>
      </c>
      <c r="M78" s="7" t="s">
        <v>133</v>
      </c>
      <c r="N78" s="30">
        <v>0</v>
      </c>
      <c r="O78" s="30">
        <v>0</v>
      </c>
      <c r="P78" s="30">
        <v>0</v>
      </c>
      <c r="Q78" s="30">
        <v>0</v>
      </c>
      <c r="R78" s="29">
        <v>0</v>
      </c>
      <c r="S78" s="36">
        <v>0</v>
      </c>
      <c r="T78" s="7" t="s">
        <v>131</v>
      </c>
      <c r="U78" s="7" t="s">
        <v>512</v>
      </c>
      <c r="V78" s="7" t="s">
        <v>512</v>
      </c>
      <c r="W78" s="7" t="s">
        <v>1177</v>
      </c>
      <c r="X78" s="30">
        <v>1</v>
      </c>
      <c r="Y78" s="7" t="s">
        <v>1177</v>
      </c>
      <c r="Z78" s="7" t="s">
        <v>1178</v>
      </c>
      <c r="AA78" s="30">
        <v>0</v>
      </c>
      <c r="AB78" s="36">
        <v>0</v>
      </c>
      <c r="AC78" s="7" t="s">
        <v>1177</v>
      </c>
      <c r="AD78" s="37">
        <v>0</v>
      </c>
      <c r="AE78" s="7" t="s">
        <v>1177</v>
      </c>
      <c r="AF78" s="7" t="s">
        <v>1177</v>
      </c>
      <c r="AG78" s="7" t="s">
        <v>1177</v>
      </c>
      <c r="AH78" s="38"/>
      <c r="AI78" s="36">
        <v>0</v>
      </c>
      <c r="AJ78" s="7" t="s">
        <v>1193</v>
      </c>
      <c r="AK78" s="7" t="s">
        <v>1177</v>
      </c>
      <c r="AL78" s="7" t="s">
        <v>1177</v>
      </c>
      <c r="AM78" s="7" t="s">
        <v>1177</v>
      </c>
      <c r="AN78" s="7" t="s">
        <v>3212</v>
      </c>
      <c r="AO78" s="7" t="s">
        <v>1177</v>
      </c>
      <c r="AP78" s="7" t="s">
        <v>1177</v>
      </c>
      <c r="AQ78" s="7" t="s">
        <v>1177</v>
      </c>
      <c r="AR78" s="29">
        <v>0</v>
      </c>
      <c r="AS78" s="7" t="s">
        <v>1177</v>
      </c>
      <c r="AT78" s="7" t="s">
        <v>1363</v>
      </c>
      <c r="AU78" s="38">
        <v>46275</v>
      </c>
      <c r="AV78" s="39">
        <v>0.60353009259259005</v>
      </c>
    </row>
    <row r="79" spans="1:48" x14ac:dyDescent="0.35">
      <c r="A79" t="str">
        <f t="shared" si="1"/>
        <v>109537B832</v>
      </c>
      <c r="B79" s="7" t="s">
        <v>1336</v>
      </c>
      <c r="C79" s="7" t="s">
        <v>653</v>
      </c>
      <c r="D79" s="7" t="s">
        <v>19</v>
      </c>
      <c r="E79" s="7" t="s">
        <v>1177</v>
      </c>
      <c r="F79" s="7" t="s">
        <v>128</v>
      </c>
      <c r="G79" s="7" t="s">
        <v>130</v>
      </c>
      <c r="H79" s="7" t="s">
        <v>129</v>
      </c>
      <c r="I79" s="30">
        <v>2</v>
      </c>
      <c r="J79" s="7" t="s">
        <v>1177</v>
      </c>
      <c r="K79" s="7" t="s">
        <v>1178</v>
      </c>
      <c r="L79" s="7" t="s">
        <v>132</v>
      </c>
      <c r="M79" s="7" t="s">
        <v>133</v>
      </c>
      <c r="N79" s="30">
        <v>0</v>
      </c>
      <c r="O79" s="30">
        <v>0</v>
      </c>
      <c r="P79" s="30">
        <v>0</v>
      </c>
      <c r="Q79" s="30">
        <v>0</v>
      </c>
      <c r="R79" s="29">
        <v>0</v>
      </c>
      <c r="S79" s="36">
        <v>0</v>
      </c>
      <c r="T79" s="7" t="s">
        <v>131</v>
      </c>
      <c r="U79" s="7" t="s">
        <v>654</v>
      </c>
      <c r="V79" s="7" t="s">
        <v>654</v>
      </c>
      <c r="W79" s="7" t="s">
        <v>1177</v>
      </c>
      <c r="X79" s="30">
        <v>1</v>
      </c>
      <c r="Y79" s="7" t="s">
        <v>1177</v>
      </c>
      <c r="Z79" s="7" t="s">
        <v>1178</v>
      </c>
      <c r="AA79" s="30">
        <v>0</v>
      </c>
      <c r="AB79" s="36">
        <v>0</v>
      </c>
      <c r="AC79" s="7" t="s">
        <v>1177</v>
      </c>
      <c r="AD79" s="37">
        <v>0</v>
      </c>
      <c r="AE79" s="7" t="s">
        <v>1177</v>
      </c>
      <c r="AF79" s="7" t="s">
        <v>1177</v>
      </c>
      <c r="AG79" s="7" t="s">
        <v>1177</v>
      </c>
      <c r="AH79" s="38"/>
      <c r="AI79" s="36">
        <v>0</v>
      </c>
      <c r="AJ79" s="7" t="s">
        <v>1193</v>
      </c>
      <c r="AK79" s="7" t="s">
        <v>1177</v>
      </c>
      <c r="AL79" s="7" t="s">
        <v>1177</v>
      </c>
      <c r="AM79" s="7" t="s">
        <v>1177</v>
      </c>
      <c r="AN79" s="7" t="s">
        <v>3212</v>
      </c>
      <c r="AO79" s="7" t="s">
        <v>1177</v>
      </c>
      <c r="AP79" s="7" t="s">
        <v>1177</v>
      </c>
      <c r="AQ79" s="7" t="s">
        <v>1177</v>
      </c>
      <c r="AR79" s="29">
        <v>0</v>
      </c>
      <c r="AS79" s="7" t="s">
        <v>1177</v>
      </c>
      <c r="AT79" s="7" t="s">
        <v>1363</v>
      </c>
      <c r="AU79" s="38">
        <v>46275</v>
      </c>
      <c r="AV79" s="39">
        <v>0.60391203703703999</v>
      </c>
    </row>
    <row r="80" spans="1:48" x14ac:dyDescent="0.35">
      <c r="A80" t="str">
        <f t="shared" si="1"/>
        <v>109537B838</v>
      </c>
      <c r="B80" s="7" t="s">
        <v>1336</v>
      </c>
      <c r="C80" s="7" t="s">
        <v>744</v>
      </c>
      <c r="D80" s="7" t="s">
        <v>48</v>
      </c>
      <c r="E80" s="7" t="s">
        <v>1177</v>
      </c>
      <c r="F80" s="7" t="s">
        <v>128</v>
      </c>
      <c r="G80" s="7" t="s">
        <v>130</v>
      </c>
      <c r="H80" s="7" t="s">
        <v>129</v>
      </c>
      <c r="I80" s="30">
        <v>2</v>
      </c>
      <c r="J80" s="7" t="s">
        <v>1177</v>
      </c>
      <c r="K80" s="7" t="s">
        <v>1178</v>
      </c>
      <c r="L80" s="7" t="s">
        <v>132</v>
      </c>
      <c r="M80" s="7" t="s">
        <v>133</v>
      </c>
      <c r="N80" s="30">
        <v>0</v>
      </c>
      <c r="O80" s="30">
        <v>0</v>
      </c>
      <c r="P80" s="30">
        <v>0</v>
      </c>
      <c r="Q80" s="30">
        <v>0</v>
      </c>
      <c r="R80" s="29">
        <v>0</v>
      </c>
      <c r="S80" s="36">
        <v>0</v>
      </c>
      <c r="T80" s="7" t="s">
        <v>131</v>
      </c>
      <c r="U80" s="7" t="s">
        <v>745</v>
      </c>
      <c r="V80" s="7" t="s">
        <v>745</v>
      </c>
      <c r="W80" s="7" t="s">
        <v>1177</v>
      </c>
      <c r="X80" s="30">
        <v>1</v>
      </c>
      <c r="Y80" s="7" t="s">
        <v>1177</v>
      </c>
      <c r="Z80" s="7" t="s">
        <v>1178</v>
      </c>
      <c r="AA80" s="30">
        <v>0</v>
      </c>
      <c r="AB80" s="36">
        <v>0</v>
      </c>
      <c r="AC80" s="7" t="s">
        <v>1177</v>
      </c>
      <c r="AD80" s="37">
        <v>0</v>
      </c>
      <c r="AE80" s="7" t="s">
        <v>1177</v>
      </c>
      <c r="AF80" s="7" t="s">
        <v>1177</v>
      </c>
      <c r="AG80" s="7" t="s">
        <v>1177</v>
      </c>
      <c r="AH80" s="38"/>
      <c r="AI80" s="36">
        <v>0</v>
      </c>
      <c r="AJ80" s="7" t="s">
        <v>1193</v>
      </c>
      <c r="AK80" s="7" t="s">
        <v>1177</v>
      </c>
      <c r="AL80" s="7" t="s">
        <v>1177</v>
      </c>
      <c r="AM80" s="7" t="s">
        <v>1177</v>
      </c>
      <c r="AN80" s="7" t="s">
        <v>3212</v>
      </c>
      <c r="AO80" s="7" t="s">
        <v>1177</v>
      </c>
      <c r="AP80" s="7" t="s">
        <v>1177</v>
      </c>
      <c r="AQ80" s="7" t="s">
        <v>1177</v>
      </c>
      <c r="AR80" s="29">
        <v>0</v>
      </c>
      <c r="AS80" s="7" t="s">
        <v>1177</v>
      </c>
      <c r="AT80" s="7" t="s">
        <v>1363</v>
      </c>
      <c r="AU80" s="38">
        <v>46275</v>
      </c>
      <c r="AV80" s="39">
        <v>0.60446759259258998</v>
      </c>
    </row>
    <row r="81" spans="1:48" x14ac:dyDescent="0.35">
      <c r="A81" t="str">
        <f t="shared" si="1"/>
        <v>109537B856</v>
      </c>
      <c r="B81" s="7" t="s">
        <v>1336</v>
      </c>
      <c r="C81" s="7" t="s">
        <v>852</v>
      </c>
      <c r="D81" s="7" t="s">
        <v>21</v>
      </c>
      <c r="E81" s="7" t="s">
        <v>1177</v>
      </c>
      <c r="F81" s="7" t="s">
        <v>128</v>
      </c>
      <c r="G81" s="7" t="s">
        <v>130</v>
      </c>
      <c r="H81" s="7" t="s">
        <v>129</v>
      </c>
      <c r="I81" s="30">
        <v>2</v>
      </c>
      <c r="J81" s="7" t="s">
        <v>1177</v>
      </c>
      <c r="K81" s="7" t="s">
        <v>1178</v>
      </c>
      <c r="L81" s="7" t="s">
        <v>132</v>
      </c>
      <c r="M81" s="7" t="s">
        <v>133</v>
      </c>
      <c r="N81" s="30">
        <v>0</v>
      </c>
      <c r="O81" s="30">
        <v>0</v>
      </c>
      <c r="P81" s="30">
        <v>0</v>
      </c>
      <c r="Q81" s="30">
        <v>0</v>
      </c>
      <c r="R81" s="29">
        <v>0</v>
      </c>
      <c r="S81" s="36">
        <v>0</v>
      </c>
      <c r="T81" s="7" t="s">
        <v>131</v>
      </c>
      <c r="U81" s="7" t="s">
        <v>853</v>
      </c>
      <c r="V81" s="7" t="s">
        <v>853</v>
      </c>
      <c r="W81" s="7" t="s">
        <v>1177</v>
      </c>
      <c r="X81" s="30">
        <v>1</v>
      </c>
      <c r="Y81" s="7" t="s">
        <v>1177</v>
      </c>
      <c r="Z81" s="7" t="s">
        <v>1178</v>
      </c>
      <c r="AA81" s="30">
        <v>0</v>
      </c>
      <c r="AB81" s="36">
        <v>0</v>
      </c>
      <c r="AC81" s="7" t="s">
        <v>1177</v>
      </c>
      <c r="AD81" s="37">
        <v>0</v>
      </c>
      <c r="AE81" s="7" t="s">
        <v>1177</v>
      </c>
      <c r="AF81" s="7" t="s">
        <v>1177</v>
      </c>
      <c r="AG81" s="7" t="s">
        <v>1177</v>
      </c>
      <c r="AH81" s="38"/>
      <c r="AI81" s="36">
        <v>0</v>
      </c>
      <c r="AJ81" s="7" t="s">
        <v>1193</v>
      </c>
      <c r="AK81" s="7" t="s">
        <v>1177</v>
      </c>
      <c r="AL81" s="7" t="s">
        <v>1177</v>
      </c>
      <c r="AM81" s="7" t="s">
        <v>1177</v>
      </c>
      <c r="AN81" s="7" t="s">
        <v>3212</v>
      </c>
      <c r="AO81" s="7" t="s">
        <v>1177</v>
      </c>
      <c r="AP81" s="7" t="s">
        <v>1177</v>
      </c>
      <c r="AQ81" s="7" t="s">
        <v>1177</v>
      </c>
      <c r="AR81" s="29">
        <v>0</v>
      </c>
      <c r="AS81" s="7" t="s">
        <v>1177</v>
      </c>
      <c r="AT81" s="7" t="s">
        <v>1363</v>
      </c>
      <c r="AU81" s="38">
        <v>46275</v>
      </c>
      <c r="AV81" s="39">
        <v>0.60523148148147998</v>
      </c>
    </row>
    <row r="82" spans="1:48" x14ac:dyDescent="0.35">
      <c r="A82" t="str">
        <f t="shared" si="1"/>
        <v>109537B864</v>
      </c>
      <c r="B82" s="7" t="s">
        <v>1336</v>
      </c>
      <c r="C82" s="7" t="s">
        <v>1010</v>
      </c>
      <c r="D82" s="7" t="s">
        <v>10</v>
      </c>
      <c r="E82" s="7" t="s">
        <v>1177</v>
      </c>
      <c r="F82" s="7" t="s">
        <v>128</v>
      </c>
      <c r="G82" s="7" t="s">
        <v>130</v>
      </c>
      <c r="H82" s="7" t="s">
        <v>129</v>
      </c>
      <c r="I82" s="30">
        <v>2</v>
      </c>
      <c r="J82" s="7" t="s">
        <v>1177</v>
      </c>
      <c r="K82" s="7" t="s">
        <v>1178</v>
      </c>
      <c r="L82" s="7" t="s">
        <v>132</v>
      </c>
      <c r="M82" s="7" t="s">
        <v>133</v>
      </c>
      <c r="N82" s="30">
        <v>0</v>
      </c>
      <c r="O82" s="30">
        <v>0</v>
      </c>
      <c r="P82" s="30">
        <v>0</v>
      </c>
      <c r="Q82" s="30">
        <v>0</v>
      </c>
      <c r="R82" s="29">
        <v>0</v>
      </c>
      <c r="S82" s="36">
        <v>0</v>
      </c>
      <c r="T82" s="7" t="s">
        <v>131</v>
      </c>
      <c r="U82" s="7" t="s">
        <v>1011</v>
      </c>
      <c r="V82" s="7" t="s">
        <v>1011</v>
      </c>
      <c r="W82" s="7" t="s">
        <v>1177</v>
      </c>
      <c r="X82" s="30">
        <v>1</v>
      </c>
      <c r="Y82" s="7" t="s">
        <v>1177</v>
      </c>
      <c r="Z82" s="7" t="s">
        <v>1178</v>
      </c>
      <c r="AA82" s="30">
        <v>0</v>
      </c>
      <c r="AB82" s="36">
        <v>0</v>
      </c>
      <c r="AC82" s="7" t="s">
        <v>1177</v>
      </c>
      <c r="AD82" s="37">
        <v>0</v>
      </c>
      <c r="AE82" s="7" t="s">
        <v>1177</v>
      </c>
      <c r="AF82" s="7" t="s">
        <v>1177</v>
      </c>
      <c r="AG82" s="7" t="s">
        <v>1177</v>
      </c>
      <c r="AH82" s="38"/>
      <c r="AI82" s="36">
        <v>0</v>
      </c>
      <c r="AJ82" s="7" t="s">
        <v>1193</v>
      </c>
      <c r="AK82" s="7" t="s">
        <v>1177</v>
      </c>
      <c r="AL82" s="7" t="s">
        <v>1177</v>
      </c>
      <c r="AM82" s="7" t="s">
        <v>1177</v>
      </c>
      <c r="AN82" s="7" t="s">
        <v>3212</v>
      </c>
      <c r="AO82" s="7" t="s">
        <v>1177</v>
      </c>
      <c r="AP82" s="7" t="s">
        <v>1177</v>
      </c>
      <c r="AQ82" s="7" t="s">
        <v>1177</v>
      </c>
      <c r="AR82" s="29">
        <v>0</v>
      </c>
      <c r="AS82" s="7" t="s">
        <v>1177</v>
      </c>
      <c r="AT82" s="7" t="s">
        <v>1363</v>
      </c>
      <c r="AU82" s="38">
        <v>46275</v>
      </c>
      <c r="AV82" s="39">
        <v>0.60541666666667004</v>
      </c>
    </row>
    <row r="83" spans="1:48" x14ac:dyDescent="0.35">
      <c r="A83" t="str">
        <f t="shared" si="1"/>
        <v>109537B865</v>
      </c>
      <c r="B83" s="7" t="s">
        <v>1336</v>
      </c>
      <c r="C83" s="7" t="s">
        <v>1039</v>
      </c>
      <c r="D83" s="7" t="s">
        <v>7</v>
      </c>
      <c r="E83" s="7" t="s">
        <v>1177</v>
      </c>
      <c r="F83" s="7" t="s">
        <v>128</v>
      </c>
      <c r="G83" s="7" t="s">
        <v>130</v>
      </c>
      <c r="H83" s="7" t="s">
        <v>129</v>
      </c>
      <c r="I83" s="30">
        <v>2</v>
      </c>
      <c r="J83" s="7" t="s">
        <v>1177</v>
      </c>
      <c r="K83" s="7" t="s">
        <v>1178</v>
      </c>
      <c r="L83" s="7" t="s">
        <v>132</v>
      </c>
      <c r="M83" s="7" t="s">
        <v>133</v>
      </c>
      <c r="N83" s="30">
        <v>0</v>
      </c>
      <c r="O83" s="30">
        <v>0</v>
      </c>
      <c r="P83" s="30">
        <v>0</v>
      </c>
      <c r="Q83" s="30">
        <v>0</v>
      </c>
      <c r="R83" s="29">
        <v>0</v>
      </c>
      <c r="S83" s="36">
        <v>0</v>
      </c>
      <c r="T83" s="7" t="s">
        <v>131</v>
      </c>
      <c r="U83" s="7" t="s">
        <v>1040</v>
      </c>
      <c r="V83" s="7" t="s">
        <v>1040</v>
      </c>
      <c r="W83" s="7" t="s">
        <v>1177</v>
      </c>
      <c r="X83" s="30">
        <v>1</v>
      </c>
      <c r="Y83" s="7" t="s">
        <v>1177</v>
      </c>
      <c r="Z83" s="7" t="s">
        <v>1178</v>
      </c>
      <c r="AA83" s="30">
        <v>0</v>
      </c>
      <c r="AB83" s="36">
        <v>0</v>
      </c>
      <c r="AC83" s="7" t="s">
        <v>1177</v>
      </c>
      <c r="AD83" s="37">
        <v>0</v>
      </c>
      <c r="AE83" s="7" t="s">
        <v>1177</v>
      </c>
      <c r="AF83" s="7" t="s">
        <v>1177</v>
      </c>
      <c r="AG83" s="7" t="s">
        <v>1177</v>
      </c>
      <c r="AH83" s="38"/>
      <c r="AI83" s="36">
        <v>0</v>
      </c>
      <c r="AJ83" s="7" t="s">
        <v>1193</v>
      </c>
      <c r="AK83" s="7" t="s">
        <v>1177</v>
      </c>
      <c r="AL83" s="7" t="s">
        <v>1177</v>
      </c>
      <c r="AM83" s="7" t="s">
        <v>1177</v>
      </c>
      <c r="AN83" s="7" t="s">
        <v>3212</v>
      </c>
      <c r="AO83" s="7" t="s">
        <v>1177</v>
      </c>
      <c r="AP83" s="7" t="s">
        <v>1177</v>
      </c>
      <c r="AQ83" s="7" t="s">
        <v>1177</v>
      </c>
      <c r="AR83" s="29">
        <v>0</v>
      </c>
      <c r="AS83" s="7" t="s">
        <v>1177</v>
      </c>
      <c r="AT83" s="7" t="s">
        <v>1363</v>
      </c>
      <c r="AU83" s="38">
        <v>46275</v>
      </c>
      <c r="AV83" s="39">
        <v>0.60550925925926002</v>
      </c>
    </row>
    <row r="84" spans="1:48" x14ac:dyDescent="0.35">
      <c r="A84" t="str">
        <f t="shared" si="1"/>
        <v>114265B825</v>
      </c>
      <c r="B84" s="7" t="s">
        <v>3243</v>
      </c>
      <c r="C84" s="7" t="s">
        <v>511</v>
      </c>
      <c r="D84" s="7" t="s">
        <v>16</v>
      </c>
      <c r="E84" s="7" t="s">
        <v>1177</v>
      </c>
      <c r="F84" s="7" t="s">
        <v>128</v>
      </c>
      <c r="G84" s="7" t="s">
        <v>130</v>
      </c>
      <c r="H84" s="7" t="s">
        <v>129</v>
      </c>
      <c r="I84" s="30">
        <v>2</v>
      </c>
      <c r="J84" s="7" t="s">
        <v>1177</v>
      </c>
      <c r="K84" s="7" t="s">
        <v>1178</v>
      </c>
      <c r="L84" s="7" t="s">
        <v>132</v>
      </c>
      <c r="M84" s="7" t="s">
        <v>133</v>
      </c>
      <c r="N84" s="30">
        <v>0</v>
      </c>
      <c r="O84" s="30">
        <v>0</v>
      </c>
      <c r="P84" s="30">
        <v>0</v>
      </c>
      <c r="Q84" s="30">
        <v>0</v>
      </c>
      <c r="R84" s="29">
        <v>0</v>
      </c>
      <c r="S84" s="36">
        <v>0</v>
      </c>
      <c r="T84" s="7" t="s">
        <v>131</v>
      </c>
      <c r="U84" s="7" t="s">
        <v>512</v>
      </c>
      <c r="V84" s="7" t="s">
        <v>512</v>
      </c>
      <c r="W84" s="7" t="s">
        <v>1177</v>
      </c>
      <c r="X84" s="30">
        <v>1</v>
      </c>
      <c r="Y84" s="7" t="s">
        <v>1177</v>
      </c>
      <c r="Z84" s="7" t="s">
        <v>1178</v>
      </c>
      <c r="AA84" s="30">
        <v>0</v>
      </c>
      <c r="AB84" s="36">
        <v>0</v>
      </c>
      <c r="AC84" s="7" t="s">
        <v>1177</v>
      </c>
      <c r="AD84" s="37">
        <v>0</v>
      </c>
      <c r="AE84" s="7" t="s">
        <v>1177</v>
      </c>
      <c r="AF84" s="7" t="s">
        <v>1177</v>
      </c>
      <c r="AG84" s="7" t="s">
        <v>1177</v>
      </c>
      <c r="AH84" s="38"/>
      <c r="AI84" s="36">
        <v>0</v>
      </c>
      <c r="AJ84" s="7" t="s">
        <v>1193</v>
      </c>
      <c r="AK84" s="7" t="s">
        <v>1177</v>
      </c>
      <c r="AL84" s="7" t="s">
        <v>1177</v>
      </c>
      <c r="AM84" s="7" t="s">
        <v>1177</v>
      </c>
      <c r="AN84" s="7" t="s">
        <v>3212</v>
      </c>
      <c r="AO84" s="7" t="s">
        <v>1177</v>
      </c>
      <c r="AP84" s="7" t="s">
        <v>1177</v>
      </c>
      <c r="AQ84" s="7" t="s">
        <v>1177</v>
      </c>
      <c r="AR84" s="29">
        <v>0</v>
      </c>
      <c r="AS84" s="7" t="s">
        <v>1177</v>
      </c>
      <c r="AT84" s="7" t="s">
        <v>1363</v>
      </c>
      <c r="AU84" s="38">
        <v>46275</v>
      </c>
      <c r="AV84" s="39">
        <v>0.60353009259259005</v>
      </c>
    </row>
    <row r="85" spans="1:48" x14ac:dyDescent="0.35">
      <c r="A85" t="str">
        <f t="shared" si="1"/>
        <v>114265B857</v>
      </c>
      <c r="B85" s="7" t="s">
        <v>3243</v>
      </c>
      <c r="C85" s="7" t="s">
        <v>958</v>
      </c>
      <c r="D85" s="7" t="s">
        <v>23</v>
      </c>
      <c r="E85" s="7" t="s">
        <v>1177</v>
      </c>
      <c r="F85" s="7" t="s">
        <v>128</v>
      </c>
      <c r="G85" s="7" t="s">
        <v>130</v>
      </c>
      <c r="H85" s="7" t="s">
        <v>129</v>
      </c>
      <c r="I85" s="30">
        <v>2</v>
      </c>
      <c r="J85" s="7" t="s">
        <v>1177</v>
      </c>
      <c r="K85" s="7" t="s">
        <v>1178</v>
      </c>
      <c r="L85" s="7" t="s">
        <v>132</v>
      </c>
      <c r="M85" s="7" t="s">
        <v>133</v>
      </c>
      <c r="N85" s="30">
        <v>0</v>
      </c>
      <c r="O85" s="30">
        <v>0</v>
      </c>
      <c r="P85" s="30">
        <v>0</v>
      </c>
      <c r="Q85" s="30">
        <v>0</v>
      </c>
      <c r="R85" s="29">
        <v>0</v>
      </c>
      <c r="S85" s="36">
        <v>0</v>
      </c>
      <c r="T85" s="7" t="s">
        <v>131</v>
      </c>
      <c r="U85" s="7" t="s">
        <v>959</v>
      </c>
      <c r="V85" s="7" t="s">
        <v>959</v>
      </c>
      <c r="W85" s="7" t="s">
        <v>1177</v>
      </c>
      <c r="X85" s="30">
        <v>1</v>
      </c>
      <c r="Y85" s="7" t="s">
        <v>1177</v>
      </c>
      <c r="Z85" s="7" t="s">
        <v>1178</v>
      </c>
      <c r="AA85" s="30">
        <v>0</v>
      </c>
      <c r="AB85" s="36">
        <v>0</v>
      </c>
      <c r="AC85" s="7" t="s">
        <v>1177</v>
      </c>
      <c r="AD85" s="37">
        <v>0</v>
      </c>
      <c r="AE85" s="7" t="s">
        <v>1177</v>
      </c>
      <c r="AF85" s="7" t="s">
        <v>1177</v>
      </c>
      <c r="AG85" s="7" t="s">
        <v>1177</v>
      </c>
      <c r="AH85" s="38"/>
      <c r="AI85" s="36">
        <v>0</v>
      </c>
      <c r="AJ85" s="7" t="s">
        <v>1193</v>
      </c>
      <c r="AK85" s="7" t="s">
        <v>1177</v>
      </c>
      <c r="AL85" s="7" t="s">
        <v>1177</v>
      </c>
      <c r="AM85" s="7" t="s">
        <v>1177</v>
      </c>
      <c r="AN85" s="7" t="s">
        <v>3212</v>
      </c>
      <c r="AO85" s="7" t="s">
        <v>1177</v>
      </c>
      <c r="AP85" s="7" t="s">
        <v>1177</v>
      </c>
      <c r="AQ85" s="7" t="s">
        <v>1177</v>
      </c>
      <c r="AR85" s="29">
        <v>0</v>
      </c>
      <c r="AS85" s="7" t="s">
        <v>1177</v>
      </c>
      <c r="AT85" s="7" t="s">
        <v>1363</v>
      </c>
      <c r="AU85" s="38">
        <v>46275</v>
      </c>
      <c r="AV85" s="39">
        <v>0.60531250000000003</v>
      </c>
    </row>
    <row r="86" spans="1:48" x14ac:dyDescent="0.35">
      <c r="A86" t="str">
        <f t="shared" si="1"/>
        <v>114279B838</v>
      </c>
      <c r="B86" s="7" t="s">
        <v>3244</v>
      </c>
      <c r="C86" s="7" t="s">
        <v>744</v>
      </c>
      <c r="D86" s="7" t="s">
        <v>48</v>
      </c>
      <c r="E86" s="7" t="s">
        <v>1177</v>
      </c>
      <c r="F86" s="7" t="s">
        <v>128</v>
      </c>
      <c r="G86" s="7" t="s">
        <v>130</v>
      </c>
      <c r="H86" s="7" t="s">
        <v>129</v>
      </c>
      <c r="I86" s="30">
        <v>2</v>
      </c>
      <c r="J86" s="7" t="s">
        <v>1177</v>
      </c>
      <c r="K86" s="7" t="s">
        <v>1178</v>
      </c>
      <c r="L86" s="7" t="s">
        <v>132</v>
      </c>
      <c r="M86" s="7" t="s">
        <v>133</v>
      </c>
      <c r="N86" s="30">
        <v>0</v>
      </c>
      <c r="O86" s="30">
        <v>0</v>
      </c>
      <c r="P86" s="30">
        <v>0</v>
      </c>
      <c r="Q86" s="30">
        <v>0</v>
      </c>
      <c r="R86" s="29">
        <v>0</v>
      </c>
      <c r="S86" s="36">
        <v>0</v>
      </c>
      <c r="T86" s="7" t="s">
        <v>131</v>
      </c>
      <c r="U86" s="7" t="s">
        <v>745</v>
      </c>
      <c r="V86" s="7" t="s">
        <v>745</v>
      </c>
      <c r="W86" s="7" t="s">
        <v>1177</v>
      </c>
      <c r="X86" s="30">
        <v>1</v>
      </c>
      <c r="Y86" s="7" t="s">
        <v>1177</v>
      </c>
      <c r="Z86" s="7" t="s">
        <v>1178</v>
      </c>
      <c r="AA86" s="30">
        <v>0</v>
      </c>
      <c r="AB86" s="36">
        <v>0</v>
      </c>
      <c r="AC86" s="7" t="s">
        <v>1177</v>
      </c>
      <c r="AD86" s="37">
        <v>0</v>
      </c>
      <c r="AE86" s="7" t="s">
        <v>1177</v>
      </c>
      <c r="AF86" s="7" t="s">
        <v>1177</v>
      </c>
      <c r="AG86" s="7" t="s">
        <v>1177</v>
      </c>
      <c r="AH86" s="38"/>
      <c r="AI86" s="36">
        <v>0</v>
      </c>
      <c r="AJ86" s="7" t="s">
        <v>1193</v>
      </c>
      <c r="AK86" s="7" t="s">
        <v>1177</v>
      </c>
      <c r="AL86" s="7" t="s">
        <v>1177</v>
      </c>
      <c r="AM86" s="7" t="s">
        <v>1177</v>
      </c>
      <c r="AN86" s="7" t="s">
        <v>3212</v>
      </c>
      <c r="AO86" s="7" t="s">
        <v>1177</v>
      </c>
      <c r="AP86" s="7" t="s">
        <v>1177</v>
      </c>
      <c r="AQ86" s="7" t="s">
        <v>1177</v>
      </c>
      <c r="AR86" s="29">
        <v>0</v>
      </c>
      <c r="AS86" s="7" t="s">
        <v>1177</v>
      </c>
      <c r="AT86" s="7" t="s">
        <v>1363</v>
      </c>
      <c r="AU86" s="38">
        <v>46275</v>
      </c>
      <c r="AV86" s="39">
        <v>0.60444444444444001</v>
      </c>
    </row>
    <row r="87" spans="1:48" x14ac:dyDescent="0.35">
      <c r="A87" t="str">
        <f t="shared" si="1"/>
        <v>114941B833</v>
      </c>
      <c r="B87" s="7" t="s">
        <v>3245</v>
      </c>
      <c r="C87" s="7" t="s">
        <v>698</v>
      </c>
      <c r="D87" s="7" t="s">
        <v>697</v>
      </c>
      <c r="E87" s="7" t="s">
        <v>1177</v>
      </c>
      <c r="F87" s="7" t="s">
        <v>128</v>
      </c>
      <c r="G87" s="7" t="s">
        <v>130</v>
      </c>
      <c r="H87" s="7" t="s">
        <v>129</v>
      </c>
      <c r="I87" s="30">
        <v>1</v>
      </c>
      <c r="J87" s="7" t="s">
        <v>1177</v>
      </c>
      <c r="K87" s="7" t="s">
        <v>1178</v>
      </c>
      <c r="L87" s="7" t="s">
        <v>132</v>
      </c>
      <c r="M87" s="7" t="s">
        <v>133</v>
      </c>
      <c r="N87" s="30">
        <v>0</v>
      </c>
      <c r="O87" s="30">
        <v>0</v>
      </c>
      <c r="P87" s="30">
        <v>0</v>
      </c>
      <c r="Q87" s="30">
        <v>0</v>
      </c>
      <c r="R87" s="29">
        <v>0</v>
      </c>
      <c r="S87" s="36">
        <v>0</v>
      </c>
      <c r="T87" s="7" t="s">
        <v>131</v>
      </c>
      <c r="U87" s="7" t="s">
        <v>699</v>
      </c>
      <c r="V87" s="7" t="s">
        <v>699</v>
      </c>
      <c r="W87" s="7" t="s">
        <v>1177</v>
      </c>
      <c r="X87" s="30">
        <v>1</v>
      </c>
      <c r="Y87" s="7" t="s">
        <v>1177</v>
      </c>
      <c r="Z87" s="7" t="s">
        <v>1178</v>
      </c>
      <c r="AA87" s="30">
        <v>0</v>
      </c>
      <c r="AB87" s="36">
        <v>0</v>
      </c>
      <c r="AC87" s="7" t="s">
        <v>1177</v>
      </c>
      <c r="AD87" s="37">
        <v>0</v>
      </c>
      <c r="AE87" s="7" t="s">
        <v>1177</v>
      </c>
      <c r="AF87" s="7" t="s">
        <v>1177</v>
      </c>
      <c r="AG87" s="7" t="s">
        <v>1177</v>
      </c>
      <c r="AH87" s="38"/>
      <c r="AI87" s="36">
        <v>0</v>
      </c>
      <c r="AJ87" s="7" t="s">
        <v>1193</v>
      </c>
      <c r="AK87" s="7" t="s">
        <v>1177</v>
      </c>
      <c r="AL87" s="7" t="s">
        <v>1177</v>
      </c>
      <c r="AM87" s="7" t="s">
        <v>1177</v>
      </c>
      <c r="AN87" s="7" t="s">
        <v>3212</v>
      </c>
      <c r="AO87" s="7" t="s">
        <v>1177</v>
      </c>
      <c r="AP87" s="7" t="s">
        <v>1177</v>
      </c>
      <c r="AQ87" s="7" t="s">
        <v>1177</v>
      </c>
      <c r="AR87" s="29">
        <v>0</v>
      </c>
      <c r="AS87" s="7" t="s">
        <v>1177</v>
      </c>
      <c r="AT87" s="7" t="s">
        <v>1363</v>
      </c>
      <c r="AU87" s="38">
        <v>46275</v>
      </c>
      <c r="AV87" s="39">
        <v>0.60396990740740997</v>
      </c>
    </row>
    <row r="88" spans="1:48" x14ac:dyDescent="0.35">
      <c r="A88" t="str">
        <f t="shared" si="1"/>
        <v>115543B825</v>
      </c>
      <c r="B88" s="7" t="s">
        <v>3246</v>
      </c>
      <c r="C88" s="7" t="s">
        <v>511</v>
      </c>
      <c r="D88" s="7" t="s">
        <v>16</v>
      </c>
      <c r="E88" s="7" t="s">
        <v>1177</v>
      </c>
      <c r="F88" s="7" t="s">
        <v>128</v>
      </c>
      <c r="G88" s="7" t="s">
        <v>130</v>
      </c>
      <c r="H88" s="7" t="s">
        <v>129</v>
      </c>
      <c r="I88" s="30">
        <v>7</v>
      </c>
      <c r="J88" s="7" t="s">
        <v>1177</v>
      </c>
      <c r="K88" s="7" t="s">
        <v>1178</v>
      </c>
      <c r="L88" s="7" t="s">
        <v>132</v>
      </c>
      <c r="M88" s="7" t="s">
        <v>133</v>
      </c>
      <c r="N88" s="30">
        <v>0</v>
      </c>
      <c r="O88" s="30">
        <v>0</v>
      </c>
      <c r="P88" s="30">
        <v>0</v>
      </c>
      <c r="Q88" s="30">
        <v>0</v>
      </c>
      <c r="R88" s="29">
        <v>0</v>
      </c>
      <c r="S88" s="36">
        <v>0</v>
      </c>
      <c r="T88" s="7" t="s">
        <v>131</v>
      </c>
      <c r="U88" s="7" t="s">
        <v>512</v>
      </c>
      <c r="V88" s="7" t="s">
        <v>512</v>
      </c>
      <c r="W88" s="7" t="s">
        <v>1177</v>
      </c>
      <c r="X88" s="30">
        <v>2</v>
      </c>
      <c r="Y88" s="7" t="s">
        <v>1177</v>
      </c>
      <c r="Z88" s="7" t="s">
        <v>1178</v>
      </c>
      <c r="AA88" s="30">
        <v>0</v>
      </c>
      <c r="AB88" s="36">
        <v>0</v>
      </c>
      <c r="AC88" s="7" t="s">
        <v>1177</v>
      </c>
      <c r="AD88" s="37">
        <v>0</v>
      </c>
      <c r="AE88" s="7" t="s">
        <v>1177</v>
      </c>
      <c r="AF88" s="7" t="s">
        <v>1177</v>
      </c>
      <c r="AG88" s="7" t="s">
        <v>1177</v>
      </c>
      <c r="AH88" s="38"/>
      <c r="AI88" s="36">
        <v>0</v>
      </c>
      <c r="AJ88" s="7" t="s">
        <v>1193</v>
      </c>
      <c r="AK88" s="7" t="s">
        <v>1177</v>
      </c>
      <c r="AL88" s="7" t="s">
        <v>1177</v>
      </c>
      <c r="AM88" s="7" t="s">
        <v>1177</v>
      </c>
      <c r="AN88" s="7" t="s">
        <v>3212</v>
      </c>
      <c r="AO88" s="7" t="s">
        <v>1177</v>
      </c>
      <c r="AP88" s="7" t="s">
        <v>1177</v>
      </c>
      <c r="AQ88" s="7" t="s">
        <v>1177</v>
      </c>
      <c r="AR88" s="29">
        <v>0</v>
      </c>
      <c r="AS88" s="7" t="s">
        <v>1177</v>
      </c>
      <c r="AT88" s="7" t="s">
        <v>1363</v>
      </c>
      <c r="AU88" s="38">
        <v>46275</v>
      </c>
      <c r="AV88" s="39">
        <v>0.60353009259259005</v>
      </c>
    </row>
    <row r="89" spans="1:48" x14ac:dyDescent="0.35">
      <c r="A89" t="str">
        <f t="shared" si="1"/>
        <v>115606B825</v>
      </c>
      <c r="B89" s="7" t="s">
        <v>3247</v>
      </c>
      <c r="C89" s="7" t="s">
        <v>511</v>
      </c>
      <c r="D89" s="7" t="s">
        <v>16</v>
      </c>
      <c r="E89" s="7" t="s">
        <v>1177</v>
      </c>
      <c r="F89" s="7" t="s">
        <v>128</v>
      </c>
      <c r="G89" s="7" t="s">
        <v>130</v>
      </c>
      <c r="H89" s="7" t="s">
        <v>129</v>
      </c>
      <c r="I89" s="30">
        <v>7</v>
      </c>
      <c r="J89" s="7" t="s">
        <v>1177</v>
      </c>
      <c r="K89" s="7" t="s">
        <v>1178</v>
      </c>
      <c r="L89" s="7" t="s">
        <v>132</v>
      </c>
      <c r="M89" s="7" t="s">
        <v>133</v>
      </c>
      <c r="N89" s="30">
        <v>0</v>
      </c>
      <c r="O89" s="30">
        <v>0</v>
      </c>
      <c r="P89" s="30">
        <v>0</v>
      </c>
      <c r="Q89" s="30">
        <v>0</v>
      </c>
      <c r="R89" s="29">
        <v>0</v>
      </c>
      <c r="S89" s="36">
        <v>0</v>
      </c>
      <c r="T89" s="7" t="s">
        <v>131</v>
      </c>
      <c r="U89" s="7" t="s">
        <v>512</v>
      </c>
      <c r="V89" s="7" t="s">
        <v>512</v>
      </c>
      <c r="W89" s="7" t="s">
        <v>1177</v>
      </c>
      <c r="X89" s="30">
        <v>2</v>
      </c>
      <c r="Y89" s="7" t="s">
        <v>1177</v>
      </c>
      <c r="Z89" s="7" t="s">
        <v>1178</v>
      </c>
      <c r="AA89" s="30">
        <v>0</v>
      </c>
      <c r="AB89" s="36">
        <v>0</v>
      </c>
      <c r="AC89" s="7" t="s">
        <v>1177</v>
      </c>
      <c r="AD89" s="37">
        <v>0</v>
      </c>
      <c r="AE89" s="7" t="s">
        <v>1177</v>
      </c>
      <c r="AF89" s="7" t="s">
        <v>1177</v>
      </c>
      <c r="AG89" s="7" t="s">
        <v>1177</v>
      </c>
      <c r="AH89" s="38"/>
      <c r="AI89" s="36">
        <v>0</v>
      </c>
      <c r="AJ89" s="7" t="s">
        <v>1193</v>
      </c>
      <c r="AK89" s="7" t="s">
        <v>1177</v>
      </c>
      <c r="AL89" s="7" t="s">
        <v>1177</v>
      </c>
      <c r="AM89" s="7" t="s">
        <v>1177</v>
      </c>
      <c r="AN89" s="7" t="s">
        <v>3212</v>
      </c>
      <c r="AO89" s="7" t="s">
        <v>1177</v>
      </c>
      <c r="AP89" s="7" t="s">
        <v>1177</v>
      </c>
      <c r="AQ89" s="7" t="s">
        <v>1177</v>
      </c>
      <c r="AR89" s="29">
        <v>0</v>
      </c>
      <c r="AS89" s="7" t="s">
        <v>1177</v>
      </c>
      <c r="AT89" s="7" t="s">
        <v>1363</v>
      </c>
      <c r="AU89" s="38">
        <v>46275</v>
      </c>
      <c r="AV89" s="39">
        <v>0.62302083333333003</v>
      </c>
    </row>
    <row r="90" spans="1:48" x14ac:dyDescent="0.35">
      <c r="A90" t="str">
        <f t="shared" si="1"/>
        <v>115606B832</v>
      </c>
      <c r="B90" s="7" t="s">
        <v>3247</v>
      </c>
      <c r="C90" s="7" t="s">
        <v>653</v>
      </c>
      <c r="D90" s="7" t="s">
        <v>19</v>
      </c>
      <c r="E90" s="7" t="s">
        <v>1177</v>
      </c>
      <c r="F90" s="7" t="s">
        <v>128</v>
      </c>
      <c r="G90" s="7" t="s">
        <v>130</v>
      </c>
      <c r="H90" s="7" t="s">
        <v>129</v>
      </c>
      <c r="I90" s="30">
        <v>12</v>
      </c>
      <c r="J90" s="7" t="s">
        <v>1177</v>
      </c>
      <c r="K90" s="7" t="s">
        <v>1178</v>
      </c>
      <c r="L90" s="7" t="s">
        <v>132</v>
      </c>
      <c r="M90" s="7" t="s">
        <v>133</v>
      </c>
      <c r="N90" s="30">
        <v>0</v>
      </c>
      <c r="O90" s="30">
        <v>0</v>
      </c>
      <c r="P90" s="30">
        <v>0</v>
      </c>
      <c r="Q90" s="30">
        <v>0</v>
      </c>
      <c r="R90" s="29">
        <v>0</v>
      </c>
      <c r="S90" s="36">
        <v>0</v>
      </c>
      <c r="T90" s="7" t="s">
        <v>131</v>
      </c>
      <c r="U90" s="7" t="s">
        <v>654</v>
      </c>
      <c r="V90" s="7" t="s">
        <v>654</v>
      </c>
      <c r="W90" s="7" t="s">
        <v>1177</v>
      </c>
      <c r="X90" s="30">
        <v>3</v>
      </c>
      <c r="Y90" s="7" t="s">
        <v>1177</v>
      </c>
      <c r="Z90" s="7" t="s">
        <v>1178</v>
      </c>
      <c r="AA90" s="30">
        <v>0</v>
      </c>
      <c r="AB90" s="36">
        <v>0</v>
      </c>
      <c r="AC90" s="7" t="s">
        <v>1177</v>
      </c>
      <c r="AD90" s="37">
        <v>0</v>
      </c>
      <c r="AE90" s="7" t="s">
        <v>1177</v>
      </c>
      <c r="AF90" s="7" t="s">
        <v>1177</v>
      </c>
      <c r="AG90" s="7" t="s">
        <v>1177</v>
      </c>
      <c r="AH90" s="38"/>
      <c r="AI90" s="36">
        <v>0</v>
      </c>
      <c r="AJ90" s="7" t="s">
        <v>1193</v>
      </c>
      <c r="AK90" s="7" t="s">
        <v>1177</v>
      </c>
      <c r="AL90" s="7" t="s">
        <v>1177</v>
      </c>
      <c r="AM90" s="7" t="s">
        <v>1177</v>
      </c>
      <c r="AN90" s="7" t="s">
        <v>3212</v>
      </c>
      <c r="AO90" s="7" t="s">
        <v>1177</v>
      </c>
      <c r="AP90" s="7" t="s">
        <v>1177</v>
      </c>
      <c r="AQ90" s="7" t="s">
        <v>1177</v>
      </c>
      <c r="AR90" s="29">
        <v>0</v>
      </c>
      <c r="AS90" s="7" t="s">
        <v>1177</v>
      </c>
      <c r="AT90" s="7" t="s">
        <v>1363</v>
      </c>
      <c r="AU90" s="38">
        <v>46275</v>
      </c>
      <c r="AV90" s="39">
        <v>0.62333333333332996</v>
      </c>
    </row>
    <row r="91" spans="1:48" x14ac:dyDescent="0.35">
      <c r="A91" t="str">
        <f t="shared" si="1"/>
        <v>115606B838</v>
      </c>
      <c r="B91" s="7" t="s">
        <v>3247</v>
      </c>
      <c r="C91" s="7" t="s">
        <v>744</v>
      </c>
      <c r="D91" s="7" t="s">
        <v>48</v>
      </c>
      <c r="E91" s="7" t="s">
        <v>1177</v>
      </c>
      <c r="F91" s="7" t="s">
        <v>128</v>
      </c>
      <c r="G91" s="7" t="s">
        <v>130</v>
      </c>
      <c r="H91" s="7" t="s">
        <v>129</v>
      </c>
      <c r="I91" s="30">
        <v>4</v>
      </c>
      <c r="J91" s="7" t="s">
        <v>1177</v>
      </c>
      <c r="K91" s="7" t="s">
        <v>1178</v>
      </c>
      <c r="L91" s="7" t="s">
        <v>132</v>
      </c>
      <c r="M91" s="7" t="s">
        <v>133</v>
      </c>
      <c r="N91" s="30">
        <v>0</v>
      </c>
      <c r="O91" s="30">
        <v>0</v>
      </c>
      <c r="P91" s="30">
        <v>0</v>
      </c>
      <c r="Q91" s="30">
        <v>0</v>
      </c>
      <c r="R91" s="29">
        <v>0</v>
      </c>
      <c r="S91" s="36">
        <v>0</v>
      </c>
      <c r="T91" s="7" t="s">
        <v>131</v>
      </c>
      <c r="U91" s="7" t="s">
        <v>745</v>
      </c>
      <c r="V91" s="7" t="s">
        <v>745</v>
      </c>
      <c r="W91" s="7" t="s">
        <v>1177</v>
      </c>
      <c r="X91" s="30">
        <v>1</v>
      </c>
      <c r="Y91" s="7" t="s">
        <v>1177</v>
      </c>
      <c r="Z91" s="7" t="s">
        <v>1178</v>
      </c>
      <c r="AA91" s="30">
        <v>0</v>
      </c>
      <c r="AB91" s="36">
        <v>0</v>
      </c>
      <c r="AC91" s="7" t="s">
        <v>1177</v>
      </c>
      <c r="AD91" s="37">
        <v>0</v>
      </c>
      <c r="AE91" s="7" t="s">
        <v>1177</v>
      </c>
      <c r="AF91" s="7" t="s">
        <v>1177</v>
      </c>
      <c r="AG91" s="7" t="s">
        <v>1177</v>
      </c>
      <c r="AH91" s="38"/>
      <c r="AI91" s="36">
        <v>0</v>
      </c>
      <c r="AJ91" s="7" t="s">
        <v>1193</v>
      </c>
      <c r="AK91" s="7" t="s">
        <v>1177</v>
      </c>
      <c r="AL91" s="7" t="s">
        <v>1177</v>
      </c>
      <c r="AM91" s="7" t="s">
        <v>1177</v>
      </c>
      <c r="AN91" s="7" t="s">
        <v>3212</v>
      </c>
      <c r="AO91" s="7" t="s">
        <v>1177</v>
      </c>
      <c r="AP91" s="7" t="s">
        <v>1177</v>
      </c>
      <c r="AQ91" s="7" t="s">
        <v>1177</v>
      </c>
      <c r="AR91" s="29">
        <v>0</v>
      </c>
      <c r="AS91" s="7" t="s">
        <v>1177</v>
      </c>
      <c r="AT91" s="7" t="s">
        <v>1363</v>
      </c>
      <c r="AU91" s="38">
        <v>46275</v>
      </c>
      <c r="AV91" s="39">
        <v>0.62418981481480995</v>
      </c>
    </row>
    <row r="92" spans="1:48" x14ac:dyDescent="0.35">
      <c r="A92" t="str">
        <f t="shared" si="1"/>
        <v>131023B825</v>
      </c>
      <c r="B92" s="7" t="s">
        <v>3248</v>
      </c>
      <c r="C92" s="7" t="s">
        <v>511</v>
      </c>
      <c r="D92" s="7" t="s">
        <v>16</v>
      </c>
      <c r="E92" s="7" t="s">
        <v>1177</v>
      </c>
      <c r="F92" s="7" t="s">
        <v>128</v>
      </c>
      <c r="G92" s="7" t="s">
        <v>130</v>
      </c>
      <c r="H92" s="7" t="s">
        <v>129</v>
      </c>
      <c r="I92" s="30">
        <v>2</v>
      </c>
      <c r="J92" s="7" t="s">
        <v>1177</v>
      </c>
      <c r="K92" s="7" t="s">
        <v>1178</v>
      </c>
      <c r="L92" s="7" t="s">
        <v>132</v>
      </c>
      <c r="M92" s="7" t="s">
        <v>133</v>
      </c>
      <c r="N92" s="30">
        <v>0</v>
      </c>
      <c r="O92" s="30">
        <v>0</v>
      </c>
      <c r="P92" s="30">
        <v>0</v>
      </c>
      <c r="Q92" s="30">
        <v>0</v>
      </c>
      <c r="R92" s="29">
        <v>0</v>
      </c>
      <c r="S92" s="36">
        <v>0</v>
      </c>
      <c r="T92" s="7" t="s">
        <v>131</v>
      </c>
      <c r="U92" s="7" t="s">
        <v>512</v>
      </c>
      <c r="V92" s="7" t="s">
        <v>512</v>
      </c>
      <c r="W92" s="7" t="s">
        <v>1177</v>
      </c>
      <c r="X92" s="30">
        <v>1</v>
      </c>
      <c r="Y92" s="7" t="s">
        <v>1177</v>
      </c>
      <c r="Z92" s="7" t="s">
        <v>1178</v>
      </c>
      <c r="AA92" s="30">
        <v>0</v>
      </c>
      <c r="AB92" s="36">
        <v>0</v>
      </c>
      <c r="AC92" s="7" t="s">
        <v>1177</v>
      </c>
      <c r="AD92" s="37">
        <v>0</v>
      </c>
      <c r="AE92" s="7" t="s">
        <v>1177</v>
      </c>
      <c r="AF92" s="7" t="s">
        <v>1177</v>
      </c>
      <c r="AG92" s="7" t="s">
        <v>1177</v>
      </c>
      <c r="AH92" s="38"/>
      <c r="AI92" s="36">
        <v>0</v>
      </c>
      <c r="AJ92" s="7" t="s">
        <v>1193</v>
      </c>
      <c r="AK92" s="7" t="s">
        <v>1177</v>
      </c>
      <c r="AL92" s="7" t="s">
        <v>1177</v>
      </c>
      <c r="AM92" s="7" t="s">
        <v>1177</v>
      </c>
      <c r="AN92" s="7" t="s">
        <v>3212</v>
      </c>
      <c r="AO92" s="7" t="s">
        <v>1177</v>
      </c>
      <c r="AP92" s="7" t="s">
        <v>1177</v>
      </c>
      <c r="AQ92" s="7" t="s">
        <v>1177</v>
      </c>
      <c r="AR92" s="29">
        <v>0</v>
      </c>
      <c r="AS92" s="7" t="s">
        <v>1177</v>
      </c>
      <c r="AT92" s="7" t="s">
        <v>1363</v>
      </c>
      <c r="AU92" s="38">
        <v>46275</v>
      </c>
      <c r="AV92" s="39">
        <v>0.60353009259259005</v>
      </c>
    </row>
    <row r="93" spans="1:48" x14ac:dyDescent="0.35">
      <c r="A93" t="str">
        <f t="shared" si="1"/>
        <v>131023B832</v>
      </c>
      <c r="B93" s="7" t="s">
        <v>3248</v>
      </c>
      <c r="C93" s="7" t="s">
        <v>653</v>
      </c>
      <c r="D93" s="7" t="s">
        <v>19</v>
      </c>
      <c r="E93" s="7" t="s">
        <v>1177</v>
      </c>
      <c r="F93" s="7" t="s">
        <v>128</v>
      </c>
      <c r="G93" s="7" t="s">
        <v>130</v>
      </c>
      <c r="H93" s="7" t="s">
        <v>129</v>
      </c>
      <c r="I93" s="30">
        <v>2</v>
      </c>
      <c r="J93" s="7" t="s">
        <v>1177</v>
      </c>
      <c r="K93" s="7" t="s">
        <v>1178</v>
      </c>
      <c r="L93" s="7" t="s">
        <v>132</v>
      </c>
      <c r="M93" s="7" t="s">
        <v>133</v>
      </c>
      <c r="N93" s="30">
        <v>0</v>
      </c>
      <c r="O93" s="30">
        <v>0</v>
      </c>
      <c r="P93" s="30">
        <v>0</v>
      </c>
      <c r="Q93" s="30">
        <v>0</v>
      </c>
      <c r="R93" s="29">
        <v>0</v>
      </c>
      <c r="S93" s="36">
        <v>0</v>
      </c>
      <c r="T93" s="7" t="s">
        <v>131</v>
      </c>
      <c r="U93" s="7" t="s">
        <v>654</v>
      </c>
      <c r="V93" s="7" t="s">
        <v>654</v>
      </c>
      <c r="W93" s="7" t="s">
        <v>1177</v>
      </c>
      <c r="X93" s="30">
        <v>1</v>
      </c>
      <c r="Y93" s="7" t="s">
        <v>1177</v>
      </c>
      <c r="Z93" s="7" t="s">
        <v>1178</v>
      </c>
      <c r="AA93" s="30">
        <v>0</v>
      </c>
      <c r="AB93" s="36">
        <v>0</v>
      </c>
      <c r="AC93" s="7" t="s">
        <v>1177</v>
      </c>
      <c r="AD93" s="37">
        <v>0</v>
      </c>
      <c r="AE93" s="7" t="s">
        <v>1177</v>
      </c>
      <c r="AF93" s="7" t="s">
        <v>1177</v>
      </c>
      <c r="AG93" s="7" t="s">
        <v>1177</v>
      </c>
      <c r="AH93" s="38"/>
      <c r="AI93" s="36">
        <v>0</v>
      </c>
      <c r="AJ93" s="7" t="s">
        <v>1193</v>
      </c>
      <c r="AK93" s="7" t="s">
        <v>1177</v>
      </c>
      <c r="AL93" s="7" t="s">
        <v>1177</v>
      </c>
      <c r="AM93" s="7" t="s">
        <v>1177</v>
      </c>
      <c r="AN93" s="7" t="s">
        <v>3212</v>
      </c>
      <c r="AO93" s="7" t="s">
        <v>1177</v>
      </c>
      <c r="AP93" s="7" t="s">
        <v>1177</v>
      </c>
      <c r="AQ93" s="7" t="s">
        <v>1177</v>
      </c>
      <c r="AR93" s="29">
        <v>0</v>
      </c>
      <c r="AS93" s="7" t="s">
        <v>1177</v>
      </c>
      <c r="AT93" s="7" t="s">
        <v>1363</v>
      </c>
      <c r="AU93" s="38">
        <v>46275</v>
      </c>
      <c r="AV93" s="39">
        <v>0.60385416666667002</v>
      </c>
    </row>
    <row r="94" spans="1:48" x14ac:dyDescent="0.35">
      <c r="A94" t="str">
        <f t="shared" si="1"/>
        <v>131023B838</v>
      </c>
      <c r="B94" s="7" t="s">
        <v>3248</v>
      </c>
      <c r="C94" s="7" t="s">
        <v>744</v>
      </c>
      <c r="D94" s="7" t="s">
        <v>48</v>
      </c>
      <c r="E94" s="7" t="s">
        <v>1177</v>
      </c>
      <c r="F94" s="7" t="s">
        <v>128</v>
      </c>
      <c r="G94" s="7" t="s">
        <v>130</v>
      </c>
      <c r="H94" s="7" t="s">
        <v>129</v>
      </c>
      <c r="I94" s="30">
        <v>2</v>
      </c>
      <c r="J94" s="7" t="s">
        <v>1177</v>
      </c>
      <c r="K94" s="7" t="s">
        <v>1178</v>
      </c>
      <c r="L94" s="7" t="s">
        <v>132</v>
      </c>
      <c r="M94" s="7" t="s">
        <v>133</v>
      </c>
      <c r="N94" s="30">
        <v>0</v>
      </c>
      <c r="O94" s="30">
        <v>0</v>
      </c>
      <c r="P94" s="30">
        <v>0</v>
      </c>
      <c r="Q94" s="30">
        <v>0</v>
      </c>
      <c r="R94" s="29">
        <v>0</v>
      </c>
      <c r="S94" s="36">
        <v>0</v>
      </c>
      <c r="T94" s="7" t="s">
        <v>131</v>
      </c>
      <c r="U94" s="7" t="s">
        <v>745</v>
      </c>
      <c r="V94" s="7" t="s">
        <v>745</v>
      </c>
      <c r="W94" s="7" t="s">
        <v>1177</v>
      </c>
      <c r="X94" s="30">
        <v>1</v>
      </c>
      <c r="Y94" s="7" t="s">
        <v>1177</v>
      </c>
      <c r="Z94" s="7" t="s">
        <v>1178</v>
      </c>
      <c r="AA94" s="30">
        <v>0</v>
      </c>
      <c r="AB94" s="36">
        <v>0</v>
      </c>
      <c r="AC94" s="7" t="s">
        <v>1177</v>
      </c>
      <c r="AD94" s="37">
        <v>0</v>
      </c>
      <c r="AE94" s="7" t="s">
        <v>1177</v>
      </c>
      <c r="AF94" s="7" t="s">
        <v>1177</v>
      </c>
      <c r="AG94" s="7" t="s">
        <v>1177</v>
      </c>
      <c r="AH94" s="38"/>
      <c r="AI94" s="36">
        <v>0</v>
      </c>
      <c r="AJ94" s="7" t="s">
        <v>1193</v>
      </c>
      <c r="AK94" s="7" t="s">
        <v>1177</v>
      </c>
      <c r="AL94" s="7" t="s">
        <v>1177</v>
      </c>
      <c r="AM94" s="7" t="s">
        <v>1177</v>
      </c>
      <c r="AN94" s="7" t="s">
        <v>3212</v>
      </c>
      <c r="AO94" s="7" t="s">
        <v>1177</v>
      </c>
      <c r="AP94" s="7" t="s">
        <v>1177</v>
      </c>
      <c r="AQ94" s="7" t="s">
        <v>1177</v>
      </c>
      <c r="AR94" s="29">
        <v>0</v>
      </c>
      <c r="AS94" s="7" t="s">
        <v>1177</v>
      </c>
      <c r="AT94" s="7" t="s">
        <v>1363</v>
      </c>
      <c r="AU94" s="38">
        <v>46275</v>
      </c>
      <c r="AV94" s="39">
        <v>0.60446759259258998</v>
      </c>
    </row>
    <row r="95" spans="1:48" x14ac:dyDescent="0.35">
      <c r="A95" t="str">
        <f t="shared" si="1"/>
        <v>131084B856</v>
      </c>
      <c r="B95" s="7" t="s">
        <v>3249</v>
      </c>
      <c r="C95" s="7" t="s">
        <v>852</v>
      </c>
      <c r="D95" s="7" t="s">
        <v>21</v>
      </c>
      <c r="E95" s="7" t="s">
        <v>1177</v>
      </c>
      <c r="F95" s="7" t="s">
        <v>128</v>
      </c>
      <c r="G95" s="7" t="s">
        <v>130</v>
      </c>
      <c r="H95" s="7" t="s">
        <v>129</v>
      </c>
      <c r="I95" s="30">
        <v>2</v>
      </c>
      <c r="J95" s="7" t="s">
        <v>1177</v>
      </c>
      <c r="K95" s="7" t="s">
        <v>1178</v>
      </c>
      <c r="L95" s="7" t="s">
        <v>132</v>
      </c>
      <c r="M95" s="7" t="s">
        <v>133</v>
      </c>
      <c r="N95" s="30">
        <v>0</v>
      </c>
      <c r="O95" s="30">
        <v>0</v>
      </c>
      <c r="P95" s="30">
        <v>0</v>
      </c>
      <c r="Q95" s="30">
        <v>0</v>
      </c>
      <c r="R95" s="29">
        <v>0</v>
      </c>
      <c r="S95" s="36">
        <v>0</v>
      </c>
      <c r="T95" s="7" t="s">
        <v>131</v>
      </c>
      <c r="U95" s="7" t="s">
        <v>853</v>
      </c>
      <c r="V95" s="7" t="s">
        <v>853</v>
      </c>
      <c r="W95" s="7" t="s">
        <v>1177</v>
      </c>
      <c r="X95" s="30">
        <v>1</v>
      </c>
      <c r="Y95" s="7" t="s">
        <v>1177</v>
      </c>
      <c r="Z95" s="7" t="s">
        <v>1178</v>
      </c>
      <c r="AA95" s="30">
        <v>0</v>
      </c>
      <c r="AB95" s="36">
        <v>0</v>
      </c>
      <c r="AC95" s="7" t="s">
        <v>1177</v>
      </c>
      <c r="AD95" s="37">
        <v>0</v>
      </c>
      <c r="AE95" s="7" t="s">
        <v>1177</v>
      </c>
      <c r="AF95" s="7" t="s">
        <v>1177</v>
      </c>
      <c r="AG95" s="7" t="s">
        <v>1177</v>
      </c>
      <c r="AH95" s="38"/>
      <c r="AI95" s="36">
        <v>0</v>
      </c>
      <c r="AJ95" s="7" t="s">
        <v>1193</v>
      </c>
      <c r="AK95" s="7" t="s">
        <v>1177</v>
      </c>
      <c r="AL95" s="7" t="s">
        <v>1177</v>
      </c>
      <c r="AM95" s="7" t="s">
        <v>1177</v>
      </c>
      <c r="AN95" s="7" t="s">
        <v>3212</v>
      </c>
      <c r="AO95" s="7" t="s">
        <v>1177</v>
      </c>
      <c r="AP95" s="7" t="s">
        <v>1177</v>
      </c>
      <c r="AQ95" s="7" t="s">
        <v>1177</v>
      </c>
      <c r="AR95" s="29">
        <v>0</v>
      </c>
      <c r="AS95" s="7" t="s">
        <v>1177</v>
      </c>
      <c r="AT95" s="7" t="s">
        <v>1363</v>
      </c>
      <c r="AU95" s="38">
        <v>46275</v>
      </c>
      <c r="AV95" s="39">
        <v>0.60523148148147998</v>
      </c>
    </row>
    <row r="96" spans="1:48" x14ac:dyDescent="0.35">
      <c r="A96" t="str">
        <f t="shared" si="1"/>
        <v>131084B857</v>
      </c>
      <c r="B96" s="7" t="s">
        <v>3249</v>
      </c>
      <c r="C96" s="7" t="s">
        <v>958</v>
      </c>
      <c r="D96" s="7" t="s">
        <v>23</v>
      </c>
      <c r="E96" s="7" t="s">
        <v>1177</v>
      </c>
      <c r="F96" s="7" t="s">
        <v>128</v>
      </c>
      <c r="G96" s="7" t="s">
        <v>130</v>
      </c>
      <c r="H96" s="7" t="s">
        <v>129</v>
      </c>
      <c r="I96" s="30">
        <v>2</v>
      </c>
      <c r="J96" s="7" t="s">
        <v>1177</v>
      </c>
      <c r="K96" s="7" t="s">
        <v>1178</v>
      </c>
      <c r="L96" s="7" t="s">
        <v>132</v>
      </c>
      <c r="M96" s="7" t="s">
        <v>133</v>
      </c>
      <c r="N96" s="30">
        <v>0</v>
      </c>
      <c r="O96" s="30">
        <v>0</v>
      </c>
      <c r="P96" s="30">
        <v>0</v>
      </c>
      <c r="Q96" s="30">
        <v>0</v>
      </c>
      <c r="R96" s="29">
        <v>0</v>
      </c>
      <c r="S96" s="36">
        <v>0</v>
      </c>
      <c r="T96" s="7" t="s">
        <v>131</v>
      </c>
      <c r="U96" s="7" t="s">
        <v>959</v>
      </c>
      <c r="V96" s="7" t="s">
        <v>959</v>
      </c>
      <c r="W96" s="7" t="s">
        <v>1177</v>
      </c>
      <c r="X96" s="30">
        <v>1</v>
      </c>
      <c r="Y96" s="7" t="s">
        <v>1177</v>
      </c>
      <c r="Z96" s="7" t="s">
        <v>1178</v>
      </c>
      <c r="AA96" s="30">
        <v>0</v>
      </c>
      <c r="AB96" s="36">
        <v>0</v>
      </c>
      <c r="AC96" s="7" t="s">
        <v>1177</v>
      </c>
      <c r="AD96" s="37">
        <v>0</v>
      </c>
      <c r="AE96" s="7" t="s">
        <v>1177</v>
      </c>
      <c r="AF96" s="7" t="s">
        <v>1177</v>
      </c>
      <c r="AG96" s="7" t="s">
        <v>1177</v>
      </c>
      <c r="AH96" s="38"/>
      <c r="AI96" s="36">
        <v>0</v>
      </c>
      <c r="AJ96" s="7" t="s">
        <v>1193</v>
      </c>
      <c r="AK96" s="7" t="s">
        <v>1177</v>
      </c>
      <c r="AL96" s="7" t="s">
        <v>1177</v>
      </c>
      <c r="AM96" s="7" t="s">
        <v>1177</v>
      </c>
      <c r="AN96" s="7" t="s">
        <v>3212</v>
      </c>
      <c r="AO96" s="7" t="s">
        <v>1177</v>
      </c>
      <c r="AP96" s="7" t="s">
        <v>1177</v>
      </c>
      <c r="AQ96" s="7" t="s">
        <v>1177</v>
      </c>
      <c r="AR96" s="29">
        <v>0</v>
      </c>
      <c r="AS96" s="7" t="s">
        <v>1177</v>
      </c>
      <c r="AT96" s="7" t="s">
        <v>1363</v>
      </c>
      <c r="AU96" s="38">
        <v>46275</v>
      </c>
      <c r="AV96" s="39">
        <v>0.60532407407406996</v>
      </c>
    </row>
    <row r="97" spans="1:48" x14ac:dyDescent="0.35">
      <c r="A97" t="str">
        <f t="shared" si="1"/>
        <v>132425B832</v>
      </c>
      <c r="B97" s="7" t="s">
        <v>2773</v>
      </c>
      <c r="C97" s="7" t="s">
        <v>653</v>
      </c>
      <c r="D97" s="7" t="s">
        <v>19</v>
      </c>
      <c r="E97" s="7" t="s">
        <v>1177</v>
      </c>
      <c r="F97" s="7" t="s">
        <v>134</v>
      </c>
      <c r="G97" s="7" t="s">
        <v>130</v>
      </c>
      <c r="H97" s="7" t="s">
        <v>129</v>
      </c>
      <c r="I97" s="30">
        <v>12</v>
      </c>
      <c r="J97" s="7" t="s">
        <v>1177</v>
      </c>
      <c r="K97" s="7" t="s">
        <v>1178</v>
      </c>
      <c r="L97" s="7" t="s">
        <v>132</v>
      </c>
      <c r="M97" s="7" t="s">
        <v>133</v>
      </c>
      <c r="N97" s="30">
        <v>0</v>
      </c>
      <c r="O97" s="30">
        <v>0</v>
      </c>
      <c r="P97" s="30">
        <v>0</v>
      </c>
      <c r="Q97" s="30">
        <v>0</v>
      </c>
      <c r="R97" s="29">
        <v>0</v>
      </c>
      <c r="S97" s="36">
        <v>0</v>
      </c>
      <c r="T97" s="7" t="s">
        <v>131</v>
      </c>
      <c r="U97" s="7" t="s">
        <v>654</v>
      </c>
      <c r="V97" s="7" t="s">
        <v>654</v>
      </c>
      <c r="W97" s="7" t="s">
        <v>1177</v>
      </c>
      <c r="X97" s="30">
        <v>12</v>
      </c>
      <c r="Y97" s="7" t="s">
        <v>1177</v>
      </c>
      <c r="Z97" s="7" t="s">
        <v>1178</v>
      </c>
      <c r="AA97" s="30">
        <v>0</v>
      </c>
      <c r="AB97" s="36">
        <v>0</v>
      </c>
      <c r="AC97" s="7" t="s">
        <v>1177</v>
      </c>
      <c r="AD97" s="37">
        <v>0</v>
      </c>
      <c r="AE97" s="7" t="s">
        <v>1177</v>
      </c>
      <c r="AF97" s="7" t="s">
        <v>1177</v>
      </c>
      <c r="AG97" s="7" t="s">
        <v>1177</v>
      </c>
      <c r="AH97" s="38"/>
      <c r="AI97" s="36">
        <v>0</v>
      </c>
      <c r="AJ97" s="7" t="s">
        <v>1193</v>
      </c>
      <c r="AK97" s="7" t="s">
        <v>1177</v>
      </c>
      <c r="AL97" s="7" t="s">
        <v>1177</v>
      </c>
      <c r="AM97" s="7" t="s">
        <v>1177</v>
      </c>
      <c r="AN97" s="7" t="s">
        <v>3212</v>
      </c>
      <c r="AO97" s="7" t="s">
        <v>1177</v>
      </c>
      <c r="AP97" s="7" t="s">
        <v>1177</v>
      </c>
      <c r="AQ97" s="7" t="s">
        <v>1177</v>
      </c>
      <c r="AR97" s="29">
        <v>0</v>
      </c>
      <c r="AS97" s="7" t="s">
        <v>1177</v>
      </c>
      <c r="AT97" s="7" t="s">
        <v>1363</v>
      </c>
      <c r="AU97" s="38">
        <v>46275</v>
      </c>
      <c r="AV97" s="39">
        <v>0.60388888888889003</v>
      </c>
    </row>
    <row r="98" spans="1:48" x14ac:dyDescent="0.35">
      <c r="A98" t="str">
        <f t="shared" si="1"/>
        <v>132425B838</v>
      </c>
      <c r="B98" s="7" t="s">
        <v>2773</v>
      </c>
      <c r="C98" s="7" t="s">
        <v>744</v>
      </c>
      <c r="D98" s="7" t="s">
        <v>48</v>
      </c>
      <c r="E98" s="7" t="s">
        <v>1177</v>
      </c>
      <c r="F98" s="7" t="s">
        <v>134</v>
      </c>
      <c r="G98" s="7" t="s">
        <v>130</v>
      </c>
      <c r="H98" s="7" t="s">
        <v>129</v>
      </c>
      <c r="I98" s="30">
        <v>3</v>
      </c>
      <c r="J98" s="7" t="s">
        <v>1177</v>
      </c>
      <c r="K98" s="7" t="s">
        <v>1178</v>
      </c>
      <c r="L98" s="7" t="s">
        <v>132</v>
      </c>
      <c r="M98" s="7" t="s">
        <v>133</v>
      </c>
      <c r="N98" s="30">
        <v>0</v>
      </c>
      <c r="O98" s="30">
        <v>0</v>
      </c>
      <c r="P98" s="30">
        <v>0</v>
      </c>
      <c r="Q98" s="30">
        <v>0</v>
      </c>
      <c r="R98" s="29">
        <v>0</v>
      </c>
      <c r="S98" s="36">
        <v>0</v>
      </c>
      <c r="T98" s="7" t="s">
        <v>131</v>
      </c>
      <c r="U98" s="7" t="s">
        <v>745</v>
      </c>
      <c r="V98" s="7" t="s">
        <v>745</v>
      </c>
      <c r="W98" s="7" t="s">
        <v>1177</v>
      </c>
      <c r="X98" s="30">
        <v>3</v>
      </c>
      <c r="Y98" s="7" t="s">
        <v>1177</v>
      </c>
      <c r="Z98" s="7" t="s">
        <v>1178</v>
      </c>
      <c r="AA98" s="30">
        <v>0</v>
      </c>
      <c r="AB98" s="36">
        <v>0</v>
      </c>
      <c r="AC98" s="7" t="s">
        <v>1177</v>
      </c>
      <c r="AD98" s="37">
        <v>0</v>
      </c>
      <c r="AE98" s="7" t="s">
        <v>1177</v>
      </c>
      <c r="AF98" s="7" t="s">
        <v>1177</v>
      </c>
      <c r="AG98" s="7" t="s">
        <v>1177</v>
      </c>
      <c r="AH98" s="38"/>
      <c r="AI98" s="36">
        <v>0</v>
      </c>
      <c r="AJ98" s="7" t="s">
        <v>1193</v>
      </c>
      <c r="AK98" s="7" t="s">
        <v>1177</v>
      </c>
      <c r="AL98" s="7" t="s">
        <v>1177</v>
      </c>
      <c r="AM98" s="7" t="s">
        <v>1177</v>
      </c>
      <c r="AN98" s="7" t="s">
        <v>3212</v>
      </c>
      <c r="AO98" s="7" t="s">
        <v>1177</v>
      </c>
      <c r="AP98" s="7" t="s">
        <v>1177</v>
      </c>
      <c r="AQ98" s="7" t="s">
        <v>1177</v>
      </c>
      <c r="AR98" s="29">
        <v>0</v>
      </c>
      <c r="AS98" s="7" t="s">
        <v>1177</v>
      </c>
      <c r="AT98" s="7" t="s">
        <v>1363</v>
      </c>
      <c r="AU98" s="38">
        <v>46275</v>
      </c>
      <c r="AV98" s="39">
        <v>0.60445601851852004</v>
      </c>
    </row>
    <row r="99" spans="1:48" x14ac:dyDescent="0.35">
      <c r="A99" t="str">
        <f t="shared" si="1"/>
        <v>132425B857</v>
      </c>
      <c r="B99" s="7" t="s">
        <v>2773</v>
      </c>
      <c r="C99" s="7" t="s">
        <v>958</v>
      </c>
      <c r="D99" s="7" t="s">
        <v>23</v>
      </c>
      <c r="E99" s="7" t="s">
        <v>1177</v>
      </c>
      <c r="F99" s="7" t="s">
        <v>134</v>
      </c>
      <c r="G99" s="7" t="s">
        <v>130</v>
      </c>
      <c r="H99" s="7" t="s">
        <v>129</v>
      </c>
      <c r="I99" s="30">
        <v>15</v>
      </c>
      <c r="J99" s="7" t="s">
        <v>1177</v>
      </c>
      <c r="K99" s="7" t="s">
        <v>1178</v>
      </c>
      <c r="L99" s="7" t="s">
        <v>132</v>
      </c>
      <c r="M99" s="7" t="s">
        <v>133</v>
      </c>
      <c r="N99" s="30">
        <v>0</v>
      </c>
      <c r="O99" s="30">
        <v>0</v>
      </c>
      <c r="P99" s="30">
        <v>0</v>
      </c>
      <c r="Q99" s="30">
        <v>0</v>
      </c>
      <c r="R99" s="29">
        <v>0</v>
      </c>
      <c r="S99" s="36">
        <v>0</v>
      </c>
      <c r="T99" s="7" t="s">
        <v>131</v>
      </c>
      <c r="U99" s="7" t="s">
        <v>959</v>
      </c>
      <c r="V99" s="7" t="s">
        <v>959</v>
      </c>
      <c r="W99" s="7" t="s">
        <v>1177</v>
      </c>
      <c r="X99" s="30">
        <v>15</v>
      </c>
      <c r="Y99" s="7" t="s">
        <v>1177</v>
      </c>
      <c r="Z99" s="7" t="s">
        <v>1178</v>
      </c>
      <c r="AA99" s="30">
        <v>0</v>
      </c>
      <c r="AB99" s="36">
        <v>0</v>
      </c>
      <c r="AC99" s="7" t="s">
        <v>1177</v>
      </c>
      <c r="AD99" s="37">
        <v>0</v>
      </c>
      <c r="AE99" s="7" t="s">
        <v>1177</v>
      </c>
      <c r="AF99" s="7" t="s">
        <v>1177</v>
      </c>
      <c r="AG99" s="7" t="s">
        <v>1177</v>
      </c>
      <c r="AH99" s="38"/>
      <c r="AI99" s="36">
        <v>0</v>
      </c>
      <c r="AJ99" s="7" t="s">
        <v>1193</v>
      </c>
      <c r="AK99" s="7" t="s">
        <v>1177</v>
      </c>
      <c r="AL99" s="7" t="s">
        <v>1177</v>
      </c>
      <c r="AM99" s="7" t="s">
        <v>1177</v>
      </c>
      <c r="AN99" s="7" t="s">
        <v>3212</v>
      </c>
      <c r="AO99" s="7" t="s">
        <v>1177</v>
      </c>
      <c r="AP99" s="7" t="s">
        <v>1177</v>
      </c>
      <c r="AQ99" s="7" t="s">
        <v>1177</v>
      </c>
      <c r="AR99" s="29">
        <v>0</v>
      </c>
      <c r="AS99" s="7" t="s">
        <v>1177</v>
      </c>
      <c r="AT99" s="7" t="s">
        <v>1363</v>
      </c>
      <c r="AU99" s="38">
        <v>46275</v>
      </c>
      <c r="AV99" s="39">
        <v>0.60524305555556002</v>
      </c>
    </row>
    <row r="100" spans="1:48" x14ac:dyDescent="0.35">
      <c r="A100" t="str">
        <f t="shared" si="1"/>
        <v>132425B864</v>
      </c>
      <c r="B100" s="7" t="s">
        <v>2773</v>
      </c>
      <c r="C100" s="7" t="s">
        <v>1010</v>
      </c>
      <c r="D100" s="7" t="s">
        <v>10</v>
      </c>
      <c r="E100" s="7" t="s">
        <v>1177</v>
      </c>
      <c r="F100" s="7" t="s">
        <v>134</v>
      </c>
      <c r="G100" s="7" t="s">
        <v>130</v>
      </c>
      <c r="H100" s="7" t="s">
        <v>129</v>
      </c>
      <c r="I100" s="30">
        <v>5</v>
      </c>
      <c r="J100" s="7" t="s">
        <v>1177</v>
      </c>
      <c r="K100" s="7" t="s">
        <v>1178</v>
      </c>
      <c r="L100" s="7" t="s">
        <v>132</v>
      </c>
      <c r="M100" s="7" t="s">
        <v>133</v>
      </c>
      <c r="N100" s="30">
        <v>0</v>
      </c>
      <c r="O100" s="30">
        <v>0</v>
      </c>
      <c r="P100" s="30">
        <v>0</v>
      </c>
      <c r="Q100" s="30">
        <v>0</v>
      </c>
      <c r="R100" s="29">
        <v>0</v>
      </c>
      <c r="S100" s="36">
        <v>0</v>
      </c>
      <c r="T100" s="7" t="s">
        <v>131</v>
      </c>
      <c r="U100" s="7" t="s">
        <v>1011</v>
      </c>
      <c r="V100" s="7" t="s">
        <v>1011</v>
      </c>
      <c r="W100" s="7" t="s">
        <v>1177</v>
      </c>
      <c r="X100" s="30">
        <v>5</v>
      </c>
      <c r="Y100" s="7" t="s">
        <v>1177</v>
      </c>
      <c r="Z100" s="7" t="s">
        <v>1178</v>
      </c>
      <c r="AA100" s="30">
        <v>0</v>
      </c>
      <c r="AB100" s="36">
        <v>0</v>
      </c>
      <c r="AC100" s="7" t="s">
        <v>1177</v>
      </c>
      <c r="AD100" s="37">
        <v>0</v>
      </c>
      <c r="AE100" s="7" t="s">
        <v>1177</v>
      </c>
      <c r="AF100" s="7" t="s">
        <v>1177</v>
      </c>
      <c r="AG100" s="7" t="s">
        <v>1177</v>
      </c>
      <c r="AH100" s="38"/>
      <c r="AI100" s="36">
        <v>0</v>
      </c>
      <c r="AJ100" s="7" t="s">
        <v>1193</v>
      </c>
      <c r="AK100" s="7" t="s">
        <v>1177</v>
      </c>
      <c r="AL100" s="7" t="s">
        <v>1177</v>
      </c>
      <c r="AM100" s="7" t="s">
        <v>1177</v>
      </c>
      <c r="AN100" s="7" t="s">
        <v>3212</v>
      </c>
      <c r="AO100" s="7" t="s">
        <v>1177</v>
      </c>
      <c r="AP100" s="7" t="s">
        <v>1177</v>
      </c>
      <c r="AQ100" s="7" t="s">
        <v>1177</v>
      </c>
      <c r="AR100" s="29">
        <v>0</v>
      </c>
      <c r="AS100" s="7" t="s">
        <v>1177</v>
      </c>
      <c r="AT100" s="7" t="s">
        <v>1363</v>
      </c>
      <c r="AU100" s="38">
        <v>46275</v>
      </c>
      <c r="AV100" s="39">
        <v>0.60541666666667004</v>
      </c>
    </row>
    <row r="101" spans="1:48" x14ac:dyDescent="0.35">
      <c r="A101" t="str">
        <f t="shared" si="1"/>
        <v>132425B865</v>
      </c>
      <c r="B101" s="7" t="s">
        <v>2773</v>
      </c>
      <c r="C101" s="7" t="s">
        <v>1039</v>
      </c>
      <c r="D101" s="7" t="s">
        <v>7</v>
      </c>
      <c r="E101" s="7" t="s">
        <v>1177</v>
      </c>
      <c r="F101" s="7" t="s">
        <v>134</v>
      </c>
      <c r="G101" s="7" t="s">
        <v>130</v>
      </c>
      <c r="H101" s="7" t="s">
        <v>129</v>
      </c>
      <c r="I101" s="30">
        <v>6</v>
      </c>
      <c r="J101" s="7" t="s">
        <v>1177</v>
      </c>
      <c r="K101" s="7" t="s">
        <v>1178</v>
      </c>
      <c r="L101" s="7" t="s">
        <v>132</v>
      </c>
      <c r="M101" s="7" t="s">
        <v>133</v>
      </c>
      <c r="N101" s="30">
        <v>0</v>
      </c>
      <c r="O101" s="30">
        <v>0</v>
      </c>
      <c r="P101" s="30">
        <v>0</v>
      </c>
      <c r="Q101" s="30">
        <v>0</v>
      </c>
      <c r="R101" s="29">
        <v>0</v>
      </c>
      <c r="S101" s="36">
        <v>0</v>
      </c>
      <c r="T101" s="7" t="s">
        <v>131</v>
      </c>
      <c r="U101" s="7" t="s">
        <v>1040</v>
      </c>
      <c r="V101" s="7" t="s">
        <v>1040</v>
      </c>
      <c r="W101" s="7" t="s">
        <v>1177</v>
      </c>
      <c r="X101" s="30">
        <v>6</v>
      </c>
      <c r="Y101" s="7" t="s">
        <v>1177</v>
      </c>
      <c r="Z101" s="7" t="s">
        <v>1178</v>
      </c>
      <c r="AA101" s="30">
        <v>0</v>
      </c>
      <c r="AB101" s="36">
        <v>0</v>
      </c>
      <c r="AC101" s="7" t="s">
        <v>1177</v>
      </c>
      <c r="AD101" s="37">
        <v>0</v>
      </c>
      <c r="AE101" s="7" t="s">
        <v>1177</v>
      </c>
      <c r="AF101" s="7" t="s">
        <v>1177</v>
      </c>
      <c r="AG101" s="7" t="s">
        <v>1177</v>
      </c>
      <c r="AH101" s="38"/>
      <c r="AI101" s="36">
        <v>0</v>
      </c>
      <c r="AJ101" s="7" t="s">
        <v>1193</v>
      </c>
      <c r="AK101" s="7" t="s">
        <v>1177</v>
      </c>
      <c r="AL101" s="7" t="s">
        <v>1177</v>
      </c>
      <c r="AM101" s="7" t="s">
        <v>1177</v>
      </c>
      <c r="AN101" s="7" t="s">
        <v>3212</v>
      </c>
      <c r="AO101" s="7" t="s">
        <v>1177</v>
      </c>
      <c r="AP101" s="7" t="s">
        <v>1177</v>
      </c>
      <c r="AQ101" s="7" t="s">
        <v>1177</v>
      </c>
      <c r="AR101" s="29">
        <v>0</v>
      </c>
      <c r="AS101" s="7" t="s">
        <v>1177</v>
      </c>
      <c r="AT101" s="7" t="s">
        <v>1363</v>
      </c>
      <c r="AU101" s="38">
        <v>46275</v>
      </c>
      <c r="AV101" s="39">
        <v>0.60553240740740999</v>
      </c>
    </row>
    <row r="102" spans="1:48" x14ac:dyDescent="0.35">
      <c r="A102" t="str">
        <f t="shared" si="1"/>
        <v>132425B867</v>
      </c>
      <c r="B102" s="7" t="s">
        <v>2773</v>
      </c>
      <c r="C102" s="7" t="s">
        <v>1059</v>
      </c>
      <c r="D102" s="7" t="s">
        <v>25</v>
      </c>
      <c r="E102" s="7" t="s">
        <v>1177</v>
      </c>
      <c r="F102" s="7" t="s">
        <v>134</v>
      </c>
      <c r="G102" s="7" t="s">
        <v>130</v>
      </c>
      <c r="H102" s="7" t="s">
        <v>129</v>
      </c>
      <c r="I102" s="30">
        <v>2</v>
      </c>
      <c r="J102" s="7" t="s">
        <v>1177</v>
      </c>
      <c r="K102" s="7" t="s">
        <v>1178</v>
      </c>
      <c r="L102" s="7" t="s">
        <v>132</v>
      </c>
      <c r="M102" s="7" t="s">
        <v>133</v>
      </c>
      <c r="N102" s="30">
        <v>0</v>
      </c>
      <c r="O102" s="30">
        <v>0</v>
      </c>
      <c r="P102" s="30">
        <v>0</v>
      </c>
      <c r="Q102" s="30">
        <v>0</v>
      </c>
      <c r="R102" s="29">
        <v>0</v>
      </c>
      <c r="S102" s="36">
        <v>0</v>
      </c>
      <c r="T102" s="7" t="s">
        <v>131</v>
      </c>
      <c r="U102" s="7" t="s">
        <v>1060</v>
      </c>
      <c r="V102" s="7" t="s">
        <v>1060</v>
      </c>
      <c r="W102" s="7" t="s">
        <v>1177</v>
      </c>
      <c r="X102" s="30">
        <v>2</v>
      </c>
      <c r="Y102" s="7" t="s">
        <v>1177</v>
      </c>
      <c r="Z102" s="7" t="s">
        <v>1178</v>
      </c>
      <c r="AA102" s="30">
        <v>0</v>
      </c>
      <c r="AB102" s="36">
        <v>0</v>
      </c>
      <c r="AC102" s="7" t="s">
        <v>1177</v>
      </c>
      <c r="AD102" s="37">
        <v>0</v>
      </c>
      <c r="AE102" s="7" t="s">
        <v>1177</v>
      </c>
      <c r="AF102" s="7" t="s">
        <v>1177</v>
      </c>
      <c r="AG102" s="7" t="s">
        <v>1177</v>
      </c>
      <c r="AH102" s="38"/>
      <c r="AI102" s="36">
        <v>0</v>
      </c>
      <c r="AJ102" s="7" t="s">
        <v>1193</v>
      </c>
      <c r="AK102" s="7" t="s">
        <v>1177</v>
      </c>
      <c r="AL102" s="7" t="s">
        <v>1177</v>
      </c>
      <c r="AM102" s="7" t="s">
        <v>1177</v>
      </c>
      <c r="AN102" s="7" t="s">
        <v>3212</v>
      </c>
      <c r="AO102" s="7" t="s">
        <v>1177</v>
      </c>
      <c r="AP102" s="7" t="s">
        <v>1177</v>
      </c>
      <c r="AQ102" s="7" t="s">
        <v>1177</v>
      </c>
      <c r="AR102" s="29">
        <v>0</v>
      </c>
      <c r="AS102" s="7" t="s">
        <v>1177</v>
      </c>
      <c r="AT102" s="7" t="s">
        <v>1363</v>
      </c>
      <c r="AU102" s="38">
        <v>46275</v>
      </c>
      <c r="AV102" s="39">
        <v>0.60567129629630001</v>
      </c>
    </row>
    <row r="103" spans="1:48" x14ac:dyDescent="0.35">
      <c r="A103" t="str">
        <f t="shared" si="1"/>
        <v>149191B825</v>
      </c>
      <c r="B103" s="7" t="s">
        <v>1714</v>
      </c>
      <c r="C103" s="7" t="s">
        <v>511</v>
      </c>
      <c r="D103" s="7" t="s">
        <v>16</v>
      </c>
      <c r="E103" s="7" t="s">
        <v>1177</v>
      </c>
      <c r="F103" s="7" t="s">
        <v>134</v>
      </c>
      <c r="G103" s="7" t="s">
        <v>130</v>
      </c>
      <c r="H103" s="7" t="s">
        <v>129</v>
      </c>
      <c r="I103" s="30">
        <v>12</v>
      </c>
      <c r="J103" s="7" t="s">
        <v>1177</v>
      </c>
      <c r="K103" s="7" t="s">
        <v>1178</v>
      </c>
      <c r="L103" s="7" t="s">
        <v>132</v>
      </c>
      <c r="M103" s="7" t="s">
        <v>133</v>
      </c>
      <c r="N103" s="30">
        <v>0</v>
      </c>
      <c r="O103" s="30">
        <v>0</v>
      </c>
      <c r="P103" s="30">
        <v>0</v>
      </c>
      <c r="Q103" s="30">
        <v>0</v>
      </c>
      <c r="R103" s="29">
        <v>0</v>
      </c>
      <c r="S103" s="36">
        <v>0</v>
      </c>
      <c r="T103" s="7" t="s">
        <v>131</v>
      </c>
      <c r="U103" s="7" t="s">
        <v>512</v>
      </c>
      <c r="V103" s="7" t="s">
        <v>512</v>
      </c>
      <c r="W103" s="7" t="s">
        <v>1177</v>
      </c>
      <c r="X103" s="30">
        <v>12</v>
      </c>
      <c r="Y103" s="7" t="s">
        <v>1177</v>
      </c>
      <c r="Z103" s="7" t="s">
        <v>1178</v>
      </c>
      <c r="AA103" s="30">
        <v>0</v>
      </c>
      <c r="AB103" s="36">
        <v>0</v>
      </c>
      <c r="AC103" s="7" t="s">
        <v>1177</v>
      </c>
      <c r="AD103" s="37">
        <v>0</v>
      </c>
      <c r="AE103" s="7" t="s">
        <v>1177</v>
      </c>
      <c r="AF103" s="7" t="s">
        <v>1177</v>
      </c>
      <c r="AG103" s="7" t="s">
        <v>1177</v>
      </c>
      <c r="AH103" s="38"/>
      <c r="AI103" s="36">
        <v>0</v>
      </c>
      <c r="AJ103" s="7" t="s">
        <v>1193</v>
      </c>
      <c r="AK103" s="7" t="s">
        <v>1177</v>
      </c>
      <c r="AL103" s="7" t="s">
        <v>1177</v>
      </c>
      <c r="AM103" s="7" t="s">
        <v>1177</v>
      </c>
      <c r="AN103" s="7" t="s">
        <v>3212</v>
      </c>
      <c r="AO103" s="7" t="s">
        <v>1177</v>
      </c>
      <c r="AP103" s="7" t="s">
        <v>1177</v>
      </c>
      <c r="AQ103" s="7" t="s">
        <v>1177</v>
      </c>
      <c r="AR103" s="29">
        <v>0</v>
      </c>
      <c r="AS103" s="7" t="s">
        <v>1177</v>
      </c>
      <c r="AT103" s="7" t="s">
        <v>1363</v>
      </c>
      <c r="AU103" s="38">
        <v>46275</v>
      </c>
      <c r="AV103" s="39">
        <v>0.60354166666666997</v>
      </c>
    </row>
    <row r="104" spans="1:48" x14ac:dyDescent="0.35">
      <c r="A104" t="str">
        <f t="shared" si="1"/>
        <v>149191B832</v>
      </c>
      <c r="B104" s="7" t="s">
        <v>1714</v>
      </c>
      <c r="C104" s="7" t="s">
        <v>653</v>
      </c>
      <c r="D104" s="7" t="s">
        <v>19</v>
      </c>
      <c r="E104" s="7" t="s">
        <v>1177</v>
      </c>
      <c r="F104" s="7" t="s">
        <v>134</v>
      </c>
      <c r="G104" s="7" t="s">
        <v>130</v>
      </c>
      <c r="H104" s="7" t="s">
        <v>129</v>
      </c>
      <c r="I104" s="30">
        <v>5</v>
      </c>
      <c r="J104" s="7" t="s">
        <v>1177</v>
      </c>
      <c r="K104" s="7" t="s">
        <v>1178</v>
      </c>
      <c r="L104" s="7" t="s">
        <v>132</v>
      </c>
      <c r="M104" s="7" t="s">
        <v>133</v>
      </c>
      <c r="N104" s="30">
        <v>0</v>
      </c>
      <c r="O104" s="30">
        <v>0</v>
      </c>
      <c r="P104" s="30">
        <v>0</v>
      </c>
      <c r="Q104" s="30">
        <v>0</v>
      </c>
      <c r="R104" s="29">
        <v>0</v>
      </c>
      <c r="S104" s="36">
        <v>0</v>
      </c>
      <c r="T104" s="7" t="s">
        <v>131</v>
      </c>
      <c r="U104" s="7" t="s">
        <v>654</v>
      </c>
      <c r="V104" s="7" t="s">
        <v>654</v>
      </c>
      <c r="W104" s="7" t="s">
        <v>1177</v>
      </c>
      <c r="X104" s="30">
        <v>5</v>
      </c>
      <c r="Y104" s="7" t="s">
        <v>1177</v>
      </c>
      <c r="Z104" s="7" t="s">
        <v>1178</v>
      </c>
      <c r="AA104" s="30">
        <v>0</v>
      </c>
      <c r="AB104" s="36">
        <v>0</v>
      </c>
      <c r="AC104" s="7" t="s">
        <v>1177</v>
      </c>
      <c r="AD104" s="37">
        <v>0</v>
      </c>
      <c r="AE104" s="7" t="s">
        <v>1177</v>
      </c>
      <c r="AF104" s="7" t="s">
        <v>1177</v>
      </c>
      <c r="AG104" s="7" t="s">
        <v>1177</v>
      </c>
      <c r="AH104" s="38"/>
      <c r="AI104" s="36">
        <v>0</v>
      </c>
      <c r="AJ104" s="7" t="s">
        <v>1193</v>
      </c>
      <c r="AK104" s="7" t="s">
        <v>1177</v>
      </c>
      <c r="AL104" s="7" t="s">
        <v>1177</v>
      </c>
      <c r="AM104" s="7" t="s">
        <v>1177</v>
      </c>
      <c r="AN104" s="7" t="s">
        <v>3212</v>
      </c>
      <c r="AO104" s="7" t="s">
        <v>1177</v>
      </c>
      <c r="AP104" s="7" t="s">
        <v>1177</v>
      </c>
      <c r="AQ104" s="7" t="s">
        <v>1177</v>
      </c>
      <c r="AR104" s="29">
        <v>0</v>
      </c>
      <c r="AS104" s="7" t="s">
        <v>1177</v>
      </c>
      <c r="AT104" s="7" t="s">
        <v>1363</v>
      </c>
      <c r="AU104" s="38">
        <v>46275</v>
      </c>
      <c r="AV104" s="39">
        <v>0.60387731481481</v>
      </c>
    </row>
    <row r="105" spans="1:48" x14ac:dyDescent="0.35">
      <c r="A105" t="str">
        <f t="shared" si="1"/>
        <v>149191B838</v>
      </c>
      <c r="B105" s="7" t="s">
        <v>1714</v>
      </c>
      <c r="C105" s="7" t="s">
        <v>744</v>
      </c>
      <c r="D105" s="7" t="s">
        <v>48</v>
      </c>
      <c r="E105" s="7" t="s">
        <v>1177</v>
      </c>
      <c r="F105" s="7" t="s">
        <v>134</v>
      </c>
      <c r="G105" s="7" t="s">
        <v>130</v>
      </c>
      <c r="H105" s="7" t="s">
        <v>129</v>
      </c>
      <c r="I105" s="30">
        <v>2</v>
      </c>
      <c r="J105" s="7" t="s">
        <v>1177</v>
      </c>
      <c r="K105" s="7" t="s">
        <v>1178</v>
      </c>
      <c r="L105" s="7" t="s">
        <v>132</v>
      </c>
      <c r="M105" s="7" t="s">
        <v>133</v>
      </c>
      <c r="N105" s="30">
        <v>0</v>
      </c>
      <c r="O105" s="30">
        <v>0</v>
      </c>
      <c r="P105" s="30">
        <v>0</v>
      </c>
      <c r="Q105" s="30">
        <v>0</v>
      </c>
      <c r="R105" s="29">
        <v>0</v>
      </c>
      <c r="S105" s="36">
        <v>0</v>
      </c>
      <c r="T105" s="7" t="s">
        <v>131</v>
      </c>
      <c r="U105" s="7" t="s">
        <v>745</v>
      </c>
      <c r="V105" s="7" t="s">
        <v>745</v>
      </c>
      <c r="W105" s="7" t="s">
        <v>1177</v>
      </c>
      <c r="X105" s="30">
        <v>2</v>
      </c>
      <c r="Y105" s="7" t="s">
        <v>1177</v>
      </c>
      <c r="Z105" s="7" t="s">
        <v>1178</v>
      </c>
      <c r="AA105" s="30">
        <v>0</v>
      </c>
      <c r="AB105" s="36">
        <v>0</v>
      </c>
      <c r="AC105" s="7" t="s">
        <v>1177</v>
      </c>
      <c r="AD105" s="37">
        <v>0</v>
      </c>
      <c r="AE105" s="7" t="s">
        <v>1177</v>
      </c>
      <c r="AF105" s="7" t="s">
        <v>1177</v>
      </c>
      <c r="AG105" s="7" t="s">
        <v>1177</v>
      </c>
      <c r="AH105" s="38"/>
      <c r="AI105" s="36">
        <v>0</v>
      </c>
      <c r="AJ105" s="7" t="s">
        <v>1193</v>
      </c>
      <c r="AK105" s="7" t="s">
        <v>1177</v>
      </c>
      <c r="AL105" s="7" t="s">
        <v>1177</v>
      </c>
      <c r="AM105" s="7" t="s">
        <v>1177</v>
      </c>
      <c r="AN105" s="7" t="s">
        <v>3212</v>
      </c>
      <c r="AO105" s="7" t="s">
        <v>1177</v>
      </c>
      <c r="AP105" s="7" t="s">
        <v>1177</v>
      </c>
      <c r="AQ105" s="7" t="s">
        <v>1177</v>
      </c>
      <c r="AR105" s="29">
        <v>0</v>
      </c>
      <c r="AS105" s="7" t="s">
        <v>1177</v>
      </c>
      <c r="AT105" s="7" t="s">
        <v>1363</v>
      </c>
      <c r="AU105" s="38">
        <v>46275</v>
      </c>
      <c r="AV105" s="39">
        <v>0.60447916666667001</v>
      </c>
    </row>
    <row r="106" spans="1:48" x14ac:dyDescent="0.35">
      <c r="A106" t="str">
        <f t="shared" si="1"/>
        <v>149191B856</v>
      </c>
      <c r="B106" s="7" t="s">
        <v>1714</v>
      </c>
      <c r="C106" s="7" t="s">
        <v>852</v>
      </c>
      <c r="D106" s="7" t="s">
        <v>21</v>
      </c>
      <c r="E106" s="7" t="s">
        <v>1177</v>
      </c>
      <c r="F106" s="7" t="s">
        <v>134</v>
      </c>
      <c r="G106" s="7" t="s">
        <v>130</v>
      </c>
      <c r="H106" s="7" t="s">
        <v>129</v>
      </c>
      <c r="I106" s="30">
        <v>2</v>
      </c>
      <c r="J106" s="7" t="s">
        <v>1177</v>
      </c>
      <c r="K106" s="7" t="s">
        <v>1178</v>
      </c>
      <c r="L106" s="7" t="s">
        <v>132</v>
      </c>
      <c r="M106" s="7" t="s">
        <v>133</v>
      </c>
      <c r="N106" s="30">
        <v>0</v>
      </c>
      <c r="O106" s="30">
        <v>0</v>
      </c>
      <c r="P106" s="30">
        <v>0</v>
      </c>
      <c r="Q106" s="30">
        <v>0</v>
      </c>
      <c r="R106" s="29">
        <v>0</v>
      </c>
      <c r="S106" s="36">
        <v>0</v>
      </c>
      <c r="T106" s="7" t="s">
        <v>131</v>
      </c>
      <c r="U106" s="7" t="s">
        <v>853</v>
      </c>
      <c r="V106" s="7" t="s">
        <v>853</v>
      </c>
      <c r="W106" s="7" t="s">
        <v>1177</v>
      </c>
      <c r="X106" s="30">
        <v>2</v>
      </c>
      <c r="Y106" s="7" t="s">
        <v>1177</v>
      </c>
      <c r="Z106" s="7" t="s">
        <v>1178</v>
      </c>
      <c r="AA106" s="30">
        <v>0</v>
      </c>
      <c r="AB106" s="36">
        <v>0</v>
      </c>
      <c r="AC106" s="7" t="s">
        <v>1177</v>
      </c>
      <c r="AD106" s="37">
        <v>0</v>
      </c>
      <c r="AE106" s="7" t="s">
        <v>1177</v>
      </c>
      <c r="AF106" s="7" t="s">
        <v>1177</v>
      </c>
      <c r="AG106" s="7" t="s">
        <v>1177</v>
      </c>
      <c r="AH106" s="38"/>
      <c r="AI106" s="36">
        <v>0</v>
      </c>
      <c r="AJ106" s="7" t="s">
        <v>1193</v>
      </c>
      <c r="AK106" s="7" t="s">
        <v>1177</v>
      </c>
      <c r="AL106" s="7" t="s">
        <v>1177</v>
      </c>
      <c r="AM106" s="7" t="s">
        <v>1177</v>
      </c>
      <c r="AN106" s="7" t="s">
        <v>3212</v>
      </c>
      <c r="AO106" s="7" t="s">
        <v>1177</v>
      </c>
      <c r="AP106" s="7" t="s">
        <v>1177</v>
      </c>
      <c r="AQ106" s="7" t="s">
        <v>1177</v>
      </c>
      <c r="AR106" s="29">
        <v>0</v>
      </c>
      <c r="AS106" s="7" t="s">
        <v>1177</v>
      </c>
      <c r="AT106" s="7" t="s">
        <v>1363</v>
      </c>
      <c r="AU106" s="38">
        <v>46275</v>
      </c>
      <c r="AV106" s="39">
        <v>0.60521990740741005</v>
      </c>
    </row>
    <row r="107" spans="1:48" x14ac:dyDescent="0.35">
      <c r="A107" t="str">
        <f t="shared" si="1"/>
        <v>149191B857</v>
      </c>
      <c r="B107" s="7" t="s">
        <v>1714</v>
      </c>
      <c r="C107" s="7" t="s">
        <v>958</v>
      </c>
      <c r="D107" s="7" t="s">
        <v>23</v>
      </c>
      <c r="E107" s="7" t="s">
        <v>1177</v>
      </c>
      <c r="F107" s="7" t="s">
        <v>134</v>
      </c>
      <c r="G107" s="7" t="s">
        <v>130</v>
      </c>
      <c r="H107" s="7" t="s">
        <v>129</v>
      </c>
      <c r="I107" s="30">
        <v>2</v>
      </c>
      <c r="J107" s="7" t="s">
        <v>1177</v>
      </c>
      <c r="K107" s="7" t="s">
        <v>1178</v>
      </c>
      <c r="L107" s="7" t="s">
        <v>132</v>
      </c>
      <c r="M107" s="7" t="s">
        <v>133</v>
      </c>
      <c r="N107" s="30">
        <v>0</v>
      </c>
      <c r="O107" s="30">
        <v>0</v>
      </c>
      <c r="P107" s="30">
        <v>0</v>
      </c>
      <c r="Q107" s="30">
        <v>0</v>
      </c>
      <c r="R107" s="29">
        <v>0</v>
      </c>
      <c r="S107" s="36">
        <v>0</v>
      </c>
      <c r="T107" s="7" t="s">
        <v>131</v>
      </c>
      <c r="U107" s="7" t="s">
        <v>959</v>
      </c>
      <c r="V107" s="7" t="s">
        <v>959</v>
      </c>
      <c r="W107" s="7" t="s">
        <v>1177</v>
      </c>
      <c r="X107" s="30">
        <v>2</v>
      </c>
      <c r="Y107" s="7" t="s">
        <v>1177</v>
      </c>
      <c r="Z107" s="7" t="s">
        <v>1178</v>
      </c>
      <c r="AA107" s="30">
        <v>0</v>
      </c>
      <c r="AB107" s="36">
        <v>0</v>
      </c>
      <c r="AC107" s="7" t="s">
        <v>1177</v>
      </c>
      <c r="AD107" s="37">
        <v>0</v>
      </c>
      <c r="AE107" s="7" t="s">
        <v>1177</v>
      </c>
      <c r="AF107" s="7" t="s">
        <v>1177</v>
      </c>
      <c r="AG107" s="7" t="s">
        <v>1177</v>
      </c>
      <c r="AH107" s="38"/>
      <c r="AI107" s="36">
        <v>0</v>
      </c>
      <c r="AJ107" s="7" t="s">
        <v>1193</v>
      </c>
      <c r="AK107" s="7" t="s">
        <v>1177</v>
      </c>
      <c r="AL107" s="7" t="s">
        <v>1177</v>
      </c>
      <c r="AM107" s="7" t="s">
        <v>1177</v>
      </c>
      <c r="AN107" s="7" t="s">
        <v>3212</v>
      </c>
      <c r="AO107" s="7" t="s">
        <v>1177</v>
      </c>
      <c r="AP107" s="7" t="s">
        <v>1177</v>
      </c>
      <c r="AQ107" s="7" t="s">
        <v>1177</v>
      </c>
      <c r="AR107" s="29">
        <v>0</v>
      </c>
      <c r="AS107" s="7" t="s">
        <v>1177</v>
      </c>
      <c r="AT107" s="7" t="s">
        <v>1363</v>
      </c>
      <c r="AU107" s="38">
        <v>46275</v>
      </c>
      <c r="AV107" s="39">
        <v>0.60526620370369999</v>
      </c>
    </row>
    <row r="108" spans="1:48" x14ac:dyDescent="0.35">
      <c r="A108" t="str">
        <f t="shared" si="1"/>
        <v>149191B865</v>
      </c>
      <c r="B108" s="7" t="s">
        <v>1714</v>
      </c>
      <c r="C108" s="7" t="s">
        <v>1039</v>
      </c>
      <c r="D108" s="7" t="s">
        <v>7</v>
      </c>
      <c r="E108" s="7" t="s">
        <v>1177</v>
      </c>
      <c r="F108" s="7" t="s">
        <v>134</v>
      </c>
      <c r="G108" s="7" t="s">
        <v>130</v>
      </c>
      <c r="H108" s="7" t="s">
        <v>129</v>
      </c>
      <c r="I108" s="30">
        <v>2</v>
      </c>
      <c r="J108" s="7" t="s">
        <v>1177</v>
      </c>
      <c r="K108" s="7" t="s">
        <v>1178</v>
      </c>
      <c r="L108" s="7" t="s">
        <v>132</v>
      </c>
      <c r="M108" s="7" t="s">
        <v>133</v>
      </c>
      <c r="N108" s="30">
        <v>0</v>
      </c>
      <c r="O108" s="30">
        <v>0</v>
      </c>
      <c r="P108" s="30">
        <v>0</v>
      </c>
      <c r="Q108" s="30">
        <v>0</v>
      </c>
      <c r="R108" s="29">
        <v>0</v>
      </c>
      <c r="S108" s="36">
        <v>0</v>
      </c>
      <c r="T108" s="7" t="s">
        <v>131</v>
      </c>
      <c r="U108" s="7" t="s">
        <v>1040</v>
      </c>
      <c r="V108" s="7" t="s">
        <v>1040</v>
      </c>
      <c r="W108" s="7" t="s">
        <v>1177</v>
      </c>
      <c r="X108" s="30">
        <v>2</v>
      </c>
      <c r="Y108" s="7" t="s">
        <v>1177</v>
      </c>
      <c r="Z108" s="7" t="s">
        <v>1178</v>
      </c>
      <c r="AA108" s="30">
        <v>0</v>
      </c>
      <c r="AB108" s="36">
        <v>0</v>
      </c>
      <c r="AC108" s="7" t="s">
        <v>1177</v>
      </c>
      <c r="AD108" s="37">
        <v>0</v>
      </c>
      <c r="AE108" s="7" t="s">
        <v>1177</v>
      </c>
      <c r="AF108" s="7" t="s">
        <v>1177</v>
      </c>
      <c r="AG108" s="7" t="s">
        <v>1177</v>
      </c>
      <c r="AH108" s="38"/>
      <c r="AI108" s="36">
        <v>0</v>
      </c>
      <c r="AJ108" s="7" t="s">
        <v>1193</v>
      </c>
      <c r="AK108" s="7" t="s">
        <v>1177</v>
      </c>
      <c r="AL108" s="7" t="s">
        <v>1177</v>
      </c>
      <c r="AM108" s="7" t="s">
        <v>1177</v>
      </c>
      <c r="AN108" s="7" t="s">
        <v>3212</v>
      </c>
      <c r="AO108" s="7" t="s">
        <v>1177</v>
      </c>
      <c r="AP108" s="7" t="s">
        <v>1177</v>
      </c>
      <c r="AQ108" s="7" t="s">
        <v>1177</v>
      </c>
      <c r="AR108" s="29">
        <v>0</v>
      </c>
      <c r="AS108" s="7" t="s">
        <v>1177</v>
      </c>
      <c r="AT108" s="7" t="s">
        <v>1363</v>
      </c>
      <c r="AU108" s="38">
        <v>46275</v>
      </c>
      <c r="AV108" s="39">
        <v>0.60553240740740999</v>
      </c>
    </row>
    <row r="109" spans="1:48" x14ac:dyDescent="0.35">
      <c r="A109" t="str">
        <f t="shared" si="1"/>
        <v>149191B867</v>
      </c>
      <c r="B109" s="7" t="s">
        <v>1714</v>
      </c>
      <c r="C109" s="7" t="s">
        <v>1059</v>
      </c>
      <c r="D109" s="7" t="s">
        <v>25</v>
      </c>
      <c r="E109" s="7" t="s">
        <v>1177</v>
      </c>
      <c r="F109" s="7" t="s">
        <v>134</v>
      </c>
      <c r="G109" s="7" t="s">
        <v>130</v>
      </c>
      <c r="H109" s="7" t="s">
        <v>129</v>
      </c>
      <c r="I109" s="30">
        <v>3</v>
      </c>
      <c r="J109" s="7" t="s">
        <v>1177</v>
      </c>
      <c r="K109" s="7" t="s">
        <v>1178</v>
      </c>
      <c r="L109" s="7" t="s">
        <v>132</v>
      </c>
      <c r="M109" s="7" t="s">
        <v>133</v>
      </c>
      <c r="N109" s="30">
        <v>0</v>
      </c>
      <c r="O109" s="30">
        <v>0</v>
      </c>
      <c r="P109" s="30">
        <v>0</v>
      </c>
      <c r="Q109" s="30">
        <v>0</v>
      </c>
      <c r="R109" s="29">
        <v>0</v>
      </c>
      <c r="S109" s="36">
        <v>0</v>
      </c>
      <c r="T109" s="7" t="s">
        <v>131</v>
      </c>
      <c r="U109" s="7" t="s">
        <v>1060</v>
      </c>
      <c r="V109" s="7" t="s">
        <v>1060</v>
      </c>
      <c r="W109" s="7" t="s">
        <v>1177</v>
      </c>
      <c r="X109" s="30">
        <v>3</v>
      </c>
      <c r="Y109" s="7" t="s">
        <v>1177</v>
      </c>
      <c r="Z109" s="7" t="s">
        <v>1178</v>
      </c>
      <c r="AA109" s="30">
        <v>0</v>
      </c>
      <c r="AB109" s="36">
        <v>0</v>
      </c>
      <c r="AC109" s="7" t="s">
        <v>1177</v>
      </c>
      <c r="AD109" s="37">
        <v>0</v>
      </c>
      <c r="AE109" s="7" t="s">
        <v>1177</v>
      </c>
      <c r="AF109" s="7" t="s">
        <v>1177</v>
      </c>
      <c r="AG109" s="7" t="s">
        <v>1177</v>
      </c>
      <c r="AH109" s="38"/>
      <c r="AI109" s="36">
        <v>0</v>
      </c>
      <c r="AJ109" s="7" t="s">
        <v>1193</v>
      </c>
      <c r="AK109" s="7" t="s">
        <v>1177</v>
      </c>
      <c r="AL109" s="7" t="s">
        <v>1177</v>
      </c>
      <c r="AM109" s="7" t="s">
        <v>1177</v>
      </c>
      <c r="AN109" s="7" t="s">
        <v>3212</v>
      </c>
      <c r="AO109" s="7" t="s">
        <v>1177</v>
      </c>
      <c r="AP109" s="7" t="s">
        <v>1177</v>
      </c>
      <c r="AQ109" s="7" t="s">
        <v>1177</v>
      </c>
      <c r="AR109" s="29">
        <v>0</v>
      </c>
      <c r="AS109" s="7" t="s">
        <v>1177</v>
      </c>
      <c r="AT109" s="7" t="s">
        <v>1363</v>
      </c>
      <c r="AU109" s="38">
        <v>46275</v>
      </c>
      <c r="AV109" s="39">
        <v>0.60567129629630001</v>
      </c>
    </row>
    <row r="110" spans="1:48" x14ac:dyDescent="0.35">
      <c r="A110" t="str">
        <f t="shared" si="1"/>
        <v>149301B833</v>
      </c>
      <c r="B110" s="7" t="s">
        <v>2085</v>
      </c>
      <c r="C110" s="7" t="s">
        <v>698</v>
      </c>
      <c r="D110" s="7" t="s">
        <v>697</v>
      </c>
      <c r="E110" s="7" t="s">
        <v>1177</v>
      </c>
      <c r="F110" s="7" t="s">
        <v>134</v>
      </c>
      <c r="G110" s="7" t="s">
        <v>130</v>
      </c>
      <c r="H110" s="7" t="s">
        <v>129</v>
      </c>
      <c r="I110" s="30">
        <v>2</v>
      </c>
      <c r="J110" s="7" t="s">
        <v>1177</v>
      </c>
      <c r="K110" s="7" t="s">
        <v>1178</v>
      </c>
      <c r="L110" s="7" t="s">
        <v>132</v>
      </c>
      <c r="M110" s="7" t="s">
        <v>133</v>
      </c>
      <c r="N110" s="30">
        <v>0</v>
      </c>
      <c r="O110" s="30">
        <v>0</v>
      </c>
      <c r="P110" s="30">
        <v>0</v>
      </c>
      <c r="Q110" s="30">
        <v>0</v>
      </c>
      <c r="R110" s="29">
        <v>0</v>
      </c>
      <c r="S110" s="36">
        <v>0</v>
      </c>
      <c r="T110" s="7" t="s">
        <v>131</v>
      </c>
      <c r="U110" s="7" t="s">
        <v>699</v>
      </c>
      <c r="V110" s="7" t="s">
        <v>699</v>
      </c>
      <c r="W110" s="7" t="s">
        <v>1177</v>
      </c>
      <c r="X110" s="30">
        <v>2</v>
      </c>
      <c r="Y110" s="7" t="s">
        <v>1177</v>
      </c>
      <c r="Z110" s="7" t="s">
        <v>1178</v>
      </c>
      <c r="AA110" s="30">
        <v>0</v>
      </c>
      <c r="AB110" s="36">
        <v>0</v>
      </c>
      <c r="AC110" s="7" t="s">
        <v>1177</v>
      </c>
      <c r="AD110" s="37">
        <v>0</v>
      </c>
      <c r="AE110" s="7" t="s">
        <v>1177</v>
      </c>
      <c r="AF110" s="7" t="s">
        <v>1177</v>
      </c>
      <c r="AG110" s="7" t="s">
        <v>1177</v>
      </c>
      <c r="AH110" s="38"/>
      <c r="AI110" s="36">
        <v>0</v>
      </c>
      <c r="AJ110" s="7" t="s">
        <v>1193</v>
      </c>
      <c r="AK110" s="7" t="s">
        <v>1177</v>
      </c>
      <c r="AL110" s="7" t="s">
        <v>1177</v>
      </c>
      <c r="AM110" s="7" t="s">
        <v>1177</v>
      </c>
      <c r="AN110" s="7" t="s">
        <v>3212</v>
      </c>
      <c r="AO110" s="7" t="s">
        <v>1177</v>
      </c>
      <c r="AP110" s="7" t="s">
        <v>1177</v>
      </c>
      <c r="AQ110" s="7" t="s">
        <v>1177</v>
      </c>
      <c r="AR110" s="29">
        <v>0</v>
      </c>
      <c r="AS110" s="7" t="s">
        <v>1177</v>
      </c>
      <c r="AT110" s="7" t="s">
        <v>1363</v>
      </c>
      <c r="AU110" s="38">
        <v>46275</v>
      </c>
      <c r="AV110" s="39">
        <v>0.60396990740740997</v>
      </c>
    </row>
    <row r="111" spans="1:48" x14ac:dyDescent="0.35">
      <c r="A111" t="str">
        <f t="shared" si="1"/>
        <v>149301B857</v>
      </c>
      <c r="B111" s="7" t="s">
        <v>2085</v>
      </c>
      <c r="C111" s="7" t="s">
        <v>958</v>
      </c>
      <c r="D111" s="7" t="s">
        <v>23</v>
      </c>
      <c r="E111" s="7" t="s">
        <v>1177</v>
      </c>
      <c r="F111" s="7" t="s">
        <v>134</v>
      </c>
      <c r="G111" s="7" t="s">
        <v>130</v>
      </c>
      <c r="H111" s="7" t="s">
        <v>129</v>
      </c>
      <c r="I111" s="30">
        <v>2</v>
      </c>
      <c r="J111" s="7" t="s">
        <v>1177</v>
      </c>
      <c r="K111" s="7" t="s">
        <v>1178</v>
      </c>
      <c r="L111" s="7" t="s">
        <v>132</v>
      </c>
      <c r="M111" s="7" t="s">
        <v>133</v>
      </c>
      <c r="N111" s="30">
        <v>0</v>
      </c>
      <c r="O111" s="30">
        <v>0</v>
      </c>
      <c r="P111" s="30">
        <v>0</v>
      </c>
      <c r="Q111" s="30">
        <v>0</v>
      </c>
      <c r="R111" s="29">
        <v>0</v>
      </c>
      <c r="S111" s="36">
        <v>0</v>
      </c>
      <c r="T111" s="7" t="s">
        <v>131</v>
      </c>
      <c r="U111" s="7" t="s">
        <v>959</v>
      </c>
      <c r="V111" s="7" t="s">
        <v>959</v>
      </c>
      <c r="W111" s="7" t="s">
        <v>1177</v>
      </c>
      <c r="X111" s="30">
        <v>2</v>
      </c>
      <c r="Y111" s="7" t="s">
        <v>1177</v>
      </c>
      <c r="Z111" s="7" t="s">
        <v>1178</v>
      </c>
      <c r="AA111" s="30">
        <v>0</v>
      </c>
      <c r="AB111" s="36">
        <v>0</v>
      </c>
      <c r="AC111" s="7" t="s">
        <v>1177</v>
      </c>
      <c r="AD111" s="37">
        <v>0</v>
      </c>
      <c r="AE111" s="7" t="s">
        <v>1177</v>
      </c>
      <c r="AF111" s="7" t="s">
        <v>1177</v>
      </c>
      <c r="AG111" s="7" t="s">
        <v>1177</v>
      </c>
      <c r="AH111" s="38"/>
      <c r="AI111" s="36">
        <v>0</v>
      </c>
      <c r="AJ111" s="7" t="s">
        <v>1193</v>
      </c>
      <c r="AK111" s="7" t="s">
        <v>1177</v>
      </c>
      <c r="AL111" s="7" t="s">
        <v>1177</v>
      </c>
      <c r="AM111" s="7" t="s">
        <v>1177</v>
      </c>
      <c r="AN111" s="7" t="s">
        <v>3212</v>
      </c>
      <c r="AO111" s="7" t="s">
        <v>1177</v>
      </c>
      <c r="AP111" s="7" t="s">
        <v>1177</v>
      </c>
      <c r="AQ111" s="7" t="s">
        <v>1177</v>
      </c>
      <c r="AR111" s="29">
        <v>0</v>
      </c>
      <c r="AS111" s="7" t="s">
        <v>1177</v>
      </c>
      <c r="AT111" s="7" t="s">
        <v>1363</v>
      </c>
      <c r="AU111" s="38">
        <v>46275</v>
      </c>
      <c r="AV111" s="39">
        <v>0.60525462962962995</v>
      </c>
    </row>
    <row r="112" spans="1:48" x14ac:dyDescent="0.35">
      <c r="A112" t="str">
        <f t="shared" si="1"/>
        <v>149751B825</v>
      </c>
      <c r="B112" s="7" t="s">
        <v>3250</v>
      </c>
      <c r="C112" s="7" t="s">
        <v>511</v>
      </c>
      <c r="D112" s="7" t="s">
        <v>16</v>
      </c>
      <c r="E112" s="7" t="s">
        <v>1177</v>
      </c>
      <c r="F112" s="7" t="s">
        <v>128</v>
      </c>
      <c r="G112" s="7" t="s">
        <v>130</v>
      </c>
      <c r="H112" s="7" t="s">
        <v>129</v>
      </c>
      <c r="I112" s="30">
        <v>1</v>
      </c>
      <c r="J112" s="7" t="s">
        <v>1177</v>
      </c>
      <c r="K112" s="7" t="s">
        <v>1178</v>
      </c>
      <c r="L112" s="7" t="s">
        <v>132</v>
      </c>
      <c r="M112" s="7" t="s">
        <v>133</v>
      </c>
      <c r="N112" s="30">
        <v>0</v>
      </c>
      <c r="O112" s="30">
        <v>0</v>
      </c>
      <c r="P112" s="30">
        <v>0</v>
      </c>
      <c r="Q112" s="30">
        <v>0</v>
      </c>
      <c r="R112" s="29">
        <v>0</v>
      </c>
      <c r="S112" s="36">
        <v>0</v>
      </c>
      <c r="T112" s="7" t="s">
        <v>131</v>
      </c>
      <c r="U112" s="7" t="s">
        <v>512</v>
      </c>
      <c r="V112" s="7" t="s">
        <v>512</v>
      </c>
      <c r="W112" s="7" t="s">
        <v>1177</v>
      </c>
      <c r="X112" s="30">
        <v>1</v>
      </c>
      <c r="Y112" s="7" t="s">
        <v>1177</v>
      </c>
      <c r="Z112" s="7" t="s">
        <v>1178</v>
      </c>
      <c r="AA112" s="30">
        <v>0</v>
      </c>
      <c r="AB112" s="36">
        <v>0</v>
      </c>
      <c r="AC112" s="7" t="s">
        <v>1177</v>
      </c>
      <c r="AD112" s="37">
        <v>0</v>
      </c>
      <c r="AE112" s="7" t="s">
        <v>1177</v>
      </c>
      <c r="AF112" s="7" t="s">
        <v>1177</v>
      </c>
      <c r="AG112" s="7" t="s">
        <v>1177</v>
      </c>
      <c r="AH112" s="38"/>
      <c r="AI112" s="36">
        <v>0</v>
      </c>
      <c r="AJ112" s="7" t="s">
        <v>1193</v>
      </c>
      <c r="AK112" s="7" t="s">
        <v>1177</v>
      </c>
      <c r="AL112" s="7" t="s">
        <v>1177</v>
      </c>
      <c r="AM112" s="7" t="s">
        <v>1177</v>
      </c>
      <c r="AN112" s="7" t="s">
        <v>3212</v>
      </c>
      <c r="AO112" s="7" t="s">
        <v>1177</v>
      </c>
      <c r="AP112" s="7" t="s">
        <v>1177</v>
      </c>
      <c r="AQ112" s="7" t="s">
        <v>1177</v>
      </c>
      <c r="AR112" s="29">
        <v>0</v>
      </c>
      <c r="AS112" s="7" t="s">
        <v>1177</v>
      </c>
      <c r="AT112" s="7" t="s">
        <v>1363</v>
      </c>
      <c r="AU112" s="38">
        <v>46275</v>
      </c>
      <c r="AV112" s="39">
        <v>0.60354166666666997</v>
      </c>
    </row>
    <row r="113" spans="1:48" x14ac:dyDescent="0.35">
      <c r="A113" t="str">
        <f t="shared" si="1"/>
        <v>149752B825</v>
      </c>
      <c r="B113" s="7" t="s">
        <v>3251</v>
      </c>
      <c r="C113" s="7" t="s">
        <v>511</v>
      </c>
      <c r="D113" s="7" t="s">
        <v>16</v>
      </c>
      <c r="E113" s="7" t="s">
        <v>1177</v>
      </c>
      <c r="F113" s="7" t="s">
        <v>128</v>
      </c>
      <c r="G113" s="7" t="s">
        <v>130</v>
      </c>
      <c r="H113" s="7" t="s">
        <v>129</v>
      </c>
      <c r="I113" s="30">
        <v>2</v>
      </c>
      <c r="J113" s="7" t="s">
        <v>1177</v>
      </c>
      <c r="K113" s="7" t="s">
        <v>1178</v>
      </c>
      <c r="L113" s="7" t="s">
        <v>132</v>
      </c>
      <c r="M113" s="7" t="s">
        <v>133</v>
      </c>
      <c r="N113" s="30">
        <v>0</v>
      </c>
      <c r="O113" s="30">
        <v>0</v>
      </c>
      <c r="P113" s="30">
        <v>0</v>
      </c>
      <c r="Q113" s="30">
        <v>0</v>
      </c>
      <c r="R113" s="29">
        <v>0</v>
      </c>
      <c r="S113" s="36">
        <v>0</v>
      </c>
      <c r="T113" s="7" t="s">
        <v>131</v>
      </c>
      <c r="U113" s="7" t="s">
        <v>512</v>
      </c>
      <c r="V113" s="7" t="s">
        <v>512</v>
      </c>
      <c r="W113" s="7" t="s">
        <v>1177</v>
      </c>
      <c r="X113" s="30">
        <v>1</v>
      </c>
      <c r="Y113" s="7" t="s">
        <v>1177</v>
      </c>
      <c r="Z113" s="7" t="s">
        <v>1178</v>
      </c>
      <c r="AA113" s="30">
        <v>0</v>
      </c>
      <c r="AB113" s="36">
        <v>0</v>
      </c>
      <c r="AC113" s="7" t="s">
        <v>1177</v>
      </c>
      <c r="AD113" s="37">
        <v>0</v>
      </c>
      <c r="AE113" s="7" t="s">
        <v>1177</v>
      </c>
      <c r="AF113" s="7" t="s">
        <v>1177</v>
      </c>
      <c r="AG113" s="7" t="s">
        <v>1177</v>
      </c>
      <c r="AH113" s="38"/>
      <c r="AI113" s="36">
        <v>0</v>
      </c>
      <c r="AJ113" s="7" t="s">
        <v>1193</v>
      </c>
      <c r="AK113" s="7" t="s">
        <v>1177</v>
      </c>
      <c r="AL113" s="7" t="s">
        <v>1177</v>
      </c>
      <c r="AM113" s="7" t="s">
        <v>1177</v>
      </c>
      <c r="AN113" s="7" t="s">
        <v>3212</v>
      </c>
      <c r="AO113" s="7" t="s">
        <v>1177</v>
      </c>
      <c r="AP113" s="7" t="s">
        <v>1177</v>
      </c>
      <c r="AQ113" s="7" t="s">
        <v>1177</v>
      </c>
      <c r="AR113" s="29">
        <v>0</v>
      </c>
      <c r="AS113" s="7" t="s">
        <v>1177</v>
      </c>
      <c r="AT113" s="7" t="s">
        <v>1363</v>
      </c>
      <c r="AU113" s="38">
        <v>46275</v>
      </c>
      <c r="AV113" s="39">
        <v>0.60354166666666997</v>
      </c>
    </row>
    <row r="114" spans="1:48" x14ac:dyDescent="0.35">
      <c r="A114" t="str">
        <f t="shared" si="1"/>
        <v>149774B825</v>
      </c>
      <c r="B114" s="7" t="s">
        <v>2521</v>
      </c>
      <c r="C114" s="7" t="s">
        <v>511</v>
      </c>
      <c r="D114" s="7" t="s">
        <v>16</v>
      </c>
      <c r="E114" s="7" t="s">
        <v>1177</v>
      </c>
      <c r="F114" s="7" t="s">
        <v>128</v>
      </c>
      <c r="G114" s="7" t="s">
        <v>130</v>
      </c>
      <c r="H114" s="7" t="s">
        <v>129</v>
      </c>
      <c r="I114" s="30">
        <v>1</v>
      </c>
      <c r="J114" s="7" t="s">
        <v>1177</v>
      </c>
      <c r="K114" s="7" t="s">
        <v>1178</v>
      </c>
      <c r="L114" s="7" t="s">
        <v>132</v>
      </c>
      <c r="M114" s="7" t="s">
        <v>133</v>
      </c>
      <c r="N114" s="30">
        <v>0</v>
      </c>
      <c r="O114" s="30">
        <v>0</v>
      </c>
      <c r="P114" s="30">
        <v>0</v>
      </c>
      <c r="Q114" s="30">
        <v>0</v>
      </c>
      <c r="R114" s="29">
        <v>0</v>
      </c>
      <c r="S114" s="36">
        <v>0</v>
      </c>
      <c r="T114" s="7" t="s">
        <v>131</v>
      </c>
      <c r="U114" s="7" t="s">
        <v>512</v>
      </c>
      <c r="V114" s="7" t="s">
        <v>512</v>
      </c>
      <c r="W114" s="7" t="s">
        <v>1177</v>
      </c>
      <c r="X114" s="30">
        <v>1</v>
      </c>
      <c r="Y114" s="7" t="s">
        <v>1177</v>
      </c>
      <c r="Z114" s="7" t="s">
        <v>1178</v>
      </c>
      <c r="AA114" s="30">
        <v>0</v>
      </c>
      <c r="AB114" s="36">
        <v>0</v>
      </c>
      <c r="AC114" s="7" t="s">
        <v>1177</v>
      </c>
      <c r="AD114" s="37">
        <v>0</v>
      </c>
      <c r="AE114" s="7" t="s">
        <v>1177</v>
      </c>
      <c r="AF114" s="7" t="s">
        <v>1177</v>
      </c>
      <c r="AG114" s="7" t="s">
        <v>1177</v>
      </c>
      <c r="AH114" s="38"/>
      <c r="AI114" s="36">
        <v>0</v>
      </c>
      <c r="AJ114" s="7" t="s">
        <v>1193</v>
      </c>
      <c r="AK114" s="7" t="s">
        <v>1177</v>
      </c>
      <c r="AL114" s="7" t="s">
        <v>1177</v>
      </c>
      <c r="AM114" s="7" t="s">
        <v>1177</v>
      </c>
      <c r="AN114" s="7" t="s">
        <v>3212</v>
      </c>
      <c r="AO114" s="7" t="s">
        <v>1177</v>
      </c>
      <c r="AP114" s="7" t="s">
        <v>1177</v>
      </c>
      <c r="AQ114" s="7" t="s">
        <v>1177</v>
      </c>
      <c r="AR114" s="29">
        <v>0</v>
      </c>
      <c r="AS114" s="7" t="s">
        <v>1177</v>
      </c>
      <c r="AT114" s="7" t="s">
        <v>1363</v>
      </c>
      <c r="AU114" s="38">
        <v>46275</v>
      </c>
      <c r="AV114" s="39">
        <v>0.60354166666666997</v>
      </c>
    </row>
    <row r="115" spans="1:48" x14ac:dyDescent="0.35">
      <c r="A115" t="str">
        <f t="shared" si="1"/>
        <v>149774B832</v>
      </c>
      <c r="B115" s="7" t="s">
        <v>2521</v>
      </c>
      <c r="C115" s="7" t="s">
        <v>653</v>
      </c>
      <c r="D115" s="7" t="s">
        <v>19</v>
      </c>
      <c r="E115" s="7" t="s">
        <v>1177</v>
      </c>
      <c r="F115" s="7" t="s">
        <v>128</v>
      </c>
      <c r="G115" s="7" t="s">
        <v>130</v>
      </c>
      <c r="H115" s="7" t="s">
        <v>129</v>
      </c>
      <c r="I115" s="30">
        <v>1</v>
      </c>
      <c r="J115" s="7" t="s">
        <v>1177</v>
      </c>
      <c r="K115" s="7" t="s">
        <v>1178</v>
      </c>
      <c r="L115" s="7" t="s">
        <v>132</v>
      </c>
      <c r="M115" s="7" t="s">
        <v>133</v>
      </c>
      <c r="N115" s="30">
        <v>0</v>
      </c>
      <c r="O115" s="30">
        <v>0</v>
      </c>
      <c r="P115" s="30">
        <v>0</v>
      </c>
      <c r="Q115" s="30">
        <v>0</v>
      </c>
      <c r="R115" s="29">
        <v>0</v>
      </c>
      <c r="S115" s="36">
        <v>0</v>
      </c>
      <c r="T115" s="7" t="s">
        <v>131</v>
      </c>
      <c r="U115" s="7" t="s">
        <v>654</v>
      </c>
      <c r="V115" s="7" t="s">
        <v>654</v>
      </c>
      <c r="W115" s="7" t="s">
        <v>1177</v>
      </c>
      <c r="X115" s="30">
        <v>1</v>
      </c>
      <c r="Y115" s="7" t="s">
        <v>1177</v>
      </c>
      <c r="Z115" s="7" t="s">
        <v>1178</v>
      </c>
      <c r="AA115" s="30">
        <v>0</v>
      </c>
      <c r="AB115" s="36">
        <v>0</v>
      </c>
      <c r="AC115" s="7" t="s">
        <v>1177</v>
      </c>
      <c r="AD115" s="37">
        <v>0</v>
      </c>
      <c r="AE115" s="7" t="s">
        <v>1177</v>
      </c>
      <c r="AF115" s="7" t="s">
        <v>1177</v>
      </c>
      <c r="AG115" s="7" t="s">
        <v>1177</v>
      </c>
      <c r="AH115" s="38"/>
      <c r="AI115" s="36">
        <v>0</v>
      </c>
      <c r="AJ115" s="7" t="s">
        <v>1193</v>
      </c>
      <c r="AK115" s="7" t="s">
        <v>1177</v>
      </c>
      <c r="AL115" s="7" t="s">
        <v>1177</v>
      </c>
      <c r="AM115" s="7" t="s">
        <v>1177</v>
      </c>
      <c r="AN115" s="7" t="s">
        <v>3212</v>
      </c>
      <c r="AO115" s="7" t="s">
        <v>1177</v>
      </c>
      <c r="AP115" s="7" t="s">
        <v>1177</v>
      </c>
      <c r="AQ115" s="7" t="s">
        <v>1177</v>
      </c>
      <c r="AR115" s="29">
        <v>0</v>
      </c>
      <c r="AS115" s="7" t="s">
        <v>1177</v>
      </c>
      <c r="AT115" s="7" t="s">
        <v>1363</v>
      </c>
      <c r="AU115" s="38">
        <v>46275</v>
      </c>
      <c r="AV115" s="39">
        <v>0.60385416666667002</v>
      </c>
    </row>
    <row r="116" spans="1:48" x14ac:dyDescent="0.35">
      <c r="A116" t="str">
        <f t="shared" si="1"/>
        <v>149776B825</v>
      </c>
      <c r="B116" s="7" t="s">
        <v>1765</v>
      </c>
      <c r="C116" s="7" t="s">
        <v>511</v>
      </c>
      <c r="D116" s="7" t="s">
        <v>16</v>
      </c>
      <c r="E116" s="7" t="s">
        <v>1177</v>
      </c>
      <c r="F116" s="7" t="s">
        <v>128</v>
      </c>
      <c r="G116" s="7" t="s">
        <v>130</v>
      </c>
      <c r="H116" s="7" t="s">
        <v>129</v>
      </c>
      <c r="I116" s="30">
        <v>1</v>
      </c>
      <c r="J116" s="7" t="s">
        <v>1177</v>
      </c>
      <c r="K116" s="7" t="s">
        <v>1178</v>
      </c>
      <c r="L116" s="7" t="s">
        <v>132</v>
      </c>
      <c r="M116" s="7" t="s">
        <v>133</v>
      </c>
      <c r="N116" s="30">
        <v>0</v>
      </c>
      <c r="O116" s="30">
        <v>0</v>
      </c>
      <c r="P116" s="30">
        <v>0</v>
      </c>
      <c r="Q116" s="30">
        <v>0</v>
      </c>
      <c r="R116" s="29">
        <v>0</v>
      </c>
      <c r="S116" s="36">
        <v>0</v>
      </c>
      <c r="T116" s="7" t="s">
        <v>131</v>
      </c>
      <c r="U116" s="7" t="s">
        <v>512</v>
      </c>
      <c r="V116" s="7" t="s">
        <v>512</v>
      </c>
      <c r="W116" s="7" t="s">
        <v>1177</v>
      </c>
      <c r="X116" s="30">
        <v>1</v>
      </c>
      <c r="Y116" s="7" t="s">
        <v>1177</v>
      </c>
      <c r="Z116" s="7" t="s">
        <v>1178</v>
      </c>
      <c r="AA116" s="30">
        <v>0</v>
      </c>
      <c r="AB116" s="36">
        <v>0</v>
      </c>
      <c r="AC116" s="7" t="s">
        <v>1177</v>
      </c>
      <c r="AD116" s="37">
        <v>0</v>
      </c>
      <c r="AE116" s="7" t="s">
        <v>1177</v>
      </c>
      <c r="AF116" s="7" t="s">
        <v>1177</v>
      </c>
      <c r="AG116" s="7" t="s">
        <v>1177</v>
      </c>
      <c r="AH116" s="38"/>
      <c r="AI116" s="36">
        <v>0</v>
      </c>
      <c r="AJ116" s="7" t="s">
        <v>1193</v>
      </c>
      <c r="AK116" s="7" t="s">
        <v>1177</v>
      </c>
      <c r="AL116" s="7" t="s">
        <v>1177</v>
      </c>
      <c r="AM116" s="7" t="s">
        <v>1177</v>
      </c>
      <c r="AN116" s="7" t="s">
        <v>3212</v>
      </c>
      <c r="AO116" s="7" t="s">
        <v>1177</v>
      </c>
      <c r="AP116" s="7" t="s">
        <v>1177</v>
      </c>
      <c r="AQ116" s="7" t="s">
        <v>1177</v>
      </c>
      <c r="AR116" s="29">
        <v>0</v>
      </c>
      <c r="AS116" s="7" t="s">
        <v>1177</v>
      </c>
      <c r="AT116" s="7" t="s">
        <v>1363</v>
      </c>
      <c r="AU116" s="38">
        <v>46275</v>
      </c>
      <c r="AV116" s="39">
        <v>0.60354166666666997</v>
      </c>
    </row>
    <row r="117" spans="1:48" x14ac:dyDescent="0.35">
      <c r="A117" t="str">
        <f t="shared" si="1"/>
        <v>149776B832</v>
      </c>
      <c r="B117" s="7" t="s">
        <v>1765</v>
      </c>
      <c r="C117" s="7" t="s">
        <v>653</v>
      </c>
      <c r="D117" s="7" t="s">
        <v>19</v>
      </c>
      <c r="E117" s="7" t="s">
        <v>1177</v>
      </c>
      <c r="F117" s="7" t="s">
        <v>128</v>
      </c>
      <c r="G117" s="7" t="s">
        <v>130</v>
      </c>
      <c r="H117" s="7" t="s">
        <v>129</v>
      </c>
      <c r="I117" s="30">
        <v>1</v>
      </c>
      <c r="J117" s="7" t="s">
        <v>1177</v>
      </c>
      <c r="K117" s="7" t="s">
        <v>1178</v>
      </c>
      <c r="L117" s="7" t="s">
        <v>132</v>
      </c>
      <c r="M117" s="7" t="s">
        <v>133</v>
      </c>
      <c r="N117" s="30">
        <v>0</v>
      </c>
      <c r="O117" s="30">
        <v>0</v>
      </c>
      <c r="P117" s="30">
        <v>0</v>
      </c>
      <c r="Q117" s="30">
        <v>0</v>
      </c>
      <c r="R117" s="29">
        <v>0</v>
      </c>
      <c r="S117" s="36">
        <v>0</v>
      </c>
      <c r="T117" s="7" t="s">
        <v>131</v>
      </c>
      <c r="U117" s="7" t="s">
        <v>654</v>
      </c>
      <c r="V117" s="7" t="s">
        <v>654</v>
      </c>
      <c r="W117" s="7" t="s">
        <v>1177</v>
      </c>
      <c r="X117" s="30">
        <v>1</v>
      </c>
      <c r="Y117" s="7" t="s">
        <v>1177</v>
      </c>
      <c r="Z117" s="7" t="s">
        <v>1178</v>
      </c>
      <c r="AA117" s="30">
        <v>0</v>
      </c>
      <c r="AB117" s="36">
        <v>0</v>
      </c>
      <c r="AC117" s="7" t="s">
        <v>1177</v>
      </c>
      <c r="AD117" s="37">
        <v>0</v>
      </c>
      <c r="AE117" s="7" t="s">
        <v>1177</v>
      </c>
      <c r="AF117" s="7" t="s">
        <v>1177</v>
      </c>
      <c r="AG117" s="7" t="s">
        <v>1177</v>
      </c>
      <c r="AH117" s="38"/>
      <c r="AI117" s="36">
        <v>0</v>
      </c>
      <c r="AJ117" s="7" t="s">
        <v>1193</v>
      </c>
      <c r="AK117" s="7" t="s">
        <v>1177</v>
      </c>
      <c r="AL117" s="7" t="s">
        <v>1177</v>
      </c>
      <c r="AM117" s="7" t="s">
        <v>1177</v>
      </c>
      <c r="AN117" s="7" t="s">
        <v>3212</v>
      </c>
      <c r="AO117" s="7" t="s">
        <v>1177</v>
      </c>
      <c r="AP117" s="7" t="s">
        <v>1177</v>
      </c>
      <c r="AQ117" s="7" t="s">
        <v>1177</v>
      </c>
      <c r="AR117" s="29">
        <v>0</v>
      </c>
      <c r="AS117" s="7" t="s">
        <v>1177</v>
      </c>
      <c r="AT117" s="7" t="s">
        <v>1363</v>
      </c>
      <c r="AU117" s="38">
        <v>46275</v>
      </c>
      <c r="AV117" s="39">
        <v>0.60385416666667002</v>
      </c>
    </row>
    <row r="118" spans="1:48" x14ac:dyDescent="0.35">
      <c r="A118" t="str">
        <f t="shared" si="1"/>
        <v>153282B825</v>
      </c>
      <c r="B118" s="7" t="s">
        <v>1441</v>
      </c>
      <c r="C118" s="7" t="s">
        <v>511</v>
      </c>
      <c r="D118" s="7" t="s">
        <v>16</v>
      </c>
      <c r="E118" s="7" t="s">
        <v>1177</v>
      </c>
      <c r="F118" s="7" t="s">
        <v>128</v>
      </c>
      <c r="G118" s="7" t="s">
        <v>130</v>
      </c>
      <c r="H118" s="7" t="s">
        <v>129</v>
      </c>
      <c r="I118" s="30">
        <v>5</v>
      </c>
      <c r="J118" s="7" t="s">
        <v>1177</v>
      </c>
      <c r="K118" s="7" t="s">
        <v>1178</v>
      </c>
      <c r="L118" s="7" t="s">
        <v>132</v>
      </c>
      <c r="M118" s="7" t="s">
        <v>133</v>
      </c>
      <c r="N118" s="30">
        <v>0</v>
      </c>
      <c r="O118" s="30">
        <v>0</v>
      </c>
      <c r="P118" s="30">
        <v>0</v>
      </c>
      <c r="Q118" s="30">
        <v>0</v>
      </c>
      <c r="R118" s="29">
        <v>0</v>
      </c>
      <c r="S118" s="36">
        <v>0</v>
      </c>
      <c r="T118" s="7" t="s">
        <v>131</v>
      </c>
      <c r="U118" s="7" t="s">
        <v>512</v>
      </c>
      <c r="V118" s="7" t="s">
        <v>512</v>
      </c>
      <c r="W118" s="7" t="s">
        <v>1177</v>
      </c>
      <c r="X118" s="30">
        <v>1</v>
      </c>
      <c r="Y118" s="7" t="s">
        <v>1177</v>
      </c>
      <c r="Z118" s="7" t="s">
        <v>1178</v>
      </c>
      <c r="AA118" s="30">
        <v>0</v>
      </c>
      <c r="AB118" s="36">
        <v>0</v>
      </c>
      <c r="AC118" s="7" t="s">
        <v>1177</v>
      </c>
      <c r="AD118" s="37">
        <v>0</v>
      </c>
      <c r="AE118" s="7" t="s">
        <v>1177</v>
      </c>
      <c r="AF118" s="7" t="s">
        <v>1177</v>
      </c>
      <c r="AG118" s="7" t="s">
        <v>1177</v>
      </c>
      <c r="AH118" s="38"/>
      <c r="AI118" s="36">
        <v>0</v>
      </c>
      <c r="AJ118" s="7" t="s">
        <v>1193</v>
      </c>
      <c r="AK118" s="7" t="s">
        <v>1177</v>
      </c>
      <c r="AL118" s="7" t="s">
        <v>1177</v>
      </c>
      <c r="AM118" s="7" t="s">
        <v>1177</v>
      </c>
      <c r="AN118" s="7" t="s">
        <v>3212</v>
      </c>
      <c r="AO118" s="7" t="s">
        <v>1177</v>
      </c>
      <c r="AP118" s="7" t="s">
        <v>1177</v>
      </c>
      <c r="AQ118" s="7" t="s">
        <v>1177</v>
      </c>
      <c r="AR118" s="29">
        <v>0</v>
      </c>
      <c r="AS118" s="7" t="s">
        <v>1177</v>
      </c>
      <c r="AT118" s="7" t="s">
        <v>1363</v>
      </c>
      <c r="AU118" s="38">
        <v>46275</v>
      </c>
      <c r="AV118" s="39">
        <v>0.60354166666666997</v>
      </c>
    </row>
    <row r="119" spans="1:48" x14ac:dyDescent="0.35">
      <c r="A119" t="str">
        <f t="shared" si="1"/>
        <v>155389B867</v>
      </c>
      <c r="B119" s="7" t="s">
        <v>3252</v>
      </c>
      <c r="C119" s="7" t="s">
        <v>1059</v>
      </c>
      <c r="D119" s="7" t="s">
        <v>25</v>
      </c>
      <c r="E119" s="7" t="s">
        <v>1177</v>
      </c>
      <c r="F119" s="7" t="s">
        <v>128</v>
      </c>
      <c r="G119" s="7" t="s">
        <v>130</v>
      </c>
      <c r="H119" s="7" t="s">
        <v>129</v>
      </c>
      <c r="I119" s="30">
        <v>10</v>
      </c>
      <c r="J119" s="7" t="s">
        <v>1177</v>
      </c>
      <c r="K119" s="7" t="s">
        <v>1178</v>
      </c>
      <c r="L119" s="7" t="s">
        <v>132</v>
      </c>
      <c r="M119" s="7" t="s">
        <v>133</v>
      </c>
      <c r="N119" s="30">
        <v>0</v>
      </c>
      <c r="O119" s="30">
        <v>0</v>
      </c>
      <c r="P119" s="30">
        <v>0</v>
      </c>
      <c r="Q119" s="30">
        <v>0</v>
      </c>
      <c r="R119" s="29">
        <v>0</v>
      </c>
      <c r="S119" s="36">
        <v>0</v>
      </c>
      <c r="T119" s="7" t="s">
        <v>131</v>
      </c>
      <c r="U119" s="7" t="s">
        <v>1060</v>
      </c>
      <c r="V119" s="7" t="s">
        <v>1060</v>
      </c>
      <c r="W119" s="7" t="s">
        <v>1177</v>
      </c>
      <c r="X119" s="30">
        <v>3</v>
      </c>
      <c r="Y119" s="7" t="s">
        <v>1177</v>
      </c>
      <c r="Z119" s="7" t="s">
        <v>1178</v>
      </c>
      <c r="AA119" s="30">
        <v>0</v>
      </c>
      <c r="AB119" s="36">
        <v>0</v>
      </c>
      <c r="AC119" s="7" t="s">
        <v>1177</v>
      </c>
      <c r="AD119" s="37">
        <v>0</v>
      </c>
      <c r="AE119" s="7" t="s">
        <v>1177</v>
      </c>
      <c r="AF119" s="7" t="s">
        <v>1177</v>
      </c>
      <c r="AG119" s="7" t="s">
        <v>1177</v>
      </c>
      <c r="AH119" s="38"/>
      <c r="AI119" s="36">
        <v>0</v>
      </c>
      <c r="AJ119" s="7" t="s">
        <v>1193</v>
      </c>
      <c r="AK119" s="7" t="s">
        <v>1177</v>
      </c>
      <c r="AL119" s="7" t="s">
        <v>1177</v>
      </c>
      <c r="AM119" s="7" t="s">
        <v>1177</v>
      </c>
      <c r="AN119" s="7" t="s">
        <v>3212</v>
      </c>
      <c r="AO119" s="7" t="s">
        <v>1177</v>
      </c>
      <c r="AP119" s="7" t="s">
        <v>1177</v>
      </c>
      <c r="AQ119" s="7" t="s">
        <v>1177</v>
      </c>
      <c r="AR119" s="29">
        <v>0</v>
      </c>
      <c r="AS119" s="7" t="s">
        <v>1177</v>
      </c>
      <c r="AT119" s="7" t="s">
        <v>1363</v>
      </c>
      <c r="AU119" s="38">
        <v>46275</v>
      </c>
      <c r="AV119" s="39">
        <v>0.60569444444443998</v>
      </c>
    </row>
    <row r="120" spans="1:48" x14ac:dyDescent="0.35">
      <c r="A120" t="str">
        <f t="shared" si="1"/>
        <v>159663B865</v>
      </c>
      <c r="B120" s="7" t="s">
        <v>3253</v>
      </c>
      <c r="C120" s="7" t="s">
        <v>1039</v>
      </c>
      <c r="D120" s="7" t="s">
        <v>7</v>
      </c>
      <c r="E120" s="7" t="s">
        <v>1177</v>
      </c>
      <c r="F120" s="7" t="s">
        <v>128</v>
      </c>
      <c r="G120" s="7" t="s">
        <v>130</v>
      </c>
      <c r="H120" s="7" t="s">
        <v>129</v>
      </c>
      <c r="I120" s="30">
        <v>2</v>
      </c>
      <c r="J120" s="7" t="s">
        <v>1177</v>
      </c>
      <c r="K120" s="7" t="s">
        <v>1178</v>
      </c>
      <c r="L120" s="7" t="s">
        <v>132</v>
      </c>
      <c r="M120" s="7" t="s">
        <v>133</v>
      </c>
      <c r="N120" s="30">
        <v>0</v>
      </c>
      <c r="O120" s="30">
        <v>0</v>
      </c>
      <c r="P120" s="30">
        <v>0</v>
      </c>
      <c r="Q120" s="30">
        <v>0</v>
      </c>
      <c r="R120" s="29">
        <v>0</v>
      </c>
      <c r="S120" s="36">
        <v>0</v>
      </c>
      <c r="T120" s="7" t="s">
        <v>131</v>
      </c>
      <c r="U120" s="7" t="s">
        <v>1040</v>
      </c>
      <c r="V120" s="7" t="s">
        <v>1040</v>
      </c>
      <c r="W120" s="7" t="s">
        <v>1177</v>
      </c>
      <c r="X120" s="30">
        <v>1</v>
      </c>
      <c r="Y120" s="7" t="s">
        <v>1177</v>
      </c>
      <c r="Z120" s="7" t="s">
        <v>1178</v>
      </c>
      <c r="AA120" s="30">
        <v>0</v>
      </c>
      <c r="AB120" s="36">
        <v>0</v>
      </c>
      <c r="AC120" s="7" t="s">
        <v>1177</v>
      </c>
      <c r="AD120" s="37">
        <v>0</v>
      </c>
      <c r="AE120" s="7" t="s">
        <v>1177</v>
      </c>
      <c r="AF120" s="7" t="s">
        <v>1177</v>
      </c>
      <c r="AG120" s="7" t="s">
        <v>1177</v>
      </c>
      <c r="AH120" s="38"/>
      <c r="AI120" s="36">
        <v>0</v>
      </c>
      <c r="AJ120" s="7" t="s">
        <v>1193</v>
      </c>
      <c r="AK120" s="7" t="s">
        <v>1177</v>
      </c>
      <c r="AL120" s="7" t="s">
        <v>1177</v>
      </c>
      <c r="AM120" s="7" t="s">
        <v>1177</v>
      </c>
      <c r="AN120" s="7" t="s">
        <v>3212</v>
      </c>
      <c r="AO120" s="7" t="s">
        <v>1177</v>
      </c>
      <c r="AP120" s="7" t="s">
        <v>1177</v>
      </c>
      <c r="AQ120" s="7" t="s">
        <v>1177</v>
      </c>
      <c r="AR120" s="29">
        <v>0</v>
      </c>
      <c r="AS120" s="7" t="s">
        <v>1177</v>
      </c>
      <c r="AT120" s="7" t="s">
        <v>1363</v>
      </c>
      <c r="AU120" s="38">
        <v>46275</v>
      </c>
      <c r="AV120" s="39">
        <v>0.60550925925926002</v>
      </c>
    </row>
    <row r="121" spans="1:48" x14ac:dyDescent="0.35">
      <c r="A121" t="str">
        <f t="shared" si="1"/>
        <v>181920B825</v>
      </c>
      <c r="B121" s="7" t="s">
        <v>3254</v>
      </c>
      <c r="C121" s="7" t="s">
        <v>511</v>
      </c>
      <c r="D121" s="7" t="s">
        <v>16</v>
      </c>
      <c r="E121" s="7" t="s">
        <v>1177</v>
      </c>
      <c r="F121" s="7" t="s">
        <v>134</v>
      </c>
      <c r="G121" s="7" t="s">
        <v>130</v>
      </c>
      <c r="H121" s="7" t="s">
        <v>129</v>
      </c>
      <c r="I121" s="30">
        <v>6</v>
      </c>
      <c r="J121" s="7" t="s">
        <v>1177</v>
      </c>
      <c r="K121" s="7" t="s">
        <v>1178</v>
      </c>
      <c r="L121" s="7" t="s">
        <v>132</v>
      </c>
      <c r="M121" s="7" t="s">
        <v>133</v>
      </c>
      <c r="N121" s="30">
        <v>0</v>
      </c>
      <c r="O121" s="30">
        <v>0</v>
      </c>
      <c r="P121" s="30">
        <v>0</v>
      </c>
      <c r="Q121" s="30">
        <v>0</v>
      </c>
      <c r="R121" s="29">
        <v>0</v>
      </c>
      <c r="S121" s="36">
        <v>0</v>
      </c>
      <c r="T121" s="7" t="s">
        <v>131</v>
      </c>
      <c r="U121" s="7" t="s">
        <v>512</v>
      </c>
      <c r="V121" s="7" t="s">
        <v>512</v>
      </c>
      <c r="W121" s="7" t="s">
        <v>1177</v>
      </c>
      <c r="X121" s="30">
        <v>6</v>
      </c>
      <c r="Y121" s="7" t="s">
        <v>1177</v>
      </c>
      <c r="Z121" s="7" t="s">
        <v>1178</v>
      </c>
      <c r="AA121" s="30">
        <v>0</v>
      </c>
      <c r="AB121" s="36">
        <v>0</v>
      </c>
      <c r="AC121" s="7" t="s">
        <v>1177</v>
      </c>
      <c r="AD121" s="37">
        <v>0</v>
      </c>
      <c r="AE121" s="7" t="s">
        <v>1177</v>
      </c>
      <c r="AF121" s="7" t="s">
        <v>1177</v>
      </c>
      <c r="AG121" s="7" t="s">
        <v>1177</v>
      </c>
      <c r="AH121" s="38"/>
      <c r="AI121" s="36">
        <v>0</v>
      </c>
      <c r="AJ121" s="7" t="s">
        <v>1193</v>
      </c>
      <c r="AK121" s="7" t="s">
        <v>1177</v>
      </c>
      <c r="AL121" s="7" t="s">
        <v>1177</v>
      </c>
      <c r="AM121" s="7" t="s">
        <v>1177</v>
      </c>
      <c r="AN121" s="7" t="s">
        <v>3212</v>
      </c>
      <c r="AO121" s="7" t="s">
        <v>1177</v>
      </c>
      <c r="AP121" s="7" t="s">
        <v>1177</v>
      </c>
      <c r="AQ121" s="7" t="s">
        <v>1177</v>
      </c>
      <c r="AR121" s="29">
        <v>0</v>
      </c>
      <c r="AS121" s="7" t="s">
        <v>1177</v>
      </c>
      <c r="AT121" s="7" t="s">
        <v>1363</v>
      </c>
      <c r="AU121" s="38">
        <v>46275</v>
      </c>
      <c r="AV121" s="39">
        <v>0.60351851851852001</v>
      </c>
    </row>
    <row r="122" spans="1:48" x14ac:dyDescent="0.35">
      <c r="A122" t="str">
        <f t="shared" si="1"/>
        <v>181920B832</v>
      </c>
      <c r="B122" s="7" t="s">
        <v>3254</v>
      </c>
      <c r="C122" s="7" t="s">
        <v>653</v>
      </c>
      <c r="D122" s="7" t="s">
        <v>19</v>
      </c>
      <c r="E122" s="7" t="s">
        <v>1177</v>
      </c>
      <c r="F122" s="7" t="s">
        <v>134</v>
      </c>
      <c r="G122" s="7" t="s">
        <v>130</v>
      </c>
      <c r="H122" s="7" t="s">
        <v>129</v>
      </c>
      <c r="I122" s="30">
        <v>4</v>
      </c>
      <c r="J122" s="7" t="s">
        <v>1177</v>
      </c>
      <c r="K122" s="7" t="s">
        <v>1178</v>
      </c>
      <c r="L122" s="7" t="s">
        <v>132</v>
      </c>
      <c r="M122" s="7" t="s">
        <v>133</v>
      </c>
      <c r="N122" s="30">
        <v>0</v>
      </c>
      <c r="O122" s="30">
        <v>0</v>
      </c>
      <c r="P122" s="30">
        <v>0</v>
      </c>
      <c r="Q122" s="30">
        <v>0</v>
      </c>
      <c r="R122" s="29">
        <v>0</v>
      </c>
      <c r="S122" s="36">
        <v>0</v>
      </c>
      <c r="T122" s="7" t="s">
        <v>131</v>
      </c>
      <c r="U122" s="7" t="s">
        <v>654</v>
      </c>
      <c r="V122" s="7" t="s">
        <v>654</v>
      </c>
      <c r="W122" s="7" t="s">
        <v>1177</v>
      </c>
      <c r="X122" s="30">
        <v>4</v>
      </c>
      <c r="Y122" s="7" t="s">
        <v>1177</v>
      </c>
      <c r="Z122" s="7" t="s">
        <v>1178</v>
      </c>
      <c r="AA122" s="30">
        <v>0</v>
      </c>
      <c r="AB122" s="36">
        <v>0</v>
      </c>
      <c r="AC122" s="7" t="s">
        <v>1177</v>
      </c>
      <c r="AD122" s="37">
        <v>0</v>
      </c>
      <c r="AE122" s="7" t="s">
        <v>1177</v>
      </c>
      <c r="AF122" s="7" t="s">
        <v>1177</v>
      </c>
      <c r="AG122" s="7" t="s">
        <v>1177</v>
      </c>
      <c r="AH122" s="38"/>
      <c r="AI122" s="36">
        <v>0</v>
      </c>
      <c r="AJ122" s="7" t="s">
        <v>1193</v>
      </c>
      <c r="AK122" s="7" t="s">
        <v>1177</v>
      </c>
      <c r="AL122" s="7" t="s">
        <v>1177</v>
      </c>
      <c r="AM122" s="7" t="s">
        <v>1177</v>
      </c>
      <c r="AN122" s="7" t="s">
        <v>3212</v>
      </c>
      <c r="AO122" s="7" t="s">
        <v>1177</v>
      </c>
      <c r="AP122" s="7" t="s">
        <v>1177</v>
      </c>
      <c r="AQ122" s="7" t="s">
        <v>1177</v>
      </c>
      <c r="AR122" s="29">
        <v>0</v>
      </c>
      <c r="AS122" s="7" t="s">
        <v>1177</v>
      </c>
      <c r="AT122" s="7" t="s">
        <v>1363</v>
      </c>
      <c r="AU122" s="38">
        <v>46275</v>
      </c>
      <c r="AV122" s="39">
        <v>0.60385416666667002</v>
      </c>
    </row>
    <row r="123" spans="1:48" x14ac:dyDescent="0.35">
      <c r="A123" t="str">
        <f t="shared" si="1"/>
        <v>181920B833</v>
      </c>
      <c r="B123" s="7" t="s">
        <v>3254</v>
      </c>
      <c r="C123" s="7" t="s">
        <v>698</v>
      </c>
      <c r="D123" s="7" t="s">
        <v>697</v>
      </c>
      <c r="E123" s="7" t="s">
        <v>1177</v>
      </c>
      <c r="F123" s="7" t="s">
        <v>134</v>
      </c>
      <c r="G123" s="7" t="s">
        <v>130</v>
      </c>
      <c r="H123" s="7" t="s">
        <v>129</v>
      </c>
      <c r="I123" s="30">
        <v>3</v>
      </c>
      <c r="J123" s="7" t="s">
        <v>1177</v>
      </c>
      <c r="K123" s="7" t="s">
        <v>1178</v>
      </c>
      <c r="L123" s="7" t="s">
        <v>132</v>
      </c>
      <c r="M123" s="7" t="s">
        <v>133</v>
      </c>
      <c r="N123" s="30">
        <v>0</v>
      </c>
      <c r="O123" s="30">
        <v>0</v>
      </c>
      <c r="P123" s="30">
        <v>0</v>
      </c>
      <c r="Q123" s="30">
        <v>0</v>
      </c>
      <c r="R123" s="29">
        <v>0</v>
      </c>
      <c r="S123" s="36">
        <v>0</v>
      </c>
      <c r="T123" s="7" t="s">
        <v>131</v>
      </c>
      <c r="U123" s="7" t="s">
        <v>699</v>
      </c>
      <c r="V123" s="7" t="s">
        <v>699</v>
      </c>
      <c r="W123" s="7" t="s">
        <v>1177</v>
      </c>
      <c r="X123" s="30">
        <v>3</v>
      </c>
      <c r="Y123" s="7" t="s">
        <v>1177</v>
      </c>
      <c r="Z123" s="7" t="s">
        <v>1178</v>
      </c>
      <c r="AA123" s="30">
        <v>0</v>
      </c>
      <c r="AB123" s="36">
        <v>0</v>
      </c>
      <c r="AC123" s="7" t="s">
        <v>1177</v>
      </c>
      <c r="AD123" s="37">
        <v>0</v>
      </c>
      <c r="AE123" s="7" t="s">
        <v>1177</v>
      </c>
      <c r="AF123" s="7" t="s">
        <v>1177</v>
      </c>
      <c r="AG123" s="7" t="s">
        <v>1177</v>
      </c>
      <c r="AH123" s="38"/>
      <c r="AI123" s="36">
        <v>0</v>
      </c>
      <c r="AJ123" s="7" t="s">
        <v>1193</v>
      </c>
      <c r="AK123" s="7" t="s">
        <v>1177</v>
      </c>
      <c r="AL123" s="7" t="s">
        <v>1177</v>
      </c>
      <c r="AM123" s="7" t="s">
        <v>1177</v>
      </c>
      <c r="AN123" s="7" t="s">
        <v>3212</v>
      </c>
      <c r="AO123" s="7" t="s">
        <v>1177</v>
      </c>
      <c r="AP123" s="7" t="s">
        <v>1177</v>
      </c>
      <c r="AQ123" s="7" t="s">
        <v>1177</v>
      </c>
      <c r="AR123" s="29">
        <v>0</v>
      </c>
      <c r="AS123" s="7" t="s">
        <v>1177</v>
      </c>
      <c r="AT123" s="7" t="s">
        <v>1363</v>
      </c>
      <c r="AU123" s="38">
        <v>46275</v>
      </c>
      <c r="AV123" s="39">
        <v>0.60396990740740997</v>
      </c>
    </row>
    <row r="124" spans="1:48" x14ac:dyDescent="0.35">
      <c r="A124" t="str">
        <f t="shared" si="1"/>
        <v>181920B838</v>
      </c>
      <c r="B124" s="7" t="s">
        <v>3254</v>
      </c>
      <c r="C124" s="7" t="s">
        <v>744</v>
      </c>
      <c r="D124" s="7" t="s">
        <v>48</v>
      </c>
      <c r="E124" s="7" t="s">
        <v>1177</v>
      </c>
      <c r="F124" s="7" t="s">
        <v>134</v>
      </c>
      <c r="G124" s="7" t="s">
        <v>130</v>
      </c>
      <c r="H124" s="7" t="s">
        <v>129</v>
      </c>
      <c r="I124" s="30">
        <v>3</v>
      </c>
      <c r="J124" s="7" t="s">
        <v>1177</v>
      </c>
      <c r="K124" s="7" t="s">
        <v>1178</v>
      </c>
      <c r="L124" s="7" t="s">
        <v>132</v>
      </c>
      <c r="M124" s="7" t="s">
        <v>133</v>
      </c>
      <c r="N124" s="30">
        <v>0</v>
      </c>
      <c r="O124" s="30">
        <v>0</v>
      </c>
      <c r="P124" s="30">
        <v>0</v>
      </c>
      <c r="Q124" s="30">
        <v>0</v>
      </c>
      <c r="R124" s="29">
        <v>0</v>
      </c>
      <c r="S124" s="36">
        <v>0</v>
      </c>
      <c r="T124" s="7" t="s">
        <v>131</v>
      </c>
      <c r="U124" s="7" t="s">
        <v>745</v>
      </c>
      <c r="V124" s="7" t="s">
        <v>745</v>
      </c>
      <c r="W124" s="7" t="s">
        <v>1177</v>
      </c>
      <c r="X124" s="30">
        <v>3</v>
      </c>
      <c r="Y124" s="7" t="s">
        <v>1177</v>
      </c>
      <c r="Z124" s="7" t="s">
        <v>1178</v>
      </c>
      <c r="AA124" s="30">
        <v>0</v>
      </c>
      <c r="AB124" s="36">
        <v>0</v>
      </c>
      <c r="AC124" s="7" t="s">
        <v>1177</v>
      </c>
      <c r="AD124" s="37">
        <v>0</v>
      </c>
      <c r="AE124" s="7" t="s">
        <v>1177</v>
      </c>
      <c r="AF124" s="7" t="s">
        <v>1177</v>
      </c>
      <c r="AG124" s="7" t="s">
        <v>1177</v>
      </c>
      <c r="AH124" s="38"/>
      <c r="AI124" s="36">
        <v>0</v>
      </c>
      <c r="AJ124" s="7" t="s">
        <v>1193</v>
      </c>
      <c r="AK124" s="7" t="s">
        <v>1177</v>
      </c>
      <c r="AL124" s="7" t="s">
        <v>1177</v>
      </c>
      <c r="AM124" s="7" t="s">
        <v>1177</v>
      </c>
      <c r="AN124" s="7" t="s">
        <v>3212</v>
      </c>
      <c r="AO124" s="7" t="s">
        <v>1177</v>
      </c>
      <c r="AP124" s="7" t="s">
        <v>1177</v>
      </c>
      <c r="AQ124" s="7" t="s">
        <v>1177</v>
      </c>
      <c r="AR124" s="29">
        <v>0</v>
      </c>
      <c r="AS124" s="7" t="s">
        <v>1177</v>
      </c>
      <c r="AT124" s="7" t="s">
        <v>1363</v>
      </c>
      <c r="AU124" s="38">
        <v>46275</v>
      </c>
      <c r="AV124" s="39">
        <v>0.60449074074074005</v>
      </c>
    </row>
    <row r="125" spans="1:48" x14ac:dyDescent="0.35">
      <c r="A125" t="str">
        <f t="shared" si="1"/>
        <v>181920B856</v>
      </c>
      <c r="B125" s="7" t="s">
        <v>3254</v>
      </c>
      <c r="C125" s="7" t="s">
        <v>852</v>
      </c>
      <c r="D125" s="7" t="s">
        <v>21</v>
      </c>
      <c r="E125" s="7" t="s">
        <v>1177</v>
      </c>
      <c r="F125" s="7" t="s">
        <v>134</v>
      </c>
      <c r="G125" s="7" t="s">
        <v>130</v>
      </c>
      <c r="H125" s="7" t="s">
        <v>129</v>
      </c>
      <c r="I125" s="30">
        <v>3</v>
      </c>
      <c r="J125" s="7" t="s">
        <v>1177</v>
      </c>
      <c r="K125" s="7" t="s">
        <v>1178</v>
      </c>
      <c r="L125" s="7" t="s">
        <v>132</v>
      </c>
      <c r="M125" s="7" t="s">
        <v>133</v>
      </c>
      <c r="N125" s="30">
        <v>0</v>
      </c>
      <c r="O125" s="30">
        <v>0</v>
      </c>
      <c r="P125" s="30">
        <v>0</v>
      </c>
      <c r="Q125" s="30">
        <v>0</v>
      </c>
      <c r="R125" s="29">
        <v>0</v>
      </c>
      <c r="S125" s="36">
        <v>0</v>
      </c>
      <c r="T125" s="7" t="s">
        <v>131</v>
      </c>
      <c r="U125" s="7" t="s">
        <v>853</v>
      </c>
      <c r="V125" s="7" t="s">
        <v>853</v>
      </c>
      <c r="W125" s="7" t="s">
        <v>1177</v>
      </c>
      <c r="X125" s="30">
        <v>3</v>
      </c>
      <c r="Y125" s="7" t="s">
        <v>1177</v>
      </c>
      <c r="Z125" s="7" t="s">
        <v>1178</v>
      </c>
      <c r="AA125" s="30">
        <v>0</v>
      </c>
      <c r="AB125" s="36">
        <v>0</v>
      </c>
      <c r="AC125" s="7" t="s">
        <v>1177</v>
      </c>
      <c r="AD125" s="37">
        <v>0</v>
      </c>
      <c r="AE125" s="7" t="s">
        <v>1177</v>
      </c>
      <c r="AF125" s="7" t="s">
        <v>1177</v>
      </c>
      <c r="AG125" s="7" t="s">
        <v>1177</v>
      </c>
      <c r="AH125" s="38"/>
      <c r="AI125" s="36">
        <v>0</v>
      </c>
      <c r="AJ125" s="7" t="s">
        <v>1193</v>
      </c>
      <c r="AK125" s="7" t="s">
        <v>1177</v>
      </c>
      <c r="AL125" s="7" t="s">
        <v>1177</v>
      </c>
      <c r="AM125" s="7" t="s">
        <v>1177</v>
      </c>
      <c r="AN125" s="7" t="s">
        <v>3212</v>
      </c>
      <c r="AO125" s="7" t="s">
        <v>1177</v>
      </c>
      <c r="AP125" s="7" t="s">
        <v>1177</v>
      </c>
      <c r="AQ125" s="7" t="s">
        <v>1177</v>
      </c>
      <c r="AR125" s="29">
        <v>0</v>
      </c>
      <c r="AS125" s="7" t="s">
        <v>1177</v>
      </c>
      <c r="AT125" s="7" t="s">
        <v>1363</v>
      </c>
      <c r="AU125" s="38">
        <v>46275</v>
      </c>
      <c r="AV125" s="39">
        <v>0.60521990740741005</v>
      </c>
    </row>
    <row r="126" spans="1:48" x14ac:dyDescent="0.35">
      <c r="A126" t="str">
        <f t="shared" si="1"/>
        <v>181920B857</v>
      </c>
      <c r="B126" s="7" t="s">
        <v>3254</v>
      </c>
      <c r="C126" s="7" t="s">
        <v>958</v>
      </c>
      <c r="D126" s="7" t="s">
        <v>23</v>
      </c>
      <c r="E126" s="7" t="s">
        <v>1177</v>
      </c>
      <c r="F126" s="7" t="s">
        <v>134</v>
      </c>
      <c r="G126" s="7" t="s">
        <v>130</v>
      </c>
      <c r="H126" s="7" t="s">
        <v>129</v>
      </c>
      <c r="I126" s="30">
        <v>3</v>
      </c>
      <c r="J126" s="7" t="s">
        <v>1177</v>
      </c>
      <c r="K126" s="7" t="s">
        <v>1178</v>
      </c>
      <c r="L126" s="7" t="s">
        <v>132</v>
      </c>
      <c r="M126" s="7" t="s">
        <v>133</v>
      </c>
      <c r="N126" s="30">
        <v>0</v>
      </c>
      <c r="O126" s="30">
        <v>0</v>
      </c>
      <c r="P126" s="30">
        <v>0</v>
      </c>
      <c r="Q126" s="30">
        <v>0</v>
      </c>
      <c r="R126" s="29">
        <v>0</v>
      </c>
      <c r="S126" s="36">
        <v>0</v>
      </c>
      <c r="T126" s="7" t="s">
        <v>131</v>
      </c>
      <c r="U126" s="7" t="s">
        <v>959</v>
      </c>
      <c r="V126" s="7" t="s">
        <v>959</v>
      </c>
      <c r="W126" s="7" t="s">
        <v>1177</v>
      </c>
      <c r="X126" s="30">
        <v>3</v>
      </c>
      <c r="Y126" s="7" t="s">
        <v>1177</v>
      </c>
      <c r="Z126" s="7" t="s">
        <v>1178</v>
      </c>
      <c r="AA126" s="30">
        <v>0</v>
      </c>
      <c r="AB126" s="36">
        <v>0</v>
      </c>
      <c r="AC126" s="7" t="s">
        <v>1177</v>
      </c>
      <c r="AD126" s="37">
        <v>0</v>
      </c>
      <c r="AE126" s="7" t="s">
        <v>1177</v>
      </c>
      <c r="AF126" s="7" t="s">
        <v>1177</v>
      </c>
      <c r="AG126" s="7" t="s">
        <v>1177</v>
      </c>
      <c r="AH126" s="38"/>
      <c r="AI126" s="36">
        <v>0</v>
      </c>
      <c r="AJ126" s="7" t="s">
        <v>1193</v>
      </c>
      <c r="AK126" s="7" t="s">
        <v>1177</v>
      </c>
      <c r="AL126" s="7" t="s">
        <v>1177</v>
      </c>
      <c r="AM126" s="7" t="s">
        <v>1177</v>
      </c>
      <c r="AN126" s="7" t="s">
        <v>3212</v>
      </c>
      <c r="AO126" s="7" t="s">
        <v>1177</v>
      </c>
      <c r="AP126" s="7" t="s">
        <v>1177</v>
      </c>
      <c r="AQ126" s="7" t="s">
        <v>1177</v>
      </c>
      <c r="AR126" s="29">
        <v>0</v>
      </c>
      <c r="AS126" s="7" t="s">
        <v>1177</v>
      </c>
      <c r="AT126" s="7" t="s">
        <v>1363</v>
      </c>
      <c r="AU126" s="38">
        <v>46275</v>
      </c>
      <c r="AV126" s="39">
        <v>0.60525462962962995</v>
      </c>
    </row>
    <row r="127" spans="1:48" x14ac:dyDescent="0.35">
      <c r="A127" t="str">
        <f t="shared" si="1"/>
        <v>181920B864</v>
      </c>
      <c r="B127" s="7" t="s">
        <v>3254</v>
      </c>
      <c r="C127" s="7" t="s">
        <v>1010</v>
      </c>
      <c r="D127" s="7" t="s">
        <v>10</v>
      </c>
      <c r="E127" s="7" t="s">
        <v>1177</v>
      </c>
      <c r="F127" s="7" t="s">
        <v>134</v>
      </c>
      <c r="G127" s="7" t="s">
        <v>130</v>
      </c>
      <c r="H127" s="7" t="s">
        <v>129</v>
      </c>
      <c r="I127" s="30">
        <v>5</v>
      </c>
      <c r="J127" s="7" t="s">
        <v>1177</v>
      </c>
      <c r="K127" s="7" t="s">
        <v>1178</v>
      </c>
      <c r="L127" s="7" t="s">
        <v>132</v>
      </c>
      <c r="M127" s="7" t="s">
        <v>133</v>
      </c>
      <c r="N127" s="30">
        <v>0</v>
      </c>
      <c r="O127" s="30">
        <v>0</v>
      </c>
      <c r="P127" s="30">
        <v>0</v>
      </c>
      <c r="Q127" s="30">
        <v>0</v>
      </c>
      <c r="R127" s="29">
        <v>0</v>
      </c>
      <c r="S127" s="36">
        <v>0</v>
      </c>
      <c r="T127" s="7" t="s">
        <v>131</v>
      </c>
      <c r="U127" s="7" t="s">
        <v>1011</v>
      </c>
      <c r="V127" s="7" t="s">
        <v>1011</v>
      </c>
      <c r="W127" s="7" t="s">
        <v>1177</v>
      </c>
      <c r="X127" s="30">
        <v>5</v>
      </c>
      <c r="Y127" s="7" t="s">
        <v>1177</v>
      </c>
      <c r="Z127" s="7" t="s">
        <v>1178</v>
      </c>
      <c r="AA127" s="30">
        <v>0</v>
      </c>
      <c r="AB127" s="36">
        <v>0</v>
      </c>
      <c r="AC127" s="7" t="s">
        <v>1177</v>
      </c>
      <c r="AD127" s="37">
        <v>0</v>
      </c>
      <c r="AE127" s="7" t="s">
        <v>1177</v>
      </c>
      <c r="AF127" s="7" t="s">
        <v>1177</v>
      </c>
      <c r="AG127" s="7" t="s">
        <v>1177</v>
      </c>
      <c r="AH127" s="38"/>
      <c r="AI127" s="36">
        <v>0</v>
      </c>
      <c r="AJ127" s="7" t="s">
        <v>1193</v>
      </c>
      <c r="AK127" s="7" t="s">
        <v>1177</v>
      </c>
      <c r="AL127" s="7" t="s">
        <v>1177</v>
      </c>
      <c r="AM127" s="7" t="s">
        <v>1177</v>
      </c>
      <c r="AN127" s="7" t="s">
        <v>3212</v>
      </c>
      <c r="AO127" s="7" t="s">
        <v>1177</v>
      </c>
      <c r="AP127" s="7" t="s">
        <v>1177</v>
      </c>
      <c r="AQ127" s="7" t="s">
        <v>1177</v>
      </c>
      <c r="AR127" s="29">
        <v>0</v>
      </c>
      <c r="AS127" s="7" t="s">
        <v>1177</v>
      </c>
      <c r="AT127" s="7" t="s">
        <v>1363</v>
      </c>
      <c r="AU127" s="38">
        <v>46275</v>
      </c>
      <c r="AV127" s="39">
        <v>0.60541666666667004</v>
      </c>
    </row>
    <row r="128" spans="1:48" x14ac:dyDescent="0.35">
      <c r="A128" t="str">
        <f t="shared" si="1"/>
        <v>181920B865</v>
      </c>
      <c r="B128" s="7" t="s">
        <v>3254</v>
      </c>
      <c r="C128" s="7" t="s">
        <v>1039</v>
      </c>
      <c r="D128" s="7" t="s">
        <v>7</v>
      </c>
      <c r="E128" s="7" t="s">
        <v>1177</v>
      </c>
      <c r="F128" s="7" t="s">
        <v>134</v>
      </c>
      <c r="G128" s="7" t="s">
        <v>130</v>
      </c>
      <c r="H128" s="7" t="s">
        <v>129</v>
      </c>
      <c r="I128" s="30">
        <v>5</v>
      </c>
      <c r="J128" s="7" t="s">
        <v>1177</v>
      </c>
      <c r="K128" s="7" t="s">
        <v>1178</v>
      </c>
      <c r="L128" s="7" t="s">
        <v>132</v>
      </c>
      <c r="M128" s="7" t="s">
        <v>133</v>
      </c>
      <c r="N128" s="30">
        <v>0</v>
      </c>
      <c r="O128" s="30">
        <v>0</v>
      </c>
      <c r="P128" s="30">
        <v>0</v>
      </c>
      <c r="Q128" s="30">
        <v>0</v>
      </c>
      <c r="R128" s="29">
        <v>0</v>
      </c>
      <c r="S128" s="36">
        <v>0</v>
      </c>
      <c r="T128" s="7" t="s">
        <v>131</v>
      </c>
      <c r="U128" s="7" t="s">
        <v>1040</v>
      </c>
      <c r="V128" s="7" t="s">
        <v>1040</v>
      </c>
      <c r="W128" s="7" t="s">
        <v>1177</v>
      </c>
      <c r="X128" s="30">
        <v>5</v>
      </c>
      <c r="Y128" s="7" t="s">
        <v>1177</v>
      </c>
      <c r="Z128" s="7" t="s">
        <v>1178</v>
      </c>
      <c r="AA128" s="30">
        <v>0</v>
      </c>
      <c r="AB128" s="36">
        <v>0</v>
      </c>
      <c r="AC128" s="7" t="s">
        <v>1177</v>
      </c>
      <c r="AD128" s="37">
        <v>0</v>
      </c>
      <c r="AE128" s="7" t="s">
        <v>1177</v>
      </c>
      <c r="AF128" s="7" t="s">
        <v>1177</v>
      </c>
      <c r="AG128" s="7" t="s">
        <v>1177</v>
      </c>
      <c r="AH128" s="38"/>
      <c r="AI128" s="36">
        <v>0</v>
      </c>
      <c r="AJ128" s="7" t="s">
        <v>1193</v>
      </c>
      <c r="AK128" s="7" t="s">
        <v>1177</v>
      </c>
      <c r="AL128" s="7" t="s">
        <v>1177</v>
      </c>
      <c r="AM128" s="7" t="s">
        <v>1177</v>
      </c>
      <c r="AN128" s="7" t="s">
        <v>3212</v>
      </c>
      <c r="AO128" s="7" t="s">
        <v>1177</v>
      </c>
      <c r="AP128" s="7" t="s">
        <v>1177</v>
      </c>
      <c r="AQ128" s="7" t="s">
        <v>1177</v>
      </c>
      <c r="AR128" s="29">
        <v>0</v>
      </c>
      <c r="AS128" s="7" t="s">
        <v>1177</v>
      </c>
      <c r="AT128" s="7" t="s">
        <v>1363</v>
      </c>
      <c r="AU128" s="38">
        <v>46275</v>
      </c>
      <c r="AV128" s="39">
        <v>0.60553240740740999</v>
      </c>
    </row>
    <row r="129" spans="1:48" x14ac:dyDescent="0.35">
      <c r="A129" t="str">
        <f t="shared" si="1"/>
        <v>181920B867</v>
      </c>
      <c r="B129" s="7" t="s">
        <v>3254</v>
      </c>
      <c r="C129" s="7" t="s">
        <v>1059</v>
      </c>
      <c r="D129" s="7" t="s">
        <v>25</v>
      </c>
      <c r="E129" s="7" t="s">
        <v>1177</v>
      </c>
      <c r="F129" s="7" t="s">
        <v>134</v>
      </c>
      <c r="G129" s="7" t="s">
        <v>130</v>
      </c>
      <c r="H129" s="7" t="s">
        <v>129</v>
      </c>
      <c r="I129" s="30">
        <v>5</v>
      </c>
      <c r="J129" s="7" t="s">
        <v>1177</v>
      </c>
      <c r="K129" s="7" t="s">
        <v>1178</v>
      </c>
      <c r="L129" s="7" t="s">
        <v>132</v>
      </c>
      <c r="M129" s="7" t="s">
        <v>133</v>
      </c>
      <c r="N129" s="30">
        <v>0</v>
      </c>
      <c r="O129" s="30">
        <v>0</v>
      </c>
      <c r="P129" s="30">
        <v>0</v>
      </c>
      <c r="Q129" s="30">
        <v>0</v>
      </c>
      <c r="R129" s="29">
        <v>0</v>
      </c>
      <c r="S129" s="36">
        <v>0</v>
      </c>
      <c r="T129" s="7" t="s">
        <v>131</v>
      </c>
      <c r="U129" s="7" t="s">
        <v>1060</v>
      </c>
      <c r="V129" s="7" t="s">
        <v>1060</v>
      </c>
      <c r="W129" s="7" t="s">
        <v>1177</v>
      </c>
      <c r="X129" s="30">
        <v>5</v>
      </c>
      <c r="Y129" s="7" t="s">
        <v>1177</v>
      </c>
      <c r="Z129" s="7" t="s">
        <v>1178</v>
      </c>
      <c r="AA129" s="30">
        <v>0</v>
      </c>
      <c r="AB129" s="36">
        <v>0</v>
      </c>
      <c r="AC129" s="7" t="s">
        <v>1177</v>
      </c>
      <c r="AD129" s="37">
        <v>0</v>
      </c>
      <c r="AE129" s="7" t="s">
        <v>1177</v>
      </c>
      <c r="AF129" s="7" t="s">
        <v>1177</v>
      </c>
      <c r="AG129" s="7" t="s">
        <v>1177</v>
      </c>
      <c r="AH129" s="38"/>
      <c r="AI129" s="36">
        <v>0</v>
      </c>
      <c r="AJ129" s="7" t="s">
        <v>1193</v>
      </c>
      <c r="AK129" s="7" t="s">
        <v>1177</v>
      </c>
      <c r="AL129" s="7" t="s">
        <v>1177</v>
      </c>
      <c r="AM129" s="7" t="s">
        <v>1177</v>
      </c>
      <c r="AN129" s="7" t="s">
        <v>3212</v>
      </c>
      <c r="AO129" s="7" t="s">
        <v>1177</v>
      </c>
      <c r="AP129" s="7" t="s">
        <v>1177</v>
      </c>
      <c r="AQ129" s="7" t="s">
        <v>1177</v>
      </c>
      <c r="AR129" s="29">
        <v>0</v>
      </c>
      <c r="AS129" s="7" t="s">
        <v>1177</v>
      </c>
      <c r="AT129" s="7" t="s">
        <v>1363</v>
      </c>
      <c r="AU129" s="38">
        <v>46275</v>
      </c>
      <c r="AV129" s="39">
        <v>0.60568287037037005</v>
      </c>
    </row>
    <row r="130" spans="1:48" x14ac:dyDescent="0.35">
      <c r="A130" t="str">
        <f t="shared" si="1"/>
        <v>181921B825</v>
      </c>
      <c r="B130" s="7" t="s">
        <v>2157</v>
      </c>
      <c r="C130" s="7" t="s">
        <v>511</v>
      </c>
      <c r="D130" s="7" t="s">
        <v>16</v>
      </c>
      <c r="E130" s="7" t="s">
        <v>1177</v>
      </c>
      <c r="F130" s="7" t="s">
        <v>134</v>
      </c>
      <c r="G130" s="7" t="s">
        <v>130</v>
      </c>
      <c r="H130" s="7" t="s">
        <v>129</v>
      </c>
      <c r="I130" s="30">
        <v>20</v>
      </c>
      <c r="J130" s="7" t="s">
        <v>1177</v>
      </c>
      <c r="K130" s="7" t="s">
        <v>1178</v>
      </c>
      <c r="L130" s="7" t="s">
        <v>132</v>
      </c>
      <c r="M130" s="7" t="s">
        <v>133</v>
      </c>
      <c r="N130" s="30">
        <v>0</v>
      </c>
      <c r="O130" s="30">
        <v>0</v>
      </c>
      <c r="P130" s="30">
        <v>0</v>
      </c>
      <c r="Q130" s="30">
        <v>0</v>
      </c>
      <c r="R130" s="29">
        <v>0</v>
      </c>
      <c r="S130" s="36">
        <v>0</v>
      </c>
      <c r="T130" s="7" t="s">
        <v>131</v>
      </c>
      <c r="U130" s="7" t="s">
        <v>512</v>
      </c>
      <c r="V130" s="7" t="s">
        <v>512</v>
      </c>
      <c r="W130" s="7" t="s">
        <v>1177</v>
      </c>
      <c r="X130" s="30">
        <v>20</v>
      </c>
      <c r="Y130" s="7" t="s">
        <v>1177</v>
      </c>
      <c r="Z130" s="7" t="s">
        <v>1178</v>
      </c>
      <c r="AA130" s="30">
        <v>0</v>
      </c>
      <c r="AB130" s="36">
        <v>0</v>
      </c>
      <c r="AC130" s="7" t="s">
        <v>1177</v>
      </c>
      <c r="AD130" s="37">
        <v>0</v>
      </c>
      <c r="AE130" s="7" t="s">
        <v>1177</v>
      </c>
      <c r="AF130" s="7" t="s">
        <v>1177</v>
      </c>
      <c r="AG130" s="7" t="s">
        <v>1177</v>
      </c>
      <c r="AH130" s="38"/>
      <c r="AI130" s="36">
        <v>0</v>
      </c>
      <c r="AJ130" s="7" t="s">
        <v>1193</v>
      </c>
      <c r="AK130" s="7" t="s">
        <v>1177</v>
      </c>
      <c r="AL130" s="7" t="s">
        <v>1177</v>
      </c>
      <c r="AM130" s="7" t="s">
        <v>1177</v>
      </c>
      <c r="AN130" s="7" t="s">
        <v>3212</v>
      </c>
      <c r="AO130" s="7" t="s">
        <v>1177</v>
      </c>
      <c r="AP130" s="7" t="s">
        <v>1177</v>
      </c>
      <c r="AQ130" s="7" t="s">
        <v>1177</v>
      </c>
      <c r="AR130" s="29">
        <v>0</v>
      </c>
      <c r="AS130" s="7" t="s">
        <v>1177</v>
      </c>
      <c r="AT130" s="7" t="s">
        <v>1363</v>
      </c>
      <c r="AU130" s="38">
        <v>46275</v>
      </c>
      <c r="AV130" s="39">
        <v>0.60351851851852001</v>
      </c>
    </row>
    <row r="131" spans="1:48" x14ac:dyDescent="0.35">
      <c r="A131" t="str">
        <f t="shared" ref="A131:A194" si="2">_xlfn.CONCAT(B131,D131)</f>
        <v>181921B832</v>
      </c>
      <c r="B131" s="7" t="s">
        <v>2157</v>
      </c>
      <c r="C131" s="7" t="s">
        <v>653</v>
      </c>
      <c r="D131" s="7" t="s">
        <v>19</v>
      </c>
      <c r="E131" s="7" t="s">
        <v>1177</v>
      </c>
      <c r="F131" s="7" t="s">
        <v>134</v>
      </c>
      <c r="G131" s="7" t="s">
        <v>130</v>
      </c>
      <c r="H131" s="7" t="s">
        <v>129</v>
      </c>
      <c r="I131" s="30">
        <v>3</v>
      </c>
      <c r="J131" s="7" t="s">
        <v>1177</v>
      </c>
      <c r="K131" s="7" t="s">
        <v>1178</v>
      </c>
      <c r="L131" s="7" t="s">
        <v>132</v>
      </c>
      <c r="M131" s="7" t="s">
        <v>133</v>
      </c>
      <c r="N131" s="30">
        <v>0</v>
      </c>
      <c r="O131" s="30">
        <v>0</v>
      </c>
      <c r="P131" s="30">
        <v>0</v>
      </c>
      <c r="Q131" s="30">
        <v>0</v>
      </c>
      <c r="R131" s="29">
        <v>0</v>
      </c>
      <c r="S131" s="36">
        <v>0</v>
      </c>
      <c r="T131" s="7" t="s">
        <v>131</v>
      </c>
      <c r="U131" s="7" t="s">
        <v>654</v>
      </c>
      <c r="V131" s="7" t="s">
        <v>654</v>
      </c>
      <c r="W131" s="7" t="s">
        <v>1177</v>
      </c>
      <c r="X131" s="30">
        <v>3</v>
      </c>
      <c r="Y131" s="7" t="s">
        <v>1177</v>
      </c>
      <c r="Z131" s="7" t="s">
        <v>1178</v>
      </c>
      <c r="AA131" s="30">
        <v>0</v>
      </c>
      <c r="AB131" s="36">
        <v>0</v>
      </c>
      <c r="AC131" s="7" t="s">
        <v>1177</v>
      </c>
      <c r="AD131" s="37">
        <v>0</v>
      </c>
      <c r="AE131" s="7" t="s">
        <v>1177</v>
      </c>
      <c r="AF131" s="7" t="s">
        <v>1177</v>
      </c>
      <c r="AG131" s="7" t="s">
        <v>1177</v>
      </c>
      <c r="AH131" s="38"/>
      <c r="AI131" s="36">
        <v>0</v>
      </c>
      <c r="AJ131" s="7" t="s">
        <v>1193</v>
      </c>
      <c r="AK131" s="7" t="s">
        <v>1177</v>
      </c>
      <c r="AL131" s="7" t="s">
        <v>1177</v>
      </c>
      <c r="AM131" s="7" t="s">
        <v>1177</v>
      </c>
      <c r="AN131" s="7" t="s">
        <v>3212</v>
      </c>
      <c r="AO131" s="7" t="s">
        <v>1177</v>
      </c>
      <c r="AP131" s="7" t="s">
        <v>1177</v>
      </c>
      <c r="AQ131" s="7" t="s">
        <v>1177</v>
      </c>
      <c r="AR131" s="29">
        <v>0</v>
      </c>
      <c r="AS131" s="7" t="s">
        <v>1177</v>
      </c>
      <c r="AT131" s="7" t="s">
        <v>1363</v>
      </c>
      <c r="AU131" s="38">
        <v>46275</v>
      </c>
      <c r="AV131" s="39">
        <v>0.60385416666667002</v>
      </c>
    </row>
    <row r="132" spans="1:48" x14ac:dyDescent="0.35">
      <c r="A132" t="str">
        <f t="shared" si="2"/>
        <v>181921B833</v>
      </c>
      <c r="B132" s="7" t="s">
        <v>2157</v>
      </c>
      <c r="C132" s="7" t="s">
        <v>698</v>
      </c>
      <c r="D132" s="7" t="s">
        <v>697</v>
      </c>
      <c r="E132" s="7" t="s">
        <v>1177</v>
      </c>
      <c r="F132" s="7" t="s">
        <v>134</v>
      </c>
      <c r="G132" s="7" t="s">
        <v>130</v>
      </c>
      <c r="H132" s="7" t="s">
        <v>129</v>
      </c>
      <c r="I132" s="30">
        <v>2</v>
      </c>
      <c r="J132" s="7" t="s">
        <v>1177</v>
      </c>
      <c r="K132" s="7" t="s">
        <v>1178</v>
      </c>
      <c r="L132" s="7" t="s">
        <v>132</v>
      </c>
      <c r="M132" s="7" t="s">
        <v>133</v>
      </c>
      <c r="N132" s="30">
        <v>0</v>
      </c>
      <c r="O132" s="30">
        <v>0</v>
      </c>
      <c r="P132" s="30">
        <v>0</v>
      </c>
      <c r="Q132" s="30">
        <v>0</v>
      </c>
      <c r="R132" s="29">
        <v>0</v>
      </c>
      <c r="S132" s="36">
        <v>0</v>
      </c>
      <c r="T132" s="7" t="s">
        <v>131</v>
      </c>
      <c r="U132" s="7" t="s">
        <v>699</v>
      </c>
      <c r="V132" s="7" t="s">
        <v>699</v>
      </c>
      <c r="W132" s="7" t="s">
        <v>1177</v>
      </c>
      <c r="X132" s="30">
        <v>2</v>
      </c>
      <c r="Y132" s="7" t="s">
        <v>1177</v>
      </c>
      <c r="Z132" s="7" t="s">
        <v>1178</v>
      </c>
      <c r="AA132" s="30">
        <v>0</v>
      </c>
      <c r="AB132" s="36">
        <v>0</v>
      </c>
      <c r="AC132" s="7" t="s">
        <v>1177</v>
      </c>
      <c r="AD132" s="37">
        <v>0</v>
      </c>
      <c r="AE132" s="7" t="s">
        <v>1177</v>
      </c>
      <c r="AF132" s="7" t="s">
        <v>1177</v>
      </c>
      <c r="AG132" s="7" t="s">
        <v>1177</v>
      </c>
      <c r="AH132" s="38"/>
      <c r="AI132" s="36">
        <v>0</v>
      </c>
      <c r="AJ132" s="7" t="s">
        <v>1193</v>
      </c>
      <c r="AK132" s="7" t="s">
        <v>1177</v>
      </c>
      <c r="AL132" s="7" t="s">
        <v>1177</v>
      </c>
      <c r="AM132" s="7" t="s">
        <v>1177</v>
      </c>
      <c r="AN132" s="7" t="s">
        <v>3212</v>
      </c>
      <c r="AO132" s="7" t="s">
        <v>1177</v>
      </c>
      <c r="AP132" s="7" t="s">
        <v>1177</v>
      </c>
      <c r="AQ132" s="7" t="s">
        <v>1177</v>
      </c>
      <c r="AR132" s="29">
        <v>0</v>
      </c>
      <c r="AS132" s="7" t="s">
        <v>1177</v>
      </c>
      <c r="AT132" s="7" t="s">
        <v>1363</v>
      </c>
      <c r="AU132" s="38">
        <v>46275</v>
      </c>
      <c r="AV132" s="39">
        <v>0.60396990740740997</v>
      </c>
    </row>
    <row r="133" spans="1:48" x14ac:dyDescent="0.35">
      <c r="A133" t="str">
        <f t="shared" si="2"/>
        <v>181921B838</v>
      </c>
      <c r="B133" s="7" t="s">
        <v>2157</v>
      </c>
      <c r="C133" s="7" t="s">
        <v>744</v>
      </c>
      <c r="D133" s="7" t="s">
        <v>48</v>
      </c>
      <c r="E133" s="7" t="s">
        <v>1177</v>
      </c>
      <c r="F133" s="7" t="s">
        <v>134</v>
      </c>
      <c r="G133" s="7" t="s">
        <v>130</v>
      </c>
      <c r="H133" s="7" t="s">
        <v>129</v>
      </c>
      <c r="I133" s="30">
        <v>5</v>
      </c>
      <c r="J133" s="7" t="s">
        <v>1177</v>
      </c>
      <c r="K133" s="7" t="s">
        <v>1178</v>
      </c>
      <c r="L133" s="7" t="s">
        <v>132</v>
      </c>
      <c r="M133" s="7" t="s">
        <v>133</v>
      </c>
      <c r="N133" s="30">
        <v>0</v>
      </c>
      <c r="O133" s="30">
        <v>0</v>
      </c>
      <c r="P133" s="30">
        <v>0</v>
      </c>
      <c r="Q133" s="30">
        <v>0</v>
      </c>
      <c r="R133" s="29">
        <v>0</v>
      </c>
      <c r="S133" s="36">
        <v>0</v>
      </c>
      <c r="T133" s="7" t="s">
        <v>131</v>
      </c>
      <c r="U133" s="7" t="s">
        <v>745</v>
      </c>
      <c r="V133" s="7" t="s">
        <v>745</v>
      </c>
      <c r="W133" s="7" t="s">
        <v>1177</v>
      </c>
      <c r="X133" s="30">
        <v>5</v>
      </c>
      <c r="Y133" s="7" t="s">
        <v>1177</v>
      </c>
      <c r="Z133" s="7" t="s">
        <v>1178</v>
      </c>
      <c r="AA133" s="30">
        <v>0</v>
      </c>
      <c r="AB133" s="36">
        <v>0</v>
      </c>
      <c r="AC133" s="7" t="s">
        <v>1177</v>
      </c>
      <c r="AD133" s="37">
        <v>0</v>
      </c>
      <c r="AE133" s="7" t="s">
        <v>1177</v>
      </c>
      <c r="AF133" s="7" t="s">
        <v>1177</v>
      </c>
      <c r="AG133" s="7" t="s">
        <v>1177</v>
      </c>
      <c r="AH133" s="38"/>
      <c r="AI133" s="36">
        <v>0</v>
      </c>
      <c r="AJ133" s="7" t="s">
        <v>1193</v>
      </c>
      <c r="AK133" s="7" t="s">
        <v>1177</v>
      </c>
      <c r="AL133" s="7" t="s">
        <v>1177</v>
      </c>
      <c r="AM133" s="7" t="s">
        <v>1177</v>
      </c>
      <c r="AN133" s="7" t="s">
        <v>3212</v>
      </c>
      <c r="AO133" s="7" t="s">
        <v>1177</v>
      </c>
      <c r="AP133" s="7" t="s">
        <v>1177</v>
      </c>
      <c r="AQ133" s="7" t="s">
        <v>1177</v>
      </c>
      <c r="AR133" s="29">
        <v>0</v>
      </c>
      <c r="AS133" s="7" t="s">
        <v>1177</v>
      </c>
      <c r="AT133" s="7" t="s">
        <v>1363</v>
      </c>
      <c r="AU133" s="38">
        <v>46275</v>
      </c>
      <c r="AV133" s="39">
        <v>0.60446759259258998</v>
      </c>
    </row>
    <row r="134" spans="1:48" x14ac:dyDescent="0.35">
      <c r="A134" t="str">
        <f t="shared" si="2"/>
        <v>181921B856</v>
      </c>
      <c r="B134" s="7" t="s">
        <v>2157</v>
      </c>
      <c r="C134" s="7" t="s">
        <v>852</v>
      </c>
      <c r="D134" s="7" t="s">
        <v>21</v>
      </c>
      <c r="E134" s="7" t="s">
        <v>1177</v>
      </c>
      <c r="F134" s="7" t="s">
        <v>134</v>
      </c>
      <c r="G134" s="7" t="s">
        <v>130</v>
      </c>
      <c r="H134" s="7" t="s">
        <v>129</v>
      </c>
      <c r="I134" s="30">
        <v>3</v>
      </c>
      <c r="J134" s="7" t="s">
        <v>1177</v>
      </c>
      <c r="K134" s="7" t="s">
        <v>1178</v>
      </c>
      <c r="L134" s="7" t="s">
        <v>132</v>
      </c>
      <c r="M134" s="7" t="s">
        <v>133</v>
      </c>
      <c r="N134" s="30">
        <v>0</v>
      </c>
      <c r="O134" s="30">
        <v>0</v>
      </c>
      <c r="P134" s="30">
        <v>0</v>
      </c>
      <c r="Q134" s="30">
        <v>0</v>
      </c>
      <c r="R134" s="29">
        <v>0</v>
      </c>
      <c r="S134" s="36">
        <v>0</v>
      </c>
      <c r="T134" s="7" t="s">
        <v>131</v>
      </c>
      <c r="U134" s="7" t="s">
        <v>853</v>
      </c>
      <c r="V134" s="7" t="s">
        <v>853</v>
      </c>
      <c r="W134" s="7" t="s">
        <v>1177</v>
      </c>
      <c r="X134" s="30">
        <v>3</v>
      </c>
      <c r="Y134" s="7" t="s">
        <v>1177</v>
      </c>
      <c r="Z134" s="7" t="s">
        <v>1178</v>
      </c>
      <c r="AA134" s="30">
        <v>0</v>
      </c>
      <c r="AB134" s="36">
        <v>0</v>
      </c>
      <c r="AC134" s="7" t="s">
        <v>1177</v>
      </c>
      <c r="AD134" s="37">
        <v>0</v>
      </c>
      <c r="AE134" s="7" t="s">
        <v>1177</v>
      </c>
      <c r="AF134" s="7" t="s">
        <v>1177</v>
      </c>
      <c r="AG134" s="7" t="s">
        <v>1177</v>
      </c>
      <c r="AH134" s="38"/>
      <c r="AI134" s="36">
        <v>0</v>
      </c>
      <c r="AJ134" s="7" t="s">
        <v>1193</v>
      </c>
      <c r="AK134" s="7" t="s">
        <v>1177</v>
      </c>
      <c r="AL134" s="7" t="s">
        <v>1177</v>
      </c>
      <c r="AM134" s="7" t="s">
        <v>1177</v>
      </c>
      <c r="AN134" s="7" t="s">
        <v>3212</v>
      </c>
      <c r="AO134" s="7" t="s">
        <v>1177</v>
      </c>
      <c r="AP134" s="7" t="s">
        <v>1177</v>
      </c>
      <c r="AQ134" s="7" t="s">
        <v>1177</v>
      </c>
      <c r="AR134" s="29">
        <v>0</v>
      </c>
      <c r="AS134" s="7" t="s">
        <v>1177</v>
      </c>
      <c r="AT134" s="7" t="s">
        <v>1363</v>
      </c>
      <c r="AU134" s="38">
        <v>46275</v>
      </c>
      <c r="AV134" s="39">
        <v>0.60521990740741005</v>
      </c>
    </row>
    <row r="135" spans="1:48" x14ac:dyDescent="0.35">
      <c r="A135" t="str">
        <f t="shared" si="2"/>
        <v>181921B857</v>
      </c>
      <c r="B135" s="7" t="s">
        <v>2157</v>
      </c>
      <c r="C135" s="7" t="s">
        <v>958</v>
      </c>
      <c r="D135" s="7" t="s">
        <v>23</v>
      </c>
      <c r="E135" s="7" t="s">
        <v>1177</v>
      </c>
      <c r="F135" s="7" t="s">
        <v>134</v>
      </c>
      <c r="G135" s="7" t="s">
        <v>130</v>
      </c>
      <c r="H135" s="7" t="s">
        <v>129</v>
      </c>
      <c r="I135" s="30">
        <v>5</v>
      </c>
      <c r="J135" s="7" t="s">
        <v>1177</v>
      </c>
      <c r="K135" s="7" t="s">
        <v>1178</v>
      </c>
      <c r="L135" s="7" t="s">
        <v>132</v>
      </c>
      <c r="M135" s="7" t="s">
        <v>133</v>
      </c>
      <c r="N135" s="30">
        <v>0</v>
      </c>
      <c r="O135" s="30">
        <v>0</v>
      </c>
      <c r="P135" s="30">
        <v>0</v>
      </c>
      <c r="Q135" s="30">
        <v>0</v>
      </c>
      <c r="R135" s="29">
        <v>0</v>
      </c>
      <c r="S135" s="36">
        <v>0</v>
      </c>
      <c r="T135" s="7" t="s">
        <v>131</v>
      </c>
      <c r="U135" s="7" t="s">
        <v>959</v>
      </c>
      <c r="V135" s="7" t="s">
        <v>959</v>
      </c>
      <c r="W135" s="7" t="s">
        <v>1177</v>
      </c>
      <c r="X135" s="30">
        <v>5</v>
      </c>
      <c r="Y135" s="7" t="s">
        <v>1177</v>
      </c>
      <c r="Z135" s="7" t="s">
        <v>1178</v>
      </c>
      <c r="AA135" s="30">
        <v>0</v>
      </c>
      <c r="AB135" s="36">
        <v>0</v>
      </c>
      <c r="AC135" s="7" t="s">
        <v>1177</v>
      </c>
      <c r="AD135" s="37">
        <v>0</v>
      </c>
      <c r="AE135" s="7" t="s">
        <v>1177</v>
      </c>
      <c r="AF135" s="7" t="s">
        <v>1177</v>
      </c>
      <c r="AG135" s="7" t="s">
        <v>1177</v>
      </c>
      <c r="AH135" s="38"/>
      <c r="AI135" s="36">
        <v>0</v>
      </c>
      <c r="AJ135" s="7" t="s">
        <v>1193</v>
      </c>
      <c r="AK135" s="7" t="s">
        <v>1177</v>
      </c>
      <c r="AL135" s="7" t="s">
        <v>1177</v>
      </c>
      <c r="AM135" s="7" t="s">
        <v>1177</v>
      </c>
      <c r="AN135" s="7" t="s">
        <v>3212</v>
      </c>
      <c r="AO135" s="7" t="s">
        <v>1177</v>
      </c>
      <c r="AP135" s="7" t="s">
        <v>1177</v>
      </c>
      <c r="AQ135" s="7" t="s">
        <v>1177</v>
      </c>
      <c r="AR135" s="29">
        <v>0</v>
      </c>
      <c r="AS135" s="7" t="s">
        <v>1177</v>
      </c>
      <c r="AT135" s="7" t="s">
        <v>1363</v>
      </c>
      <c r="AU135" s="38">
        <v>46275</v>
      </c>
      <c r="AV135" s="39">
        <v>0.60525462962962995</v>
      </c>
    </row>
    <row r="136" spans="1:48" x14ac:dyDescent="0.35">
      <c r="A136" t="str">
        <f t="shared" si="2"/>
        <v>181921B864</v>
      </c>
      <c r="B136" s="7" t="s">
        <v>2157</v>
      </c>
      <c r="C136" s="7" t="s">
        <v>1010</v>
      </c>
      <c r="D136" s="7" t="s">
        <v>10</v>
      </c>
      <c r="E136" s="7" t="s">
        <v>1177</v>
      </c>
      <c r="F136" s="7" t="s">
        <v>134</v>
      </c>
      <c r="G136" s="7" t="s">
        <v>130</v>
      </c>
      <c r="H136" s="7" t="s">
        <v>129</v>
      </c>
      <c r="I136" s="30">
        <v>5</v>
      </c>
      <c r="J136" s="7" t="s">
        <v>1177</v>
      </c>
      <c r="K136" s="7" t="s">
        <v>1178</v>
      </c>
      <c r="L136" s="7" t="s">
        <v>132</v>
      </c>
      <c r="M136" s="7" t="s">
        <v>133</v>
      </c>
      <c r="N136" s="30">
        <v>0</v>
      </c>
      <c r="O136" s="30">
        <v>0</v>
      </c>
      <c r="P136" s="30">
        <v>0</v>
      </c>
      <c r="Q136" s="30">
        <v>0</v>
      </c>
      <c r="R136" s="29">
        <v>0</v>
      </c>
      <c r="S136" s="36">
        <v>0</v>
      </c>
      <c r="T136" s="7" t="s">
        <v>131</v>
      </c>
      <c r="U136" s="7" t="s">
        <v>1011</v>
      </c>
      <c r="V136" s="7" t="s">
        <v>1011</v>
      </c>
      <c r="W136" s="7" t="s">
        <v>1177</v>
      </c>
      <c r="X136" s="30">
        <v>5</v>
      </c>
      <c r="Y136" s="7" t="s">
        <v>1177</v>
      </c>
      <c r="Z136" s="7" t="s">
        <v>1178</v>
      </c>
      <c r="AA136" s="30">
        <v>0</v>
      </c>
      <c r="AB136" s="36">
        <v>0</v>
      </c>
      <c r="AC136" s="7" t="s">
        <v>1177</v>
      </c>
      <c r="AD136" s="37">
        <v>0</v>
      </c>
      <c r="AE136" s="7" t="s">
        <v>1177</v>
      </c>
      <c r="AF136" s="7" t="s">
        <v>1177</v>
      </c>
      <c r="AG136" s="7" t="s">
        <v>1177</v>
      </c>
      <c r="AH136" s="38"/>
      <c r="AI136" s="36">
        <v>0</v>
      </c>
      <c r="AJ136" s="7" t="s">
        <v>1193</v>
      </c>
      <c r="AK136" s="7" t="s">
        <v>1177</v>
      </c>
      <c r="AL136" s="7" t="s">
        <v>1177</v>
      </c>
      <c r="AM136" s="7" t="s">
        <v>1177</v>
      </c>
      <c r="AN136" s="7" t="s">
        <v>3212</v>
      </c>
      <c r="AO136" s="7" t="s">
        <v>1177</v>
      </c>
      <c r="AP136" s="7" t="s">
        <v>1177</v>
      </c>
      <c r="AQ136" s="7" t="s">
        <v>1177</v>
      </c>
      <c r="AR136" s="29">
        <v>0</v>
      </c>
      <c r="AS136" s="7" t="s">
        <v>1177</v>
      </c>
      <c r="AT136" s="7" t="s">
        <v>1363</v>
      </c>
      <c r="AU136" s="38">
        <v>46275</v>
      </c>
      <c r="AV136" s="39">
        <v>0.60540509259259001</v>
      </c>
    </row>
    <row r="137" spans="1:48" x14ac:dyDescent="0.35">
      <c r="A137" t="str">
        <f t="shared" si="2"/>
        <v>181921B865</v>
      </c>
      <c r="B137" s="7" t="s">
        <v>2157</v>
      </c>
      <c r="C137" s="7" t="s">
        <v>1039</v>
      </c>
      <c r="D137" s="7" t="s">
        <v>7</v>
      </c>
      <c r="E137" s="7" t="s">
        <v>1177</v>
      </c>
      <c r="F137" s="7" t="s">
        <v>134</v>
      </c>
      <c r="G137" s="7" t="s">
        <v>130</v>
      </c>
      <c r="H137" s="7" t="s">
        <v>129</v>
      </c>
      <c r="I137" s="30">
        <v>5</v>
      </c>
      <c r="J137" s="7" t="s">
        <v>1177</v>
      </c>
      <c r="K137" s="7" t="s">
        <v>1178</v>
      </c>
      <c r="L137" s="7" t="s">
        <v>132</v>
      </c>
      <c r="M137" s="7" t="s">
        <v>133</v>
      </c>
      <c r="N137" s="30">
        <v>0</v>
      </c>
      <c r="O137" s="30">
        <v>0</v>
      </c>
      <c r="P137" s="30">
        <v>0</v>
      </c>
      <c r="Q137" s="30">
        <v>0</v>
      </c>
      <c r="R137" s="29">
        <v>0</v>
      </c>
      <c r="S137" s="36">
        <v>0</v>
      </c>
      <c r="T137" s="7" t="s">
        <v>131</v>
      </c>
      <c r="U137" s="7" t="s">
        <v>1040</v>
      </c>
      <c r="V137" s="7" t="s">
        <v>1040</v>
      </c>
      <c r="W137" s="7" t="s">
        <v>1177</v>
      </c>
      <c r="X137" s="30">
        <v>5</v>
      </c>
      <c r="Y137" s="7" t="s">
        <v>1177</v>
      </c>
      <c r="Z137" s="7" t="s">
        <v>1178</v>
      </c>
      <c r="AA137" s="30">
        <v>0</v>
      </c>
      <c r="AB137" s="36">
        <v>0</v>
      </c>
      <c r="AC137" s="7" t="s">
        <v>1177</v>
      </c>
      <c r="AD137" s="37">
        <v>0</v>
      </c>
      <c r="AE137" s="7" t="s">
        <v>1177</v>
      </c>
      <c r="AF137" s="7" t="s">
        <v>1177</v>
      </c>
      <c r="AG137" s="7" t="s">
        <v>1177</v>
      </c>
      <c r="AH137" s="38"/>
      <c r="AI137" s="36">
        <v>0</v>
      </c>
      <c r="AJ137" s="7" t="s">
        <v>1193</v>
      </c>
      <c r="AK137" s="7" t="s">
        <v>1177</v>
      </c>
      <c r="AL137" s="7" t="s">
        <v>1177</v>
      </c>
      <c r="AM137" s="7" t="s">
        <v>1177</v>
      </c>
      <c r="AN137" s="7" t="s">
        <v>3212</v>
      </c>
      <c r="AO137" s="7" t="s">
        <v>1177</v>
      </c>
      <c r="AP137" s="7" t="s">
        <v>1177</v>
      </c>
      <c r="AQ137" s="7" t="s">
        <v>1177</v>
      </c>
      <c r="AR137" s="29">
        <v>0</v>
      </c>
      <c r="AS137" s="7" t="s">
        <v>1177</v>
      </c>
      <c r="AT137" s="7" t="s">
        <v>1363</v>
      </c>
      <c r="AU137" s="38">
        <v>46275</v>
      </c>
      <c r="AV137" s="39">
        <v>0.60553240740740999</v>
      </c>
    </row>
    <row r="138" spans="1:48" x14ac:dyDescent="0.35">
      <c r="A138" t="str">
        <f t="shared" si="2"/>
        <v>181921B867</v>
      </c>
      <c r="B138" s="7" t="s">
        <v>2157</v>
      </c>
      <c r="C138" s="7" t="s">
        <v>1059</v>
      </c>
      <c r="D138" s="7" t="s">
        <v>25</v>
      </c>
      <c r="E138" s="7" t="s">
        <v>1177</v>
      </c>
      <c r="F138" s="7" t="s">
        <v>134</v>
      </c>
      <c r="G138" s="7" t="s">
        <v>130</v>
      </c>
      <c r="H138" s="7" t="s">
        <v>129</v>
      </c>
      <c r="I138" s="30">
        <v>5</v>
      </c>
      <c r="J138" s="7" t="s">
        <v>1177</v>
      </c>
      <c r="K138" s="7" t="s">
        <v>1178</v>
      </c>
      <c r="L138" s="7" t="s">
        <v>132</v>
      </c>
      <c r="M138" s="7" t="s">
        <v>133</v>
      </c>
      <c r="N138" s="30">
        <v>0</v>
      </c>
      <c r="O138" s="30">
        <v>0</v>
      </c>
      <c r="P138" s="30">
        <v>0</v>
      </c>
      <c r="Q138" s="30">
        <v>0</v>
      </c>
      <c r="R138" s="29">
        <v>0</v>
      </c>
      <c r="S138" s="36">
        <v>0</v>
      </c>
      <c r="T138" s="7" t="s">
        <v>131</v>
      </c>
      <c r="U138" s="7" t="s">
        <v>1060</v>
      </c>
      <c r="V138" s="7" t="s">
        <v>1060</v>
      </c>
      <c r="W138" s="7" t="s">
        <v>1177</v>
      </c>
      <c r="X138" s="30">
        <v>5</v>
      </c>
      <c r="Y138" s="7" t="s">
        <v>1177</v>
      </c>
      <c r="Z138" s="7" t="s">
        <v>1178</v>
      </c>
      <c r="AA138" s="30">
        <v>0</v>
      </c>
      <c r="AB138" s="36">
        <v>0</v>
      </c>
      <c r="AC138" s="7" t="s">
        <v>1177</v>
      </c>
      <c r="AD138" s="37">
        <v>0</v>
      </c>
      <c r="AE138" s="7" t="s">
        <v>1177</v>
      </c>
      <c r="AF138" s="7" t="s">
        <v>1177</v>
      </c>
      <c r="AG138" s="7" t="s">
        <v>1177</v>
      </c>
      <c r="AH138" s="38"/>
      <c r="AI138" s="36">
        <v>0</v>
      </c>
      <c r="AJ138" s="7" t="s">
        <v>1193</v>
      </c>
      <c r="AK138" s="7" t="s">
        <v>1177</v>
      </c>
      <c r="AL138" s="7" t="s">
        <v>1177</v>
      </c>
      <c r="AM138" s="7" t="s">
        <v>1177</v>
      </c>
      <c r="AN138" s="7" t="s">
        <v>3212</v>
      </c>
      <c r="AO138" s="7" t="s">
        <v>1177</v>
      </c>
      <c r="AP138" s="7" t="s">
        <v>1177</v>
      </c>
      <c r="AQ138" s="7" t="s">
        <v>1177</v>
      </c>
      <c r="AR138" s="29">
        <v>0</v>
      </c>
      <c r="AS138" s="7" t="s">
        <v>1177</v>
      </c>
      <c r="AT138" s="7" t="s">
        <v>1363</v>
      </c>
      <c r="AU138" s="38">
        <v>46275</v>
      </c>
      <c r="AV138" s="39">
        <v>0.60568287037037005</v>
      </c>
    </row>
    <row r="139" spans="1:48" x14ac:dyDescent="0.35">
      <c r="A139" t="str">
        <f t="shared" si="2"/>
        <v>181922B825</v>
      </c>
      <c r="B139" s="7" t="s">
        <v>2095</v>
      </c>
      <c r="C139" s="7" t="s">
        <v>511</v>
      </c>
      <c r="D139" s="7" t="s">
        <v>16</v>
      </c>
      <c r="E139" s="7" t="s">
        <v>1177</v>
      </c>
      <c r="F139" s="7" t="s">
        <v>134</v>
      </c>
      <c r="G139" s="7" t="s">
        <v>130</v>
      </c>
      <c r="H139" s="7" t="s">
        <v>129</v>
      </c>
      <c r="I139" s="30">
        <v>1</v>
      </c>
      <c r="J139" s="7" t="s">
        <v>1177</v>
      </c>
      <c r="K139" s="7" t="s">
        <v>1178</v>
      </c>
      <c r="L139" s="7" t="s">
        <v>132</v>
      </c>
      <c r="M139" s="7" t="s">
        <v>133</v>
      </c>
      <c r="N139" s="30">
        <v>0</v>
      </c>
      <c r="O139" s="30">
        <v>0</v>
      </c>
      <c r="P139" s="30">
        <v>0</v>
      </c>
      <c r="Q139" s="30">
        <v>0</v>
      </c>
      <c r="R139" s="29">
        <v>0</v>
      </c>
      <c r="S139" s="36">
        <v>0</v>
      </c>
      <c r="T139" s="7" t="s">
        <v>131</v>
      </c>
      <c r="U139" s="7" t="s">
        <v>512</v>
      </c>
      <c r="V139" s="7" t="s">
        <v>512</v>
      </c>
      <c r="W139" s="7" t="s">
        <v>1177</v>
      </c>
      <c r="X139" s="30">
        <v>1</v>
      </c>
      <c r="Y139" s="7" t="s">
        <v>1177</v>
      </c>
      <c r="Z139" s="7" t="s">
        <v>1178</v>
      </c>
      <c r="AA139" s="30">
        <v>0</v>
      </c>
      <c r="AB139" s="36">
        <v>0</v>
      </c>
      <c r="AC139" s="7" t="s">
        <v>1177</v>
      </c>
      <c r="AD139" s="37">
        <v>0</v>
      </c>
      <c r="AE139" s="7" t="s">
        <v>1177</v>
      </c>
      <c r="AF139" s="7" t="s">
        <v>1177</v>
      </c>
      <c r="AG139" s="7" t="s">
        <v>1177</v>
      </c>
      <c r="AH139" s="38"/>
      <c r="AI139" s="36">
        <v>0</v>
      </c>
      <c r="AJ139" s="7" t="s">
        <v>1193</v>
      </c>
      <c r="AK139" s="7" t="s">
        <v>1177</v>
      </c>
      <c r="AL139" s="7" t="s">
        <v>1177</v>
      </c>
      <c r="AM139" s="7" t="s">
        <v>1177</v>
      </c>
      <c r="AN139" s="7" t="s">
        <v>3212</v>
      </c>
      <c r="AO139" s="7" t="s">
        <v>1177</v>
      </c>
      <c r="AP139" s="7" t="s">
        <v>1177</v>
      </c>
      <c r="AQ139" s="7" t="s">
        <v>1177</v>
      </c>
      <c r="AR139" s="29">
        <v>0</v>
      </c>
      <c r="AS139" s="7" t="s">
        <v>1177</v>
      </c>
      <c r="AT139" s="7" t="s">
        <v>1363</v>
      </c>
      <c r="AU139" s="38">
        <v>46275</v>
      </c>
      <c r="AV139" s="39">
        <v>0.60351851851852001</v>
      </c>
    </row>
    <row r="140" spans="1:48" x14ac:dyDescent="0.35">
      <c r="A140" t="str">
        <f t="shared" si="2"/>
        <v>181922B832</v>
      </c>
      <c r="B140" s="7" t="s">
        <v>2095</v>
      </c>
      <c r="C140" s="7" t="s">
        <v>653</v>
      </c>
      <c r="D140" s="7" t="s">
        <v>19</v>
      </c>
      <c r="E140" s="7" t="s">
        <v>1177</v>
      </c>
      <c r="F140" s="7" t="s">
        <v>134</v>
      </c>
      <c r="G140" s="7" t="s">
        <v>130</v>
      </c>
      <c r="H140" s="7" t="s">
        <v>129</v>
      </c>
      <c r="I140" s="30">
        <v>1</v>
      </c>
      <c r="J140" s="7" t="s">
        <v>1177</v>
      </c>
      <c r="K140" s="7" t="s">
        <v>1178</v>
      </c>
      <c r="L140" s="7" t="s">
        <v>132</v>
      </c>
      <c r="M140" s="7" t="s">
        <v>133</v>
      </c>
      <c r="N140" s="30">
        <v>0</v>
      </c>
      <c r="O140" s="30">
        <v>0</v>
      </c>
      <c r="P140" s="30">
        <v>0</v>
      </c>
      <c r="Q140" s="30">
        <v>0</v>
      </c>
      <c r="R140" s="29">
        <v>0</v>
      </c>
      <c r="S140" s="36">
        <v>0</v>
      </c>
      <c r="T140" s="7" t="s">
        <v>131</v>
      </c>
      <c r="U140" s="7" t="s">
        <v>654</v>
      </c>
      <c r="V140" s="7" t="s">
        <v>654</v>
      </c>
      <c r="W140" s="7" t="s">
        <v>1177</v>
      </c>
      <c r="X140" s="30">
        <v>1</v>
      </c>
      <c r="Y140" s="7" t="s">
        <v>1177</v>
      </c>
      <c r="Z140" s="7" t="s">
        <v>1178</v>
      </c>
      <c r="AA140" s="30">
        <v>0</v>
      </c>
      <c r="AB140" s="36">
        <v>0</v>
      </c>
      <c r="AC140" s="7" t="s">
        <v>1177</v>
      </c>
      <c r="AD140" s="37">
        <v>0</v>
      </c>
      <c r="AE140" s="7" t="s">
        <v>1177</v>
      </c>
      <c r="AF140" s="7" t="s">
        <v>1177</v>
      </c>
      <c r="AG140" s="7" t="s">
        <v>1177</v>
      </c>
      <c r="AH140" s="38"/>
      <c r="AI140" s="36">
        <v>0</v>
      </c>
      <c r="AJ140" s="7" t="s">
        <v>1193</v>
      </c>
      <c r="AK140" s="7" t="s">
        <v>1177</v>
      </c>
      <c r="AL140" s="7" t="s">
        <v>1177</v>
      </c>
      <c r="AM140" s="7" t="s">
        <v>1177</v>
      </c>
      <c r="AN140" s="7" t="s">
        <v>3212</v>
      </c>
      <c r="AO140" s="7" t="s">
        <v>1177</v>
      </c>
      <c r="AP140" s="7" t="s">
        <v>1177</v>
      </c>
      <c r="AQ140" s="7" t="s">
        <v>1177</v>
      </c>
      <c r="AR140" s="29">
        <v>0</v>
      </c>
      <c r="AS140" s="7" t="s">
        <v>1177</v>
      </c>
      <c r="AT140" s="7" t="s">
        <v>1363</v>
      </c>
      <c r="AU140" s="38">
        <v>46275</v>
      </c>
      <c r="AV140" s="39">
        <v>0.60385416666667002</v>
      </c>
    </row>
    <row r="141" spans="1:48" x14ac:dyDescent="0.35">
      <c r="A141" t="str">
        <f t="shared" si="2"/>
        <v>181922B833</v>
      </c>
      <c r="B141" s="7" t="s">
        <v>2095</v>
      </c>
      <c r="C141" s="7" t="s">
        <v>698</v>
      </c>
      <c r="D141" s="7" t="s">
        <v>697</v>
      </c>
      <c r="E141" s="7" t="s">
        <v>1177</v>
      </c>
      <c r="F141" s="7" t="s">
        <v>134</v>
      </c>
      <c r="G141" s="7" t="s">
        <v>130</v>
      </c>
      <c r="H141" s="7" t="s">
        <v>129</v>
      </c>
      <c r="I141" s="30">
        <v>1</v>
      </c>
      <c r="J141" s="7" t="s">
        <v>1177</v>
      </c>
      <c r="K141" s="7" t="s">
        <v>1178</v>
      </c>
      <c r="L141" s="7" t="s">
        <v>132</v>
      </c>
      <c r="M141" s="7" t="s">
        <v>133</v>
      </c>
      <c r="N141" s="30">
        <v>0</v>
      </c>
      <c r="O141" s="30">
        <v>0</v>
      </c>
      <c r="P141" s="30">
        <v>0</v>
      </c>
      <c r="Q141" s="30">
        <v>0</v>
      </c>
      <c r="R141" s="29">
        <v>0</v>
      </c>
      <c r="S141" s="36">
        <v>0</v>
      </c>
      <c r="T141" s="7" t="s">
        <v>131</v>
      </c>
      <c r="U141" s="7" t="s">
        <v>699</v>
      </c>
      <c r="V141" s="7" t="s">
        <v>699</v>
      </c>
      <c r="W141" s="7" t="s">
        <v>1177</v>
      </c>
      <c r="X141" s="30">
        <v>1</v>
      </c>
      <c r="Y141" s="7" t="s">
        <v>1177</v>
      </c>
      <c r="Z141" s="7" t="s">
        <v>1178</v>
      </c>
      <c r="AA141" s="30">
        <v>0</v>
      </c>
      <c r="AB141" s="36">
        <v>0</v>
      </c>
      <c r="AC141" s="7" t="s">
        <v>1177</v>
      </c>
      <c r="AD141" s="37">
        <v>0</v>
      </c>
      <c r="AE141" s="7" t="s">
        <v>1177</v>
      </c>
      <c r="AF141" s="7" t="s">
        <v>1177</v>
      </c>
      <c r="AG141" s="7" t="s">
        <v>1177</v>
      </c>
      <c r="AH141" s="38"/>
      <c r="AI141" s="36">
        <v>0</v>
      </c>
      <c r="AJ141" s="7" t="s">
        <v>1193</v>
      </c>
      <c r="AK141" s="7" t="s">
        <v>1177</v>
      </c>
      <c r="AL141" s="7" t="s">
        <v>1177</v>
      </c>
      <c r="AM141" s="7" t="s">
        <v>1177</v>
      </c>
      <c r="AN141" s="7" t="s">
        <v>3212</v>
      </c>
      <c r="AO141" s="7" t="s">
        <v>1177</v>
      </c>
      <c r="AP141" s="7" t="s">
        <v>1177</v>
      </c>
      <c r="AQ141" s="7" t="s">
        <v>1177</v>
      </c>
      <c r="AR141" s="29">
        <v>0</v>
      </c>
      <c r="AS141" s="7" t="s">
        <v>1177</v>
      </c>
      <c r="AT141" s="7" t="s">
        <v>1363</v>
      </c>
      <c r="AU141" s="38">
        <v>46275</v>
      </c>
      <c r="AV141" s="39">
        <v>0.60396990740740997</v>
      </c>
    </row>
    <row r="142" spans="1:48" x14ac:dyDescent="0.35">
      <c r="A142" t="str">
        <f t="shared" si="2"/>
        <v>181922B857</v>
      </c>
      <c r="B142" s="7" t="s">
        <v>2095</v>
      </c>
      <c r="C142" s="7" t="s">
        <v>958</v>
      </c>
      <c r="D142" s="7" t="s">
        <v>23</v>
      </c>
      <c r="E142" s="7" t="s">
        <v>1177</v>
      </c>
      <c r="F142" s="7" t="s">
        <v>134</v>
      </c>
      <c r="G142" s="7" t="s">
        <v>130</v>
      </c>
      <c r="H142" s="7" t="s">
        <v>129</v>
      </c>
      <c r="I142" s="30">
        <v>1</v>
      </c>
      <c r="J142" s="7" t="s">
        <v>1177</v>
      </c>
      <c r="K142" s="7" t="s">
        <v>1178</v>
      </c>
      <c r="L142" s="7" t="s">
        <v>132</v>
      </c>
      <c r="M142" s="7" t="s">
        <v>133</v>
      </c>
      <c r="N142" s="30">
        <v>0</v>
      </c>
      <c r="O142" s="30">
        <v>0</v>
      </c>
      <c r="P142" s="30">
        <v>0</v>
      </c>
      <c r="Q142" s="30">
        <v>0</v>
      </c>
      <c r="R142" s="29">
        <v>0</v>
      </c>
      <c r="S142" s="36">
        <v>0</v>
      </c>
      <c r="T142" s="7" t="s">
        <v>131</v>
      </c>
      <c r="U142" s="7" t="s">
        <v>959</v>
      </c>
      <c r="V142" s="7" t="s">
        <v>959</v>
      </c>
      <c r="W142" s="7" t="s">
        <v>1177</v>
      </c>
      <c r="X142" s="30">
        <v>1</v>
      </c>
      <c r="Y142" s="7" t="s">
        <v>1177</v>
      </c>
      <c r="Z142" s="7" t="s">
        <v>1178</v>
      </c>
      <c r="AA142" s="30">
        <v>0</v>
      </c>
      <c r="AB142" s="36">
        <v>0</v>
      </c>
      <c r="AC142" s="7" t="s">
        <v>1177</v>
      </c>
      <c r="AD142" s="37">
        <v>0</v>
      </c>
      <c r="AE142" s="7" t="s">
        <v>1177</v>
      </c>
      <c r="AF142" s="7" t="s">
        <v>1177</v>
      </c>
      <c r="AG142" s="7" t="s">
        <v>1177</v>
      </c>
      <c r="AH142" s="38"/>
      <c r="AI142" s="36">
        <v>0</v>
      </c>
      <c r="AJ142" s="7" t="s">
        <v>1193</v>
      </c>
      <c r="AK142" s="7" t="s">
        <v>1177</v>
      </c>
      <c r="AL142" s="7" t="s">
        <v>1177</v>
      </c>
      <c r="AM142" s="7" t="s">
        <v>1177</v>
      </c>
      <c r="AN142" s="7" t="s">
        <v>3212</v>
      </c>
      <c r="AO142" s="7" t="s">
        <v>1177</v>
      </c>
      <c r="AP142" s="7" t="s">
        <v>1177</v>
      </c>
      <c r="AQ142" s="7" t="s">
        <v>1177</v>
      </c>
      <c r="AR142" s="29">
        <v>0</v>
      </c>
      <c r="AS142" s="7" t="s">
        <v>1177</v>
      </c>
      <c r="AT142" s="7" t="s">
        <v>1363</v>
      </c>
      <c r="AU142" s="38">
        <v>46275</v>
      </c>
      <c r="AV142" s="39">
        <v>0.60525462962962995</v>
      </c>
    </row>
    <row r="143" spans="1:48" x14ac:dyDescent="0.35">
      <c r="A143" t="str">
        <f t="shared" si="2"/>
        <v>181922B867</v>
      </c>
      <c r="B143" s="7" t="s">
        <v>2095</v>
      </c>
      <c r="C143" s="7" t="s">
        <v>1059</v>
      </c>
      <c r="D143" s="7" t="s">
        <v>25</v>
      </c>
      <c r="E143" s="7" t="s">
        <v>1177</v>
      </c>
      <c r="F143" s="7" t="s">
        <v>134</v>
      </c>
      <c r="G143" s="7" t="s">
        <v>130</v>
      </c>
      <c r="H143" s="7" t="s">
        <v>129</v>
      </c>
      <c r="I143" s="30">
        <v>1</v>
      </c>
      <c r="J143" s="7" t="s">
        <v>1177</v>
      </c>
      <c r="K143" s="7" t="s">
        <v>1178</v>
      </c>
      <c r="L143" s="7" t="s">
        <v>132</v>
      </c>
      <c r="M143" s="7" t="s">
        <v>133</v>
      </c>
      <c r="N143" s="30">
        <v>0</v>
      </c>
      <c r="O143" s="30">
        <v>0</v>
      </c>
      <c r="P143" s="30">
        <v>0</v>
      </c>
      <c r="Q143" s="30">
        <v>0</v>
      </c>
      <c r="R143" s="29">
        <v>0</v>
      </c>
      <c r="S143" s="36">
        <v>0</v>
      </c>
      <c r="T143" s="7" t="s">
        <v>131</v>
      </c>
      <c r="U143" s="7" t="s">
        <v>1060</v>
      </c>
      <c r="V143" s="7" t="s">
        <v>1060</v>
      </c>
      <c r="W143" s="7" t="s">
        <v>1177</v>
      </c>
      <c r="X143" s="30">
        <v>1</v>
      </c>
      <c r="Y143" s="7" t="s">
        <v>1177</v>
      </c>
      <c r="Z143" s="7" t="s">
        <v>1178</v>
      </c>
      <c r="AA143" s="30">
        <v>0</v>
      </c>
      <c r="AB143" s="36">
        <v>0</v>
      </c>
      <c r="AC143" s="7" t="s">
        <v>1177</v>
      </c>
      <c r="AD143" s="37">
        <v>0</v>
      </c>
      <c r="AE143" s="7" t="s">
        <v>1177</v>
      </c>
      <c r="AF143" s="7" t="s">
        <v>1177</v>
      </c>
      <c r="AG143" s="7" t="s">
        <v>1177</v>
      </c>
      <c r="AH143" s="38"/>
      <c r="AI143" s="36">
        <v>0</v>
      </c>
      <c r="AJ143" s="7" t="s">
        <v>1193</v>
      </c>
      <c r="AK143" s="7" t="s">
        <v>1177</v>
      </c>
      <c r="AL143" s="7" t="s">
        <v>1177</v>
      </c>
      <c r="AM143" s="7" t="s">
        <v>1177</v>
      </c>
      <c r="AN143" s="7" t="s">
        <v>3212</v>
      </c>
      <c r="AO143" s="7" t="s">
        <v>1177</v>
      </c>
      <c r="AP143" s="7" t="s">
        <v>1177</v>
      </c>
      <c r="AQ143" s="7" t="s">
        <v>1177</v>
      </c>
      <c r="AR143" s="29">
        <v>0</v>
      </c>
      <c r="AS143" s="7" t="s">
        <v>1177</v>
      </c>
      <c r="AT143" s="7" t="s">
        <v>1363</v>
      </c>
      <c r="AU143" s="38">
        <v>46275</v>
      </c>
      <c r="AV143" s="39">
        <v>0.60568287037037005</v>
      </c>
    </row>
    <row r="144" spans="1:48" x14ac:dyDescent="0.35">
      <c r="A144" t="str">
        <f t="shared" si="2"/>
        <v>193895B825</v>
      </c>
      <c r="B144" s="7" t="s">
        <v>3255</v>
      </c>
      <c r="C144" s="7" t="s">
        <v>511</v>
      </c>
      <c r="D144" s="7" t="s">
        <v>16</v>
      </c>
      <c r="E144" s="7" t="s">
        <v>1177</v>
      </c>
      <c r="F144" s="7" t="s">
        <v>128</v>
      </c>
      <c r="G144" s="7" t="s">
        <v>130</v>
      </c>
      <c r="H144" s="7" t="s">
        <v>129</v>
      </c>
      <c r="I144" s="30">
        <v>1</v>
      </c>
      <c r="J144" s="7" t="s">
        <v>1177</v>
      </c>
      <c r="K144" s="7" t="s">
        <v>1178</v>
      </c>
      <c r="L144" s="7" t="s">
        <v>132</v>
      </c>
      <c r="M144" s="7" t="s">
        <v>133</v>
      </c>
      <c r="N144" s="30">
        <v>0</v>
      </c>
      <c r="O144" s="30">
        <v>0</v>
      </c>
      <c r="P144" s="30">
        <v>0</v>
      </c>
      <c r="Q144" s="30">
        <v>0</v>
      </c>
      <c r="R144" s="29">
        <v>0</v>
      </c>
      <c r="S144" s="36">
        <v>0</v>
      </c>
      <c r="T144" s="7" t="s">
        <v>131</v>
      </c>
      <c r="U144" s="7" t="s">
        <v>512</v>
      </c>
      <c r="V144" s="7" t="s">
        <v>512</v>
      </c>
      <c r="W144" s="7" t="s">
        <v>1177</v>
      </c>
      <c r="X144" s="30">
        <v>1</v>
      </c>
      <c r="Y144" s="7" t="s">
        <v>1177</v>
      </c>
      <c r="Z144" s="7" t="s">
        <v>1178</v>
      </c>
      <c r="AA144" s="30">
        <v>0</v>
      </c>
      <c r="AB144" s="36">
        <v>0</v>
      </c>
      <c r="AC144" s="7" t="s">
        <v>1177</v>
      </c>
      <c r="AD144" s="37">
        <v>0</v>
      </c>
      <c r="AE144" s="7" t="s">
        <v>1177</v>
      </c>
      <c r="AF144" s="7" t="s">
        <v>1177</v>
      </c>
      <c r="AG144" s="7" t="s">
        <v>1177</v>
      </c>
      <c r="AH144" s="38"/>
      <c r="AI144" s="36">
        <v>0</v>
      </c>
      <c r="AJ144" s="7" t="s">
        <v>1193</v>
      </c>
      <c r="AK144" s="7" t="s">
        <v>1177</v>
      </c>
      <c r="AL144" s="7" t="s">
        <v>1177</v>
      </c>
      <c r="AM144" s="7" t="s">
        <v>1177</v>
      </c>
      <c r="AN144" s="7" t="s">
        <v>3212</v>
      </c>
      <c r="AO144" s="7" t="s">
        <v>1177</v>
      </c>
      <c r="AP144" s="7" t="s">
        <v>1177</v>
      </c>
      <c r="AQ144" s="7" t="s">
        <v>1177</v>
      </c>
      <c r="AR144" s="29">
        <v>0</v>
      </c>
      <c r="AS144" s="7" t="s">
        <v>1177</v>
      </c>
      <c r="AT144" s="7" t="s">
        <v>1363</v>
      </c>
      <c r="AU144" s="38">
        <v>46275</v>
      </c>
      <c r="AV144" s="39">
        <v>0.60354166666666997</v>
      </c>
    </row>
    <row r="145" spans="1:48" x14ac:dyDescent="0.35">
      <c r="A145" t="str">
        <f t="shared" si="2"/>
        <v>195051B856</v>
      </c>
      <c r="B145" s="7" t="s">
        <v>3081</v>
      </c>
      <c r="C145" s="7" t="s">
        <v>852</v>
      </c>
      <c r="D145" s="7" t="s">
        <v>21</v>
      </c>
      <c r="E145" s="7" t="s">
        <v>1177</v>
      </c>
      <c r="F145" s="7" t="s">
        <v>128</v>
      </c>
      <c r="G145" s="7" t="s">
        <v>130</v>
      </c>
      <c r="H145" s="7" t="s">
        <v>129</v>
      </c>
      <c r="I145" s="30">
        <v>2</v>
      </c>
      <c r="J145" s="7" t="s">
        <v>1177</v>
      </c>
      <c r="K145" s="7" t="s">
        <v>1178</v>
      </c>
      <c r="L145" s="7" t="s">
        <v>132</v>
      </c>
      <c r="M145" s="7" t="s">
        <v>133</v>
      </c>
      <c r="N145" s="30">
        <v>0</v>
      </c>
      <c r="O145" s="30">
        <v>0</v>
      </c>
      <c r="P145" s="30">
        <v>0</v>
      </c>
      <c r="Q145" s="30">
        <v>0</v>
      </c>
      <c r="R145" s="29">
        <v>0</v>
      </c>
      <c r="S145" s="36">
        <v>0</v>
      </c>
      <c r="T145" s="7" t="s">
        <v>131</v>
      </c>
      <c r="U145" s="7" t="s">
        <v>853</v>
      </c>
      <c r="V145" s="7" t="s">
        <v>853</v>
      </c>
      <c r="W145" s="7" t="s">
        <v>1177</v>
      </c>
      <c r="X145" s="30">
        <v>1</v>
      </c>
      <c r="Y145" s="7" t="s">
        <v>1177</v>
      </c>
      <c r="Z145" s="7" t="s">
        <v>1178</v>
      </c>
      <c r="AA145" s="30">
        <v>0</v>
      </c>
      <c r="AB145" s="36">
        <v>0</v>
      </c>
      <c r="AC145" s="7" t="s">
        <v>1177</v>
      </c>
      <c r="AD145" s="37">
        <v>0</v>
      </c>
      <c r="AE145" s="7" t="s">
        <v>1177</v>
      </c>
      <c r="AF145" s="7" t="s">
        <v>1177</v>
      </c>
      <c r="AG145" s="7" t="s">
        <v>1177</v>
      </c>
      <c r="AH145" s="38"/>
      <c r="AI145" s="36">
        <v>0</v>
      </c>
      <c r="AJ145" s="7" t="s">
        <v>1193</v>
      </c>
      <c r="AK145" s="7" t="s">
        <v>1177</v>
      </c>
      <c r="AL145" s="7" t="s">
        <v>1177</v>
      </c>
      <c r="AM145" s="7" t="s">
        <v>1177</v>
      </c>
      <c r="AN145" s="7" t="s">
        <v>3212</v>
      </c>
      <c r="AO145" s="7" t="s">
        <v>1177</v>
      </c>
      <c r="AP145" s="7" t="s">
        <v>1177</v>
      </c>
      <c r="AQ145" s="7" t="s">
        <v>1177</v>
      </c>
      <c r="AR145" s="29">
        <v>0</v>
      </c>
      <c r="AS145" s="7" t="s">
        <v>1177</v>
      </c>
      <c r="AT145" s="7" t="s">
        <v>1363</v>
      </c>
      <c r="AU145" s="38">
        <v>46275</v>
      </c>
      <c r="AV145" s="39">
        <v>0.60523148148147998</v>
      </c>
    </row>
    <row r="146" spans="1:48" x14ac:dyDescent="0.35">
      <c r="A146" t="str">
        <f t="shared" si="2"/>
        <v>195051B857</v>
      </c>
      <c r="B146" s="7" t="s">
        <v>3081</v>
      </c>
      <c r="C146" s="7" t="s">
        <v>958</v>
      </c>
      <c r="D146" s="7" t="s">
        <v>23</v>
      </c>
      <c r="E146" s="7" t="s">
        <v>1177</v>
      </c>
      <c r="F146" s="7" t="s">
        <v>128</v>
      </c>
      <c r="G146" s="7" t="s">
        <v>130</v>
      </c>
      <c r="H146" s="7" t="s">
        <v>129</v>
      </c>
      <c r="I146" s="30">
        <v>1</v>
      </c>
      <c r="J146" s="7" t="s">
        <v>1177</v>
      </c>
      <c r="K146" s="7" t="s">
        <v>1178</v>
      </c>
      <c r="L146" s="7" t="s">
        <v>132</v>
      </c>
      <c r="M146" s="7" t="s">
        <v>133</v>
      </c>
      <c r="N146" s="30">
        <v>0</v>
      </c>
      <c r="O146" s="30">
        <v>0</v>
      </c>
      <c r="P146" s="30">
        <v>0</v>
      </c>
      <c r="Q146" s="30">
        <v>0</v>
      </c>
      <c r="R146" s="29">
        <v>0</v>
      </c>
      <c r="S146" s="36">
        <v>0</v>
      </c>
      <c r="T146" s="7" t="s">
        <v>131</v>
      </c>
      <c r="U146" s="7" t="s">
        <v>959</v>
      </c>
      <c r="V146" s="7" t="s">
        <v>959</v>
      </c>
      <c r="W146" s="7" t="s">
        <v>1177</v>
      </c>
      <c r="X146" s="30">
        <v>1</v>
      </c>
      <c r="Y146" s="7" t="s">
        <v>1177</v>
      </c>
      <c r="Z146" s="7" t="s">
        <v>1178</v>
      </c>
      <c r="AA146" s="30">
        <v>0</v>
      </c>
      <c r="AB146" s="36">
        <v>0</v>
      </c>
      <c r="AC146" s="7" t="s">
        <v>1177</v>
      </c>
      <c r="AD146" s="37">
        <v>0</v>
      </c>
      <c r="AE146" s="7" t="s">
        <v>1177</v>
      </c>
      <c r="AF146" s="7" t="s">
        <v>1177</v>
      </c>
      <c r="AG146" s="7" t="s">
        <v>1177</v>
      </c>
      <c r="AH146" s="38"/>
      <c r="AI146" s="36">
        <v>0</v>
      </c>
      <c r="AJ146" s="7" t="s">
        <v>1193</v>
      </c>
      <c r="AK146" s="7" t="s">
        <v>1177</v>
      </c>
      <c r="AL146" s="7" t="s">
        <v>1177</v>
      </c>
      <c r="AM146" s="7" t="s">
        <v>1177</v>
      </c>
      <c r="AN146" s="7" t="s">
        <v>3212</v>
      </c>
      <c r="AO146" s="7" t="s">
        <v>1177</v>
      </c>
      <c r="AP146" s="7" t="s">
        <v>1177</v>
      </c>
      <c r="AQ146" s="7" t="s">
        <v>1177</v>
      </c>
      <c r="AR146" s="29">
        <v>0</v>
      </c>
      <c r="AS146" s="7" t="s">
        <v>1177</v>
      </c>
      <c r="AT146" s="7" t="s">
        <v>1363</v>
      </c>
      <c r="AU146" s="38">
        <v>46275</v>
      </c>
      <c r="AV146" s="39">
        <v>0.60532407407406996</v>
      </c>
    </row>
    <row r="147" spans="1:48" x14ac:dyDescent="0.35">
      <c r="A147" t="str">
        <f t="shared" si="2"/>
        <v>195051B865</v>
      </c>
      <c r="B147" s="7" t="s">
        <v>3081</v>
      </c>
      <c r="C147" s="7" t="s">
        <v>1039</v>
      </c>
      <c r="D147" s="7" t="s">
        <v>7</v>
      </c>
      <c r="E147" s="7" t="s">
        <v>1177</v>
      </c>
      <c r="F147" s="7" t="s">
        <v>128</v>
      </c>
      <c r="G147" s="7" t="s">
        <v>130</v>
      </c>
      <c r="H147" s="7" t="s">
        <v>129</v>
      </c>
      <c r="I147" s="30">
        <v>2</v>
      </c>
      <c r="J147" s="7" t="s">
        <v>1177</v>
      </c>
      <c r="K147" s="7" t="s">
        <v>1178</v>
      </c>
      <c r="L147" s="7" t="s">
        <v>132</v>
      </c>
      <c r="M147" s="7" t="s">
        <v>133</v>
      </c>
      <c r="N147" s="30">
        <v>0</v>
      </c>
      <c r="O147" s="30">
        <v>0</v>
      </c>
      <c r="P147" s="30">
        <v>0</v>
      </c>
      <c r="Q147" s="30">
        <v>0</v>
      </c>
      <c r="R147" s="29">
        <v>0</v>
      </c>
      <c r="S147" s="36">
        <v>0</v>
      </c>
      <c r="T147" s="7" t="s">
        <v>131</v>
      </c>
      <c r="U147" s="7" t="s">
        <v>1040</v>
      </c>
      <c r="V147" s="7" t="s">
        <v>1040</v>
      </c>
      <c r="W147" s="7" t="s">
        <v>1177</v>
      </c>
      <c r="X147" s="30">
        <v>1</v>
      </c>
      <c r="Y147" s="7" t="s">
        <v>1177</v>
      </c>
      <c r="Z147" s="7" t="s">
        <v>1178</v>
      </c>
      <c r="AA147" s="30">
        <v>0</v>
      </c>
      <c r="AB147" s="36">
        <v>0</v>
      </c>
      <c r="AC147" s="7" t="s">
        <v>1177</v>
      </c>
      <c r="AD147" s="37">
        <v>0</v>
      </c>
      <c r="AE147" s="7" t="s">
        <v>1177</v>
      </c>
      <c r="AF147" s="7" t="s">
        <v>1177</v>
      </c>
      <c r="AG147" s="7" t="s">
        <v>1177</v>
      </c>
      <c r="AH147" s="38"/>
      <c r="AI147" s="36">
        <v>0</v>
      </c>
      <c r="AJ147" s="7" t="s">
        <v>1193</v>
      </c>
      <c r="AK147" s="7" t="s">
        <v>1177</v>
      </c>
      <c r="AL147" s="7" t="s">
        <v>1177</v>
      </c>
      <c r="AM147" s="7" t="s">
        <v>1177</v>
      </c>
      <c r="AN147" s="7" t="s">
        <v>3212</v>
      </c>
      <c r="AO147" s="7" t="s">
        <v>1177</v>
      </c>
      <c r="AP147" s="7" t="s">
        <v>1177</v>
      </c>
      <c r="AQ147" s="7" t="s">
        <v>1177</v>
      </c>
      <c r="AR147" s="29">
        <v>0</v>
      </c>
      <c r="AS147" s="7" t="s">
        <v>1177</v>
      </c>
      <c r="AT147" s="7" t="s">
        <v>1363</v>
      </c>
      <c r="AU147" s="38">
        <v>46275</v>
      </c>
      <c r="AV147" s="39">
        <v>0.60550925925926002</v>
      </c>
    </row>
    <row r="148" spans="1:48" x14ac:dyDescent="0.35">
      <c r="A148" t="str">
        <f t="shared" si="2"/>
        <v>198001B832</v>
      </c>
      <c r="B148" s="7" t="s">
        <v>2836</v>
      </c>
      <c r="C148" s="7" t="s">
        <v>653</v>
      </c>
      <c r="D148" s="7" t="s">
        <v>19</v>
      </c>
      <c r="E148" s="7" t="s">
        <v>1177</v>
      </c>
      <c r="F148" s="7" t="s">
        <v>134</v>
      </c>
      <c r="G148" s="7" t="s">
        <v>130</v>
      </c>
      <c r="H148" s="7" t="s">
        <v>129</v>
      </c>
      <c r="I148" s="30">
        <v>2</v>
      </c>
      <c r="J148" s="7" t="s">
        <v>1177</v>
      </c>
      <c r="K148" s="7" t="s">
        <v>1178</v>
      </c>
      <c r="L148" s="7" t="s">
        <v>132</v>
      </c>
      <c r="M148" s="7" t="s">
        <v>133</v>
      </c>
      <c r="N148" s="30">
        <v>0</v>
      </c>
      <c r="O148" s="30">
        <v>0</v>
      </c>
      <c r="P148" s="30">
        <v>0</v>
      </c>
      <c r="Q148" s="30">
        <v>0</v>
      </c>
      <c r="R148" s="29">
        <v>0</v>
      </c>
      <c r="S148" s="36">
        <v>0</v>
      </c>
      <c r="T148" s="7" t="s">
        <v>131</v>
      </c>
      <c r="U148" s="7" t="s">
        <v>654</v>
      </c>
      <c r="V148" s="7" t="s">
        <v>654</v>
      </c>
      <c r="W148" s="7" t="s">
        <v>1177</v>
      </c>
      <c r="X148" s="30">
        <v>2</v>
      </c>
      <c r="Y148" s="7" t="s">
        <v>1177</v>
      </c>
      <c r="Z148" s="7" t="s">
        <v>1178</v>
      </c>
      <c r="AA148" s="30">
        <v>0</v>
      </c>
      <c r="AB148" s="36">
        <v>0</v>
      </c>
      <c r="AC148" s="7" t="s">
        <v>1177</v>
      </c>
      <c r="AD148" s="37">
        <v>0</v>
      </c>
      <c r="AE148" s="7" t="s">
        <v>1177</v>
      </c>
      <c r="AF148" s="7" t="s">
        <v>1177</v>
      </c>
      <c r="AG148" s="7" t="s">
        <v>1177</v>
      </c>
      <c r="AH148" s="38"/>
      <c r="AI148" s="36">
        <v>0</v>
      </c>
      <c r="AJ148" s="7" t="s">
        <v>1193</v>
      </c>
      <c r="AK148" s="7" t="s">
        <v>1177</v>
      </c>
      <c r="AL148" s="7" t="s">
        <v>1177</v>
      </c>
      <c r="AM148" s="7" t="s">
        <v>1177</v>
      </c>
      <c r="AN148" s="7" t="s">
        <v>3212</v>
      </c>
      <c r="AO148" s="7" t="s">
        <v>1177</v>
      </c>
      <c r="AP148" s="7" t="s">
        <v>1177</v>
      </c>
      <c r="AQ148" s="7" t="s">
        <v>1177</v>
      </c>
      <c r="AR148" s="29">
        <v>0</v>
      </c>
      <c r="AS148" s="7" t="s">
        <v>1177</v>
      </c>
      <c r="AT148" s="7" t="s">
        <v>1363</v>
      </c>
      <c r="AU148" s="38">
        <v>46275</v>
      </c>
      <c r="AV148" s="39">
        <v>0.60384259259258999</v>
      </c>
    </row>
    <row r="149" spans="1:48" x14ac:dyDescent="0.35">
      <c r="A149" t="str">
        <f t="shared" si="2"/>
        <v>198001B833</v>
      </c>
      <c r="B149" s="7" t="s">
        <v>2836</v>
      </c>
      <c r="C149" s="7" t="s">
        <v>698</v>
      </c>
      <c r="D149" s="7" t="s">
        <v>697</v>
      </c>
      <c r="E149" s="7" t="s">
        <v>1177</v>
      </c>
      <c r="F149" s="7" t="s">
        <v>134</v>
      </c>
      <c r="G149" s="7" t="s">
        <v>130</v>
      </c>
      <c r="H149" s="7" t="s">
        <v>129</v>
      </c>
      <c r="I149" s="30">
        <v>2</v>
      </c>
      <c r="J149" s="7" t="s">
        <v>1177</v>
      </c>
      <c r="K149" s="7" t="s">
        <v>1178</v>
      </c>
      <c r="L149" s="7" t="s">
        <v>132</v>
      </c>
      <c r="M149" s="7" t="s">
        <v>133</v>
      </c>
      <c r="N149" s="30">
        <v>0</v>
      </c>
      <c r="O149" s="30">
        <v>0</v>
      </c>
      <c r="P149" s="30">
        <v>0</v>
      </c>
      <c r="Q149" s="30">
        <v>0</v>
      </c>
      <c r="R149" s="29">
        <v>0</v>
      </c>
      <c r="S149" s="36">
        <v>0</v>
      </c>
      <c r="T149" s="7" t="s">
        <v>131</v>
      </c>
      <c r="U149" s="7" t="s">
        <v>699</v>
      </c>
      <c r="V149" s="7" t="s">
        <v>699</v>
      </c>
      <c r="W149" s="7" t="s">
        <v>1177</v>
      </c>
      <c r="X149" s="30">
        <v>2</v>
      </c>
      <c r="Y149" s="7" t="s">
        <v>1177</v>
      </c>
      <c r="Z149" s="7" t="s">
        <v>1178</v>
      </c>
      <c r="AA149" s="30">
        <v>0</v>
      </c>
      <c r="AB149" s="36">
        <v>0</v>
      </c>
      <c r="AC149" s="7" t="s">
        <v>1177</v>
      </c>
      <c r="AD149" s="37">
        <v>0</v>
      </c>
      <c r="AE149" s="7" t="s">
        <v>1177</v>
      </c>
      <c r="AF149" s="7" t="s">
        <v>1177</v>
      </c>
      <c r="AG149" s="7" t="s">
        <v>1177</v>
      </c>
      <c r="AH149" s="38"/>
      <c r="AI149" s="36">
        <v>0</v>
      </c>
      <c r="AJ149" s="7" t="s">
        <v>1193</v>
      </c>
      <c r="AK149" s="7" t="s">
        <v>1177</v>
      </c>
      <c r="AL149" s="7" t="s">
        <v>1177</v>
      </c>
      <c r="AM149" s="7" t="s">
        <v>1177</v>
      </c>
      <c r="AN149" s="7" t="s">
        <v>3212</v>
      </c>
      <c r="AO149" s="7" t="s">
        <v>1177</v>
      </c>
      <c r="AP149" s="7" t="s">
        <v>1177</v>
      </c>
      <c r="AQ149" s="7" t="s">
        <v>1177</v>
      </c>
      <c r="AR149" s="29">
        <v>0</v>
      </c>
      <c r="AS149" s="7" t="s">
        <v>1177</v>
      </c>
      <c r="AT149" s="7" t="s">
        <v>1363</v>
      </c>
      <c r="AU149" s="38">
        <v>46275</v>
      </c>
      <c r="AV149" s="39">
        <v>0.60395833333333004</v>
      </c>
    </row>
    <row r="150" spans="1:48" x14ac:dyDescent="0.35">
      <c r="A150" t="str">
        <f t="shared" si="2"/>
        <v>198001B838</v>
      </c>
      <c r="B150" s="7" t="s">
        <v>2836</v>
      </c>
      <c r="C150" s="7" t="s">
        <v>744</v>
      </c>
      <c r="D150" s="7" t="s">
        <v>48</v>
      </c>
      <c r="E150" s="7" t="s">
        <v>1177</v>
      </c>
      <c r="F150" s="7" t="s">
        <v>134</v>
      </c>
      <c r="G150" s="7" t="s">
        <v>130</v>
      </c>
      <c r="H150" s="7" t="s">
        <v>129</v>
      </c>
      <c r="I150" s="30">
        <v>8</v>
      </c>
      <c r="J150" s="7" t="s">
        <v>1177</v>
      </c>
      <c r="K150" s="7" t="s">
        <v>1178</v>
      </c>
      <c r="L150" s="7" t="s">
        <v>132</v>
      </c>
      <c r="M150" s="7" t="s">
        <v>133</v>
      </c>
      <c r="N150" s="30">
        <v>0</v>
      </c>
      <c r="O150" s="30">
        <v>0</v>
      </c>
      <c r="P150" s="30">
        <v>0</v>
      </c>
      <c r="Q150" s="30">
        <v>0</v>
      </c>
      <c r="R150" s="29">
        <v>0</v>
      </c>
      <c r="S150" s="36">
        <v>0</v>
      </c>
      <c r="T150" s="7" t="s">
        <v>131</v>
      </c>
      <c r="U150" s="7" t="s">
        <v>745</v>
      </c>
      <c r="V150" s="7" t="s">
        <v>745</v>
      </c>
      <c r="W150" s="7" t="s">
        <v>1177</v>
      </c>
      <c r="X150" s="30">
        <v>8</v>
      </c>
      <c r="Y150" s="7" t="s">
        <v>1177</v>
      </c>
      <c r="Z150" s="7" t="s">
        <v>1178</v>
      </c>
      <c r="AA150" s="30">
        <v>0</v>
      </c>
      <c r="AB150" s="36">
        <v>0</v>
      </c>
      <c r="AC150" s="7" t="s">
        <v>1177</v>
      </c>
      <c r="AD150" s="37">
        <v>0</v>
      </c>
      <c r="AE150" s="7" t="s">
        <v>1177</v>
      </c>
      <c r="AF150" s="7" t="s">
        <v>1177</v>
      </c>
      <c r="AG150" s="7" t="s">
        <v>1177</v>
      </c>
      <c r="AH150" s="38"/>
      <c r="AI150" s="36">
        <v>0</v>
      </c>
      <c r="AJ150" s="7" t="s">
        <v>1193</v>
      </c>
      <c r="AK150" s="7" t="s">
        <v>1177</v>
      </c>
      <c r="AL150" s="7" t="s">
        <v>1177</v>
      </c>
      <c r="AM150" s="7" t="s">
        <v>1177</v>
      </c>
      <c r="AN150" s="7" t="s">
        <v>3212</v>
      </c>
      <c r="AO150" s="7" t="s">
        <v>1177</v>
      </c>
      <c r="AP150" s="7" t="s">
        <v>1177</v>
      </c>
      <c r="AQ150" s="7" t="s">
        <v>1177</v>
      </c>
      <c r="AR150" s="29">
        <v>0</v>
      </c>
      <c r="AS150" s="7" t="s">
        <v>1177</v>
      </c>
      <c r="AT150" s="7" t="s">
        <v>1363</v>
      </c>
      <c r="AU150" s="38">
        <v>46275</v>
      </c>
      <c r="AV150" s="39">
        <v>0.60446759259258998</v>
      </c>
    </row>
    <row r="151" spans="1:48" x14ac:dyDescent="0.35">
      <c r="A151" t="str">
        <f t="shared" si="2"/>
        <v>198001B856</v>
      </c>
      <c r="B151" s="7" t="s">
        <v>2836</v>
      </c>
      <c r="C151" s="7" t="s">
        <v>852</v>
      </c>
      <c r="D151" s="7" t="s">
        <v>21</v>
      </c>
      <c r="E151" s="7" t="s">
        <v>1177</v>
      </c>
      <c r="F151" s="7" t="s">
        <v>134</v>
      </c>
      <c r="G151" s="7" t="s">
        <v>130</v>
      </c>
      <c r="H151" s="7" t="s">
        <v>129</v>
      </c>
      <c r="I151" s="30">
        <v>7</v>
      </c>
      <c r="J151" s="7" t="s">
        <v>1177</v>
      </c>
      <c r="K151" s="7" t="s">
        <v>1178</v>
      </c>
      <c r="L151" s="7" t="s">
        <v>132</v>
      </c>
      <c r="M151" s="7" t="s">
        <v>133</v>
      </c>
      <c r="N151" s="30">
        <v>0</v>
      </c>
      <c r="O151" s="30">
        <v>0</v>
      </c>
      <c r="P151" s="30">
        <v>0</v>
      </c>
      <c r="Q151" s="30">
        <v>0</v>
      </c>
      <c r="R151" s="29">
        <v>0</v>
      </c>
      <c r="S151" s="36">
        <v>0</v>
      </c>
      <c r="T151" s="7" t="s">
        <v>131</v>
      </c>
      <c r="U151" s="7" t="s">
        <v>853</v>
      </c>
      <c r="V151" s="7" t="s">
        <v>853</v>
      </c>
      <c r="W151" s="7" t="s">
        <v>1177</v>
      </c>
      <c r="X151" s="30">
        <v>7</v>
      </c>
      <c r="Y151" s="7" t="s">
        <v>1177</v>
      </c>
      <c r="Z151" s="7" t="s">
        <v>1178</v>
      </c>
      <c r="AA151" s="30">
        <v>0</v>
      </c>
      <c r="AB151" s="36">
        <v>0</v>
      </c>
      <c r="AC151" s="7" t="s">
        <v>1177</v>
      </c>
      <c r="AD151" s="37">
        <v>0</v>
      </c>
      <c r="AE151" s="7" t="s">
        <v>1177</v>
      </c>
      <c r="AF151" s="7" t="s">
        <v>1177</v>
      </c>
      <c r="AG151" s="7" t="s">
        <v>1177</v>
      </c>
      <c r="AH151" s="38"/>
      <c r="AI151" s="36">
        <v>0</v>
      </c>
      <c r="AJ151" s="7" t="s">
        <v>1193</v>
      </c>
      <c r="AK151" s="7" t="s">
        <v>1177</v>
      </c>
      <c r="AL151" s="7" t="s">
        <v>1177</v>
      </c>
      <c r="AM151" s="7" t="s">
        <v>1177</v>
      </c>
      <c r="AN151" s="7" t="s">
        <v>3212</v>
      </c>
      <c r="AO151" s="7" t="s">
        <v>1177</v>
      </c>
      <c r="AP151" s="7" t="s">
        <v>1177</v>
      </c>
      <c r="AQ151" s="7" t="s">
        <v>1177</v>
      </c>
      <c r="AR151" s="29">
        <v>0</v>
      </c>
      <c r="AS151" s="7" t="s">
        <v>1177</v>
      </c>
      <c r="AT151" s="7" t="s">
        <v>1363</v>
      </c>
      <c r="AU151" s="38">
        <v>46275</v>
      </c>
      <c r="AV151" s="39">
        <v>0.60521990740741005</v>
      </c>
    </row>
    <row r="152" spans="1:48" x14ac:dyDescent="0.35">
      <c r="A152" t="str">
        <f t="shared" si="2"/>
        <v>198001B857</v>
      </c>
      <c r="B152" s="7" t="s">
        <v>2836</v>
      </c>
      <c r="C152" s="7" t="s">
        <v>958</v>
      </c>
      <c r="D152" s="7" t="s">
        <v>23</v>
      </c>
      <c r="E152" s="7" t="s">
        <v>1177</v>
      </c>
      <c r="F152" s="7" t="s">
        <v>134</v>
      </c>
      <c r="G152" s="7" t="s">
        <v>130</v>
      </c>
      <c r="H152" s="7" t="s">
        <v>129</v>
      </c>
      <c r="I152" s="30">
        <v>12</v>
      </c>
      <c r="J152" s="7" t="s">
        <v>1177</v>
      </c>
      <c r="K152" s="7" t="s">
        <v>1178</v>
      </c>
      <c r="L152" s="7" t="s">
        <v>132</v>
      </c>
      <c r="M152" s="7" t="s">
        <v>133</v>
      </c>
      <c r="N152" s="30">
        <v>0</v>
      </c>
      <c r="O152" s="30">
        <v>0</v>
      </c>
      <c r="P152" s="30">
        <v>0</v>
      </c>
      <c r="Q152" s="30">
        <v>0</v>
      </c>
      <c r="R152" s="29">
        <v>0</v>
      </c>
      <c r="S152" s="36">
        <v>0</v>
      </c>
      <c r="T152" s="7" t="s">
        <v>131</v>
      </c>
      <c r="U152" s="7" t="s">
        <v>959</v>
      </c>
      <c r="V152" s="7" t="s">
        <v>959</v>
      </c>
      <c r="W152" s="7" t="s">
        <v>1177</v>
      </c>
      <c r="X152" s="30">
        <v>12</v>
      </c>
      <c r="Y152" s="7" t="s">
        <v>1177</v>
      </c>
      <c r="Z152" s="7" t="s">
        <v>1178</v>
      </c>
      <c r="AA152" s="30">
        <v>0</v>
      </c>
      <c r="AB152" s="36">
        <v>0</v>
      </c>
      <c r="AC152" s="7" t="s">
        <v>1177</v>
      </c>
      <c r="AD152" s="37">
        <v>0</v>
      </c>
      <c r="AE152" s="7" t="s">
        <v>1177</v>
      </c>
      <c r="AF152" s="7" t="s">
        <v>1177</v>
      </c>
      <c r="AG152" s="7" t="s">
        <v>1177</v>
      </c>
      <c r="AH152" s="38"/>
      <c r="AI152" s="36">
        <v>0</v>
      </c>
      <c r="AJ152" s="7" t="s">
        <v>1193</v>
      </c>
      <c r="AK152" s="7" t="s">
        <v>1177</v>
      </c>
      <c r="AL152" s="7" t="s">
        <v>1177</v>
      </c>
      <c r="AM152" s="7" t="s">
        <v>1177</v>
      </c>
      <c r="AN152" s="7" t="s">
        <v>3212</v>
      </c>
      <c r="AO152" s="7" t="s">
        <v>1177</v>
      </c>
      <c r="AP152" s="7" t="s">
        <v>1177</v>
      </c>
      <c r="AQ152" s="7" t="s">
        <v>1177</v>
      </c>
      <c r="AR152" s="29">
        <v>0</v>
      </c>
      <c r="AS152" s="7" t="s">
        <v>1177</v>
      </c>
      <c r="AT152" s="7" t="s">
        <v>1363</v>
      </c>
      <c r="AU152" s="38">
        <v>46275</v>
      </c>
      <c r="AV152" s="39">
        <v>0.60527777777778002</v>
      </c>
    </row>
    <row r="153" spans="1:48" x14ac:dyDescent="0.35">
      <c r="A153" t="str">
        <f t="shared" si="2"/>
        <v>198001B867</v>
      </c>
      <c r="B153" s="7" t="s">
        <v>2836</v>
      </c>
      <c r="C153" s="7" t="s">
        <v>1059</v>
      </c>
      <c r="D153" s="7" t="s">
        <v>25</v>
      </c>
      <c r="E153" s="7" t="s">
        <v>1177</v>
      </c>
      <c r="F153" s="7" t="s">
        <v>134</v>
      </c>
      <c r="G153" s="7" t="s">
        <v>130</v>
      </c>
      <c r="H153" s="7" t="s">
        <v>129</v>
      </c>
      <c r="I153" s="30">
        <v>2</v>
      </c>
      <c r="J153" s="7" t="s">
        <v>1177</v>
      </c>
      <c r="K153" s="7" t="s">
        <v>1178</v>
      </c>
      <c r="L153" s="7" t="s">
        <v>132</v>
      </c>
      <c r="M153" s="7" t="s">
        <v>133</v>
      </c>
      <c r="N153" s="30">
        <v>0</v>
      </c>
      <c r="O153" s="30">
        <v>0</v>
      </c>
      <c r="P153" s="30">
        <v>0</v>
      </c>
      <c r="Q153" s="30">
        <v>0</v>
      </c>
      <c r="R153" s="29">
        <v>0</v>
      </c>
      <c r="S153" s="36">
        <v>0</v>
      </c>
      <c r="T153" s="7" t="s">
        <v>131</v>
      </c>
      <c r="U153" s="7" t="s">
        <v>1060</v>
      </c>
      <c r="V153" s="7" t="s">
        <v>1060</v>
      </c>
      <c r="W153" s="7" t="s">
        <v>1177</v>
      </c>
      <c r="X153" s="30">
        <v>2</v>
      </c>
      <c r="Y153" s="7" t="s">
        <v>1177</v>
      </c>
      <c r="Z153" s="7" t="s">
        <v>1178</v>
      </c>
      <c r="AA153" s="30">
        <v>0</v>
      </c>
      <c r="AB153" s="36">
        <v>0</v>
      </c>
      <c r="AC153" s="7" t="s">
        <v>1177</v>
      </c>
      <c r="AD153" s="37">
        <v>0</v>
      </c>
      <c r="AE153" s="7" t="s">
        <v>1177</v>
      </c>
      <c r="AF153" s="7" t="s">
        <v>1177</v>
      </c>
      <c r="AG153" s="7" t="s">
        <v>1177</v>
      </c>
      <c r="AH153" s="38"/>
      <c r="AI153" s="36">
        <v>0</v>
      </c>
      <c r="AJ153" s="7" t="s">
        <v>1193</v>
      </c>
      <c r="AK153" s="7" t="s">
        <v>1177</v>
      </c>
      <c r="AL153" s="7" t="s">
        <v>1177</v>
      </c>
      <c r="AM153" s="7" t="s">
        <v>1177</v>
      </c>
      <c r="AN153" s="7" t="s">
        <v>3212</v>
      </c>
      <c r="AO153" s="7" t="s">
        <v>1177</v>
      </c>
      <c r="AP153" s="7" t="s">
        <v>1177</v>
      </c>
      <c r="AQ153" s="7" t="s">
        <v>1177</v>
      </c>
      <c r="AR153" s="29">
        <v>0</v>
      </c>
      <c r="AS153" s="7" t="s">
        <v>1177</v>
      </c>
      <c r="AT153" s="7" t="s">
        <v>1363</v>
      </c>
      <c r="AU153" s="38">
        <v>46275</v>
      </c>
      <c r="AV153" s="39">
        <v>0.60568287037037005</v>
      </c>
    </row>
    <row r="154" spans="1:48" x14ac:dyDescent="0.35">
      <c r="A154" t="str">
        <f t="shared" si="2"/>
        <v>218150B825</v>
      </c>
      <c r="B154" s="7" t="s">
        <v>1311</v>
      </c>
      <c r="C154" s="7" t="s">
        <v>511</v>
      </c>
      <c r="D154" s="7" t="s">
        <v>16</v>
      </c>
      <c r="E154" s="7" t="s">
        <v>1177</v>
      </c>
      <c r="F154" s="7" t="s">
        <v>134</v>
      </c>
      <c r="G154" s="7" t="s">
        <v>130</v>
      </c>
      <c r="H154" s="7" t="s">
        <v>129</v>
      </c>
      <c r="I154" s="30">
        <v>20</v>
      </c>
      <c r="J154" s="7" t="s">
        <v>1177</v>
      </c>
      <c r="K154" s="7" t="s">
        <v>1178</v>
      </c>
      <c r="L154" s="7" t="s">
        <v>132</v>
      </c>
      <c r="M154" s="7" t="s">
        <v>133</v>
      </c>
      <c r="N154" s="30">
        <v>0</v>
      </c>
      <c r="O154" s="30">
        <v>0</v>
      </c>
      <c r="P154" s="30">
        <v>0</v>
      </c>
      <c r="Q154" s="30">
        <v>0</v>
      </c>
      <c r="R154" s="29">
        <v>0</v>
      </c>
      <c r="S154" s="36">
        <v>0</v>
      </c>
      <c r="T154" s="7" t="s">
        <v>131</v>
      </c>
      <c r="U154" s="7" t="s">
        <v>512</v>
      </c>
      <c r="V154" s="7" t="s">
        <v>512</v>
      </c>
      <c r="W154" s="7" t="s">
        <v>1177</v>
      </c>
      <c r="X154" s="30">
        <v>20</v>
      </c>
      <c r="Y154" s="7" t="s">
        <v>1177</v>
      </c>
      <c r="Z154" s="7" t="s">
        <v>1178</v>
      </c>
      <c r="AA154" s="30">
        <v>0</v>
      </c>
      <c r="AB154" s="36">
        <v>0</v>
      </c>
      <c r="AC154" s="7" t="s">
        <v>1177</v>
      </c>
      <c r="AD154" s="37">
        <v>0</v>
      </c>
      <c r="AE154" s="7" t="s">
        <v>1177</v>
      </c>
      <c r="AF154" s="7" t="s">
        <v>1177</v>
      </c>
      <c r="AG154" s="7" t="s">
        <v>1177</v>
      </c>
      <c r="AH154" s="38"/>
      <c r="AI154" s="36">
        <v>0</v>
      </c>
      <c r="AJ154" s="7" t="s">
        <v>1193</v>
      </c>
      <c r="AK154" s="7" t="s">
        <v>1177</v>
      </c>
      <c r="AL154" s="7" t="s">
        <v>1177</v>
      </c>
      <c r="AM154" s="7" t="s">
        <v>1177</v>
      </c>
      <c r="AN154" s="7" t="s">
        <v>3212</v>
      </c>
      <c r="AO154" s="7" t="s">
        <v>1177</v>
      </c>
      <c r="AP154" s="7" t="s">
        <v>1177</v>
      </c>
      <c r="AQ154" s="7" t="s">
        <v>1177</v>
      </c>
      <c r="AR154" s="29">
        <v>0</v>
      </c>
      <c r="AS154" s="7" t="s">
        <v>1177</v>
      </c>
      <c r="AT154" s="7" t="s">
        <v>1363</v>
      </c>
      <c r="AU154" s="38">
        <v>46275</v>
      </c>
      <c r="AV154" s="39">
        <v>0.60351851851852001</v>
      </c>
    </row>
    <row r="155" spans="1:48" x14ac:dyDescent="0.35">
      <c r="A155" t="str">
        <f t="shared" si="2"/>
        <v>218150B832</v>
      </c>
      <c r="B155" s="7" t="s">
        <v>1311</v>
      </c>
      <c r="C155" s="7" t="s">
        <v>653</v>
      </c>
      <c r="D155" s="7" t="s">
        <v>19</v>
      </c>
      <c r="E155" s="7" t="s">
        <v>1177</v>
      </c>
      <c r="F155" s="7" t="s">
        <v>134</v>
      </c>
      <c r="G155" s="7" t="s">
        <v>130</v>
      </c>
      <c r="H155" s="7" t="s">
        <v>129</v>
      </c>
      <c r="I155" s="30">
        <v>2</v>
      </c>
      <c r="J155" s="7" t="s">
        <v>1177</v>
      </c>
      <c r="K155" s="7" t="s">
        <v>1178</v>
      </c>
      <c r="L155" s="7" t="s">
        <v>132</v>
      </c>
      <c r="M155" s="7" t="s">
        <v>133</v>
      </c>
      <c r="N155" s="30">
        <v>0</v>
      </c>
      <c r="O155" s="30">
        <v>0</v>
      </c>
      <c r="P155" s="30">
        <v>0</v>
      </c>
      <c r="Q155" s="30">
        <v>0</v>
      </c>
      <c r="R155" s="29">
        <v>0</v>
      </c>
      <c r="S155" s="36">
        <v>0</v>
      </c>
      <c r="T155" s="7" t="s">
        <v>131</v>
      </c>
      <c r="U155" s="7" t="s">
        <v>654</v>
      </c>
      <c r="V155" s="7" t="s">
        <v>654</v>
      </c>
      <c r="W155" s="7" t="s">
        <v>1177</v>
      </c>
      <c r="X155" s="30">
        <v>2</v>
      </c>
      <c r="Y155" s="7" t="s">
        <v>1177</v>
      </c>
      <c r="Z155" s="7" t="s">
        <v>1178</v>
      </c>
      <c r="AA155" s="30">
        <v>0</v>
      </c>
      <c r="AB155" s="36">
        <v>0</v>
      </c>
      <c r="AC155" s="7" t="s">
        <v>1177</v>
      </c>
      <c r="AD155" s="37">
        <v>0</v>
      </c>
      <c r="AE155" s="7" t="s">
        <v>1177</v>
      </c>
      <c r="AF155" s="7" t="s">
        <v>1177</v>
      </c>
      <c r="AG155" s="7" t="s">
        <v>1177</v>
      </c>
      <c r="AH155" s="38"/>
      <c r="AI155" s="36">
        <v>0</v>
      </c>
      <c r="AJ155" s="7" t="s">
        <v>1193</v>
      </c>
      <c r="AK155" s="7" t="s">
        <v>1177</v>
      </c>
      <c r="AL155" s="7" t="s">
        <v>1177</v>
      </c>
      <c r="AM155" s="7" t="s">
        <v>1177</v>
      </c>
      <c r="AN155" s="7" t="s">
        <v>3212</v>
      </c>
      <c r="AO155" s="7" t="s">
        <v>1177</v>
      </c>
      <c r="AP155" s="7" t="s">
        <v>1177</v>
      </c>
      <c r="AQ155" s="7" t="s">
        <v>1177</v>
      </c>
      <c r="AR155" s="29">
        <v>0</v>
      </c>
      <c r="AS155" s="7" t="s">
        <v>1177</v>
      </c>
      <c r="AT155" s="7" t="s">
        <v>1363</v>
      </c>
      <c r="AU155" s="38">
        <v>46275</v>
      </c>
      <c r="AV155" s="39">
        <v>0.60384259259258999</v>
      </c>
    </row>
    <row r="156" spans="1:48" x14ac:dyDescent="0.35">
      <c r="A156" t="str">
        <f t="shared" si="2"/>
        <v>218150B833</v>
      </c>
      <c r="B156" s="7" t="s">
        <v>1311</v>
      </c>
      <c r="C156" s="7" t="s">
        <v>698</v>
      </c>
      <c r="D156" s="7" t="s">
        <v>697</v>
      </c>
      <c r="E156" s="7" t="s">
        <v>1177</v>
      </c>
      <c r="F156" s="7" t="s">
        <v>134</v>
      </c>
      <c r="G156" s="7" t="s">
        <v>130</v>
      </c>
      <c r="H156" s="7" t="s">
        <v>129</v>
      </c>
      <c r="I156" s="30">
        <v>2</v>
      </c>
      <c r="J156" s="7" t="s">
        <v>1177</v>
      </c>
      <c r="K156" s="7" t="s">
        <v>1178</v>
      </c>
      <c r="L156" s="7" t="s">
        <v>132</v>
      </c>
      <c r="M156" s="7" t="s">
        <v>133</v>
      </c>
      <c r="N156" s="30">
        <v>0</v>
      </c>
      <c r="O156" s="30">
        <v>0</v>
      </c>
      <c r="P156" s="30">
        <v>0</v>
      </c>
      <c r="Q156" s="30">
        <v>0</v>
      </c>
      <c r="R156" s="29">
        <v>0</v>
      </c>
      <c r="S156" s="36">
        <v>0</v>
      </c>
      <c r="T156" s="7" t="s">
        <v>131</v>
      </c>
      <c r="U156" s="7" t="s">
        <v>699</v>
      </c>
      <c r="V156" s="7" t="s">
        <v>699</v>
      </c>
      <c r="W156" s="7" t="s">
        <v>1177</v>
      </c>
      <c r="X156" s="30">
        <v>2</v>
      </c>
      <c r="Y156" s="7" t="s">
        <v>1177</v>
      </c>
      <c r="Z156" s="7" t="s">
        <v>1178</v>
      </c>
      <c r="AA156" s="30">
        <v>0</v>
      </c>
      <c r="AB156" s="36">
        <v>0</v>
      </c>
      <c r="AC156" s="7" t="s">
        <v>1177</v>
      </c>
      <c r="AD156" s="37">
        <v>0</v>
      </c>
      <c r="AE156" s="7" t="s">
        <v>1177</v>
      </c>
      <c r="AF156" s="7" t="s">
        <v>1177</v>
      </c>
      <c r="AG156" s="7" t="s">
        <v>1177</v>
      </c>
      <c r="AH156" s="38"/>
      <c r="AI156" s="36">
        <v>0</v>
      </c>
      <c r="AJ156" s="7" t="s">
        <v>1193</v>
      </c>
      <c r="AK156" s="7" t="s">
        <v>1177</v>
      </c>
      <c r="AL156" s="7" t="s">
        <v>1177</v>
      </c>
      <c r="AM156" s="7" t="s">
        <v>1177</v>
      </c>
      <c r="AN156" s="7" t="s">
        <v>3212</v>
      </c>
      <c r="AO156" s="7" t="s">
        <v>1177</v>
      </c>
      <c r="AP156" s="7" t="s">
        <v>1177</v>
      </c>
      <c r="AQ156" s="7" t="s">
        <v>1177</v>
      </c>
      <c r="AR156" s="29">
        <v>0</v>
      </c>
      <c r="AS156" s="7" t="s">
        <v>1177</v>
      </c>
      <c r="AT156" s="7" t="s">
        <v>1363</v>
      </c>
      <c r="AU156" s="38">
        <v>46275</v>
      </c>
      <c r="AV156" s="39">
        <v>0.60395833333333004</v>
      </c>
    </row>
    <row r="157" spans="1:48" x14ac:dyDescent="0.35">
      <c r="A157" t="str">
        <f t="shared" si="2"/>
        <v>218150B838</v>
      </c>
      <c r="B157" s="7" t="s">
        <v>1311</v>
      </c>
      <c r="C157" s="7" t="s">
        <v>744</v>
      </c>
      <c r="D157" s="7" t="s">
        <v>48</v>
      </c>
      <c r="E157" s="7" t="s">
        <v>1177</v>
      </c>
      <c r="F157" s="7" t="s">
        <v>134</v>
      </c>
      <c r="G157" s="7" t="s">
        <v>130</v>
      </c>
      <c r="H157" s="7" t="s">
        <v>129</v>
      </c>
      <c r="I157" s="30">
        <v>2</v>
      </c>
      <c r="J157" s="7" t="s">
        <v>1177</v>
      </c>
      <c r="K157" s="7" t="s">
        <v>1178</v>
      </c>
      <c r="L157" s="7" t="s">
        <v>132</v>
      </c>
      <c r="M157" s="7" t="s">
        <v>133</v>
      </c>
      <c r="N157" s="30">
        <v>0</v>
      </c>
      <c r="O157" s="30">
        <v>0</v>
      </c>
      <c r="P157" s="30">
        <v>0</v>
      </c>
      <c r="Q157" s="30">
        <v>0</v>
      </c>
      <c r="R157" s="29">
        <v>0</v>
      </c>
      <c r="S157" s="36">
        <v>0</v>
      </c>
      <c r="T157" s="7" t="s">
        <v>131</v>
      </c>
      <c r="U157" s="7" t="s">
        <v>745</v>
      </c>
      <c r="V157" s="7" t="s">
        <v>745</v>
      </c>
      <c r="W157" s="7" t="s">
        <v>1177</v>
      </c>
      <c r="X157" s="30">
        <v>2</v>
      </c>
      <c r="Y157" s="7" t="s">
        <v>1177</v>
      </c>
      <c r="Z157" s="7" t="s">
        <v>1178</v>
      </c>
      <c r="AA157" s="30">
        <v>0</v>
      </c>
      <c r="AB157" s="36">
        <v>0</v>
      </c>
      <c r="AC157" s="7" t="s">
        <v>1177</v>
      </c>
      <c r="AD157" s="37">
        <v>0</v>
      </c>
      <c r="AE157" s="7" t="s">
        <v>1177</v>
      </c>
      <c r="AF157" s="7" t="s">
        <v>1177</v>
      </c>
      <c r="AG157" s="7" t="s">
        <v>1177</v>
      </c>
      <c r="AH157" s="38"/>
      <c r="AI157" s="36">
        <v>0</v>
      </c>
      <c r="AJ157" s="7" t="s">
        <v>1193</v>
      </c>
      <c r="AK157" s="7" t="s">
        <v>1177</v>
      </c>
      <c r="AL157" s="7" t="s">
        <v>1177</v>
      </c>
      <c r="AM157" s="7" t="s">
        <v>1177</v>
      </c>
      <c r="AN157" s="7" t="s">
        <v>3212</v>
      </c>
      <c r="AO157" s="7" t="s">
        <v>1177</v>
      </c>
      <c r="AP157" s="7" t="s">
        <v>1177</v>
      </c>
      <c r="AQ157" s="7" t="s">
        <v>1177</v>
      </c>
      <c r="AR157" s="29">
        <v>0</v>
      </c>
      <c r="AS157" s="7" t="s">
        <v>1177</v>
      </c>
      <c r="AT157" s="7" t="s">
        <v>1363</v>
      </c>
      <c r="AU157" s="38">
        <v>46275</v>
      </c>
      <c r="AV157" s="39">
        <v>0.60442129629630004</v>
      </c>
    </row>
    <row r="158" spans="1:48" x14ac:dyDescent="0.35">
      <c r="A158" t="str">
        <f t="shared" si="2"/>
        <v>218150B856</v>
      </c>
      <c r="B158" s="7" t="s">
        <v>1311</v>
      </c>
      <c r="C158" s="7" t="s">
        <v>852</v>
      </c>
      <c r="D158" s="7" t="s">
        <v>21</v>
      </c>
      <c r="E158" s="7" t="s">
        <v>1177</v>
      </c>
      <c r="F158" s="7" t="s">
        <v>134</v>
      </c>
      <c r="G158" s="7" t="s">
        <v>130</v>
      </c>
      <c r="H158" s="7" t="s">
        <v>129</v>
      </c>
      <c r="I158" s="30">
        <v>10</v>
      </c>
      <c r="J158" s="7" t="s">
        <v>1177</v>
      </c>
      <c r="K158" s="7" t="s">
        <v>1178</v>
      </c>
      <c r="L158" s="7" t="s">
        <v>132</v>
      </c>
      <c r="M158" s="7" t="s">
        <v>133</v>
      </c>
      <c r="N158" s="30">
        <v>0</v>
      </c>
      <c r="O158" s="30">
        <v>0</v>
      </c>
      <c r="P158" s="30">
        <v>0</v>
      </c>
      <c r="Q158" s="30">
        <v>0</v>
      </c>
      <c r="R158" s="29">
        <v>0</v>
      </c>
      <c r="S158" s="36">
        <v>0</v>
      </c>
      <c r="T158" s="7" t="s">
        <v>131</v>
      </c>
      <c r="U158" s="7" t="s">
        <v>853</v>
      </c>
      <c r="V158" s="7" t="s">
        <v>853</v>
      </c>
      <c r="W158" s="7" t="s">
        <v>1177</v>
      </c>
      <c r="X158" s="30">
        <v>10</v>
      </c>
      <c r="Y158" s="7" t="s">
        <v>1177</v>
      </c>
      <c r="Z158" s="7" t="s">
        <v>1178</v>
      </c>
      <c r="AA158" s="30">
        <v>0</v>
      </c>
      <c r="AB158" s="36">
        <v>0</v>
      </c>
      <c r="AC158" s="7" t="s">
        <v>1177</v>
      </c>
      <c r="AD158" s="37">
        <v>0</v>
      </c>
      <c r="AE158" s="7" t="s">
        <v>1177</v>
      </c>
      <c r="AF158" s="7" t="s">
        <v>1177</v>
      </c>
      <c r="AG158" s="7" t="s">
        <v>1177</v>
      </c>
      <c r="AH158" s="38"/>
      <c r="AI158" s="36">
        <v>0</v>
      </c>
      <c r="AJ158" s="7" t="s">
        <v>1193</v>
      </c>
      <c r="AK158" s="7" t="s">
        <v>1177</v>
      </c>
      <c r="AL158" s="7" t="s">
        <v>1177</v>
      </c>
      <c r="AM158" s="7" t="s">
        <v>1177</v>
      </c>
      <c r="AN158" s="7" t="s">
        <v>3212</v>
      </c>
      <c r="AO158" s="7" t="s">
        <v>1177</v>
      </c>
      <c r="AP158" s="7" t="s">
        <v>1177</v>
      </c>
      <c r="AQ158" s="7" t="s">
        <v>1177</v>
      </c>
      <c r="AR158" s="29">
        <v>0</v>
      </c>
      <c r="AS158" s="7" t="s">
        <v>1177</v>
      </c>
      <c r="AT158" s="7" t="s">
        <v>1363</v>
      </c>
      <c r="AU158" s="38">
        <v>46275</v>
      </c>
      <c r="AV158" s="39">
        <v>0.60521990740741005</v>
      </c>
    </row>
    <row r="159" spans="1:48" x14ac:dyDescent="0.35">
      <c r="A159" t="str">
        <f t="shared" si="2"/>
        <v>218150B857</v>
      </c>
      <c r="B159" s="7" t="s">
        <v>1311</v>
      </c>
      <c r="C159" s="7" t="s">
        <v>958</v>
      </c>
      <c r="D159" s="7" t="s">
        <v>23</v>
      </c>
      <c r="E159" s="7" t="s">
        <v>1177</v>
      </c>
      <c r="F159" s="7" t="s">
        <v>134</v>
      </c>
      <c r="G159" s="7" t="s">
        <v>130</v>
      </c>
      <c r="H159" s="7" t="s">
        <v>129</v>
      </c>
      <c r="I159" s="30">
        <v>5</v>
      </c>
      <c r="J159" s="7" t="s">
        <v>1177</v>
      </c>
      <c r="K159" s="7" t="s">
        <v>1178</v>
      </c>
      <c r="L159" s="7" t="s">
        <v>132</v>
      </c>
      <c r="M159" s="7" t="s">
        <v>133</v>
      </c>
      <c r="N159" s="30">
        <v>0</v>
      </c>
      <c r="O159" s="30">
        <v>0</v>
      </c>
      <c r="P159" s="30">
        <v>0</v>
      </c>
      <c r="Q159" s="30">
        <v>0</v>
      </c>
      <c r="R159" s="29">
        <v>0</v>
      </c>
      <c r="S159" s="36">
        <v>0</v>
      </c>
      <c r="T159" s="7" t="s">
        <v>131</v>
      </c>
      <c r="U159" s="7" t="s">
        <v>959</v>
      </c>
      <c r="V159" s="7" t="s">
        <v>959</v>
      </c>
      <c r="W159" s="7" t="s">
        <v>1177</v>
      </c>
      <c r="X159" s="30">
        <v>5</v>
      </c>
      <c r="Y159" s="7" t="s">
        <v>1177</v>
      </c>
      <c r="Z159" s="7" t="s">
        <v>1178</v>
      </c>
      <c r="AA159" s="30">
        <v>0</v>
      </c>
      <c r="AB159" s="36">
        <v>0</v>
      </c>
      <c r="AC159" s="7" t="s">
        <v>1177</v>
      </c>
      <c r="AD159" s="37">
        <v>0</v>
      </c>
      <c r="AE159" s="7" t="s">
        <v>1177</v>
      </c>
      <c r="AF159" s="7" t="s">
        <v>1177</v>
      </c>
      <c r="AG159" s="7" t="s">
        <v>1177</v>
      </c>
      <c r="AH159" s="38"/>
      <c r="AI159" s="36">
        <v>0</v>
      </c>
      <c r="AJ159" s="7" t="s">
        <v>1193</v>
      </c>
      <c r="AK159" s="7" t="s">
        <v>1177</v>
      </c>
      <c r="AL159" s="7" t="s">
        <v>1177</v>
      </c>
      <c r="AM159" s="7" t="s">
        <v>1177</v>
      </c>
      <c r="AN159" s="7" t="s">
        <v>3212</v>
      </c>
      <c r="AO159" s="7" t="s">
        <v>1177</v>
      </c>
      <c r="AP159" s="7" t="s">
        <v>1177</v>
      </c>
      <c r="AQ159" s="7" t="s">
        <v>1177</v>
      </c>
      <c r="AR159" s="29">
        <v>0</v>
      </c>
      <c r="AS159" s="7" t="s">
        <v>1177</v>
      </c>
      <c r="AT159" s="7" t="s">
        <v>1363</v>
      </c>
      <c r="AU159" s="38">
        <v>46275</v>
      </c>
      <c r="AV159" s="39">
        <v>0.60527777777778002</v>
      </c>
    </row>
    <row r="160" spans="1:48" x14ac:dyDescent="0.35">
      <c r="A160" t="str">
        <f t="shared" si="2"/>
        <v>218150B864</v>
      </c>
      <c r="B160" s="7" t="s">
        <v>1311</v>
      </c>
      <c r="C160" s="7" t="s">
        <v>1010</v>
      </c>
      <c r="D160" s="7" t="s">
        <v>10</v>
      </c>
      <c r="E160" s="7" t="s">
        <v>1177</v>
      </c>
      <c r="F160" s="7" t="s">
        <v>134</v>
      </c>
      <c r="G160" s="7" t="s">
        <v>130</v>
      </c>
      <c r="H160" s="7" t="s">
        <v>129</v>
      </c>
      <c r="I160" s="30">
        <v>5</v>
      </c>
      <c r="J160" s="7" t="s">
        <v>1177</v>
      </c>
      <c r="K160" s="7" t="s">
        <v>1178</v>
      </c>
      <c r="L160" s="7" t="s">
        <v>132</v>
      </c>
      <c r="M160" s="7" t="s">
        <v>133</v>
      </c>
      <c r="N160" s="30">
        <v>0</v>
      </c>
      <c r="O160" s="30">
        <v>0</v>
      </c>
      <c r="P160" s="30">
        <v>0</v>
      </c>
      <c r="Q160" s="30">
        <v>0</v>
      </c>
      <c r="R160" s="29">
        <v>0</v>
      </c>
      <c r="S160" s="36">
        <v>0</v>
      </c>
      <c r="T160" s="7" t="s">
        <v>131</v>
      </c>
      <c r="U160" s="7" t="s">
        <v>1011</v>
      </c>
      <c r="V160" s="7" t="s">
        <v>1011</v>
      </c>
      <c r="W160" s="7" t="s">
        <v>1177</v>
      </c>
      <c r="X160" s="30">
        <v>5</v>
      </c>
      <c r="Y160" s="7" t="s">
        <v>1177</v>
      </c>
      <c r="Z160" s="7" t="s">
        <v>1178</v>
      </c>
      <c r="AA160" s="30">
        <v>0</v>
      </c>
      <c r="AB160" s="36">
        <v>0</v>
      </c>
      <c r="AC160" s="7" t="s">
        <v>1177</v>
      </c>
      <c r="AD160" s="37">
        <v>0</v>
      </c>
      <c r="AE160" s="7" t="s">
        <v>1177</v>
      </c>
      <c r="AF160" s="7" t="s">
        <v>1177</v>
      </c>
      <c r="AG160" s="7" t="s">
        <v>1177</v>
      </c>
      <c r="AH160" s="38"/>
      <c r="AI160" s="36">
        <v>0</v>
      </c>
      <c r="AJ160" s="7" t="s">
        <v>1193</v>
      </c>
      <c r="AK160" s="7" t="s">
        <v>1177</v>
      </c>
      <c r="AL160" s="7" t="s">
        <v>1177</v>
      </c>
      <c r="AM160" s="7" t="s">
        <v>1177</v>
      </c>
      <c r="AN160" s="7" t="s">
        <v>3212</v>
      </c>
      <c r="AO160" s="7" t="s">
        <v>1177</v>
      </c>
      <c r="AP160" s="7" t="s">
        <v>1177</v>
      </c>
      <c r="AQ160" s="7" t="s">
        <v>1177</v>
      </c>
      <c r="AR160" s="29">
        <v>0</v>
      </c>
      <c r="AS160" s="7" t="s">
        <v>1177</v>
      </c>
      <c r="AT160" s="7" t="s">
        <v>1363</v>
      </c>
      <c r="AU160" s="38">
        <v>46275</v>
      </c>
      <c r="AV160" s="39">
        <v>0.60543981481481002</v>
      </c>
    </row>
    <row r="161" spans="1:48" x14ac:dyDescent="0.35">
      <c r="A161" t="str">
        <f t="shared" si="2"/>
        <v>218150B865</v>
      </c>
      <c r="B161" s="7" t="s">
        <v>1311</v>
      </c>
      <c r="C161" s="7" t="s">
        <v>1039</v>
      </c>
      <c r="D161" s="7" t="s">
        <v>7</v>
      </c>
      <c r="E161" s="7" t="s">
        <v>1177</v>
      </c>
      <c r="F161" s="7" t="s">
        <v>134</v>
      </c>
      <c r="G161" s="7" t="s">
        <v>130</v>
      </c>
      <c r="H161" s="7" t="s">
        <v>129</v>
      </c>
      <c r="I161" s="30">
        <v>4</v>
      </c>
      <c r="J161" s="7" t="s">
        <v>1177</v>
      </c>
      <c r="K161" s="7" t="s">
        <v>1178</v>
      </c>
      <c r="L161" s="7" t="s">
        <v>132</v>
      </c>
      <c r="M161" s="7" t="s">
        <v>133</v>
      </c>
      <c r="N161" s="30">
        <v>0</v>
      </c>
      <c r="O161" s="30">
        <v>0</v>
      </c>
      <c r="P161" s="30">
        <v>0</v>
      </c>
      <c r="Q161" s="30">
        <v>0</v>
      </c>
      <c r="R161" s="29">
        <v>0</v>
      </c>
      <c r="S161" s="36">
        <v>0</v>
      </c>
      <c r="T161" s="7" t="s">
        <v>131</v>
      </c>
      <c r="U161" s="7" t="s">
        <v>1040</v>
      </c>
      <c r="V161" s="7" t="s">
        <v>1040</v>
      </c>
      <c r="W161" s="7" t="s">
        <v>1177</v>
      </c>
      <c r="X161" s="30">
        <v>4</v>
      </c>
      <c r="Y161" s="7" t="s">
        <v>1177</v>
      </c>
      <c r="Z161" s="7" t="s">
        <v>1178</v>
      </c>
      <c r="AA161" s="30">
        <v>0</v>
      </c>
      <c r="AB161" s="36">
        <v>0</v>
      </c>
      <c r="AC161" s="7" t="s">
        <v>1177</v>
      </c>
      <c r="AD161" s="37">
        <v>0</v>
      </c>
      <c r="AE161" s="7" t="s">
        <v>1177</v>
      </c>
      <c r="AF161" s="7" t="s">
        <v>1177</v>
      </c>
      <c r="AG161" s="7" t="s">
        <v>1177</v>
      </c>
      <c r="AH161" s="38"/>
      <c r="AI161" s="36">
        <v>0</v>
      </c>
      <c r="AJ161" s="7" t="s">
        <v>1193</v>
      </c>
      <c r="AK161" s="7" t="s">
        <v>1177</v>
      </c>
      <c r="AL161" s="7" t="s">
        <v>1177</v>
      </c>
      <c r="AM161" s="7" t="s">
        <v>1177</v>
      </c>
      <c r="AN161" s="7" t="s">
        <v>3212</v>
      </c>
      <c r="AO161" s="7" t="s">
        <v>1177</v>
      </c>
      <c r="AP161" s="7" t="s">
        <v>1177</v>
      </c>
      <c r="AQ161" s="7" t="s">
        <v>1177</v>
      </c>
      <c r="AR161" s="29">
        <v>0</v>
      </c>
      <c r="AS161" s="7" t="s">
        <v>1177</v>
      </c>
      <c r="AT161" s="7" t="s">
        <v>1363</v>
      </c>
      <c r="AU161" s="38">
        <v>46275</v>
      </c>
      <c r="AV161" s="39">
        <v>0.60553240740740999</v>
      </c>
    </row>
    <row r="162" spans="1:48" x14ac:dyDescent="0.35">
      <c r="A162" t="str">
        <f t="shared" si="2"/>
        <v>218150B867</v>
      </c>
      <c r="B162" s="7" t="s">
        <v>1311</v>
      </c>
      <c r="C162" s="7" t="s">
        <v>1059</v>
      </c>
      <c r="D162" s="7" t="s">
        <v>25</v>
      </c>
      <c r="E162" s="7" t="s">
        <v>1177</v>
      </c>
      <c r="F162" s="7" t="s">
        <v>134</v>
      </c>
      <c r="G162" s="7" t="s">
        <v>130</v>
      </c>
      <c r="H162" s="7" t="s">
        <v>129</v>
      </c>
      <c r="I162" s="30">
        <v>4</v>
      </c>
      <c r="J162" s="7" t="s">
        <v>1177</v>
      </c>
      <c r="K162" s="7" t="s">
        <v>1178</v>
      </c>
      <c r="L162" s="7" t="s">
        <v>132</v>
      </c>
      <c r="M162" s="7" t="s">
        <v>133</v>
      </c>
      <c r="N162" s="30">
        <v>0</v>
      </c>
      <c r="O162" s="30">
        <v>0</v>
      </c>
      <c r="P162" s="30">
        <v>0</v>
      </c>
      <c r="Q162" s="30">
        <v>0</v>
      </c>
      <c r="R162" s="29">
        <v>0</v>
      </c>
      <c r="S162" s="36">
        <v>0</v>
      </c>
      <c r="T162" s="7" t="s">
        <v>131</v>
      </c>
      <c r="U162" s="7" t="s">
        <v>1060</v>
      </c>
      <c r="V162" s="7" t="s">
        <v>1060</v>
      </c>
      <c r="W162" s="7" t="s">
        <v>1177</v>
      </c>
      <c r="X162" s="30">
        <v>4</v>
      </c>
      <c r="Y162" s="7" t="s">
        <v>1177</v>
      </c>
      <c r="Z162" s="7" t="s">
        <v>1178</v>
      </c>
      <c r="AA162" s="30">
        <v>0</v>
      </c>
      <c r="AB162" s="36">
        <v>0</v>
      </c>
      <c r="AC162" s="7" t="s">
        <v>1177</v>
      </c>
      <c r="AD162" s="37">
        <v>0</v>
      </c>
      <c r="AE162" s="7" t="s">
        <v>1177</v>
      </c>
      <c r="AF162" s="7" t="s">
        <v>1177</v>
      </c>
      <c r="AG162" s="7" t="s">
        <v>1177</v>
      </c>
      <c r="AH162" s="38"/>
      <c r="AI162" s="36">
        <v>0</v>
      </c>
      <c r="AJ162" s="7" t="s">
        <v>1193</v>
      </c>
      <c r="AK162" s="7" t="s">
        <v>1177</v>
      </c>
      <c r="AL162" s="7" t="s">
        <v>1177</v>
      </c>
      <c r="AM162" s="7" t="s">
        <v>1177</v>
      </c>
      <c r="AN162" s="7" t="s">
        <v>3212</v>
      </c>
      <c r="AO162" s="7" t="s">
        <v>1177</v>
      </c>
      <c r="AP162" s="7" t="s">
        <v>1177</v>
      </c>
      <c r="AQ162" s="7" t="s">
        <v>1177</v>
      </c>
      <c r="AR162" s="29">
        <v>0</v>
      </c>
      <c r="AS162" s="7" t="s">
        <v>1177</v>
      </c>
      <c r="AT162" s="7" t="s">
        <v>1363</v>
      </c>
      <c r="AU162" s="38">
        <v>46275</v>
      </c>
      <c r="AV162" s="39">
        <v>0.60564814814815005</v>
      </c>
    </row>
    <row r="163" spans="1:48" x14ac:dyDescent="0.35">
      <c r="A163" t="str">
        <f t="shared" si="2"/>
        <v>565590B825</v>
      </c>
      <c r="B163" s="7" t="s">
        <v>3256</v>
      </c>
      <c r="C163" s="7" t="s">
        <v>511</v>
      </c>
      <c r="D163" s="7" t="s">
        <v>16</v>
      </c>
      <c r="E163" s="7" t="s">
        <v>1177</v>
      </c>
      <c r="F163" s="7" t="s">
        <v>128</v>
      </c>
      <c r="G163" s="7" t="s">
        <v>130</v>
      </c>
      <c r="H163" s="7" t="s">
        <v>129</v>
      </c>
      <c r="I163" s="30">
        <v>2</v>
      </c>
      <c r="J163" s="7" t="s">
        <v>1177</v>
      </c>
      <c r="K163" s="7" t="s">
        <v>1178</v>
      </c>
      <c r="L163" s="7" t="s">
        <v>132</v>
      </c>
      <c r="M163" s="7" t="s">
        <v>133</v>
      </c>
      <c r="N163" s="30">
        <v>0</v>
      </c>
      <c r="O163" s="30">
        <v>0</v>
      </c>
      <c r="P163" s="30">
        <v>0</v>
      </c>
      <c r="Q163" s="30">
        <v>0</v>
      </c>
      <c r="R163" s="29">
        <v>0</v>
      </c>
      <c r="S163" s="36">
        <v>0</v>
      </c>
      <c r="T163" s="7" t="s">
        <v>131</v>
      </c>
      <c r="U163" s="7" t="s">
        <v>512</v>
      </c>
      <c r="V163" s="7" t="s">
        <v>512</v>
      </c>
      <c r="W163" s="7" t="s">
        <v>1177</v>
      </c>
      <c r="X163" s="30">
        <v>1</v>
      </c>
      <c r="Y163" s="7" t="s">
        <v>1177</v>
      </c>
      <c r="Z163" s="7" t="s">
        <v>1178</v>
      </c>
      <c r="AA163" s="30">
        <v>0</v>
      </c>
      <c r="AB163" s="36">
        <v>0</v>
      </c>
      <c r="AC163" s="7" t="s">
        <v>1177</v>
      </c>
      <c r="AD163" s="37">
        <v>0</v>
      </c>
      <c r="AE163" s="7" t="s">
        <v>1177</v>
      </c>
      <c r="AF163" s="7" t="s">
        <v>1177</v>
      </c>
      <c r="AG163" s="7" t="s">
        <v>1177</v>
      </c>
      <c r="AH163" s="38"/>
      <c r="AI163" s="36">
        <v>0</v>
      </c>
      <c r="AJ163" s="7" t="s">
        <v>1193</v>
      </c>
      <c r="AK163" s="7" t="s">
        <v>1177</v>
      </c>
      <c r="AL163" s="7" t="s">
        <v>1177</v>
      </c>
      <c r="AM163" s="7" t="s">
        <v>1177</v>
      </c>
      <c r="AN163" s="7" t="s">
        <v>3212</v>
      </c>
      <c r="AO163" s="7" t="s">
        <v>1177</v>
      </c>
      <c r="AP163" s="7" t="s">
        <v>1177</v>
      </c>
      <c r="AQ163" s="7" t="s">
        <v>1177</v>
      </c>
      <c r="AR163" s="29">
        <v>0</v>
      </c>
      <c r="AS163" s="7" t="s">
        <v>1177</v>
      </c>
      <c r="AT163" s="7" t="s">
        <v>1363</v>
      </c>
      <c r="AU163" s="38">
        <v>46275</v>
      </c>
      <c r="AV163" s="39">
        <v>0.60354166666666997</v>
      </c>
    </row>
    <row r="164" spans="1:48" x14ac:dyDescent="0.35">
      <c r="A164" t="str">
        <f t="shared" si="2"/>
        <v>565590B832</v>
      </c>
      <c r="B164" s="7" t="s">
        <v>3256</v>
      </c>
      <c r="C164" s="7" t="s">
        <v>653</v>
      </c>
      <c r="D164" s="7" t="s">
        <v>19</v>
      </c>
      <c r="E164" s="7" t="s">
        <v>1177</v>
      </c>
      <c r="F164" s="7" t="s">
        <v>128</v>
      </c>
      <c r="G164" s="7" t="s">
        <v>130</v>
      </c>
      <c r="H164" s="7" t="s">
        <v>129</v>
      </c>
      <c r="I164" s="30">
        <v>2</v>
      </c>
      <c r="J164" s="7" t="s">
        <v>1177</v>
      </c>
      <c r="K164" s="7" t="s">
        <v>1178</v>
      </c>
      <c r="L164" s="7" t="s">
        <v>132</v>
      </c>
      <c r="M164" s="7" t="s">
        <v>133</v>
      </c>
      <c r="N164" s="30">
        <v>0</v>
      </c>
      <c r="O164" s="30">
        <v>0</v>
      </c>
      <c r="P164" s="30">
        <v>0</v>
      </c>
      <c r="Q164" s="30">
        <v>0</v>
      </c>
      <c r="R164" s="29">
        <v>0</v>
      </c>
      <c r="S164" s="36">
        <v>0</v>
      </c>
      <c r="T164" s="7" t="s">
        <v>131</v>
      </c>
      <c r="U164" s="7" t="s">
        <v>654</v>
      </c>
      <c r="V164" s="7" t="s">
        <v>654</v>
      </c>
      <c r="W164" s="7" t="s">
        <v>1177</v>
      </c>
      <c r="X164" s="30">
        <v>1</v>
      </c>
      <c r="Y164" s="7" t="s">
        <v>1177</v>
      </c>
      <c r="Z164" s="7" t="s">
        <v>1178</v>
      </c>
      <c r="AA164" s="30">
        <v>0</v>
      </c>
      <c r="AB164" s="36">
        <v>0</v>
      </c>
      <c r="AC164" s="7" t="s">
        <v>1177</v>
      </c>
      <c r="AD164" s="37">
        <v>0</v>
      </c>
      <c r="AE164" s="7" t="s">
        <v>1177</v>
      </c>
      <c r="AF164" s="7" t="s">
        <v>1177</v>
      </c>
      <c r="AG164" s="7" t="s">
        <v>1177</v>
      </c>
      <c r="AH164" s="38"/>
      <c r="AI164" s="36">
        <v>0</v>
      </c>
      <c r="AJ164" s="7" t="s">
        <v>1193</v>
      </c>
      <c r="AK164" s="7" t="s">
        <v>1177</v>
      </c>
      <c r="AL164" s="7" t="s">
        <v>1177</v>
      </c>
      <c r="AM164" s="7" t="s">
        <v>1177</v>
      </c>
      <c r="AN164" s="7" t="s">
        <v>3212</v>
      </c>
      <c r="AO164" s="7" t="s">
        <v>1177</v>
      </c>
      <c r="AP164" s="7" t="s">
        <v>1177</v>
      </c>
      <c r="AQ164" s="7" t="s">
        <v>1177</v>
      </c>
      <c r="AR164" s="29">
        <v>0</v>
      </c>
      <c r="AS164" s="7" t="s">
        <v>1177</v>
      </c>
      <c r="AT164" s="7" t="s">
        <v>1363</v>
      </c>
      <c r="AU164" s="38">
        <v>46275</v>
      </c>
      <c r="AV164" s="39">
        <v>0.60385416666667002</v>
      </c>
    </row>
    <row r="165" spans="1:48" x14ac:dyDescent="0.35">
      <c r="A165" t="str">
        <f t="shared" si="2"/>
        <v>565590B838</v>
      </c>
      <c r="B165" s="7" t="s">
        <v>3256</v>
      </c>
      <c r="C165" s="7" t="s">
        <v>744</v>
      </c>
      <c r="D165" s="7" t="s">
        <v>48</v>
      </c>
      <c r="E165" s="7" t="s">
        <v>1177</v>
      </c>
      <c r="F165" s="7" t="s">
        <v>128</v>
      </c>
      <c r="G165" s="7" t="s">
        <v>130</v>
      </c>
      <c r="H165" s="7" t="s">
        <v>129</v>
      </c>
      <c r="I165" s="30">
        <v>2</v>
      </c>
      <c r="J165" s="7" t="s">
        <v>1177</v>
      </c>
      <c r="K165" s="7" t="s">
        <v>1178</v>
      </c>
      <c r="L165" s="7" t="s">
        <v>132</v>
      </c>
      <c r="M165" s="7" t="s">
        <v>133</v>
      </c>
      <c r="N165" s="30">
        <v>0</v>
      </c>
      <c r="O165" s="30">
        <v>0</v>
      </c>
      <c r="P165" s="30">
        <v>0</v>
      </c>
      <c r="Q165" s="30">
        <v>0</v>
      </c>
      <c r="R165" s="29">
        <v>0</v>
      </c>
      <c r="S165" s="36">
        <v>0</v>
      </c>
      <c r="T165" s="7" t="s">
        <v>131</v>
      </c>
      <c r="U165" s="7" t="s">
        <v>745</v>
      </c>
      <c r="V165" s="7" t="s">
        <v>745</v>
      </c>
      <c r="W165" s="7" t="s">
        <v>1177</v>
      </c>
      <c r="X165" s="30">
        <v>1</v>
      </c>
      <c r="Y165" s="7" t="s">
        <v>1177</v>
      </c>
      <c r="Z165" s="7" t="s">
        <v>1178</v>
      </c>
      <c r="AA165" s="30">
        <v>0</v>
      </c>
      <c r="AB165" s="36">
        <v>0</v>
      </c>
      <c r="AC165" s="7" t="s">
        <v>1177</v>
      </c>
      <c r="AD165" s="37">
        <v>0</v>
      </c>
      <c r="AE165" s="7" t="s">
        <v>1177</v>
      </c>
      <c r="AF165" s="7" t="s">
        <v>1177</v>
      </c>
      <c r="AG165" s="7" t="s">
        <v>1177</v>
      </c>
      <c r="AH165" s="38"/>
      <c r="AI165" s="36">
        <v>0</v>
      </c>
      <c r="AJ165" s="7" t="s">
        <v>1193</v>
      </c>
      <c r="AK165" s="7" t="s">
        <v>1177</v>
      </c>
      <c r="AL165" s="7" t="s">
        <v>1177</v>
      </c>
      <c r="AM165" s="7" t="s">
        <v>1177</v>
      </c>
      <c r="AN165" s="7" t="s">
        <v>3212</v>
      </c>
      <c r="AO165" s="7" t="s">
        <v>1177</v>
      </c>
      <c r="AP165" s="7" t="s">
        <v>1177</v>
      </c>
      <c r="AQ165" s="7" t="s">
        <v>1177</v>
      </c>
      <c r="AR165" s="29">
        <v>0</v>
      </c>
      <c r="AS165" s="7" t="s">
        <v>1177</v>
      </c>
      <c r="AT165" s="7" t="s">
        <v>1363</v>
      </c>
      <c r="AU165" s="38">
        <v>46275</v>
      </c>
      <c r="AV165" s="39">
        <v>0.60446759259258998</v>
      </c>
    </row>
    <row r="166" spans="1:48" x14ac:dyDescent="0.35">
      <c r="A166" t="str">
        <f t="shared" si="2"/>
        <v>565590B856</v>
      </c>
      <c r="B166" s="7" t="s">
        <v>3256</v>
      </c>
      <c r="C166" s="7" t="s">
        <v>852</v>
      </c>
      <c r="D166" s="7" t="s">
        <v>21</v>
      </c>
      <c r="E166" s="7" t="s">
        <v>1177</v>
      </c>
      <c r="F166" s="7" t="s">
        <v>128</v>
      </c>
      <c r="G166" s="7" t="s">
        <v>130</v>
      </c>
      <c r="H166" s="7" t="s">
        <v>129</v>
      </c>
      <c r="I166" s="30">
        <v>2</v>
      </c>
      <c r="J166" s="7" t="s">
        <v>1177</v>
      </c>
      <c r="K166" s="7" t="s">
        <v>1178</v>
      </c>
      <c r="L166" s="7" t="s">
        <v>132</v>
      </c>
      <c r="M166" s="7" t="s">
        <v>133</v>
      </c>
      <c r="N166" s="30">
        <v>0</v>
      </c>
      <c r="O166" s="30">
        <v>0</v>
      </c>
      <c r="P166" s="30">
        <v>0</v>
      </c>
      <c r="Q166" s="30">
        <v>0</v>
      </c>
      <c r="R166" s="29">
        <v>0</v>
      </c>
      <c r="S166" s="36">
        <v>0</v>
      </c>
      <c r="T166" s="7" t="s">
        <v>131</v>
      </c>
      <c r="U166" s="7" t="s">
        <v>853</v>
      </c>
      <c r="V166" s="7" t="s">
        <v>853</v>
      </c>
      <c r="W166" s="7" t="s">
        <v>1177</v>
      </c>
      <c r="X166" s="30">
        <v>1</v>
      </c>
      <c r="Y166" s="7" t="s">
        <v>1177</v>
      </c>
      <c r="Z166" s="7" t="s">
        <v>1178</v>
      </c>
      <c r="AA166" s="30">
        <v>0</v>
      </c>
      <c r="AB166" s="36">
        <v>0</v>
      </c>
      <c r="AC166" s="7" t="s">
        <v>1177</v>
      </c>
      <c r="AD166" s="37">
        <v>0</v>
      </c>
      <c r="AE166" s="7" t="s">
        <v>1177</v>
      </c>
      <c r="AF166" s="7" t="s">
        <v>1177</v>
      </c>
      <c r="AG166" s="7" t="s">
        <v>1177</v>
      </c>
      <c r="AH166" s="38"/>
      <c r="AI166" s="36">
        <v>0</v>
      </c>
      <c r="AJ166" s="7" t="s">
        <v>1193</v>
      </c>
      <c r="AK166" s="7" t="s">
        <v>1177</v>
      </c>
      <c r="AL166" s="7" t="s">
        <v>1177</v>
      </c>
      <c r="AM166" s="7" t="s">
        <v>1177</v>
      </c>
      <c r="AN166" s="7" t="s">
        <v>3212</v>
      </c>
      <c r="AO166" s="7" t="s">
        <v>1177</v>
      </c>
      <c r="AP166" s="7" t="s">
        <v>1177</v>
      </c>
      <c r="AQ166" s="7" t="s">
        <v>1177</v>
      </c>
      <c r="AR166" s="29">
        <v>0</v>
      </c>
      <c r="AS166" s="7" t="s">
        <v>1177</v>
      </c>
      <c r="AT166" s="7" t="s">
        <v>1363</v>
      </c>
      <c r="AU166" s="38">
        <v>46275</v>
      </c>
      <c r="AV166" s="39">
        <v>0.60524305555556002</v>
      </c>
    </row>
    <row r="167" spans="1:48" x14ac:dyDescent="0.35">
      <c r="A167" t="str">
        <f t="shared" si="2"/>
        <v>565590B864</v>
      </c>
      <c r="B167" s="7" t="s">
        <v>3256</v>
      </c>
      <c r="C167" s="7" t="s">
        <v>1010</v>
      </c>
      <c r="D167" s="7" t="s">
        <v>10</v>
      </c>
      <c r="E167" s="7" t="s">
        <v>1177</v>
      </c>
      <c r="F167" s="7" t="s">
        <v>128</v>
      </c>
      <c r="G167" s="7" t="s">
        <v>130</v>
      </c>
      <c r="H167" s="7" t="s">
        <v>129</v>
      </c>
      <c r="I167" s="30">
        <v>2</v>
      </c>
      <c r="J167" s="7" t="s">
        <v>1177</v>
      </c>
      <c r="K167" s="7" t="s">
        <v>1178</v>
      </c>
      <c r="L167" s="7" t="s">
        <v>132</v>
      </c>
      <c r="M167" s="7" t="s">
        <v>133</v>
      </c>
      <c r="N167" s="30">
        <v>0</v>
      </c>
      <c r="O167" s="30">
        <v>0</v>
      </c>
      <c r="P167" s="30">
        <v>0</v>
      </c>
      <c r="Q167" s="30">
        <v>0</v>
      </c>
      <c r="R167" s="29">
        <v>0</v>
      </c>
      <c r="S167" s="36">
        <v>0</v>
      </c>
      <c r="T167" s="7" t="s">
        <v>131</v>
      </c>
      <c r="U167" s="7" t="s">
        <v>1011</v>
      </c>
      <c r="V167" s="7" t="s">
        <v>1011</v>
      </c>
      <c r="W167" s="7" t="s">
        <v>1177</v>
      </c>
      <c r="X167" s="30">
        <v>1</v>
      </c>
      <c r="Y167" s="7" t="s">
        <v>1177</v>
      </c>
      <c r="Z167" s="7" t="s">
        <v>1178</v>
      </c>
      <c r="AA167" s="30">
        <v>0</v>
      </c>
      <c r="AB167" s="36">
        <v>0</v>
      </c>
      <c r="AC167" s="7" t="s">
        <v>1177</v>
      </c>
      <c r="AD167" s="37">
        <v>0</v>
      </c>
      <c r="AE167" s="7" t="s">
        <v>1177</v>
      </c>
      <c r="AF167" s="7" t="s">
        <v>1177</v>
      </c>
      <c r="AG167" s="7" t="s">
        <v>1177</v>
      </c>
      <c r="AH167" s="38"/>
      <c r="AI167" s="36">
        <v>0</v>
      </c>
      <c r="AJ167" s="7" t="s">
        <v>1193</v>
      </c>
      <c r="AK167" s="7" t="s">
        <v>1177</v>
      </c>
      <c r="AL167" s="7" t="s">
        <v>1177</v>
      </c>
      <c r="AM167" s="7" t="s">
        <v>1177</v>
      </c>
      <c r="AN167" s="7" t="s">
        <v>3212</v>
      </c>
      <c r="AO167" s="7" t="s">
        <v>1177</v>
      </c>
      <c r="AP167" s="7" t="s">
        <v>1177</v>
      </c>
      <c r="AQ167" s="7" t="s">
        <v>1177</v>
      </c>
      <c r="AR167" s="29">
        <v>0</v>
      </c>
      <c r="AS167" s="7" t="s">
        <v>1177</v>
      </c>
      <c r="AT167" s="7" t="s">
        <v>1363</v>
      </c>
      <c r="AU167" s="38">
        <v>46275</v>
      </c>
      <c r="AV167" s="39">
        <v>0.60541666666667004</v>
      </c>
    </row>
    <row r="168" spans="1:48" x14ac:dyDescent="0.35">
      <c r="A168" t="str">
        <f t="shared" si="2"/>
        <v>565590B865</v>
      </c>
      <c r="B168" s="7" t="s">
        <v>3256</v>
      </c>
      <c r="C168" s="7" t="s">
        <v>1039</v>
      </c>
      <c r="D168" s="7" t="s">
        <v>7</v>
      </c>
      <c r="E168" s="7" t="s">
        <v>1177</v>
      </c>
      <c r="F168" s="7" t="s">
        <v>128</v>
      </c>
      <c r="G168" s="7" t="s">
        <v>130</v>
      </c>
      <c r="H168" s="7" t="s">
        <v>129</v>
      </c>
      <c r="I168" s="30">
        <v>1</v>
      </c>
      <c r="J168" s="7" t="s">
        <v>1177</v>
      </c>
      <c r="K168" s="7" t="s">
        <v>1178</v>
      </c>
      <c r="L168" s="7" t="s">
        <v>132</v>
      </c>
      <c r="M168" s="7" t="s">
        <v>133</v>
      </c>
      <c r="N168" s="30">
        <v>0</v>
      </c>
      <c r="O168" s="30">
        <v>0</v>
      </c>
      <c r="P168" s="30">
        <v>0</v>
      </c>
      <c r="Q168" s="30">
        <v>0</v>
      </c>
      <c r="R168" s="29">
        <v>0</v>
      </c>
      <c r="S168" s="36">
        <v>0</v>
      </c>
      <c r="T168" s="7" t="s">
        <v>131</v>
      </c>
      <c r="U168" s="7" t="s">
        <v>1040</v>
      </c>
      <c r="V168" s="7" t="s">
        <v>1040</v>
      </c>
      <c r="W168" s="7" t="s">
        <v>1177</v>
      </c>
      <c r="X168" s="30">
        <v>1</v>
      </c>
      <c r="Y168" s="7" t="s">
        <v>1177</v>
      </c>
      <c r="Z168" s="7" t="s">
        <v>1178</v>
      </c>
      <c r="AA168" s="30">
        <v>0</v>
      </c>
      <c r="AB168" s="36">
        <v>0</v>
      </c>
      <c r="AC168" s="7" t="s">
        <v>1177</v>
      </c>
      <c r="AD168" s="37">
        <v>0</v>
      </c>
      <c r="AE168" s="7" t="s">
        <v>1177</v>
      </c>
      <c r="AF168" s="7" t="s">
        <v>1177</v>
      </c>
      <c r="AG168" s="7" t="s">
        <v>1177</v>
      </c>
      <c r="AH168" s="38"/>
      <c r="AI168" s="36">
        <v>0</v>
      </c>
      <c r="AJ168" s="7" t="s">
        <v>1193</v>
      </c>
      <c r="AK168" s="7" t="s">
        <v>1177</v>
      </c>
      <c r="AL168" s="7" t="s">
        <v>1177</v>
      </c>
      <c r="AM168" s="7" t="s">
        <v>1177</v>
      </c>
      <c r="AN168" s="7" t="s">
        <v>3212</v>
      </c>
      <c r="AO168" s="7" t="s">
        <v>1177</v>
      </c>
      <c r="AP168" s="7" t="s">
        <v>1177</v>
      </c>
      <c r="AQ168" s="7" t="s">
        <v>1177</v>
      </c>
      <c r="AR168" s="29">
        <v>0</v>
      </c>
      <c r="AS168" s="7" t="s">
        <v>1177</v>
      </c>
      <c r="AT168" s="7" t="s">
        <v>1363</v>
      </c>
      <c r="AU168" s="38">
        <v>46275</v>
      </c>
      <c r="AV168" s="39">
        <v>0.60550925925926002</v>
      </c>
    </row>
    <row r="169" spans="1:48" x14ac:dyDescent="0.35">
      <c r="A169" t="str">
        <f t="shared" si="2"/>
        <v>565784B825</v>
      </c>
      <c r="B169" s="7" t="s">
        <v>3257</v>
      </c>
      <c r="C169" s="7" t="s">
        <v>511</v>
      </c>
      <c r="D169" s="7" t="s">
        <v>16</v>
      </c>
      <c r="E169" s="7" t="s">
        <v>1177</v>
      </c>
      <c r="F169" s="7" t="s">
        <v>128</v>
      </c>
      <c r="G169" s="7" t="s">
        <v>130</v>
      </c>
      <c r="H169" s="7" t="s">
        <v>129</v>
      </c>
      <c r="I169" s="30">
        <v>1</v>
      </c>
      <c r="J169" s="7" t="s">
        <v>1177</v>
      </c>
      <c r="K169" s="7" t="s">
        <v>1178</v>
      </c>
      <c r="L169" s="7" t="s">
        <v>132</v>
      </c>
      <c r="M169" s="7" t="s">
        <v>133</v>
      </c>
      <c r="N169" s="30">
        <v>0</v>
      </c>
      <c r="O169" s="30">
        <v>0</v>
      </c>
      <c r="P169" s="30">
        <v>0</v>
      </c>
      <c r="Q169" s="30">
        <v>0</v>
      </c>
      <c r="R169" s="29">
        <v>0</v>
      </c>
      <c r="S169" s="36">
        <v>0</v>
      </c>
      <c r="T169" s="7" t="s">
        <v>131</v>
      </c>
      <c r="U169" s="7" t="s">
        <v>512</v>
      </c>
      <c r="V169" s="7" t="s">
        <v>512</v>
      </c>
      <c r="W169" s="7" t="s">
        <v>1177</v>
      </c>
      <c r="X169" s="30">
        <v>1</v>
      </c>
      <c r="Y169" s="7" t="s">
        <v>1177</v>
      </c>
      <c r="Z169" s="7" t="s">
        <v>1178</v>
      </c>
      <c r="AA169" s="30">
        <v>0</v>
      </c>
      <c r="AB169" s="36">
        <v>0</v>
      </c>
      <c r="AC169" s="7" t="s">
        <v>1177</v>
      </c>
      <c r="AD169" s="37">
        <v>0</v>
      </c>
      <c r="AE169" s="7" t="s">
        <v>1177</v>
      </c>
      <c r="AF169" s="7" t="s">
        <v>1177</v>
      </c>
      <c r="AG169" s="7" t="s">
        <v>1177</v>
      </c>
      <c r="AH169" s="38"/>
      <c r="AI169" s="36">
        <v>0</v>
      </c>
      <c r="AJ169" s="7" t="s">
        <v>1193</v>
      </c>
      <c r="AK169" s="7" t="s">
        <v>1177</v>
      </c>
      <c r="AL169" s="7" t="s">
        <v>1177</v>
      </c>
      <c r="AM169" s="7" t="s">
        <v>1177</v>
      </c>
      <c r="AN169" s="7" t="s">
        <v>3212</v>
      </c>
      <c r="AO169" s="7" t="s">
        <v>1177</v>
      </c>
      <c r="AP169" s="7" t="s">
        <v>1177</v>
      </c>
      <c r="AQ169" s="7" t="s">
        <v>1177</v>
      </c>
      <c r="AR169" s="29">
        <v>0</v>
      </c>
      <c r="AS169" s="7" t="s">
        <v>1177</v>
      </c>
      <c r="AT169" s="7" t="s">
        <v>1363</v>
      </c>
      <c r="AU169" s="38">
        <v>46275</v>
      </c>
      <c r="AV169" s="39">
        <v>0.60354166666666997</v>
      </c>
    </row>
    <row r="170" spans="1:48" x14ac:dyDescent="0.35">
      <c r="A170" t="str">
        <f t="shared" si="2"/>
        <v>565784B832</v>
      </c>
      <c r="B170" s="7" t="s">
        <v>3257</v>
      </c>
      <c r="C170" s="7" t="s">
        <v>653</v>
      </c>
      <c r="D170" s="7" t="s">
        <v>19</v>
      </c>
      <c r="E170" s="7" t="s">
        <v>1177</v>
      </c>
      <c r="F170" s="7" t="s">
        <v>128</v>
      </c>
      <c r="G170" s="7" t="s">
        <v>130</v>
      </c>
      <c r="H170" s="7" t="s">
        <v>129</v>
      </c>
      <c r="I170" s="30">
        <v>2</v>
      </c>
      <c r="J170" s="7" t="s">
        <v>1177</v>
      </c>
      <c r="K170" s="7" t="s">
        <v>1178</v>
      </c>
      <c r="L170" s="7" t="s">
        <v>132</v>
      </c>
      <c r="M170" s="7" t="s">
        <v>133</v>
      </c>
      <c r="N170" s="30">
        <v>0</v>
      </c>
      <c r="O170" s="30">
        <v>0</v>
      </c>
      <c r="P170" s="30">
        <v>0</v>
      </c>
      <c r="Q170" s="30">
        <v>0</v>
      </c>
      <c r="R170" s="29">
        <v>0</v>
      </c>
      <c r="S170" s="36">
        <v>0</v>
      </c>
      <c r="T170" s="7" t="s">
        <v>131</v>
      </c>
      <c r="U170" s="7" t="s">
        <v>654</v>
      </c>
      <c r="V170" s="7" t="s">
        <v>654</v>
      </c>
      <c r="W170" s="7" t="s">
        <v>1177</v>
      </c>
      <c r="X170" s="30">
        <v>1</v>
      </c>
      <c r="Y170" s="7" t="s">
        <v>1177</v>
      </c>
      <c r="Z170" s="7" t="s">
        <v>1178</v>
      </c>
      <c r="AA170" s="30">
        <v>0</v>
      </c>
      <c r="AB170" s="36">
        <v>0</v>
      </c>
      <c r="AC170" s="7" t="s">
        <v>1177</v>
      </c>
      <c r="AD170" s="37">
        <v>0</v>
      </c>
      <c r="AE170" s="7" t="s">
        <v>1177</v>
      </c>
      <c r="AF170" s="7" t="s">
        <v>1177</v>
      </c>
      <c r="AG170" s="7" t="s">
        <v>1177</v>
      </c>
      <c r="AH170" s="38"/>
      <c r="AI170" s="36">
        <v>0</v>
      </c>
      <c r="AJ170" s="7" t="s">
        <v>1193</v>
      </c>
      <c r="AK170" s="7" t="s">
        <v>1177</v>
      </c>
      <c r="AL170" s="7" t="s">
        <v>1177</v>
      </c>
      <c r="AM170" s="7" t="s">
        <v>1177</v>
      </c>
      <c r="AN170" s="7" t="s">
        <v>3212</v>
      </c>
      <c r="AO170" s="7" t="s">
        <v>1177</v>
      </c>
      <c r="AP170" s="7" t="s">
        <v>1177</v>
      </c>
      <c r="AQ170" s="7" t="s">
        <v>1177</v>
      </c>
      <c r="AR170" s="29">
        <v>0</v>
      </c>
      <c r="AS170" s="7" t="s">
        <v>1177</v>
      </c>
      <c r="AT170" s="7" t="s">
        <v>1363</v>
      </c>
      <c r="AU170" s="38">
        <v>46275</v>
      </c>
      <c r="AV170" s="39">
        <v>0.60385416666667002</v>
      </c>
    </row>
    <row r="171" spans="1:48" x14ac:dyDescent="0.35">
      <c r="A171" t="str">
        <f t="shared" si="2"/>
        <v>565784B857</v>
      </c>
      <c r="B171" s="7" t="s">
        <v>3257</v>
      </c>
      <c r="C171" s="7" t="s">
        <v>958</v>
      </c>
      <c r="D171" s="7" t="s">
        <v>23</v>
      </c>
      <c r="E171" s="7" t="s">
        <v>1177</v>
      </c>
      <c r="F171" s="7" t="s">
        <v>128</v>
      </c>
      <c r="G171" s="7" t="s">
        <v>130</v>
      </c>
      <c r="H171" s="7" t="s">
        <v>129</v>
      </c>
      <c r="I171" s="30">
        <v>1</v>
      </c>
      <c r="J171" s="7" t="s">
        <v>1177</v>
      </c>
      <c r="K171" s="7" t="s">
        <v>1178</v>
      </c>
      <c r="L171" s="7" t="s">
        <v>132</v>
      </c>
      <c r="M171" s="7" t="s">
        <v>133</v>
      </c>
      <c r="N171" s="30">
        <v>0</v>
      </c>
      <c r="O171" s="30">
        <v>0</v>
      </c>
      <c r="P171" s="30">
        <v>0</v>
      </c>
      <c r="Q171" s="30">
        <v>0</v>
      </c>
      <c r="R171" s="29">
        <v>0</v>
      </c>
      <c r="S171" s="36">
        <v>0</v>
      </c>
      <c r="T171" s="7" t="s">
        <v>131</v>
      </c>
      <c r="U171" s="7" t="s">
        <v>959</v>
      </c>
      <c r="V171" s="7" t="s">
        <v>959</v>
      </c>
      <c r="W171" s="7" t="s">
        <v>1177</v>
      </c>
      <c r="X171" s="30">
        <v>1</v>
      </c>
      <c r="Y171" s="7" t="s">
        <v>1177</v>
      </c>
      <c r="Z171" s="7" t="s">
        <v>1178</v>
      </c>
      <c r="AA171" s="30">
        <v>0</v>
      </c>
      <c r="AB171" s="36">
        <v>0</v>
      </c>
      <c r="AC171" s="7" t="s">
        <v>1177</v>
      </c>
      <c r="AD171" s="37">
        <v>0</v>
      </c>
      <c r="AE171" s="7" t="s">
        <v>1177</v>
      </c>
      <c r="AF171" s="7" t="s">
        <v>1177</v>
      </c>
      <c r="AG171" s="7" t="s">
        <v>1177</v>
      </c>
      <c r="AH171" s="38"/>
      <c r="AI171" s="36">
        <v>0</v>
      </c>
      <c r="AJ171" s="7" t="s">
        <v>1193</v>
      </c>
      <c r="AK171" s="7" t="s">
        <v>1177</v>
      </c>
      <c r="AL171" s="7" t="s">
        <v>1177</v>
      </c>
      <c r="AM171" s="7" t="s">
        <v>1177</v>
      </c>
      <c r="AN171" s="7" t="s">
        <v>3212</v>
      </c>
      <c r="AO171" s="7" t="s">
        <v>1177</v>
      </c>
      <c r="AP171" s="7" t="s">
        <v>1177</v>
      </c>
      <c r="AQ171" s="7" t="s">
        <v>1177</v>
      </c>
      <c r="AR171" s="29">
        <v>0</v>
      </c>
      <c r="AS171" s="7" t="s">
        <v>1177</v>
      </c>
      <c r="AT171" s="7" t="s">
        <v>1363</v>
      </c>
      <c r="AU171" s="38">
        <v>46275</v>
      </c>
      <c r="AV171" s="39">
        <v>0.60528935185184995</v>
      </c>
    </row>
    <row r="172" spans="1:48" x14ac:dyDescent="0.35">
      <c r="A172" t="str">
        <f t="shared" si="2"/>
        <v>565784B865</v>
      </c>
      <c r="B172" s="7" t="s">
        <v>3257</v>
      </c>
      <c r="C172" s="7" t="s">
        <v>1039</v>
      </c>
      <c r="D172" s="7" t="s">
        <v>7</v>
      </c>
      <c r="E172" s="7" t="s">
        <v>1177</v>
      </c>
      <c r="F172" s="7" t="s">
        <v>128</v>
      </c>
      <c r="G172" s="7" t="s">
        <v>130</v>
      </c>
      <c r="H172" s="7" t="s">
        <v>129</v>
      </c>
      <c r="I172" s="30">
        <v>1</v>
      </c>
      <c r="J172" s="7" t="s">
        <v>1177</v>
      </c>
      <c r="K172" s="7" t="s">
        <v>1178</v>
      </c>
      <c r="L172" s="7" t="s">
        <v>132</v>
      </c>
      <c r="M172" s="7" t="s">
        <v>133</v>
      </c>
      <c r="N172" s="30">
        <v>0</v>
      </c>
      <c r="O172" s="30">
        <v>0</v>
      </c>
      <c r="P172" s="30">
        <v>0</v>
      </c>
      <c r="Q172" s="30">
        <v>0</v>
      </c>
      <c r="R172" s="29">
        <v>0</v>
      </c>
      <c r="S172" s="36">
        <v>0</v>
      </c>
      <c r="T172" s="7" t="s">
        <v>131</v>
      </c>
      <c r="U172" s="7" t="s">
        <v>1040</v>
      </c>
      <c r="V172" s="7" t="s">
        <v>1040</v>
      </c>
      <c r="W172" s="7" t="s">
        <v>1177</v>
      </c>
      <c r="X172" s="30">
        <v>1</v>
      </c>
      <c r="Y172" s="7" t="s">
        <v>1177</v>
      </c>
      <c r="Z172" s="7" t="s">
        <v>1178</v>
      </c>
      <c r="AA172" s="30">
        <v>0</v>
      </c>
      <c r="AB172" s="36">
        <v>0</v>
      </c>
      <c r="AC172" s="7" t="s">
        <v>1177</v>
      </c>
      <c r="AD172" s="37">
        <v>0</v>
      </c>
      <c r="AE172" s="7" t="s">
        <v>1177</v>
      </c>
      <c r="AF172" s="7" t="s">
        <v>1177</v>
      </c>
      <c r="AG172" s="7" t="s">
        <v>1177</v>
      </c>
      <c r="AH172" s="38"/>
      <c r="AI172" s="36">
        <v>0</v>
      </c>
      <c r="AJ172" s="7" t="s">
        <v>1193</v>
      </c>
      <c r="AK172" s="7" t="s">
        <v>1177</v>
      </c>
      <c r="AL172" s="7" t="s">
        <v>1177</v>
      </c>
      <c r="AM172" s="7" t="s">
        <v>1177</v>
      </c>
      <c r="AN172" s="7" t="s">
        <v>3212</v>
      </c>
      <c r="AO172" s="7" t="s">
        <v>1177</v>
      </c>
      <c r="AP172" s="7" t="s">
        <v>1177</v>
      </c>
      <c r="AQ172" s="7" t="s">
        <v>1177</v>
      </c>
      <c r="AR172" s="29">
        <v>0</v>
      </c>
      <c r="AS172" s="7" t="s">
        <v>1177</v>
      </c>
      <c r="AT172" s="7" t="s">
        <v>1363</v>
      </c>
      <c r="AU172" s="38">
        <v>46275</v>
      </c>
      <c r="AV172" s="39">
        <v>0.60550925925926002</v>
      </c>
    </row>
    <row r="173" spans="1:48" x14ac:dyDescent="0.35">
      <c r="A173" t="str">
        <f t="shared" si="2"/>
        <v>565784B867</v>
      </c>
      <c r="B173" s="7" t="s">
        <v>3257</v>
      </c>
      <c r="C173" s="7" t="s">
        <v>1059</v>
      </c>
      <c r="D173" s="7" t="s">
        <v>25</v>
      </c>
      <c r="E173" s="7" t="s">
        <v>1177</v>
      </c>
      <c r="F173" s="7" t="s">
        <v>128</v>
      </c>
      <c r="G173" s="7" t="s">
        <v>130</v>
      </c>
      <c r="H173" s="7" t="s">
        <v>129</v>
      </c>
      <c r="I173" s="30">
        <v>1</v>
      </c>
      <c r="J173" s="7" t="s">
        <v>1177</v>
      </c>
      <c r="K173" s="7" t="s">
        <v>1178</v>
      </c>
      <c r="L173" s="7" t="s">
        <v>132</v>
      </c>
      <c r="M173" s="7" t="s">
        <v>133</v>
      </c>
      <c r="N173" s="30">
        <v>0</v>
      </c>
      <c r="O173" s="30">
        <v>0</v>
      </c>
      <c r="P173" s="30">
        <v>0</v>
      </c>
      <c r="Q173" s="30">
        <v>0</v>
      </c>
      <c r="R173" s="29">
        <v>0</v>
      </c>
      <c r="S173" s="36">
        <v>0</v>
      </c>
      <c r="T173" s="7" t="s">
        <v>131</v>
      </c>
      <c r="U173" s="7" t="s">
        <v>1060</v>
      </c>
      <c r="V173" s="7" t="s">
        <v>1060</v>
      </c>
      <c r="W173" s="7" t="s">
        <v>1177</v>
      </c>
      <c r="X173" s="30">
        <v>1</v>
      </c>
      <c r="Y173" s="7" t="s">
        <v>1177</v>
      </c>
      <c r="Z173" s="7" t="s">
        <v>1178</v>
      </c>
      <c r="AA173" s="30">
        <v>0</v>
      </c>
      <c r="AB173" s="36">
        <v>0</v>
      </c>
      <c r="AC173" s="7" t="s">
        <v>1177</v>
      </c>
      <c r="AD173" s="37">
        <v>0</v>
      </c>
      <c r="AE173" s="7" t="s">
        <v>1177</v>
      </c>
      <c r="AF173" s="7" t="s">
        <v>1177</v>
      </c>
      <c r="AG173" s="7" t="s">
        <v>1177</v>
      </c>
      <c r="AH173" s="38"/>
      <c r="AI173" s="36">
        <v>0</v>
      </c>
      <c r="AJ173" s="7" t="s">
        <v>1193</v>
      </c>
      <c r="AK173" s="7" t="s">
        <v>1177</v>
      </c>
      <c r="AL173" s="7" t="s">
        <v>1177</v>
      </c>
      <c r="AM173" s="7" t="s">
        <v>1177</v>
      </c>
      <c r="AN173" s="7" t="s">
        <v>3212</v>
      </c>
      <c r="AO173" s="7" t="s">
        <v>1177</v>
      </c>
      <c r="AP173" s="7" t="s">
        <v>1177</v>
      </c>
      <c r="AQ173" s="7" t="s">
        <v>1177</v>
      </c>
      <c r="AR173" s="29">
        <v>0</v>
      </c>
      <c r="AS173" s="7" t="s">
        <v>1177</v>
      </c>
      <c r="AT173" s="7" t="s">
        <v>1363</v>
      </c>
      <c r="AU173" s="38">
        <v>46275</v>
      </c>
      <c r="AV173" s="39">
        <v>0.60569444444443998</v>
      </c>
    </row>
    <row r="174" spans="1:48" x14ac:dyDescent="0.35">
      <c r="A174" t="str">
        <f t="shared" si="2"/>
        <v>8330001915B825</v>
      </c>
      <c r="B174" s="7" t="s">
        <v>3258</v>
      </c>
      <c r="C174" s="7" t="s">
        <v>511</v>
      </c>
      <c r="D174" s="7" t="s">
        <v>16</v>
      </c>
      <c r="E174" s="7" t="s">
        <v>1177</v>
      </c>
      <c r="F174" s="7" t="s">
        <v>128</v>
      </c>
      <c r="G174" s="7" t="s">
        <v>130</v>
      </c>
      <c r="H174" s="7" t="s">
        <v>129</v>
      </c>
      <c r="I174" s="30">
        <v>2</v>
      </c>
      <c r="J174" s="7" t="s">
        <v>1177</v>
      </c>
      <c r="K174" s="7" t="s">
        <v>1178</v>
      </c>
      <c r="L174" s="7" t="s">
        <v>132</v>
      </c>
      <c r="M174" s="7" t="s">
        <v>133</v>
      </c>
      <c r="N174" s="30">
        <v>0</v>
      </c>
      <c r="O174" s="30">
        <v>0</v>
      </c>
      <c r="P174" s="30">
        <v>0</v>
      </c>
      <c r="Q174" s="30">
        <v>0</v>
      </c>
      <c r="R174" s="29">
        <v>0</v>
      </c>
      <c r="S174" s="36">
        <v>0</v>
      </c>
      <c r="T174" s="7" t="s">
        <v>131</v>
      </c>
      <c r="U174" s="7" t="s">
        <v>512</v>
      </c>
      <c r="V174" s="7" t="s">
        <v>512</v>
      </c>
      <c r="W174" s="7" t="s">
        <v>1177</v>
      </c>
      <c r="X174" s="30">
        <v>1</v>
      </c>
      <c r="Y174" s="7" t="s">
        <v>1177</v>
      </c>
      <c r="Z174" s="7" t="s">
        <v>1178</v>
      </c>
      <c r="AA174" s="30">
        <v>0</v>
      </c>
      <c r="AB174" s="36">
        <v>0</v>
      </c>
      <c r="AC174" s="7" t="s">
        <v>1177</v>
      </c>
      <c r="AD174" s="37">
        <v>0</v>
      </c>
      <c r="AE174" s="7" t="s">
        <v>1177</v>
      </c>
      <c r="AF174" s="7" t="s">
        <v>1177</v>
      </c>
      <c r="AG174" s="7" t="s">
        <v>1177</v>
      </c>
      <c r="AH174" s="38"/>
      <c r="AI174" s="36">
        <v>0</v>
      </c>
      <c r="AJ174" s="7" t="s">
        <v>1193</v>
      </c>
      <c r="AK174" s="7" t="s">
        <v>1177</v>
      </c>
      <c r="AL174" s="7" t="s">
        <v>1177</v>
      </c>
      <c r="AM174" s="7" t="s">
        <v>1177</v>
      </c>
      <c r="AN174" s="7" t="s">
        <v>3212</v>
      </c>
      <c r="AO174" s="7" t="s">
        <v>1177</v>
      </c>
      <c r="AP174" s="7" t="s">
        <v>1177</v>
      </c>
      <c r="AQ174" s="7" t="s">
        <v>1177</v>
      </c>
      <c r="AR174" s="29">
        <v>0</v>
      </c>
      <c r="AS174" s="7" t="s">
        <v>1177</v>
      </c>
      <c r="AT174" s="7" t="s">
        <v>1363</v>
      </c>
      <c r="AU174" s="38">
        <v>46275</v>
      </c>
      <c r="AV174" s="39">
        <v>0.60354166666666997</v>
      </c>
    </row>
    <row r="175" spans="1:48" x14ac:dyDescent="0.35">
      <c r="A175" t="str">
        <f t="shared" si="2"/>
        <v>8330001915B832</v>
      </c>
      <c r="B175" s="7" t="s">
        <v>3258</v>
      </c>
      <c r="C175" s="7" t="s">
        <v>653</v>
      </c>
      <c r="D175" s="7" t="s">
        <v>19</v>
      </c>
      <c r="E175" s="7" t="s">
        <v>1177</v>
      </c>
      <c r="F175" s="7" t="s">
        <v>128</v>
      </c>
      <c r="G175" s="7" t="s">
        <v>130</v>
      </c>
      <c r="H175" s="7" t="s">
        <v>129</v>
      </c>
      <c r="I175" s="30">
        <v>2</v>
      </c>
      <c r="J175" s="7" t="s">
        <v>1177</v>
      </c>
      <c r="K175" s="7" t="s">
        <v>1178</v>
      </c>
      <c r="L175" s="7" t="s">
        <v>132</v>
      </c>
      <c r="M175" s="7" t="s">
        <v>133</v>
      </c>
      <c r="N175" s="30">
        <v>0</v>
      </c>
      <c r="O175" s="30">
        <v>0</v>
      </c>
      <c r="P175" s="30">
        <v>0</v>
      </c>
      <c r="Q175" s="30">
        <v>0</v>
      </c>
      <c r="R175" s="29">
        <v>0</v>
      </c>
      <c r="S175" s="36">
        <v>0</v>
      </c>
      <c r="T175" s="7" t="s">
        <v>131</v>
      </c>
      <c r="U175" s="7" t="s">
        <v>654</v>
      </c>
      <c r="V175" s="7" t="s">
        <v>654</v>
      </c>
      <c r="W175" s="7" t="s">
        <v>1177</v>
      </c>
      <c r="X175" s="30">
        <v>1</v>
      </c>
      <c r="Y175" s="7" t="s">
        <v>1177</v>
      </c>
      <c r="Z175" s="7" t="s">
        <v>1178</v>
      </c>
      <c r="AA175" s="30">
        <v>0</v>
      </c>
      <c r="AB175" s="36">
        <v>0</v>
      </c>
      <c r="AC175" s="7" t="s">
        <v>1177</v>
      </c>
      <c r="AD175" s="37">
        <v>0</v>
      </c>
      <c r="AE175" s="7" t="s">
        <v>1177</v>
      </c>
      <c r="AF175" s="7" t="s">
        <v>1177</v>
      </c>
      <c r="AG175" s="7" t="s">
        <v>1177</v>
      </c>
      <c r="AH175" s="38"/>
      <c r="AI175" s="36">
        <v>0</v>
      </c>
      <c r="AJ175" s="7" t="s">
        <v>1193</v>
      </c>
      <c r="AK175" s="7" t="s">
        <v>1177</v>
      </c>
      <c r="AL175" s="7" t="s">
        <v>1177</v>
      </c>
      <c r="AM175" s="7" t="s">
        <v>1177</v>
      </c>
      <c r="AN175" s="7" t="s">
        <v>3212</v>
      </c>
      <c r="AO175" s="7" t="s">
        <v>1177</v>
      </c>
      <c r="AP175" s="7" t="s">
        <v>1177</v>
      </c>
      <c r="AQ175" s="7" t="s">
        <v>1177</v>
      </c>
      <c r="AR175" s="29">
        <v>0</v>
      </c>
      <c r="AS175" s="7" t="s">
        <v>1177</v>
      </c>
      <c r="AT175" s="7" t="s">
        <v>1363</v>
      </c>
      <c r="AU175" s="38">
        <v>46275</v>
      </c>
      <c r="AV175" s="39">
        <v>0.60385416666667002</v>
      </c>
    </row>
    <row r="176" spans="1:48" x14ac:dyDescent="0.35">
      <c r="A176" t="str">
        <f t="shared" si="2"/>
        <v>094588CB825</v>
      </c>
      <c r="B176" s="7" t="s">
        <v>338</v>
      </c>
      <c r="C176" s="7" t="s">
        <v>511</v>
      </c>
      <c r="D176" s="7" t="s">
        <v>16</v>
      </c>
      <c r="E176" s="7" t="s">
        <v>1177</v>
      </c>
      <c r="F176" s="7" t="s">
        <v>128</v>
      </c>
      <c r="G176" s="7" t="s">
        <v>130</v>
      </c>
      <c r="H176" s="7" t="s">
        <v>129</v>
      </c>
      <c r="I176" s="30">
        <v>36</v>
      </c>
      <c r="J176" s="7" t="s">
        <v>1177</v>
      </c>
      <c r="K176" s="7" t="s">
        <v>1178</v>
      </c>
      <c r="L176" s="7" t="s">
        <v>132</v>
      </c>
      <c r="M176" s="7" t="s">
        <v>206</v>
      </c>
      <c r="N176" s="30">
        <v>0</v>
      </c>
      <c r="O176" s="30">
        <v>0</v>
      </c>
      <c r="P176" s="30">
        <v>0</v>
      </c>
      <c r="Q176" s="30">
        <v>0</v>
      </c>
      <c r="R176" s="29">
        <v>0</v>
      </c>
      <c r="S176" s="36">
        <v>0</v>
      </c>
      <c r="T176" s="7" t="s">
        <v>131</v>
      </c>
      <c r="U176" s="7" t="s">
        <v>512</v>
      </c>
      <c r="V176" s="7" t="s">
        <v>512</v>
      </c>
      <c r="W176" s="7" t="s">
        <v>1177</v>
      </c>
      <c r="X176" s="30">
        <v>9</v>
      </c>
      <c r="Y176" s="7" t="s">
        <v>1177</v>
      </c>
      <c r="Z176" s="7" t="s">
        <v>1178</v>
      </c>
      <c r="AA176" s="30">
        <v>0</v>
      </c>
      <c r="AB176" s="36">
        <v>0</v>
      </c>
      <c r="AC176" s="7" t="s">
        <v>1177</v>
      </c>
      <c r="AD176" s="37">
        <v>0</v>
      </c>
      <c r="AE176" s="7" t="s">
        <v>1177</v>
      </c>
      <c r="AF176" s="7" t="s">
        <v>1177</v>
      </c>
      <c r="AG176" s="7" t="s">
        <v>1177</v>
      </c>
      <c r="AH176" s="38"/>
      <c r="AI176" s="36">
        <v>0</v>
      </c>
      <c r="AJ176" s="7" t="s">
        <v>1193</v>
      </c>
      <c r="AK176" s="7" t="s">
        <v>1177</v>
      </c>
      <c r="AL176" s="7" t="s">
        <v>1177</v>
      </c>
      <c r="AM176" s="7" t="s">
        <v>1177</v>
      </c>
      <c r="AN176" s="7" t="s">
        <v>3212</v>
      </c>
      <c r="AO176" s="7" t="s">
        <v>1177</v>
      </c>
      <c r="AP176" s="7" t="s">
        <v>1177</v>
      </c>
      <c r="AQ176" s="7" t="s">
        <v>1177</v>
      </c>
      <c r="AR176" s="29">
        <v>0</v>
      </c>
      <c r="AS176" s="7" t="s">
        <v>1177</v>
      </c>
      <c r="AT176" s="7" t="s">
        <v>1363</v>
      </c>
      <c r="AU176" s="38">
        <v>46275</v>
      </c>
      <c r="AV176" s="39">
        <v>0.60351851851852001</v>
      </c>
    </row>
    <row r="177" spans="1:48" x14ac:dyDescent="0.35">
      <c r="A177" t="str">
        <f t="shared" si="2"/>
        <v>114676IB832</v>
      </c>
      <c r="B177" s="7" t="s">
        <v>655</v>
      </c>
      <c r="C177" s="7" t="s">
        <v>653</v>
      </c>
      <c r="D177" s="7" t="s">
        <v>19</v>
      </c>
      <c r="E177" s="7" t="s">
        <v>1177</v>
      </c>
      <c r="F177" s="7" t="s">
        <v>128</v>
      </c>
      <c r="G177" s="7" t="s">
        <v>130</v>
      </c>
      <c r="H177" s="7" t="s">
        <v>129</v>
      </c>
      <c r="I177" s="30">
        <v>2</v>
      </c>
      <c r="J177" s="7" t="s">
        <v>1177</v>
      </c>
      <c r="K177" s="7" t="s">
        <v>1178</v>
      </c>
      <c r="L177" s="7" t="s">
        <v>132</v>
      </c>
      <c r="M177" s="7" t="s">
        <v>133</v>
      </c>
      <c r="N177" s="30">
        <v>0</v>
      </c>
      <c r="O177" s="30">
        <v>0</v>
      </c>
      <c r="P177" s="30">
        <v>0</v>
      </c>
      <c r="Q177" s="30">
        <v>0</v>
      </c>
      <c r="R177" s="29">
        <v>0</v>
      </c>
      <c r="S177" s="36">
        <v>0</v>
      </c>
      <c r="T177" s="7" t="s">
        <v>131</v>
      </c>
      <c r="U177" s="7" t="s">
        <v>654</v>
      </c>
      <c r="V177" s="7" t="s">
        <v>654</v>
      </c>
      <c r="W177" s="7" t="s">
        <v>1177</v>
      </c>
      <c r="X177" s="30">
        <v>1</v>
      </c>
      <c r="Y177" s="7" t="s">
        <v>1177</v>
      </c>
      <c r="Z177" s="7" t="s">
        <v>1178</v>
      </c>
      <c r="AA177" s="30">
        <v>0</v>
      </c>
      <c r="AB177" s="36">
        <v>0</v>
      </c>
      <c r="AC177" s="7" t="s">
        <v>1177</v>
      </c>
      <c r="AD177" s="37">
        <v>0</v>
      </c>
      <c r="AE177" s="7" t="s">
        <v>1177</v>
      </c>
      <c r="AF177" s="7" t="s">
        <v>1177</v>
      </c>
      <c r="AG177" s="7" t="s">
        <v>1177</v>
      </c>
      <c r="AH177" s="38"/>
      <c r="AI177" s="36">
        <v>0</v>
      </c>
      <c r="AJ177" s="7" t="s">
        <v>1193</v>
      </c>
      <c r="AK177" s="7" t="s">
        <v>1177</v>
      </c>
      <c r="AL177" s="7" t="s">
        <v>1177</v>
      </c>
      <c r="AM177" s="7" t="s">
        <v>1177</v>
      </c>
      <c r="AN177" s="7" t="s">
        <v>3212</v>
      </c>
      <c r="AO177" s="7" t="s">
        <v>1177</v>
      </c>
      <c r="AP177" s="7" t="s">
        <v>1177</v>
      </c>
      <c r="AQ177" s="7" t="s">
        <v>1177</v>
      </c>
      <c r="AR177" s="29">
        <v>0</v>
      </c>
      <c r="AS177" s="7" t="s">
        <v>1177</v>
      </c>
      <c r="AT177" s="7" t="s">
        <v>1363</v>
      </c>
      <c r="AU177" s="38">
        <v>46275</v>
      </c>
      <c r="AV177" s="39">
        <v>0.60385416666667002</v>
      </c>
    </row>
    <row r="178" spans="1:48" x14ac:dyDescent="0.35">
      <c r="A178" t="str">
        <f t="shared" si="2"/>
        <v>149391-002B825</v>
      </c>
      <c r="B178" s="7" t="s">
        <v>135</v>
      </c>
      <c r="C178" s="7" t="s">
        <v>511</v>
      </c>
      <c r="D178" s="7" t="s">
        <v>16</v>
      </c>
      <c r="E178" s="7" t="s">
        <v>1177</v>
      </c>
      <c r="F178" s="7" t="s">
        <v>128</v>
      </c>
      <c r="G178" s="7" t="s">
        <v>130</v>
      </c>
      <c r="H178" s="7" t="s">
        <v>129</v>
      </c>
      <c r="I178" s="30">
        <v>40</v>
      </c>
      <c r="J178" s="7" t="s">
        <v>1177</v>
      </c>
      <c r="K178" s="7" t="s">
        <v>1178</v>
      </c>
      <c r="L178" s="7" t="s">
        <v>132</v>
      </c>
      <c r="M178" s="7" t="s">
        <v>137</v>
      </c>
      <c r="N178" s="30">
        <v>0</v>
      </c>
      <c r="O178" s="30">
        <v>0</v>
      </c>
      <c r="P178" s="30">
        <v>0</v>
      </c>
      <c r="Q178" s="30">
        <v>0</v>
      </c>
      <c r="R178" s="29">
        <v>0</v>
      </c>
      <c r="S178" s="36">
        <v>0</v>
      </c>
      <c r="T178" s="7" t="s">
        <v>131</v>
      </c>
      <c r="U178" s="7" t="s">
        <v>512</v>
      </c>
      <c r="V178" s="7" t="s">
        <v>512</v>
      </c>
      <c r="W178" s="7" t="s">
        <v>1177</v>
      </c>
      <c r="X178" s="30">
        <v>10</v>
      </c>
      <c r="Y178" s="7" t="s">
        <v>1177</v>
      </c>
      <c r="Z178" s="7" t="s">
        <v>1178</v>
      </c>
      <c r="AA178" s="30">
        <v>0</v>
      </c>
      <c r="AB178" s="36">
        <v>0</v>
      </c>
      <c r="AC178" s="7" t="s">
        <v>1177</v>
      </c>
      <c r="AD178" s="37">
        <v>0</v>
      </c>
      <c r="AE178" s="7" t="s">
        <v>1177</v>
      </c>
      <c r="AF178" s="7" t="s">
        <v>1177</v>
      </c>
      <c r="AG178" s="7" t="s">
        <v>1177</v>
      </c>
      <c r="AH178" s="38"/>
      <c r="AI178" s="36">
        <v>0</v>
      </c>
      <c r="AJ178" s="7" t="s">
        <v>1193</v>
      </c>
      <c r="AK178" s="7" t="s">
        <v>1177</v>
      </c>
      <c r="AL178" s="7" t="s">
        <v>1177</v>
      </c>
      <c r="AM178" s="7" t="s">
        <v>1177</v>
      </c>
      <c r="AN178" s="7" t="s">
        <v>3212</v>
      </c>
      <c r="AO178" s="7" t="s">
        <v>1177</v>
      </c>
      <c r="AP178" s="7" t="s">
        <v>1177</v>
      </c>
      <c r="AQ178" s="7" t="s">
        <v>1177</v>
      </c>
      <c r="AR178" s="29">
        <v>0</v>
      </c>
      <c r="AS178" s="7" t="s">
        <v>1177</v>
      </c>
      <c r="AT178" s="7" t="s">
        <v>1363</v>
      </c>
      <c r="AU178" s="38">
        <v>46275</v>
      </c>
      <c r="AV178" s="39">
        <v>0.60351851851852001</v>
      </c>
    </row>
    <row r="179" spans="1:48" x14ac:dyDescent="0.35">
      <c r="A179" t="str">
        <f t="shared" si="2"/>
        <v>149391-002B832</v>
      </c>
      <c r="B179" s="7" t="s">
        <v>135</v>
      </c>
      <c r="C179" s="7" t="s">
        <v>653</v>
      </c>
      <c r="D179" s="7" t="s">
        <v>19</v>
      </c>
      <c r="E179" s="7" t="s">
        <v>1177</v>
      </c>
      <c r="F179" s="7" t="s">
        <v>128</v>
      </c>
      <c r="G179" s="7" t="s">
        <v>130</v>
      </c>
      <c r="H179" s="7" t="s">
        <v>129</v>
      </c>
      <c r="I179" s="30">
        <v>40</v>
      </c>
      <c r="J179" s="7" t="s">
        <v>1177</v>
      </c>
      <c r="K179" s="7" t="s">
        <v>1178</v>
      </c>
      <c r="L179" s="7" t="s">
        <v>132</v>
      </c>
      <c r="M179" s="7" t="s">
        <v>137</v>
      </c>
      <c r="N179" s="30">
        <v>0</v>
      </c>
      <c r="O179" s="30">
        <v>0</v>
      </c>
      <c r="P179" s="30">
        <v>0</v>
      </c>
      <c r="Q179" s="30">
        <v>0</v>
      </c>
      <c r="R179" s="29">
        <v>0</v>
      </c>
      <c r="S179" s="36">
        <v>0</v>
      </c>
      <c r="T179" s="7" t="s">
        <v>131</v>
      </c>
      <c r="U179" s="7" t="s">
        <v>654</v>
      </c>
      <c r="V179" s="7" t="s">
        <v>654</v>
      </c>
      <c r="W179" s="7" t="s">
        <v>1177</v>
      </c>
      <c r="X179" s="30">
        <v>10</v>
      </c>
      <c r="Y179" s="7" t="s">
        <v>1177</v>
      </c>
      <c r="Z179" s="7" t="s">
        <v>1178</v>
      </c>
      <c r="AA179" s="30">
        <v>0</v>
      </c>
      <c r="AB179" s="36">
        <v>0</v>
      </c>
      <c r="AC179" s="7" t="s">
        <v>1177</v>
      </c>
      <c r="AD179" s="37">
        <v>0</v>
      </c>
      <c r="AE179" s="7" t="s">
        <v>1177</v>
      </c>
      <c r="AF179" s="7" t="s">
        <v>1177</v>
      </c>
      <c r="AG179" s="7" t="s">
        <v>1177</v>
      </c>
      <c r="AH179" s="38"/>
      <c r="AI179" s="36">
        <v>0</v>
      </c>
      <c r="AJ179" s="7" t="s">
        <v>1193</v>
      </c>
      <c r="AK179" s="7" t="s">
        <v>1177</v>
      </c>
      <c r="AL179" s="7" t="s">
        <v>1177</v>
      </c>
      <c r="AM179" s="7" t="s">
        <v>1177</v>
      </c>
      <c r="AN179" s="7" t="s">
        <v>3212</v>
      </c>
      <c r="AO179" s="7" t="s">
        <v>1177</v>
      </c>
      <c r="AP179" s="7" t="s">
        <v>1177</v>
      </c>
      <c r="AQ179" s="7" t="s">
        <v>1177</v>
      </c>
      <c r="AR179" s="29">
        <v>0</v>
      </c>
      <c r="AS179" s="7" t="s">
        <v>1177</v>
      </c>
      <c r="AT179" s="7" t="s">
        <v>1363</v>
      </c>
      <c r="AU179" s="38">
        <v>46275</v>
      </c>
      <c r="AV179" s="39">
        <v>0.60384259259258999</v>
      </c>
    </row>
    <row r="180" spans="1:48" x14ac:dyDescent="0.35">
      <c r="A180" t="str">
        <f t="shared" si="2"/>
        <v>149391-002B833</v>
      </c>
      <c r="B180" s="7" t="s">
        <v>135</v>
      </c>
      <c r="C180" s="7" t="s">
        <v>698</v>
      </c>
      <c r="D180" s="7" t="s">
        <v>697</v>
      </c>
      <c r="E180" s="7" t="s">
        <v>1177</v>
      </c>
      <c r="F180" s="7" t="s">
        <v>128</v>
      </c>
      <c r="G180" s="7" t="s">
        <v>130</v>
      </c>
      <c r="H180" s="7" t="s">
        <v>129</v>
      </c>
      <c r="I180" s="30">
        <v>40</v>
      </c>
      <c r="J180" s="7" t="s">
        <v>1177</v>
      </c>
      <c r="K180" s="7" t="s">
        <v>1178</v>
      </c>
      <c r="L180" s="7" t="s">
        <v>132</v>
      </c>
      <c r="M180" s="7" t="s">
        <v>137</v>
      </c>
      <c r="N180" s="30">
        <v>0</v>
      </c>
      <c r="O180" s="30">
        <v>0</v>
      </c>
      <c r="P180" s="30">
        <v>0</v>
      </c>
      <c r="Q180" s="30">
        <v>0</v>
      </c>
      <c r="R180" s="29">
        <v>0</v>
      </c>
      <c r="S180" s="36">
        <v>0</v>
      </c>
      <c r="T180" s="7" t="s">
        <v>131</v>
      </c>
      <c r="U180" s="7" t="s">
        <v>699</v>
      </c>
      <c r="V180" s="7" t="s">
        <v>699</v>
      </c>
      <c r="W180" s="7" t="s">
        <v>1177</v>
      </c>
      <c r="X180" s="30">
        <v>10</v>
      </c>
      <c r="Y180" s="7" t="s">
        <v>1177</v>
      </c>
      <c r="Z180" s="7" t="s">
        <v>1178</v>
      </c>
      <c r="AA180" s="30">
        <v>0</v>
      </c>
      <c r="AB180" s="36">
        <v>0</v>
      </c>
      <c r="AC180" s="7" t="s">
        <v>1177</v>
      </c>
      <c r="AD180" s="37">
        <v>0</v>
      </c>
      <c r="AE180" s="7" t="s">
        <v>1177</v>
      </c>
      <c r="AF180" s="7" t="s">
        <v>1177</v>
      </c>
      <c r="AG180" s="7" t="s">
        <v>1177</v>
      </c>
      <c r="AH180" s="38"/>
      <c r="AI180" s="36">
        <v>0</v>
      </c>
      <c r="AJ180" s="7" t="s">
        <v>1193</v>
      </c>
      <c r="AK180" s="7" t="s">
        <v>1177</v>
      </c>
      <c r="AL180" s="7" t="s">
        <v>1177</v>
      </c>
      <c r="AM180" s="7" t="s">
        <v>1177</v>
      </c>
      <c r="AN180" s="7" t="s">
        <v>3212</v>
      </c>
      <c r="AO180" s="7" t="s">
        <v>1177</v>
      </c>
      <c r="AP180" s="7" t="s">
        <v>1177</v>
      </c>
      <c r="AQ180" s="7" t="s">
        <v>1177</v>
      </c>
      <c r="AR180" s="29">
        <v>0</v>
      </c>
      <c r="AS180" s="7" t="s">
        <v>1177</v>
      </c>
      <c r="AT180" s="7" t="s">
        <v>1363</v>
      </c>
      <c r="AU180" s="38">
        <v>46275</v>
      </c>
      <c r="AV180" s="39">
        <v>0.60395833333333004</v>
      </c>
    </row>
    <row r="181" spans="1:48" x14ac:dyDescent="0.35">
      <c r="A181" t="str">
        <f t="shared" si="2"/>
        <v>149391-002B838</v>
      </c>
      <c r="B181" s="7" t="s">
        <v>135</v>
      </c>
      <c r="C181" s="7" t="s">
        <v>744</v>
      </c>
      <c r="D181" s="7" t="s">
        <v>48</v>
      </c>
      <c r="E181" s="7" t="s">
        <v>1177</v>
      </c>
      <c r="F181" s="7" t="s">
        <v>128</v>
      </c>
      <c r="G181" s="7" t="s">
        <v>130</v>
      </c>
      <c r="H181" s="7" t="s">
        <v>129</v>
      </c>
      <c r="I181" s="30">
        <v>40</v>
      </c>
      <c r="J181" s="7" t="s">
        <v>1177</v>
      </c>
      <c r="K181" s="7" t="s">
        <v>1178</v>
      </c>
      <c r="L181" s="7" t="s">
        <v>132</v>
      </c>
      <c r="M181" s="7" t="s">
        <v>137</v>
      </c>
      <c r="N181" s="30">
        <v>0</v>
      </c>
      <c r="O181" s="30">
        <v>0</v>
      </c>
      <c r="P181" s="30">
        <v>0</v>
      </c>
      <c r="Q181" s="30">
        <v>0</v>
      </c>
      <c r="R181" s="29">
        <v>0</v>
      </c>
      <c r="S181" s="36">
        <v>0</v>
      </c>
      <c r="T181" s="7" t="s">
        <v>131</v>
      </c>
      <c r="U181" s="7" t="s">
        <v>745</v>
      </c>
      <c r="V181" s="7" t="s">
        <v>745</v>
      </c>
      <c r="W181" s="7" t="s">
        <v>1177</v>
      </c>
      <c r="X181" s="30">
        <v>10</v>
      </c>
      <c r="Y181" s="7" t="s">
        <v>1177</v>
      </c>
      <c r="Z181" s="7" t="s">
        <v>1178</v>
      </c>
      <c r="AA181" s="30">
        <v>0</v>
      </c>
      <c r="AB181" s="36">
        <v>0</v>
      </c>
      <c r="AC181" s="7" t="s">
        <v>1177</v>
      </c>
      <c r="AD181" s="37">
        <v>0</v>
      </c>
      <c r="AE181" s="7" t="s">
        <v>1177</v>
      </c>
      <c r="AF181" s="7" t="s">
        <v>1177</v>
      </c>
      <c r="AG181" s="7" t="s">
        <v>1177</v>
      </c>
      <c r="AH181" s="38"/>
      <c r="AI181" s="36">
        <v>0</v>
      </c>
      <c r="AJ181" s="7" t="s">
        <v>1193</v>
      </c>
      <c r="AK181" s="7" t="s">
        <v>1177</v>
      </c>
      <c r="AL181" s="7" t="s">
        <v>1177</v>
      </c>
      <c r="AM181" s="7" t="s">
        <v>1177</v>
      </c>
      <c r="AN181" s="7" t="s">
        <v>3212</v>
      </c>
      <c r="AO181" s="7" t="s">
        <v>1177</v>
      </c>
      <c r="AP181" s="7" t="s">
        <v>1177</v>
      </c>
      <c r="AQ181" s="7" t="s">
        <v>1177</v>
      </c>
      <c r="AR181" s="29">
        <v>0</v>
      </c>
      <c r="AS181" s="7" t="s">
        <v>1177</v>
      </c>
      <c r="AT181" s="7" t="s">
        <v>1363</v>
      </c>
      <c r="AU181" s="38">
        <v>46275</v>
      </c>
      <c r="AV181" s="39">
        <v>0.60438657407407004</v>
      </c>
    </row>
    <row r="182" spans="1:48" x14ac:dyDescent="0.35">
      <c r="A182" t="str">
        <f t="shared" si="2"/>
        <v>149391-002B856</v>
      </c>
      <c r="B182" s="7" t="s">
        <v>135</v>
      </c>
      <c r="C182" s="7" t="s">
        <v>852</v>
      </c>
      <c r="D182" s="7" t="s">
        <v>21</v>
      </c>
      <c r="E182" s="7" t="s">
        <v>1177</v>
      </c>
      <c r="F182" s="7" t="s">
        <v>128</v>
      </c>
      <c r="G182" s="7" t="s">
        <v>130</v>
      </c>
      <c r="H182" s="7" t="s">
        <v>129</v>
      </c>
      <c r="I182" s="30">
        <v>40</v>
      </c>
      <c r="J182" s="7" t="s">
        <v>1177</v>
      </c>
      <c r="K182" s="7" t="s">
        <v>1178</v>
      </c>
      <c r="L182" s="7" t="s">
        <v>132</v>
      </c>
      <c r="M182" s="7" t="s">
        <v>137</v>
      </c>
      <c r="N182" s="30">
        <v>0</v>
      </c>
      <c r="O182" s="30">
        <v>0</v>
      </c>
      <c r="P182" s="30">
        <v>0</v>
      </c>
      <c r="Q182" s="30">
        <v>0</v>
      </c>
      <c r="R182" s="29">
        <v>0</v>
      </c>
      <c r="S182" s="36">
        <v>0</v>
      </c>
      <c r="T182" s="7" t="s">
        <v>131</v>
      </c>
      <c r="U182" s="7" t="s">
        <v>853</v>
      </c>
      <c r="V182" s="7" t="s">
        <v>853</v>
      </c>
      <c r="W182" s="7" t="s">
        <v>1177</v>
      </c>
      <c r="X182" s="30">
        <v>10</v>
      </c>
      <c r="Y182" s="7" t="s">
        <v>1177</v>
      </c>
      <c r="Z182" s="7" t="s">
        <v>1178</v>
      </c>
      <c r="AA182" s="30">
        <v>0</v>
      </c>
      <c r="AB182" s="36">
        <v>0</v>
      </c>
      <c r="AC182" s="7" t="s">
        <v>1177</v>
      </c>
      <c r="AD182" s="37">
        <v>0</v>
      </c>
      <c r="AE182" s="7" t="s">
        <v>1177</v>
      </c>
      <c r="AF182" s="7" t="s">
        <v>1177</v>
      </c>
      <c r="AG182" s="7" t="s">
        <v>1177</v>
      </c>
      <c r="AH182" s="38"/>
      <c r="AI182" s="36">
        <v>0</v>
      </c>
      <c r="AJ182" s="7" t="s">
        <v>1193</v>
      </c>
      <c r="AK182" s="7" t="s">
        <v>1177</v>
      </c>
      <c r="AL182" s="7" t="s">
        <v>1177</v>
      </c>
      <c r="AM182" s="7" t="s">
        <v>1177</v>
      </c>
      <c r="AN182" s="7" t="s">
        <v>3212</v>
      </c>
      <c r="AO182" s="7" t="s">
        <v>1177</v>
      </c>
      <c r="AP182" s="7" t="s">
        <v>1177</v>
      </c>
      <c r="AQ182" s="7" t="s">
        <v>1177</v>
      </c>
      <c r="AR182" s="29">
        <v>0</v>
      </c>
      <c r="AS182" s="7" t="s">
        <v>1177</v>
      </c>
      <c r="AT182" s="7" t="s">
        <v>1363</v>
      </c>
      <c r="AU182" s="38">
        <v>46275</v>
      </c>
      <c r="AV182" s="39">
        <v>0.60521990740741005</v>
      </c>
    </row>
    <row r="183" spans="1:48" x14ac:dyDescent="0.35">
      <c r="A183" t="str">
        <f t="shared" si="2"/>
        <v>149391-002B857</v>
      </c>
      <c r="B183" s="7" t="s">
        <v>135</v>
      </c>
      <c r="C183" s="7" t="s">
        <v>958</v>
      </c>
      <c r="D183" s="7" t="s">
        <v>23</v>
      </c>
      <c r="E183" s="7" t="s">
        <v>1177</v>
      </c>
      <c r="F183" s="7" t="s">
        <v>128</v>
      </c>
      <c r="G183" s="7" t="s">
        <v>130</v>
      </c>
      <c r="H183" s="7" t="s">
        <v>129</v>
      </c>
      <c r="I183" s="30">
        <v>40</v>
      </c>
      <c r="J183" s="7" t="s">
        <v>1177</v>
      </c>
      <c r="K183" s="7" t="s">
        <v>1178</v>
      </c>
      <c r="L183" s="7" t="s">
        <v>132</v>
      </c>
      <c r="M183" s="7" t="s">
        <v>137</v>
      </c>
      <c r="N183" s="30">
        <v>0</v>
      </c>
      <c r="O183" s="30">
        <v>0</v>
      </c>
      <c r="P183" s="30">
        <v>0</v>
      </c>
      <c r="Q183" s="30">
        <v>0</v>
      </c>
      <c r="R183" s="29">
        <v>0</v>
      </c>
      <c r="S183" s="36">
        <v>0</v>
      </c>
      <c r="T183" s="7" t="s">
        <v>131</v>
      </c>
      <c r="U183" s="7" t="s">
        <v>959</v>
      </c>
      <c r="V183" s="7" t="s">
        <v>959</v>
      </c>
      <c r="W183" s="7" t="s">
        <v>1177</v>
      </c>
      <c r="X183" s="30">
        <v>10</v>
      </c>
      <c r="Y183" s="7" t="s">
        <v>1177</v>
      </c>
      <c r="Z183" s="7" t="s">
        <v>1178</v>
      </c>
      <c r="AA183" s="30">
        <v>0</v>
      </c>
      <c r="AB183" s="36">
        <v>0</v>
      </c>
      <c r="AC183" s="7" t="s">
        <v>1177</v>
      </c>
      <c r="AD183" s="37">
        <v>0</v>
      </c>
      <c r="AE183" s="7" t="s">
        <v>1177</v>
      </c>
      <c r="AF183" s="7" t="s">
        <v>1177</v>
      </c>
      <c r="AG183" s="7" t="s">
        <v>1177</v>
      </c>
      <c r="AH183" s="38"/>
      <c r="AI183" s="36">
        <v>0</v>
      </c>
      <c r="AJ183" s="7" t="s">
        <v>1193</v>
      </c>
      <c r="AK183" s="7" t="s">
        <v>1177</v>
      </c>
      <c r="AL183" s="7" t="s">
        <v>1177</v>
      </c>
      <c r="AM183" s="7" t="s">
        <v>1177</v>
      </c>
      <c r="AN183" s="7" t="s">
        <v>3212</v>
      </c>
      <c r="AO183" s="7" t="s">
        <v>1177</v>
      </c>
      <c r="AP183" s="7" t="s">
        <v>1177</v>
      </c>
      <c r="AQ183" s="7" t="s">
        <v>1177</v>
      </c>
      <c r="AR183" s="29">
        <v>0</v>
      </c>
      <c r="AS183" s="7" t="s">
        <v>1177</v>
      </c>
      <c r="AT183" s="7" t="s">
        <v>1363</v>
      </c>
      <c r="AU183" s="38">
        <v>46275</v>
      </c>
      <c r="AV183" s="39">
        <v>0.60524305555556002</v>
      </c>
    </row>
    <row r="184" spans="1:48" x14ac:dyDescent="0.35">
      <c r="A184" t="str">
        <f t="shared" si="2"/>
        <v>149391-002B864</v>
      </c>
      <c r="B184" s="7" t="s">
        <v>135</v>
      </c>
      <c r="C184" s="7" t="s">
        <v>1010</v>
      </c>
      <c r="D184" s="7" t="s">
        <v>10</v>
      </c>
      <c r="E184" s="7" t="s">
        <v>1177</v>
      </c>
      <c r="F184" s="7" t="s">
        <v>128</v>
      </c>
      <c r="G184" s="7" t="s">
        <v>130</v>
      </c>
      <c r="H184" s="7" t="s">
        <v>129</v>
      </c>
      <c r="I184" s="30">
        <v>40</v>
      </c>
      <c r="J184" s="7" t="s">
        <v>1177</v>
      </c>
      <c r="K184" s="7" t="s">
        <v>1178</v>
      </c>
      <c r="L184" s="7" t="s">
        <v>132</v>
      </c>
      <c r="M184" s="7" t="s">
        <v>137</v>
      </c>
      <c r="N184" s="30">
        <v>0</v>
      </c>
      <c r="O184" s="30">
        <v>0</v>
      </c>
      <c r="P184" s="30">
        <v>0</v>
      </c>
      <c r="Q184" s="30">
        <v>0</v>
      </c>
      <c r="R184" s="29">
        <v>0</v>
      </c>
      <c r="S184" s="36">
        <v>0</v>
      </c>
      <c r="T184" s="7" t="s">
        <v>131</v>
      </c>
      <c r="U184" s="7" t="s">
        <v>1011</v>
      </c>
      <c r="V184" s="7" t="s">
        <v>1011</v>
      </c>
      <c r="W184" s="7" t="s">
        <v>1177</v>
      </c>
      <c r="X184" s="30">
        <v>10</v>
      </c>
      <c r="Y184" s="7" t="s">
        <v>1177</v>
      </c>
      <c r="Z184" s="7" t="s">
        <v>1178</v>
      </c>
      <c r="AA184" s="30">
        <v>0</v>
      </c>
      <c r="AB184" s="36">
        <v>0</v>
      </c>
      <c r="AC184" s="7" t="s">
        <v>1177</v>
      </c>
      <c r="AD184" s="37">
        <v>0</v>
      </c>
      <c r="AE184" s="7" t="s">
        <v>1177</v>
      </c>
      <c r="AF184" s="7" t="s">
        <v>1177</v>
      </c>
      <c r="AG184" s="7" t="s">
        <v>1177</v>
      </c>
      <c r="AH184" s="38"/>
      <c r="AI184" s="36">
        <v>0</v>
      </c>
      <c r="AJ184" s="7" t="s">
        <v>1193</v>
      </c>
      <c r="AK184" s="7" t="s">
        <v>1177</v>
      </c>
      <c r="AL184" s="7" t="s">
        <v>1177</v>
      </c>
      <c r="AM184" s="7" t="s">
        <v>1177</v>
      </c>
      <c r="AN184" s="7" t="s">
        <v>3212</v>
      </c>
      <c r="AO184" s="7" t="s">
        <v>1177</v>
      </c>
      <c r="AP184" s="7" t="s">
        <v>1177</v>
      </c>
      <c r="AQ184" s="7" t="s">
        <v>1177</v>
      </c>
      <c r="AR184" s="29">
        <v>0</v>
      </c>
      <c r="AS184" s="7" t="s">
        <v>1177</v>
      </c>
      <c r="AT184" s="7" t="s">
        <v>1363</v>
      </c>
      <c r="AU184" s="38">
        <v>46275</v>
      </c>
      <c r="AV184" s="39">
        <v>0.60541666666667004</v>
      </c>
    </row>
    <row r="185" spans="1:48" x14ac:dyDescent="0.35">
      <c r="A185" t="str">
        <f t="shared" si="2"/>
        <v>149391-002B865</v>
      </c>
      <c r="B185" s="7" t="s">
        <v>135</v>
      </c>
      <c r="C185" s="7" t="s">
        <v>1039</v>
      </c>
      <c r="D185" s="7" t="s">
        <v>7</v>
      </c>
      <c r="E185" s="7" t="s">
        <v>1177</v>
      </c>
      <c r="F185" s="7" t="s">
        <v>128</v>
      </c>
      <c r="G185" s="7" t="s">
        <v>130</v>
      </c>
      <c r="H185" s="7" t="s">
        <v>129</v>
      </c>
      <c r="I185" s="30">
        <v>60</v>
      </c>
      <c r="J185" s="7" t="s">
        <v>1177</v>
      </c>
      <c r="K185" s="7" t="s">
        <v>1178</v>
      </c>
      <c r="L185" s="7" t="s">
        <v>132</v>
      </c>
      <c r="M185" s="7" t="s">
        <v>137</v>
      </c>
      <c r="N185" s="30">
        <v>0</v>
      </c>
      <c r="O185" s="30">
        <v>0</v>
      </c>
      <c r="P185" s="30">
        <v>0</v>
      </c>
      <c r="Q185" s="30">
        <v>0</v>
      </c>
      <c r="R185" s="29">
        <v>0</v>
      </c>
      <c r="S185" s="36">
        <v>0</v>
      </c>
      <c r="T185" s="7" t="s">
        <v>131</v>
      </c>
      <c r="U185" s="7" t="s">
        <v>1040</v>
      </c>
      <c r="V185" s="7" t="s">
        <v>1040</v>
      </c>
      <c r="W185" s="7" t="s">
        <v>1177</v>
      </c>
      <c r="X185" s="30">
        <v>15</v>
      </c>
      <c r="Y185" s="7" t="s">
        <v>1177</v>
      </c>
      <c r="Z185" s="7" t="s">
        <v>1178</v>
      </c>
      <c r="AA185" s="30">
        <v>0</v>
      </c>
      <c r="AB185" s="36">
        <v>0</v>
      </c>
      <c r="AC185" s="7" t="s">
        <v>1177</v>
      </c>
      <c r="AD185" s="37">
        <v>0</v>
      </c>
      <c r="AE185" s="7" t="s">
        <v>1177</v>
      </c>
      <c r="AF185" s="7" t="s">
        <v>1177</v>
      </c>
      <c r="AG185" s="7" t="s">
        <v>1177</v>
      </c>
      <c r="AH185" s="38"/>
      <c r="AI185" s="36">
        <v>0</v>
      </c>
      <c r="AJ185" s="7" t="s">
        <v>1193</v>
      </c>
      <c r="AK185" s="7" t="s">
        <v>1177</v>
      </c>
      <c r="AL185" s="7" t="s">
        <v>1177</v>
      </c>
      <c r="AM185" s="7" t="s">
        <v>1177</v>
      </c>
      <c r="AN185" s="7" t="s">
        <v>3212</v>
      </c>
      <c r="AO185" s="7" t="s">
        <v>1177</v>
      </c>
      <c r="AP185" s="7" t="s">
        <v>1177</v>
      </c>
      <c r="AQ185" s="7" t="s">
        <v>1177</v>
      </c>
      <c r="AR185" s="29">
        <v>0</v>
      </c>
      <c r="AS185" s="7" t="s">
        <v>1177</v>
      </c>
      <c r="AT185" s="7" t="s">
        <v>1363</v>
      </c>
      <c r="AU185" s="38">
        <v>46275</v>
      </c>
      <c r="AV185" s="39">
        <v>0.60553240740740999</v>
      </c>
    </row>
    <row r="186" spans="1:48" x14ac:dyDescent="0.35">
      <c r="A186" t="str">
        <f t="shared" si="2"/>
        <v>149391-002B867</v>
      </c>
      <c r="B186" s="7" t="s">
        <v>135</v>
      </c>
      <c r="C186" s="7" t="s">
        <v>1059</v>
      </c>
      <c r="D186" s="7" t="s">
        <v>25</v>
      </c>
      <c r="E186" s="7" t="s">
        <v>1177</v>
      </c>
      <c r="F186" s="7" t="s">
        <v>128</v>
      </c>
      <c r="G186" s="7" t="s">
        <v>130</v>
      </c>
      <c r="H186" s="7" t="s">
        <v>129</v>
      </c>
      <c r="I186" s="30">
        <v>40</v>
      </c>
      <c r="J186" s="7" t="s">
        <v>1177</v>
      </c>
      <c r="K186" s="7" t="s">
        <v>1178</v>
      </c>
      <c r="L186" s="7" t="s">
        <v>132</v>
      </c>
      <c r="M186" s="7" t="s">
        <v>137</v>
      </c>
      <c r="N186" s="30">
        <v>0</v>
      </c>
      <c r="O186" s="30">
        <v>0</v>
      </c>
      <c r="P186" s="30">
        <v>0</v>
      </c>
      <c r="Q186" s="30">
        <v>0</v>
      </c>
      <c r="R186" s="29">
        <v>0</v>
      </c>
      <c r="S186" s="36">
        <v>0</v>
      </c>
      <c r="T186" s="7" t="s">
        <v>131</v>
      </c>
      <c r="U186" s="7" t="s">
        <v>1060</v>
      </c>
      <c r="V186" s="7" t="s">
        <v>1060</v>
      </c>
      <c r="W186" s="7" t="s">
        <v>1177</v>
      </c>
      <c r="X186" s="30">
        <v>10</v>
      </c>
      <c r="Y186" s="7" t="s">
        <v>1177</v>
      </c>
      <c r="Z186" s="7" t="s">
        <v>1178</v>
      </c>
      <c r="AA186" s="30">
        <v>0</v>
      </c>
      <c r="AB186" s="36">
        <v>0</v>
      </c>
      <c r="AC186" s="7" t="s">
        <v>1177</v>
      </c>
      <c r="AD186" s="37">
        <v>0</v>
      </c>
      <c r="AE186" s="7" t="s">
        <v>1177</v>
      </c>
      <c r="AF186" s="7" t="s">
        <v>1177</v>
      </c>
      <c r="AG186" s="7" t="s">
        <v>1177</v>
      </c>
      <c r="AH186" s="38"/>
      <c r="AI186" s="36">
        <v>0</v>
      </c>
      <c r="AJ186" s="7" t="s">
        <v>1193</v>
      </c>
      <c r="AK186" s="7" t="s">
        <v>1177</v>
      </c>
      <c r="AL186" s="7" t="s">
        <v>1177</v>
      </c>
      <c r="AM186" s="7" t="s">
        <v>1177</v>
      </c>
      <c r="AN186" s="7" t="s">
        <v>3212</v>
      </c>
      <c r="AO186" s="7" t="s">
        <v>1177</v>
      </c>
      <c r="AP186" s="7" t="s">
        <v>1177</v>
      </c>
      <c r="AQ186" s="7" t="s">
        <v>1177</v>
      </c>
      <c r="AR186" s="29">
        <v>0</v>
      </c>
      <c r="AS186" s="7" t="s">
        <v>1177</v>
      </c>
      <c r="AT186" s="7" t="s">
        <v>1363</v>
      </c>
      <c r="AU186" s="38">
        <v>46275</v>
      </c>
      <c r="AV186" s="39">
        <v>0.60564814814815005</v>
      </c>
    </row>
    <row r="187" spans="1:48" x14ac:dyDescent="0.35">
      <c r="A187" t="str">
        <f t="shared" si="2"/>
        <v>1U0100BCA3LB833</v>
      </c>
      <c r="B187" s="7" t="s">
        <v>700</v>
      </c>
      <c r="C187" s="7" t="s">
        <v>698</v>
      </c>
      <c r="D187" s="7" t="s">
        <v>697</v>
      </c>
      <c r="E187" s="7" t="s">
        <v>1177</v>
      </c>
      <c r="F187" s="7" t="s">
        <v>128</v>
      </c>
      <c r="G187" s="7" t="s">
        <v>130</v>
      </c>
      <c r="H187" s="7" t="s">
        <v>129</v>
      </c>
      <c r="I187" s="30">
        <v>2</v>
      </c>
      <c r="J187" s="7" t="s">
        <v>1177</v>
      </c>
      <c r="K187" s="7" t="s">
        <v>1178</v>
      </c>
      <c r="L187" s="7" t="s">
        <v>132</v>
      </c>
      <c r="M187" s="7" t="s">
        <v>133</v>
      </c>
      <c r="N187" s="30">
        <v>0</v>
      </c>
      <c r="O187" s="30">
        <v>0</v>
      </c>
      <c r="P187" s="30">
        <v>0</v>
      </c>
      <c r="Q187" s="30">
        <v>0</v>
      </c>
      <c r="R187" s="29">
        <v>0</v>
      </c>
      <c r="S187" s="36">
        <v>0</v>
      </c>
      <c r="T187" s="7" t="s">
        <v>131</v>
      </c>
      <c r="U187" s="7" t="s">
        <v>699</v>
      </c>
      <c r="V187" s="7" t="s">
        <v>699</v>
      </c>
      <c r="W187" s="7" t="s">
        <v>1177</v>
      </c>
      <c r="X187" s="30">
        <v>1</v>
      </c>
      <c r="Y187" s="7" t="s">
        <v>1177</v>
      </c>
      <c r="Z187" s="7" t="s">
        <v>1178</v>
      </c>
      <c r="AA187" s="30">
        <v>0</v>
      </c>
      <c r="AB187" s="36">
        <v>0</v>
      </c>
      <c r="AC187" s="7" t="s">
        <v>1177</v>
      </c>
      <c r="AD187" s="37">
        <v>0</v>
      </c>
      <c r="AE187" s="7" t="s">
        <v>1177</v>
      </c>
      <c r="AF187" s="7" t="s">
        <v>1177</v>
      </c>
      <c r="AG187" s="7" t="s">
        <v>1177</v>
      </c>
      <c r="AH187" s="38"/>
      <c r="AI187" s="36">
        <v>0</v>
      </c>
      <c r="AJ187" s="7" t="s">
        <v>1193</v>
      </c>
      <c r="AK187" s="7" t="s">
        <v>1177</v>
      </c>
      <c r="AL187" s="7" t="s">
        <v>1177</v>
      </c>
      <c r="AM187" s="7" t="s">
        <v>1177</v>
      </c>
      <c r="AN187" s="7" t="s">
        <v>3212</v>
      </c>
      <c r="AO187" s="7" t="s">
        <v>1177</v>
      </c>
      <c r="AP187" s="7" t="s">
        <v>1177</v>
      </c>
      <c r="AQ187" s="7" t="s">
        <v>1177</v>
      </c>
      <c r="AR187" s="29">
        <v>0</v>
      </c>
      <c r="AS187" s="7" t="s">
        <v>1177</v>
      </c>
      <c r="AT187" s="7" t="s">
        <v>1363</v>
      </c>
      <c r="AU187" s="38">
        <v>46275</v>
      </c>
      <c r="AV187" s="39">
        <v>0.62349537037036995</v>
      </c>
    </row>
    <row r="188" spans="1:48" x14ac:dyDescent="0.35">
      <c r="A188" t="str">
        <f t="shared" si="2"/>
        <v>1U6001JDE32B825</v>
      </c>
      <c r="B188" s="7" t="s">
        <v>513</v>
      </c>
      <c r="C188" s="7" t="s">
        <v>511</v>
      </c>
      <c r="D188" s="7" t="s">
        <v>16</v>
      </c>
      <c r="E188" s="7" t="s">
        <v>1177</v>
      </c>
      <c r="F188" s="7" t="s">
        <v>128</v>
      </c>
      <c r="G188" s="7" t="s">
        <v>130</v>
      </c>
      <c r="H188" s="7" t="s">
        <v>129</v>
      </c>
      <c r="I188" s="30">
        <v>3</v>
      </c>
      <c r="J188" s="7" t="s">
        <v>1177</v>
      </c>
      <c r="K188" s="7" t="s">
        <v>1178</v>
      </c>
      <c r="L188" s="7" t="s">
        <v>132</v>
      </c>
      <c r="M188" s="7" t="s">
        <v>133</v>
      </c>
      <c r="N188" s="30">
        <v>0</v>
      </c>
      <c r="O188" s="30">
        <v>0</v>
      </c>
      <c r="P188" s="30">
        <v>0</v>
      </c>
      <c r="Q188" s="30">
        <v>0</v>
      </c>
      <c r="R188" s="29">
        <v>0</v>
      </c>
      <c r="S188" s="36">
        <v>0</v>
      </c>
      <c r="T188" s="7" t="s">
        <v>131</v>
      </c>
      <c r="U188" s="7" t="s">
        <v>512</v>
      </c>
      <c r="V188" s="7" t="s">
        <v>512</v>
      </c>
      <c r="W188" s="7" t="s">
        <v>1177</v>
      </c>
      <c r="X188" s="30">
        <v>1</v>
      </c>
      <c r="Y188" s="7" t="s">
        <v>1177</v>
      </c>
      <c r="Z188" s="7" t="s">
        <v>1178</v>
      </c>
      <c r="AA188" s="30">
        <v>0</v>
      </c>
      <c r="AB188" s="36">
        <v>0</v>
      </c>
      <c r="AC188" s="7" t="s">
        <v>1177</v>
      </c>
      <c r="AD188" s="37">
        <v>0</v>
      </c>
      <c r="AE188" s="7" t="s">
        <v>1177</v>
      </c>
      <c r="AF188" s="7" t="s">
        <v>1177</v>
      </c>
      <c r="AG188" s="7" t="s">
        <v>1177</v>
      </c>
      <c r="AH188" s="38"/>
      <c r="AI188" s="36">
        <v>0</v>
      </c>
      <c r="AJ188" s="7" t="s">
        <v>1193</v>
      </c>
      <c r="AK188" s="7" t="s">
        <v>1177</v>
      </c>
      <c r="AL188" s="7" t="s">
        <v>1177</v>
      </c>
      <c r="AM188" s="7" t="s">
        <v>1177</v>
      </c>
      <c r="AN188" s="7" t="s">
        <v>3212</v>
      </c>
      <c r="AO188" s="7" t="s">
        <v>1177</v>
      </c>
      <c r="AP188" s="7" t="s">
        <v>1177</v>
      </c>
      <c r="AQ188" s="7" t="s">
        <v>1177</v>
      </c>
      <c r="AR188" s="29">
        <v>0</v>
      </c>
      <c r="AS188" s="7" t="s">
        <v>1177</v>
      </c>
      <c r="AT188" s="7" t="s">
        <v>1363</v>
      </c>
      <c r="AU188" s="38">
        <v>46275</v>
      </c>
      <c r="AV188" s="39">
        <v>0.62302083333333003</v>
      </c>
    </row>
    <row r="189" spans="1:48" x14ac:dyDescent="0.35">
      <c r="A189" t="str">
        <f t="shared" si="2"/>
        <v>1U6001JDE32B832</v>
      </c>
      <c r="B189" s="7" t="s">
        <v>513</v>
      </c>
      <c r="C189" s="7" t="s">
        <v>653</v>
      </c>
      <c r="D189" s="7" t="s">
        <v>19</v>
      </c>
      <c r="E189" s="7" t="s">
        <v>1177</v>
      </c>
      <c r="F189" s="7" t="s">
        <v>128</v>
      </c>
      <c r="G189" s="7" t="s">
        <v>130</v>
      </c>
      <c r="H189" s="7" t="s">
        <v>129</v>
      </c>
      <c r="I189" s="30">
        <v>3</v>
      </c>
      <c r="J189" s="7" t="s">
        <v>1177</v>
      </c>
      <c r="K189" s="7" t="s">
        <v>1178</v>
      </c>
      <c r="L189" s="7" t="s">
        <v>132</v>
      </c>
      <c r="M189" s="7" t="s">
        <v>133</v>
      </c>
      <c r="N189" s="30">
        <v>0</v>
      </c>
      <c r="O189" s="30">
        <v>0</v>
      </c>
      <c r="P189" s="30">
        <v>0</v>
      </c>
      <c r="Q189" s="30">
        <v>0</v>
      </c>
      <c r="R189" s="29">
        <v>0</v>
      </c>
      <c r="S189" s="36">
        <v>0</v>
      </c>
      <c r="T189" s="7" t="s">
        <v>131</v>
      </c>
      <c r="U189" s="7" t="s">
        <v>654</v>
      </c>
      <c r="V189" s="7" t="s">
        <v>654</v>
      </c>
      <c r="W189" s="7" t="s">
        <v>1177</v>
      </c>
      <c r="X189" s="30">
        <v>1</v>
      </c>
      <c r="Y189" s="7" t="s">
        <v>1177</v>
      </c>
      <c r="Z189" s="7" t="s">
        <v>1178</v>
      </c>
      <c r="AA189" s="30">
        <v>0</v>
      </c>
      <c r="AB189" s="36">
        <v>0</v>
      </c>
      <c r="AC189" s="7" t="s">
        <v>1177</v>
      </c>
      <c r="AD189" s="37">
        <v>0</v>
      </c>
      <c r="AE189" s="7" t="s">
        <v>1177</v>
      </c>
      <c r="AF189" s="7" t="s">
        <v>1177</v>
      </c>
      <c r="AG189" s="7" t="s">
        <v>1177</v>
      </c>
      <c r="AH189" s="38"/>
      <c r="AI189" s="36">
        <v>0</v>
      </c>
      <c r="AJ189" s="7" t="s">
        <v>1193</v>
      </c>
      <c r="AK189" s="7" t="s">
        <v>1177</v>
      </c>
      <c r="AL189" s="7" t="s">
        <v>1177</v>
      </c>
      <c r="AM189" s="7" t="s">
        <v>1177</v>
      </c>
      <c r="AN189" s="7" t="s">
        <v>3212</v>
      </c>
      <c r="AO189" s="7" t="s">
        <v>1177</v>
      </c>
      <c r="AP189" s="7" t="s">
        <v>1177</v>
      </c>
      <c r="AQ189" s="7" t="s">
        <v>1177</v>
      </c>
      <c r="AR189" s="29">
        <v>0</v>
      </c>
      <c r="AS189" s="7" t="s">
        <v>1177</v>
      </c>
      <c r="AT189" s="7" t="s">
        <v>1363</v>
      </c>
      <c r="AU189" s="38">
        <v>46275</v>
      </c>
      <c r="AV189" s="39">
        <v>0.62335648148148004</v>
      </c>
    </row>
    <row r="190" spans="1:48" x14ac:dyDescent="0.35">
      <c r="A190" t="str">
        <f t="shared" si="2"/>
        <v>1U6001JDE32B838</v>
      </c>
      <c r="B190" s="7" t="s">
        <v>513</v>
      </c>
      <c r="C190" s="7" t="s">
        <v>744</v>
      </c>
      <c r="D190" s="7" t="s">
        <v>48</v>
      </c>
      <c r="E190" s="7" t="s">
        <v>1177</v>
      </c>
      <c r="F190" s="7" t="s">
        <v>128</v>
      </c>
      <c r="G190" s="7" t="s">
        <v>130</v>
      </c>
      <c r="H190" s="7" t="s">
        <v>129</v>
      </c>
      <c r="I190" s="30">
        <v>1</v>
      </c>
      <c r="J190" s="7" t="s">
        <v>1177</v>
      </c>
      <c r="K190" s="7" t="s">
        <v>1178</v>
      </c>
      <c r="L190" s="7" t="s">
        <v>132</v>
      </c>
      <c r="M190" s="7" t="s">
        <v>133</v>
      </c>
      <c r="N190" s="30">
        <v>0</v>
      </c>
      <c r="O190" s="30">
        <v>0</v>
      </c>
      <c r="P190" s="30">
        <v>0</v>
      </c>
      <c r="Q190" s="30">
        <v>0</v>
      </c>
      <c r="R190" s="29">
        <v>0</v>
      </c>
      <c r="S190" s="36">
        <v>0</v>
      </c>
      <c r="T190" s="7" t="s">
        <v>131</v>
      </c>
      <c r="U190" s="7" t="s">
        <v>745</v>
      </c>
      <c r="V190" s="7" t="s">
        <v>745</v>
      </c>
      <c r="W190" s="7" t="s">
        <v>1177</v>
      </c>
      <c r="X190" s="30">
        <v>1</v>
      </c>
      <c r="Y190" s="7" t="s">
        <v>1177</v>
      </c>
      <c r="Z190" s="7" t="s">
        <v>1178</v>
      </c>
      <c r="AA190" s="30">
        <v>0</v>
      </c>
      <c r="AB190" s="36">
        <v>0</v>
      </c>
      <c r="AC190" s="7" t="s">
        <v>1177</v>
      </c>
      <c r="AD190" s="37">
        <v>0</v>
      </c>
      <c r="AE190" s="7" t="s">
        <v>1177</v>
      </c>
      <c r="AF190" s="7" t="s">
        <v>1177</v>
      </c>
      <c r="AG190" s="7" t="s">
        <v>1177</v>
      </c>
      <c r="AH190" s="38"/>
      <c r="AI190" s="36">
        <v>0</v>
      </c>
      <c r="AJ190" s="7" t="s">
        <v>1193</v>
      </c>
      <c r="AK190" s="7" t="s">
        <v>1177</v>
      </c>
      <c r="AL190" s="7" t="s">
        <v>1177</v>
      </c>
      <c r="AM190" s="7" t="s">
        <v>1177</v>
      </c>
      <c r="AN190" s="7" t="s">
        <v>3212</v>
      </c>
      <c r="AO190" s="7" t="s">
        <v>1177</v>
      </c>
      <c r="AP190" s="7" t="s">
        <v>1177</v>
      </c>
      <c r="AQ190" s="7" t="s">
        <v>1177</v>
      </c>
      <c r="AR190" s="29">
        <v>0</v>
      </c>
      <c r="AS190" s="7" t="s">
        <v>1177</v>
      </c>
      <c r="AT190" s="7" t="s">
        <v>1363</v>
      </c>
      <c r="AU190" s="38">
        <v>46275</v>
      </c>
      <c r="AV190" s="39">
        <v>0.62418981481480995</v>
      </c>
    </row>
    <row r="191" spans="1:48" x14ac:dyDescent="0.35">
      <c r="A191" t="str">
        <f t="shared" si="2"/>
        <v>A9B00019165B832</v>
      </c>
      <c r="B191" s="7" t="s">
        <v>204</v>
      </c>
      <c r="C191" s="7" t="s">
        <v>653</v>
      </c>
      <c r="D191" s="7" t="s">
        <v>19</v>
      </c>
      <c r="E191" s="7" t="s">
        <v>1177</v>
      </c>
      <c r="F191" s="7" t="s">
        <v>134</v>
      </c>
      <c r="G191" s="7" t="s">
        <v>130</v>
      </c>
      <c r="H191" s="7" t="s">
        <v>162</v>
      </c>
      <c r="I191" s="30">
        <v>10</v>
      </c>
      <c r="J191" s="7" t="s">
        <v>1177</v>
      </c>
      <c r="K191" s="7" t="s">
        <v>1178</v>
      </c>
      <c r="L191" s="7" t="s">
        <v>132</v>
      </c>
      <c r="M191" s="7" t="s">
        <v>206</v>
      </c>
      <c r="N191" s="30">
        <v>0</v>
      </c>
      <c r="O191" s="30">
        <v>0</v>
      </c>
      <c r="P191" s="30">
        <v>0</v>
      </c>
      <c r="Q191" s="30">
        <v>0</v>
      </c>
      <c r="R191" s="29">
        <v>0</v>
      </c>
      <c r="S191" s="36">
        <v>0</v>
      </c>
      <c r="T191" s="7" t="s">
        <v>1177</v>
      </c>
      <c r="U191" s="7" t="s">
        <v>654</v>
      </c>
      <c r="V191" s="7" t="s">
        <v>654</v>
      </c>
      <c r="W191" s="7" t="s">
        <v>1177</v>
      </c>
      <c r="X191" s="30">
        <v>10</v>
      </c>
      <c r="Y191" s="7" t="s">
        <v>1177</v>
      </c>
      <c r="Z191" s="7" t="s">
        <v>1178</v>
      </c>
      <c r="AA191" s="30">
        <v>0</v>
      </c>
      <c r="AB191" s="36">
        <v>0</v>
      </c>
      <c r="AC191" s="7" t="s">
        <v>1177</v>
      </c>
      <c r="AD191" s="37">
        <v>0</v>
      </c>
      <c r="AE191" s="7" t="s">
        <v>1177</v>
      </c>
      <c r="AF191" s="7" t="s">
        <v>1177</v>
      </c>
      <c r="AG191" s="7" t="s">
        <v>1177</v>
      </c>
      <c r="AH191" s="38"/>
      <c r="AI191" s="36">
        <v>0</v>
      </c>
      <c r="AJ191" s="7" t="s">
        <v>1193</v>
      </c>
      <c r="AK191" s="7" t="s">
        <v>1177</v>
      </c>
      <c r="AL191" s="7" t="s">
        <v>1177</v>
      </c>
      <c r="AM191" s="7" t="s">
        <v>1177</v>
      </c>
      <c r="AN191" s="7" t="s">
        <v>3212</v>
      </c>
      <c r="AO191" s="7" t="s">
        <v>1177</v>
      </c>
      <c r="AP191" s="7" t="s">
        <v>1177</v>
      </c>
      <c r="AQ191" s="7" t="s">
        <v>1177</v>
      </c>
      <c r="AR191" s="29">
        <v>0</v>
      </c>
      <c r="AS191" s="7" t="s">
        <v>1177</v>
      </c>
      <c r="AT191" s="7" t="s">
        <v>1363</v>
      </c>
      <c r="AU191" s="38">
        <v>46275</v>
      </c>
      <c r="AV191" s="39">
        <v>0.60386574074073995</v>
      </c>
    </row>
    <row r="192" spans="1:48" x14ac:dyDescent="0.35">
      <c r="A192" t="str">
        <f t="shared" si="2"/>
        <v>A9B10239097B825</v>
      </c>
      <c r="B192" s="7" t="s">
        <v>514</v>
      </c>
      <c r="C192" s="7" t="s">
        <v>511</v>
      </c>
      <c r="D192" s="7" t="s">
        <v>16</v>
      </c>
      <c r="E192" s="7" t="s">
        <v>1177</v>
      </c>
      <c r="F192" s="7" t="s">
        <v>128</v>
      </c>
      <c r="G192" s="7" t="s">
        <v>130</v>
      </c>
      <c r="H192" s="7" t="s">
        <v>129</v>
      </c>
      <c r="I192" s="30">
        <v>2</v>
      </c>
      <c r="J192" s="7" t="s">
        <v>1177</v>
      </c>
      <c r="K192" s="7" t="s">
        <v>1178</v>
      </c>
      <c r="L192" s="7" t="s">
        <v>132</v>
      </c>
      <c r="M192" s="7" t="s">
        <v>133</v>
      </c>
      <c r="N192" s="30">
        <v>0</v>
      </c>
      <c r="O192" s="30">
        <v>0</v>
      </c>
      <c r="P192" s="30">
        <v>0</v>
      </c>
      <c r="Q192" s="30">
        <v>0</v>
      </c>
      <c r="R192" s="29">
        <v>0</v>
      </c>
      <c r="S192" s="36">
        <v>0</v>
      </c>
      <c r="T192" s="7" t="s">
        <v>131</v>
      </c>
      <c r="U192" s="7" t="s">
        <v>512</v>
      </c>
      <c r="V192" s="7" t="s">
        <v>512</v>
      </c>
      <c r="W192" s="7" t="s">
        <v>1177</v>
      </c>
      <c r="X192" s="30">
        <v>1</v>
      </c>
      <c r="Y192" s="7" t="s">
        <v>1177</v>
      </c>
      <c r="Z192" s="7" t="s">
        <v>1178</v>
      </c>
      <c r="AA192" s="30">
        <v>0</v>
      </c>
      <c r="AB192" s="36">
        <v>0</v>
      </c>
      <c r="AC192" s="7" t="s">
        <v>1177</v>
      </c>
      <c r="AD192" s="37">
        <v>0</v>
      </c>
      <c r="AE192" s="7" t="s">
        <v>1177</v>
      </c>
      <c r="AF192" s="7" t="s">
        <v>1177</v>
      </c>
      <c r="AG192" s="7" t="s">
        <v>1177</v>
      </c>
      <c r="AH192" s="38"/>
      <c r="AI192" s="36">
        <v>0</v>
      </c>
      <c r="AJ192" s="7" t="s">
        <v>1193</v>
      </c>
      <c r="AK192" s="7" t="s">
        <v>1177</v>
      </c>
      <c r="AL192" s="7" t="s">
        <v>1177</v>
      </c>
      <c r="AM192" s="7" t="s">
        <v>1177</v>
      </c>
      <c r="AN192" s="7" t="s">
        <v>3212</v>
      </c>
      <c r="AO192" s="7" t="s">
        <v>1177</v>
      </c>
      <c r="AP192" s="7" t="s">
        <v>1177</v>
      </c>
      <c r="AQ192" s="7" t="s">
        <v>1177</v>
      </c>
      <c r="AR192" s="29">
        <v>0</v>
      </c>
      <c r="AS192" s="7" t="s">
        <v>1177</v>
      </c>
      <c r="AT192" s="7" t="s">
        <v>1363</v>
      </c>
      <c r="AU192" s="38">
        <v>46275</v>
      </c>
      <c r="AV192" s="39">
        <v>0.62302083333333003</v>
      </c>
    </row>
    <row r="193" spans="1:48" x14ac:dyDescent="0.35">
      <c r="A193" t="str">
        <f t="shared" si="2"/>
        <v>A9B10239097B856</v>
      </c>
      <c r="B193" s="7" t="s">
        <v>514</v>
      </c>
      <c r="C193" s="7" t="s">
        <v>852</v>
      </c>
      <c r="D193" s="7" t="s">
        <v>21</v>
      </c>
      <c r="E193" s="7" t="s">
        <v>1177</v>
      </c>
      <c r="F193" s="7" t="s">
        <v>128</v>
      </c>
      <c r="G193" s="7" t="s">
        <v>130</v>
      </c>
      <c r="H193" s="7" t="s">
        <v>129</v>
      </c>
      <c r="I193" s="30">
        <v>2</v>
      </c>
      <c r="J193" s="7" t="s">
        <v>1177</v>
      </c>
      <c r="K193" s="7" t="s">
        <v>1178</v>
      </c>
      <c r="L193" s="7" t="s">
        <v>132</v>
      </c>
      <c r="M193" s="7" t="s">
        <v>133</v>
      </c>
      <c r="N193" s="30">
        <v>0</v>
      </c>
      <c r="O193" s="30">
        <v>0</v>
      </c>
      <c r="P193" s="30">
        <v>0</v>
      </c>
      <c r="Q193" s="30">
        <v>0</v>
      </c>
      <c r="R193" s="29">
        <v>0</v>
      </c>
      <c r="S193" s="36">
        <v>0</v>
      </c>
      <c r="T193" s="7" t="s">
        <v>131</v>
      </c>
      <c r="U193" s="7" t="s">
        <v>853</v>
      </c>
      <c r="V193" s="7" t="s">
        <v>853</v>
      </c>
      <c r="W193" s="7" t="s">
        <v>1177</v>
      </c>
      <c r="X193" s="30">
        <v>1</v>
      </c>
      <c r="Y193" s="7" t="s">
        <v>1177</v>
      </c>
      <c r="Z193" s="7" t="s">
        <v>1178</v>
      </c>
      <c r="AA193" s="30">
        <v>0</v>
      </c>
      <c r="AB193" s="36">
        <v>0</v>
      </c>
      <c r="AC193" s="7" t="s">
        <v>1177</v>
      </c>
      <c r="AD193" s="37">
        <v>0</v>
      </c>
      <c r="AE193" s="7" t="s">
        <v>1177</v>
      </c>
      <c r="AF193" s="7" t="s">
        <v>1177</v>
      </c>
      <c r="AG193" s="7" t="s">
        <v>1177</v>
      </c>
      <c r="AH193" s="38"/>
      <c r="AI193" s="36">
        <v>0</v>
      </c>
      <c r="AJ193" s="7" t="s">
        <v>1193</v>
      </c>
      <c r="AK193" s="7" t="s">
        <v>1177</v>
      </c>
      <c r="AL193" s="7" t="s">
        <v>1177</v>
      </c>
      <c r="AM193" s="7" t="s">
        <v>1177</v>
      </c>
      <c r="AN193" s="7" t="s">
        <v>3212</v>
      </c>
      <c r="AO193" s="7" t="s">
        <v>1177</v>
      </c>
      <c r="AP193" s="7" t="s">
        <v>1177</v>
      </c>
      <c r="AQ193" s="7" t="s">
        <v>1177</v>
      </c>
      <c r="AR193" s="29">
        <v>0</v>
      </c>
      <c r="AS193" s="7" t="s">
        <v>1177</v>
      </c>
      <c r="AT193" s="7" t="s">
        <v>1363</v>
      </c>
      <c r="AU193" s="38">
        <v>46275</v>
      </c>
      <c r="AV193" s="39">
        <v>0.62490740740741002</v>
      </c>
    </row>
    <row r="194" spans="1:48" x14ac:dyDescent="0.35">
      <c r="A194" t="str">
        <f t="shared" si="2"/>
        <v>A9B10239097B867</v>
      </c>
      <c r="B194" s="7" t="s">
        <v>514</v>
      </c>
      <c r="C194" s="7" t="s">
        <v>1059</v>
      </c>
      <c r="D194" s="7" t="s">
        <v>25</v>
      </c>
      <c r="E194" s="7" t="s">
        <v>1177</v>
      </c>
      <c r="F194" s="7" t="s">
        <v>128</v>
      </c>
      <c r="G194" s="7" t="s">
        <v>130</v>
      </c>
      <c r="H194" s="7" t="s">
        <v>129</v>
      </c>
      <c r="I194" s="30">
        <v>2</v>
      </c>
      <c r="J194" s="7" t="s">
        <v>1177</v>
      </c>
      <c r="K194" s="7" t="s">
        <v>1178</v>
      </c>
      <c r="L194" s="7" t="s">
        <v>132</v>
      </c>
      <c r="M194" s="7" t="s">
        <v>133</v>
      </c>
      <c r="N194" s="30">
        <v>0</v>
      </c>
      <c r="O194" s="30">
        <v>0</v>
      </c>
      <c r="P194" s="30">
        <v>0</v>
      </c>
      <c r="Q194" s="30">
        <v>0</v>
      </c>
      <c r="R194" s="29">
        <v>0</v>
      </c>
      <c r="S194" s="36">
        <v>0</v>
      </c>
      <c r="T194" s="7" t="s">
        <v>131</v>
      </c>
      <c r="U194" s="7" t="s">
        <v>1060</v>
      </c>
      <c r="V194" s="7" t="s">
        <v>1060</v>
      </c>
      <c r="W194" s="7" t="s">
        <v>1177</v>
      </c>
      <c r="X194" s="30">
        <v>1</v>
      </c>
      <c r="Y194" s="7" t="s">
        <v>1177</v>
      </c>
      <c r="Z194" s="7" t="s">
        <v>1178</v>
      </c>
      <c r="AA194" s="30">
        <v>0</v>
      </c>
      <c r="AB194" s="36">
        <v>0</v>
      </c>
      <c r="AC194" s="7" t="s">
        <v>1177</v>
      </c>
      <c r="AD194" s="37">
        <v>0</v>
      </c>
      <c r="AE194" s="7" t="s">
        <v>1177</v>
      </c>
      <c r="AF194" s="7" t="s">
        <v>1177</v>
      </c>
      <c r="AG194" s="7" t="s">
        <v>1177</v>
      </c>
      <c r="AH194" s="38"/>
      <c r="AI194" s="36">
        <v>0</v>
      </c>
      <c r="AJ194" s="7" t="s">
        <v>1193</v>
      </c>
      <c r="AK194" s="7" t="s">
        <v>1177</v>
      </c>
      <c r="AL194" s="7" t="s">
        <v>1177</v>
      </c>
      <c r="AM194" s="7" t="s">
        <v>1177</v>
      </c>
      <c r="AN194" s="7" t="s">
        <v>3212</v>
      </c>
      <c r="AO194" s="7" t="s">
        <v>1177</v>
      </c>
      <c r="AP194" s="7" t="s">
        <v>1177</v>
      </c>
      <c r="AQ194" s="7" t="s">
        <v>1177</v>
      </c>
      <c r="AR194" s="29">
        <v>0</v>
      </c>
      <c r="AS194" s="7" t="s">
        <v>1177</v>
      </c>
      <c r="AT194" s="7" t="s">
        <v>1363</v>
      </c>
      <c r="AU194" s="38">
        <v>46275</v>
      </c>
      <c r="AV194" s="39">
        <v>0.62737268518518996</v>
      </c>
    </row>
    <row r="195" spans="1:48" x14ac:dyDescent="0.35">
      <c r="A195" t="str">
        <f t="shared" ref="A195:A258" si="3">_xlfn.CONCAT(B195,D195)</f>
        <v>AIS0253B825</v>
      </c>
      <c r="B195" s="7" t="s">
        <v>341</v>
      </c>
      <c r="C195" s="7" t="s">
        <v>511</v>
      </c>
      <c r="D195" s="7" t="s">
        <v>16</v>
      </c>
      <c r="E195" s="7" t="s">
        <v>1177</v>
      </c>
      <c r="F195" s="7" t="s">
        <v>128</v>
      </c>
      <c r="G195" s="7" t="s">
        <v>130</v>
      </c>
      <c r="H195" s="7" t="s">
        <v>129</v>
      </c>
      <c r="I195" s="30">
        <v>2</v>
      </c>
      <c r="J195" s="7" t="s">
        <v>1177</v>
      </c>
      <c r="K195" s="7" t="s">
        <v>1178</v>
      </c>
      <c r="L195" s="7" t="s">
        <v>132</v>
      </c>
      <c r="M195" s="7" t="s">
        <v>133</v>
      </c>
      <c r="N195" s="30">
        <v>0</v>
      </c>
      <c r="O195" s="30">
        <v>0</v>
      </c>
      <c r="P195" s="30">
        <v>0</v>
      </c>
      <c r="Q195" s="30">
        <v>0</v>
      </c>
      <c r="R195" s="29">
        <v>0</v>
      </c>
      <c r="S195" s="36">
        <v>0</v>
      </c>
      <c r="T195" s="7" t="s">
        <v>131</v>
      </c>
      <c r="U195" s="7" t="s">
        <v>512</v>
      </c>
      <c r="V195" s="7" t="s">
        <v>512</v>
      </c>
      <c r="W195" s="7" t="s">
        <v>1177</v>
      </c>
      <c r="X195" s="30">
        <v>1</v>
      </c>
      <c r="Y195" s="7" t="s">
        <v>1177</v>
      </c>
      <c r="Z195" s="7" t="s">
        <v>1178</v>
      </c>
      <c r="AA195" s="30">
        <v>0</v>
      </c>
      <c r="AB195" s="36">
        <v>0</v>
      </c>
      <c r="AC195" s="7" t="s">
        <v>1177</v>
      </c>
      <c r="AD195" s="37">
        <v>0</v>
      </c>
      <c r="AE195" s="7" t="s">
        <v>1177</v>
      </c>
      <c r="AF195" s="7" t="s">
        <v>1177</v>
      </c>
      <c r="AG195" s="7" t="s">
        <v>1177</v>
      </c>
      <c r="AH195" s="38"/>
      <c r="AI195" s="36">
        <v>0</v>
      </c>
      <c r="AJ195" s="7" t="s">
        <v>1193</v>
      </c>
      <c r="AK195" s="7" t="s">
        <v>1177</v>
      </c>
      <c r="AL195" s="7" t="s">
        <v>1177</v>
      </c>
      <c r="AM195" s="7" t="s">
        <v>1177</v>
      </c>
      <c r="AN195" s="7" t="s">
        <v>3212</v>
      </c>
      <c r="AO195" s="7" t="s">
        <v>1177</v>
      </c>
      <c r="AP195" s="7" t="s">
        <v>1177</v>
      </c>
      <c r="AQ195" s="7" t="s">
        <v>1177</v>
      </c>
      <c r="AR195" s="29">
        <v>0</v>
      </c>
      <c r="AS195" s="7" t="s">
        <v>1177</v>
      </c>
      <c r="AT195" s="7" t="s">
        <v>1363</v>
      </c>
      <c r="AU195" s="38">
        <v>46275</v>
      </c>
      <c r="AV195" s="39">
        <v>0.60354166666666997</v>
      </c>
    </row>
    <row r="196" spans="1:48" x14ac:dyDescent="0.35">
      <c r="A196" t="str">
        <f t="shared" si="3"/>
        <v>AMB0132B825</v>
      </c>
      <c r="B196" s="7" t="s">
        <v>515</v>
      </c>
      <c r="C196" s="7" t="s">
        <v>511</v>
      </c>
      <c r="D196" s="7" t="s">
        <v>16</v>
      </c>
      <c r="E196" s="7" t="s">
        <v>1177</v>
      </c>
      <c r="F196" s="7" t="s">
        <v>128</v>
      </c>
      <c r="G196" s="7" t="s">
        <v>130</v>
      </c>
      <c r="H196" s="7" t="s">
        <v>129</v>
      </c>
      <c r="I196" s="30">
        <v>1</v>
      </c>
      <c r="J196" s="7" t="s">
        <v>1177</v>
      </c>
      <c r="K196" s="7" t="s">
        <v>1178</v>
      </c>
      <c r="L196" s="7" t="s">
        <v>132</v>
      </c>
      <c r="M196" s="7" t="s">
        <v>133</v>
      </c>
      <c r="N196" s="30">
        <v>0</v>
      </c>
      <c r="O196" s="30">
        <v>0</v>
      </c>
      <c r="P196" s="30">
        <v>0</v>
      </c>
      <c r="Q196" s="30">
        <v>0</v>
      </c>
      <c r="R196" s="29">
        <v>0</v>
      </c>
      <c r="S196" s="36">
        <v>0</v>
      </c>
      <c r="T196" s="7" t="s">
        <v>131</v>
      </c>
      <c r="U196" s="7" t="s">
        <v>512</v>
      </c>
      <c r="V196" s="7" t="s">
        <v>512</v>
      </c>
      <c r="W196" s="7" t="s">
        <v>1177</v>
      </c>
      <c r="X196" s="30">
        <v>1</v>
      </c>
      <c r="Y196" s="7" t="s">
        <v>1177</v>
      </c>
      <c r="Z196" s="7" t="s">
        <v>1178</v>
      </c>
      <c r="AA196" s="30">
        <v>0</v>
      </c>
      <c r="AB196" s="36">
        <v>0</v>
      </c>
      <c r="AC196" s="7" t="s">
        <v>1177</v>
      </c>
      <c r="AD196" s="37">
        <v>0</v>
      </c>
      <c r="AE196" s="7" t="s">
        <v>1177</v>
      </c>
      <c r="AF196" s="7" t="s">
        <v>1177</v>
      </c>
      <c r="AG196" s="7" t="s">
        <v>1177</v>
      </c>
      <c r="AH196" s="38"/>
      <c r="AI196" s="36">
        <v>0</v>
      </c>
      <c r="AJ196" s="7" t="s">
        <v>1193</v>
      </c>
      <c r="AK196" s="7" t="s">
        <v>1177</v>
      </c>
      <c r="AL196" s="7" t="s">
        <v>1177</v>
      </c>
      <c r="AM196" s="7" t="s">
        <v>1177</v>
      </c>
      <c r="AN196" s="7" t="s">
        <v>3212</v>
      </c>
      <c r="AO196" s="7" t="s">
        <v>1177</v>
      </c>
      <c r="AP196" s="7" t="s">
        <v>1177</v>
      </c>
      <c r="AQ196" s="7" t="s">
        <v>1177</v>
      </c>
      <c r="AR196" s="29">
        <v>0</v>
      </c>
      <c r="AS196" s="7" t="s">
        <v>1177</v>
      </c>
      <c r="AT196" s="7" t="s">
        <v>1363</v>
      </c>
      <c r="AU196" s="38">
        <v>46275</v>
      </c>
      <c r="AV196" s="39">
        <v>0.62302083333333003</v>
      </c>
    </row>
    <row r="197" spans="1:48" x14ac:dyDescent="0.35">
      <c r="A197" t="str">
        <f t="shared" si="3"/>
        <v>AMB0154B838</v>
      </c>
      <c r="B197" s="7" t="s">
        <v>443</v>
      </c>
      <c r="C197" s="7" t="s">
        <v>744</v>
      </c>
      <c r="D197" s="7" t="s">
        <v>48</v>
      </c>
      <c r="E197" s="7" t="s">
        <v>1177</v>
      </c>
      <c r="F197" s="7" t="s">
        <v>128</v>
      </c>
      <c r="G197" s="7" t="s">
        <v>130</v>
      </c>
      <c r="H197" s="7" t="s">
        <v>129</v>
      </c>
      <c r="I197" s="30">
        <v>2</v>
      </c>
      <c r="J197" s="7" t="s">
        <v>1177</v>
      </c>
      <c r="K197" s="7" t="s">
        <v>1178</v>
      </c>
      <c r="L197" s="7" t="s">
        <v>132</v>
      </c>
      <c r="M197" s="7" t="s">
        <v>133</v>
      </c>
      <c r="N197" s="30">
        <v>0</v>
      </c>
      <c r="O197" s="30">
        <v>0</v>
      </c>
      <c r="P197" s="30">
        <v>0</v>
      </c>
      <c r="Q197" s="30">
        <v>0</v>
      </c>
      <c r="R197" s="29">
        <v>0</v>
      </c>
      <c r="S197" s="36">
        <v>0</v>
      </c>
      <c r="T197" s="7" t="s">
        <v>131</v>
      </c>
      <c r="U197" s="7" t="s">
        <v>745</v>
      </c>
      <c r="V197" s="7" t="s">
        <v>745</v>
      </c>
      <c r="W197" s="7" t="s">
        <v>1177</v>
      </c>
      <c r="X197" s="30">
        <v>1</v>
      </c>
      <c r="Y197" s="7" t="s">
        <v>1177</v>
      </c>
      <c r="Z197" s="7" t="s">
        <v>1178</v>
      </c>
      <c r="AA197" s="30">
        <v>0</v>
      </c>
      <c r="AB197" s="36">
        <v>0</v>
      </c>
      <c r="AC197" s="7" t="s">
        <v>1177</v>
      </c>
      <c r="AD197" s="37">
        <v>0</v>
      </c>
      <c r="AE197" s="7" t="s">
        <v>1177</v>
      </c>
      <c r="AF197" s="7" t="s">
        <v>1177</v>
      </c>
      <c r="AG197" s="7" t="s">
        <v>1177</v>
      </c>
      <c r="AH197" s="38"/>
      <c r="AI197" s="36">
        <v>0</v>
      </c>
      <c r="AJ197" s="7" t="s">
        <v>1193</v>
      </c>
      <c r="AK197" s="7" t="s">
        <v>1177</v>
      </c>
      <c r="AL197" s="7" t="s">
        <v>1177</v>
      </c>
      <c r="AM197" s="7" t="s">
        <v>1177</v>
      </c>
      <c r="AN197" s="7" t="s">
        <v>3212</v>
      </c>
      <c r="AO197" s="7" t="s">
        <v>1177</v>
      </c>
      <c r="AP197" s="7" t="s">
        <v>1177</v>
      </c>
      <c r="AQ197" s="7" t="s">
        <v>1177</v>
      </c>
      <c r="AR197" s="29">
        <v>0</v>
      </c>
      <c r="AS197" s="7" t="s">
        <v>1177</v>
      </c>
      <c r="AT197" s="7" t="s">
        <v>1363</v>
      </c>
      <c r="AU197" s="38">
        <v>46275</v>
      </c>
      <c r="AV197" s="39">
        <v>0.60445601851852004</v>
      </c>
    </row>
    <row r="198" spans="1:48" x14ac:dyDescent="0.35">
      <c r="A198" t="str">
        <f t="shared" si="3"/>
        <v>AMB0154B857</v>
      </c>
      <c r="B198" s="7" t="s">
        <v>443</v>
      </c>
      <c r="C198" s="7" t="s">
        <v>958</v>
      </c>
      <c r="D198" s="7" t="s">
        <v>23</v>
      </c>
      <c r="E198" s="7" t="s">
        <v>1177</v>
      </c>
      <c r="F198" s="7" t="s">
        <v>128</v>
      </c>
      <c r="G198" s="7" t="s">
        <v>130</v>
      </c>
      <c r="H198" s="7" t="s">
        <v>129</v>
      </c>
      <c r="I198" s="30">
        <v>2</v>
      </c>
      <c r="J198" s="7" t="s">
        <v>1177</v>
      </c>
      <c r="K198" s="7" t="s">
        <v>1178</v>
      </c>
      <c r="L198" s="7" t="s">
        <v>132</v>
      </c>
      <c r="M198" s="7" t="s">
        <v>133</v>
      </c>
      <c r="N198" s="30">
        <v>0</v>
      </c>
      <c r="O198" s="30">
        <v>0</v>
      </c>
      <c r="P198" s="30">
        <v>0</v>
      </c>
      <c r="Q198" s="30">
        <v>0</v>
      </c>
      <c r="R198" s="29">
        <v>0</v>
      </c>
      <c r="S198" s="36">
        <v>0</v>
      </c>
      <c r="T198" s="7" t="s">
        <v>131</v>
      </c>
      <c r="U198" s="7" t="s">
        <v>959</v>
      </c>
      <c r="V198" s="7" t="s">
        <v>959</v>
      </c>
      <c r="W198" s="7" t="s">
        <v>1177</v>
      </c>
      <c r="X198" s="30">
        <v>1</v>
      </c>
      <c r="Y198" s="7" t="s">
        <v>1177</v>
      </c>
      <c r="Z198" s="7" t="s">
        <v>1178</v>
      </c>
      <c r="AA198" s="30">
        <v>0</v>
      </c>
      <c r="AB198" s="36">
        <v>0</v>
      </c>
      <c r="AC198" s="7" t="s">
        <v>1177</v>
      </c>
      <c r="AD198" s="37">
        <v>0</v>
      </c>
      <c r="AE198" s="7" t="s">
        <v>1177</v>
      </c>
      <c r="AF198" s="7" t="s">
        <v>1177</v>
      </c>
      <c r="AG198" s="7" t="s">
        <v>1177</v>
      </c>
      <c r="AH198" s="38"/>
      <c r="AI198" s="36">
        <v>0</v>
      </c>
      <c r="AJ198" s="7" t="s">
        <v>1193</v>
      </c>
      <c r="AK198" s="7" t="s">
        <v>1177</v>
      </c>
      <c r="AL198" s="7" t="s">
        <v>1177</v>
      </c>
      <c r="AM198" s="7" t="s">
        <v>1177</v>
      </c>
      <c r="AN198" s="7" t="s">
        <v>3212</v>
      </c>
      <c r="AO198" s="7" t="s">
        <v>1177</v>
      </c>
      <c r="AP198" s="7" t="s">
        <v>1177</v>
      </c>
      <c r="AQ198" s="7" t="s">
        <v>1177</v>
      </c>
      <c r="AR198" s="29">
        <v>0</v>
      </c>
      <c r="AS198" s="7" t="s">
        <v>1177</v>
      </c>
      <c r="AT198" s="7" t="s">
        <v>1363</v>
      </c>
      <c r="AU198" s="38">
        <v>46275</v>
      </c>
      <c r="AV198" s="39">
        <v>0.60528935185184995</v>
      </c>
    </row>
    <row r="199" spans="1:48" x14ac:dyDescent="0.35">
      <c r="A199" t="str">
        <f t="shared" si="3"/>
        <v>C393068B825</v>
      </c>
      <c r="B199" s="7" t="s">
        <v>138</v>
      </c>
      <c r="C199" s="7" t="s">
        <v>511</v>
      </c>
      <c r="D199" s="7" t="s">
        <v>16</v>
      </c>
      <c r="E199" s="7" t="s">
        <v>1177</v>
      </c>
      <c r="F199" s="7" t="s">
        <v>128</v>
      </c>
      <c r="G199" s="7" t="s">
        <v>130</v>
      </c>
      <c r="H199" s="7" t="s">
        <v>129</v>
      </c>
      <c r="I199" s="30">
        <v>2</v>
      </c>
      <c r="J199" s="7" t="s">
        <v>1177</v>
      </c>
      <c r="K199" s="7" t="s">
        <v>1178</v>
      </c>
      <c r="L199" s="7" t="s">
        <v>132</v>
      </c>
      <c r="M199" s="7" t="s">
        <v>133</v>
      </c>
      <c r="N199" s="30">
        <v>0</v>
      </c>
      <c r="O199" s="30">
        <v>0</v>
      </c>
      <c r="P199" s="30">
        <v>0</v>
      </c>
      <c r="Q199" s="30">
        <v>0</v>
      </c>
      <c r="R199" s="29">
        <v>0</v>
      </c>
      <c r="S199" s="36">
        <v>0</v>
      </c>
      <c r="T199" s="7" t="s">
        <v>131</v>
      </c>
      <c r="U199" s="7" t="s">
        <v>512</v>
      </c>
      <c r="V199" s="7" t="s">
        <v>512</v>
      </c>
      <c r="W199" s="7" t="s">
        <v>1177</v>
      </c>
      <c r="X199" s="30">
        <v>1</v>
      </c>
      <c r="Y199" s="7" t="s">
        <v>1177</v>
      </c>
      <c r="Z199" s="7" t="s">
        <v>1178</v>
      </c>
      <c r="AA199" s="30">
        <v>0</v>
      </c>
      <c r="AB199" s="36">
        <v>0</v>
      </c>
      <c r="AC199" s="7" t="s">
        <v>1177</v>
      </c>
      <c r="AD199" s="37">
        <v>0</v>
      </c>
      <c r="AE199" s="7" t="s">
        <v>1177</v>
      </c>
      <c r="AF199" s="7" t="s">
        <v>1177</v>
      </c>
      <c r="AG199" s="7" t="s">
        <v>1177</v>
      </c>
      <c r="AH199" s="38"/>
      <c r="AI199" s="36">
        <v>0</v>
      </c>
      <c r="AJ199" s="7" t="s">
        <v>1193</v>
      </c>
      <c r="AK199" s="7" t="s">
        <v>1177</v>
      </c>
      <c r="AL199" s="7" t="s">
        <v>1177</v>
      </c>
      <c r="AM199" s="7" t="s">
        <v>1177</v>
      </c>
      <c r="AN199" s="7" t="s">
        <v>3212</v>
      </c>
      <c r="AO199" s="7" t="s">
        <v>1177</v>
      </c>
      <c r="AP199" s="7" t="s">
        <v>1177</v>
      </c>
      <c r="AQ199" s="7" t="s">
        <v>1177</v>
      </c>
      <c r="AR199" s="29">
        <v>0</v>
      </c>
      <c r="AS199" s="7" t="s">
        <v>1177</v>
      </c>
      <c r="AT199" s="7" t="s">
        <v>1363</v>
      </c>
      <c r="AU199" s="38">
        <v>46275</v>
      </c>
      <c r="AV199" s="39">
        <v>0.60354166666666997</v>
      </c>
    </row>
    <row r="200" spans="1:48" x14ac:dyDescent="0.35">
      <c r="A200" t="str">
        <f t="shared" si="3"/>
        <v>C393068B838</v>
      </c>
      <c r="B200" s="7" t="s">
        <v>138</v>
      </c>
      <c r="C200" s="7" t="s">
        <v>744</v>
      </c>
      <c r="D200" s="7" t="s">
        <v>48</v>
      </c>
      <c r="E200" s="7" t="s">
        <v>1177</v>
      </c>
      <c r="F200" s="7" t="s">
        <v>128</v>
      </c>
      <c r="G200" s="7" t="s">
        <v>130</v>
      </c>
      <c r="H200" s="7" t="s">
        <v>129</v>
      </c>
      <c r="I200" s="30">
        <v>2</v>
      </c>
      <c r="J200" s="7" t="s">
        <v>1177</v>
      </c>
      <c r="K200" s="7" t="s">
        <v>1178</v>
      </c>
      <c r="L200" s="7" t="s">
        <v>132</v>
      </c>
      <c r="M200" s="7" t="s">
        <v>133</v>
      </c>
      <c r="N200" s="30">
        <v>0</v>
      </c>
      <c r="O200" s="30">
        <v>0</v>
      </c>
      <c r="P200" s="30">
        <v>0</v>
      </c>
      <c r="Q200" s="30">
        <v>0</v>
      </c>
      <c r="R200" s="29">
        <v>0</v>
      </c>
      <c r="S200" s="36">
        <v>0</v>
      </c>
      <c r="T200" s="7" t="s">
        <v>131</v>
      </c>
      <c r="U200" s="7" t="s">
        <v>745</v>
      </c>
      <c r="V200" s="7" t="s">
        <v>745</v>
      </c>
      <c r="W200" s="7" t="s">
        <v>1177</v>
      </c>
      <c r="X200" s="30">
        <v>1</v>
      </c>
      <c r="Y200" s="7" t="s">
        <v>1177</v>
      </c>
      <c r="Z200" s="7" t="s">
        <v>1178</v>
      </c>
      <c r="AA200" s="30">
        <v>0</v>
      </c>
      <c r="AB200" s="36">
        <v>0</v>
      </c>
      <c r="AC200" s="7" t="s">
        <v>1177</v>
      </c>
      <c r="AD200" s="37">
        <v>0</v>
      </c>
      <c r="AE200" s="7" t="s">
        <v>1177</v>
      </c>
      <c r="AF200" s="7" t="s">
        <v>1177</v>
      </c>
      <c r="AG200" s="7" t="s">
        <v>1177</v>
      </c>
      <c r="AH200" s="38"/>
      <c r="AI200" s="36">
        <v>0</v>
      </c>
      <c r="AJ200" s="7" t="s">
        <v>1193</v>
      </c>
      <c r="AK200" s="7" t="s">
        <v>1177</v>
      </c>
      <c r="AL200" s="7" t="s">
        <v>1177</v>
      </c>
      <c r="AM200" s="7" t="s">
        <v>1177</v>
      </c>
      <c r="AN200" s="7" t="s">
        <v>3212</v>
      </c>
      <c r="AO200" s="7" t="s">
        <v>1177</v>
      </c>
      <c r="AP200" s="7" t="s">
        <v>1177</v>
      </c>
      <c r="AQ200" s="7" t="s">
        <v>1177</v>
      </c>
      <c r="AR200" s="29">
        <v>0</v>
      </c>
      <c r="AS200" s="7" t="s">
        <v>1177</v>
      </c>
      <c r="AT200" s="7" t="s">
        <v>1363</v>
      </c>
      <c r="AU200" s="38">
        <v>46275</v>
      </c>
      <c r="AV200" s="39">
        <v>0.60445601851852004</v>
      </c>
    </row>
    <row r="201" spans="1:48" x14ac:dyDescent="0.35">
      <c r="A201" t="str">
        <f t="shared" si="3"/>
        <v>C393083B825</v>
      </c>
      <c r="B201" s="7" t="s">
        <v>139</v>
      </c>
      <c r="C201" s="7" t="s">
        <v>511</v>
      </c>
      <c r="D201" s="7" t="s">
        <v>16</v>
      </c>
      <c r="E201" s="7" t="s">
        <v>1177</v>
      </c>
      <c r="F201" s="7" t="s">
        <v>128</v>
      </c>
      <c r="G201" s="7" t="s">
        <v>130</v>
      </c>
      <c r="H201" s="7" t="s">
        <v>129</v>
      </c>
      <c r="I201" s="30">
        <v>2</v>
      </c>
      <c r="J201" s="7" t="s">
        <v>1177</v>
      </c>
      <c r="K201" s="7" t="s">
        <v>1178</v>
      </c>
      <c r="L201" s="7" t="s">
        <v>132</v>
      </c>
      <c r="M201" s="7" t="s">
        <v>133</v>
      </c>
      <c r="N201" s="30">
        <v>0</v>
      </c>
      <c r="O201" s="30">
        <v>0</v>
      </c>
      <c r="P201" s="30">
        <v>0</v>
      </c>
      <c r="Q201" s="30">
        <v>0</v>
      </c>
      <c r="R201" s="29">
        <v>0</v>
      </c>
      <c r="S201" s="36">
        <v>0</v>
      </c>
      <c r="T201" s="7" t="s">
        <v>131</v>
      </c>
      <c r="U201" s="7" t="s">
        <v>512</v>
      </c>
      <c r="V201" s="7" t="s">
        <v>512</v>
      </c>
      <c r="W201" s="7" t="s">
        <v>1177</v>
      </c>
      <c r="X201" s="30">
        <v>1</v>
      </c>
      <c r="Y201" s="7" t="s">
        <v>1177</v>
      </c>
      <c r="Z201" s="7" t="s">
        <v>1178</v>
      </c>
      <c r="AA201" s="30">
        <v>0</v>
      </c>
      <c r="AB201" s="36">
        <v>0</v>
      </c>
      <c r="AC201" s="7" t="s">
        <v>1177</v>
      </c>
      <c r="AD201" s="37">
        <v>0</v>
      </c>
      <c r="AE201" s="7" t="s">
        <v>1177</v>
      </c>
      <c r="AF201" s="7" t="s">
        <v>1177</v>
      </c>
      <c r="AG201" s="7" t="s">
        <v>1177</v>
      </c>
      <c r="AH201" s="38"/>
      <c r="AI201" s="36">
        <v>0</v>
      </c>
      <c r="AJ201" s="7" t="s">
        <v>1193</v>
      </c>
      <c r="AK201" s="7" t="s">
        <v>1177</v>
      </c>
      <c r="AL201" s="7" t="s">
        <v>1177</v>
      </c>
      <c r="AM201" s="7" t="s">
        <v>1177</v>
      </c>
      <c r="AN201" s="7" t="s">
        <v>3212</v>
      </c>
      <c r="AO201" s="7" t="s">
        <v>1177</v>
      </c>
      <c r="AP201" s="7" t="s">
        <v>1177</v>
      </c>
      <c r="AQ201" s="7" t="s">
        <v>1177</v>
      </c>
      <c r="AR201" s="29">
        <v>0</v>
      </c>
      <c r="AS201" s="7" t="s">
        <v>1177</v>
      </c>
      <c r="AT201" s="7" t="s">
        <v>1363</v>
      </c>
      <c r="AU201" s="38">
        <v>46275</v>
      </c>
      <c r="AV201" s="39">
        <v>0.60354166666666997</v>
      </c>
    </row>
    <row r="202" spans="1:48" x14ac:dyDescent="0.35">
      <c r="A202" t="str">
        <f t="shared" si="3"/>
        <v>C393083B832</v>
      </c>
      <c r="B202" s="7" t="s">
        <v>139</v>
      </c>
      <c r="C202" s="7" t="s">
        <v>653</v>
      </c>
      <c r="D202" s="7" t="s">
        <v>19</v>
      </c>
      <c r="E202" s="7" t="s">
        <v>1177</v>
      </c>
      <c r="F202" s="7" t="s">
        <v>128</v>
      </c>
      <c r="G202" s="7" t="s">
        <v>130</v>
      </c>
      <c r="H202" s="7" t="s">
        <v>129</v>
      </c>
      <c r="I202" s="30">
        <v>2</v>
      </c>
      <c r="J202" s="7" t="s">
        <v>1177</v>
      </c>
      <c r="K202" s="7" t="s">
        <v>1178</v>
      </c>
      <c r="L202" s="7" t="s">
        <v>132</v>
      </c>
      <c r="M202" s="7" t="s">
        <v>133</v>
      </c>
      <c r="N202" s="30">
        <v>0</v>
      </c>
      <c r="O202" s="30">
        <v>0</v>
      </c>
      <c r="P202" s="30">
        <v>0</v>
      </c>
      <c r="Q202" s="30">
        <v>0</v>
      </c>
      <c r="R202" s="29">
        <v>0</v>
      </c>
      <c r="S202" s="36">
        <v>0</v>
      </c>
      <c r="T202" s="7" t="s">
        <v>131</v>
      </c>
      <c r="U202" s="7" t="s">
        <v>654</v>
      </c>
      <c r="V202" s="7" t="s">
        <v>654</v>
      </c>
      <c r="W202" s="7" t="s">
        <v>1177</v>
      </c>
      <c r="X202" s="30">
        <v>1</v>
      </c>
      <c r="Y202" s="7" t="s">
        <v>1177</v>
      </c>
      <c r="Z202" s="7" t="s">
        <v>1178</v>
      </c>
      <c r="AA202" s="30">
        <v>0</v>
      </c>
      <c r="AB202" s="36">
        <v>0</v>
      </c>
      <c r="AC202" s="7" t="s">
        <v>1177</v>
      </c>
      <c r="AD202" s="37">
        <v>0</v>
      </c>
      <c r="AE202" s="7" t="s">
        <v>1177</v>
      </c>
      <c r="AF202" s="7" t="s">
        <v>1177</v>
      </c>
      <c r="AG202" s="7" t="s">
        <v>1177</v>
      </c>
      <c r="AH202" s="38"/>
      <c r="AI202" s="36">
        <v>0</v>
      </c>
      <c r="AJ202" s="7" t="s">
        <v>1193</v>
      </c>
      <c r="AK202" s="7" t="s">
        <v>1177</v>
      </c>
      <c r="AL202" s="7" t="s">
        <v>1177</v>
      </c>
      <c r="AM202" s="7" t="s">
        <v>1177</v>
      </c>
      <c r="AN202" s="7" t="s">
        <v>3212</v>
      </c>
      <c r="AO202" s="7" t="s">
        <v>1177</v>
      </c>
      <c r="AP202" s="7" t="s">
        <v>1177</v>
      </c>
      <c r="AQ202" s="7" t="s">
        <v>1177</v>
      </c>
      <c r="AR202" s="29">
        <v>0</v>
      </c>
      <c r="AS202" s="7" t="s">
        <v>1177</v>
      </c>
      <c r="AT202" s="7" t="s">
        <v>1363</v>
      </c>
      <c r="AU202" s="38">
        <v>46275</v>
      </c>
      <c r="AV202" s="39">
        <v>0.60385416666667002</v>
      </c>
    </row>
    <row r="203" spans="1:48" x14ac:dyDescent="0.35">
      <c r="A203" t="str">
        <f t="shared" si="3"/>
        <v>C393083B838</v>
      </c>
      <c r="B203" s="7" t="s">
        <v>139</v>
      </c>
      <c r="C203" s="7" t="s">
        <v>744</v>
      </c>
      <c r="D203" s="7" t="s">
        <v>48</v>
      </c>
      <c r="E203" s="7" t="s">
        <v>1177</v>
      </c>
      <c r="F203" s="7" t="s">
        <v>128</v>
      </c>
      <c r="G203" s="7" t="s">
        <v>130</v>
      </c>
      <c r="H203" s="7" t="s">
        <v>129</v>
      </c>
      <c r="I203" s="30">
        <v>2</v>
      </c>
      <c r="J203" s="7" t="s">
        <v>1177</v>
      </c>
      <c r="K203" s="7" t="s">
        <v>1178</v>
      </c>
      <c r="L203" s="7" t="s">
        <v>132</v>
      </c>
      <c r="M203" s="7" t="s">
        <v>133</v>
      </c>
      <c r="N203" s="30">
        <v>0</v>
      </c>
      <c r="O203" s="30">
        <v>0</v>
      </c>
      <c r="P203" s="30">
        <v>0</v>
      </c>
      <c r="Q203" s="30">
        <v>0</v>
      </c>
      <c r="R203" s="29">
        <v>0</v>
      </c>
      <c r="S203" s="36">
        <v>0</v>
      </c>
      <c r="T203" s="7" t="s">
        <v>131</v>
      </c>
      <c r="U203" s="7" t="s">
        <v>745</v>
      </c>
      <c r="V203" s="7" t="s">
        <v>745</v>
      </c>
      <c r="W203" s="7" t="s">
        <v>1177</v>
      </c>
      <c r="X203" s="30">
        <v>1</v>
      </c>
      <c r="Y203" s="7" t="s">
        <v>1177</v>
      </c>
      <c r="Z203" s="7" t="s">
        <v>1178</v>
      </c>
      <c r="AA203" s="30">
        <v>0</v>
      </c>
      <c r="AB203" s="36">
        <v>0</v>
      </c>
      <c r="AC203" s="7" t="s">
        <v>1177</v>
      </c>
      <c r="AD203" s="37">
        <v>0</v>
      </c>
      <c r="AE203" s="7" t="s">
        <v>1177</v>
      </c>
      <c r="AF203" s="7" t="s">
        <v>1177</v>
      </c>
      <c r="AG203" s="7" t="s">
        <v>1177</v>
      </c>
      <c r="AH203" s="38"/>
      <c r="AI203" s="36">
        <v>0</v>
      </c>
      <c r="AJ203" s="7" t="s">
        <v>1193</v>
      </c>
      <c r="AK203" s="7" t="s">
        <v>1177</v>
      </c>
      <c r="AL203" s="7" t="s">
        <v>1177</v>
      </c>
      <c r="AM203" s="7" t="s">
        <v>1177</v>
      </c>
      <c r="AN203" s="7" t="s">
        <v>3212</v>
      </c>
      <c r="AO203" s="7" t="s">
        <v>1177</v>
      </c>
      <c r="AP203" s="7" t="s">
        <v>1177</v>
      </c>
      <c r="AQ203" s="7" t="s">
        <v>1177</v>
      </c>
      <c r="AR203" s="29">
        <v>0</v>
      </c>
      <c r="AS203" s="7" t="s">
        <v>1177</v>
      </c>
      <c r="AT203" s="7" t="s">
        <v>1363</v>
      </c>
      <c r="AU203" s="38">
        <v>46275</v>
      </c>
      <c r="AV203" s="39">
        <v>0.60446759259258998</v>
      </c>
    </row>
    <row r="204" spans="1:48" x14ac:dyDescent="0.35">
      <c r="A204" t="str">
        <f t="shared" si="3"/>
        <v>C393085B825</v>
      </c>
      <c r="B204" s="7" t="s">
        <v>207</v>
      </c>
      <c r="C204" s="7" t="s">
        <v>511</v>
      </c>
      <c r="D204" s="7" t="s">
        <v>16</v>
      </c>
      <c r="E204" s="7" t="s">
        <v>1177</v>
      </c>
      <c r="F204" s="7" t="s">
        <v>128</v>
      </c>
      <c r="G204" s="7" t="s">
        <v>130</v>
      </c>
      <c r="H204" s="7" t="s">
        <v>129</v>
      </c>
      <c r="I204" s="30">
        <v>1</v>
      </c>
      <c r="J204" s="7" t="s">
        <v>1177</v>
      </c>
      <c r="K204" s="7" t="s">
        <v>1178</v>
      </c>
      <c r="L204" s="7" t="s">
        <v>132</v>
      </c>
      <c r="M204" s="7" t="s">
        <v>133</v>
      </c>
      <c r="N204" s="30">
        <v>0</v>
      </c>
      <c r="O204" s="30">
        <v>0</v>
      </c>
      <c r="P204" s="30">
        <v>0</v>
      </c>
      <c r="Q204" s="30">
        <v>0</v>
      </c>
      <c r="R204" s="29">
        <v>0</v>
      </c>
      <c r="S204" s="36">
        <v>0</v>
      </c>
      <c r="T204" s="7" t="s">
        <v>131</v>
      </c>
      <c r="U204" s="7" t="s">
        <v>512</v>
      </c>
      <c r="V204" s="7" t="s">
        <v>512</v>
      </c>
      <c r="W204" s="7" t="s">
        <v>1177</v>
      </c>
      <c r="X204" s="30">
        <v>1</v>
      </c>
      <c r="Y204" s="7" t="s">
        <v>1177</v>
      </c>
      <c r="Z204" s="7" t="s">
        <v>1178</v>
      </c>
      <c r="AA204" s="30">
        <v>0</v>
      </c>
      <c r="AB204" s="36">
        <v>0</v>
      </c>
      <c r="AC204" s="7" t="s">
        <v>1177</v>
      </c>
      <c r="AD204" s="37">
        <v>0</v>
      </c>
      <c r="AE204" s="7" t="s">
        <v>1177</v>
      </c>
      <c r="AF204" s="7" t="s">
        <v>1177</v>
      </c>
      <c r="AG204" s="7" t="s">
        <v>1177</v>
      </c>
      <c r="AH204" s="38"/>
      <c r="AI204" s="36">
        <v>0</v>
      </c>
      <c r="AJ204" s="7" t="s">
        <v>1193</v>
      </c>
      <c r="AK204" s="7" t="s">
        <v>1177</v>
      </c>
      <c r="AL204" s="7" t="s">
        <v>1177</v>
      </c>
      <c r="AM204" s="7" t="s">
        <v>1177</v>
      </c>
      <c r="AN204" s="7" t="s">
        <v>3212</v>
      </c>
      <c r="AO204" s="7" t="s">
        <v>1177</v>
      </c>
      <c r="AP204" s="7" t="s">
        <v>1177</v>
      </c>
      <c r="AQ204" s="7" t="s">
        <v>1177</v>
      </c>
      <c r="AR204" s="29">
        <v>0</v>
      </c>
      <c r="AS204" s="7" t="s">
        <v>1177</v>
      </c>
      <c r="AT204" s="7" t="s">
        <v>1363</v>
      </c>
      <c r="AU204" s="38">
        <v>46275</v>
      </c>
      <c r="AV204" s="39">
        <v>0.60354166666666997</v>
      </c>
    </row>
    <row r="205" spans="1:48" x14ac:dyDescent="0.35">
      <c r="A205" t="str">
        <f t="shared" si="3"/>
        <v>C393085B832</v>
      </c>
      <c r="B205" s="7" t="s">
        <v>207</v>
      </c>
      <c r="C205" s="7" t="s">
        <v>653</v>
      </c>
      <c r="D205" s="7" t="s">
        <v>19</v>
      </c>
      <c r="E205" s="7" t="s">
        <v>1177</v>
      </c>
      <c r="F205" s="7" t="s">
        <v>128</v>
      </c>
      <c r="G205" s="7" t="s">
        <v>130</v>
      </c>
      <c r="H205" s="7" t="s">
        <v>129</v>
      </c>
      <c r="I205" s="30">
        <v>2</v>
      </c>
      <c r="J205" s="7" t="s">
        <v>1177</v>
      </c>
      <c r="K205" s="7" t="s">
        <v>1178</v>
      </c>
      <c r="L205" s="7" t="s">
        <v>132</v>
      </c>
      <c r="M205" s="7" t="s">
        <v>133</v>
      </c>
      <c r="N205" s="30">
        <v>0</v>
      </c>
      <c r="O205" s="30">
        <v>0</v>
      </c>
      <c r="P205" s="30">
        <v>0</v>
      </c>
      <c r="Q205" s="30">
        <v>0</v>
      </c>
      <c r="R205" s="29">
        <v>0</v>
      </c>
      <c r="S205" s="36">
        <v>0</v>
      </c>
      <c r="T205" s="7" t="s">
        <v>131</v>
      </c>
      <c r="U205" s="7" t="s">
        <v>654</v>
      </c>
      <c r="V205" s="7" t="s">
        <v>654</v>
      </c>
      <c r="W205" s="7" t="s">
        <v>1177</v>
      </c>
      <c r="X205" s="30">
        <v>1</v>
      </c>
      <c r="Y205" s="7" t="s">
        <v>1177</v>
      </c>
      <c r="Z205" s="7" t="s">
        <v>1178</v>
      </c>
      <c r="AA205" s="30">
        <v>0</v>
      </c>
      <c r="AB205" s="36">
        <v>0</v>
      </c>
      <c r="AC205" s="7" t="s">
        <v>1177</v>
      </c>
      <c r="AD205" s="37">
        <v>0</v>
      </c>
      <c r="AE205" s="7" t="s">
        <v>1177</v>
      </c>
      <c r="AF205" s="7" t="s">
        <v>1177</v>
      </c>
      <c r="AG205" s="7" t="s">
        <v>1177</v>
      </c>
      <c r="AH205" s="38"/>
      <c r="AI205" s="36">
        <v>0</v>
      </c>
      <c r="AJ205" s="7" t="s">
        <v>1193</v>
      </c>
      <c r="AK205" s="7" t="s">
        <v>1177</v>
      </c>
      <c r="AL205" s="7" t="s">
        <v>1177</v>
      </c>
      <c r="AM205" s="7" t="s">
        <v>1177</v>
      </c>
      <c r="AN205" s="7" t="s">
        <v>3212</v>
      </c>
      <c r="AO205" s="7" t="s">
        <v>1177</v>
      </c>
      <c r="AP205" s="7" t="s">
        <v>1177</v>
      </c>
      <c r="AQ205" s="7" t="s">
        <v>1177</v>
      </c>
      <c r="AR205" s="29">
        <v>0</v>
      </c>
      <c r="AS205" s="7" t="s">
        <v>1177</v>
      </c>
      <c r="AT205" s="7" t="s">
        <v>1363</v>
      </c>
      <c r="AU205" s="38">
        <v>46275</v>
      </c>
      <c r="AV205" s="39">
        <v>0.60385416666667002</v>
      </c>
    </row>
    <row r="206" spans="1:48" x14ac:dyDescent="0.35">
      <c r="A206" t="str">
        <f t="shared" si="3"/>
        <v>C393085B838</v>
      </c>
      <c r="B206" s="7" t="s">
        <v>207</v>
      </c>
      <c r="C206" s="7" t="s">
        <v>744</v>
      </c>
      <c r="D206" s="7" t="s">
        <v>48</v>
      </c>
      <c r="E206" s="7" t="s">
        <v>1177</v>
      </c>
      <c r="F206" s="7" t="s">
        <v>128</v>
      </c>
      <c r="G206" s="7" t="s">
        <v>130</v>
      </c>
      <c r="H206" s="7" t="s">
        <v>129</v>
      </c>
      <c r="I206" s="30">
        <v>2</v>
      </c>
      <c r="J206" s="7" t="s">
        <v>1177</v>
      </c>
      <c r="K206" s="7" t="s">
        <v>1178</v>
      </c>
      <c r="L206" s="7" t="s">
        <v>132</v>
      </c>
      <c r="M206" s="7" t="s">
        <v>133</v>
      </c>
      <c r="N206" s="30">
        <v>0</v>
      </c>
      <c r="O206" s="30">
        <v>0</v>
      </c>
      <c r="P206" s="30">
        <v>0</v>
      </c>
      <c r="Q206" s="30">
        <v>0</v>
      </c>
      <c r="R206" s="29">
        <v>0</v>
      </c>
      <c r="S206" s="36">
        <v>0</v>
      </c>
      <c r="T206" s="7" t="s">
        <v>131</v>
      </c>
      <c r="U206" s="7" t="s">
        <v>745</v>
      </c>
      <c r="V206" s="7" t="s">
        <v>745</v>
      </c>
      <c r="W206" s="7" t="s">
        <v>1177</v>
      </c>
      <c r="X206" s="30">
        <v>1</v>
      </c>
      <c r="Y206" s="7" t="s">
        <v>1177</v>
      </c>
      <c r="Z206" s="7" t="s">
        <v>1178</v>
      </c>
      <c r="AA206" s="30">
        <v>0</v>
      </c>
      <c r="AB206" s="36">
        <v>0</v>
      </c>
      <c r="AC206" s="7" t="s">
        <v>1177</v>
      </c>
      <c r="AD206" s="37">
        <v>0</v>
      </c>
      <c r="AE206" s="7" t="s">
        <v>1177</v>
      </c>
      <c r="AF206" s="7" t="s">
        <v>1177</v>
      </c>
      <c r="AG206" s="7" t="s">
        <v>1177</v>
      </c>
      <c r="AH206" s="38"/>
      <c r="AI206" s="36">
        <v>0</v>
      </c>
      <c r="AJ206" s="7" t="s">
        <v>1193</v>
      </c>
      <c r="AK206" s="7" t="s">
        <v>1177</v>
      </c>
      <c r="AL206" s="7" t="s">
        <v>1177</v>
      </c>
      <c r="AM206" s="7" t="s">
        <v>1177</v>
      </c>
      <c r="AN206" s="7" t="s">
        <v>3212</v>
      </c>
      <c r="AO206" s="7" t="s">
        <v>1177</v>
      </c>
      <c r="AP206" s="7" t="s">
        <v>1177</v>
      </c>
      <c r="AQ206" s="7" t="s">
        <v>1177</v>
      </c>
      <c r="AR206" s="29">
        <v>0</v>
      </c>
      <c r="AS206" s="7" t="s">
        <v>1177</v>
      </c>
      <c r="AT206" s="7" t="s">
        <v>1363</v>
      </c>
      <c r="AU206" s="38">
        <v>46275</v>
      </c>
      <c r="AV206" s="39">
        <v>0.60438657407407004</v>
      </c>
    </row>
    <row r="207" spans="1:48" x14ac:dyDescent="0.35">
      <c r="A207" t="str">
        <f t="shared" si="3"/>
        <v>C393086B825</v>
      </c>
      <c r="B207" s="7" t="s">
        <v>140</v>
      </c>
      <c r="C207" s="7" t="s">
        <v>511</v>
      </c>
      <c r="D207" s="7" t="s">
        <v>16</v>
      </c>
      <c r="E207" s="7" t="s">
        <v>1177</v>
      </c>
      <c r="F207" s="7" t="s">
        <v>128</v>
      </c>
      <c r="G207" s="7" t="s">
        <v>130</v>
      </c>
      <c r="H207" s="7" t="s">
        <v>129</v>
      </c>
      <c r="I207" s="30">
        <v>2</v>
      </c>
      <c r="J207" s="7" t="s">
        <v>1177</v>
      </c>
      <c r="K207" s="7" t="s">
        <v>1178</v>
      </c>
      <c r="L207" s="7" t="s">
        <v>132</v>
      </c>
      <c r="M207" s="7" t="s">
        <v>133</v>
      </c>
      <c r="N207" s="30">
        <v>0</v>
      </c>
      <c r="O207" s="30">
        <v>0</v>
      </c>
      <c r="P207" s="30">
        <v>0</v>
      </c>
      <c r="Q207" s="30">
        <v>0</v>
      </c>
      <c r="R207" s="29">
        <v>0</v>
      </c>
      <c r="S207" s="36">
        <v>0</v>
      </c>
      <c r="T207" s="7" t="s">
        <v>131</v>
      </c>
      <c r="U207" s="7" t="s">
        <v>512</v>
      </c>
      <c r="V207" s="7" t="s">
        <v>512</v>
      </c>
      <c r="W207" s="7" t="s">
        <v>1177</v>
      </c>
      <c r="X207" s="30">
        <v>1</v>
      </c>
      <c r="Y207" s="7" t="s">
        <v>1177</v>
      </c>
      <c r="Z207" s="7" t="s">
        <v>1178</v>
      </c>
      <c r="AA207" s="30">
        <v>0</v>
      </c>
      <c r="AB207" s="36">
        <v>0</v>
      </c>
      <c r="AC207" s="7" t="s">
        <v>1177</v>
      </c>
      <c r="AD207" s="37">
        <v>0</v>
      </c>
      <c r="AE207" s="7" t="s">
        <v>1177</v>
      </c>
      <c r="AF207" s="7" t="s">
        <v>1177</v>
      </c>
      <c r="AG207" s="7" t="s">
        <v>1177</v>
      </c>
      <c r="AH207" s="38"/>
      <c r="AI207" s="36">
        <v>0</v>
      </c>
      <c r="AJ207" s="7" t="s">
        <v>1193</v>
      </c>
      <c r="AK207" s="7" t="s">
        <v>1177</v>
      </c>
      <c r="AL207" s="7" t="s">
        <v>1177</v>
      </c>
      <c r="AM207" s="7" t="s">
        <v>1177</v>
      </c>
      <c r="AN207" s="7" t="s">
        <v>3212</v>
      </c>
      <c r="AO207" s="7" t="s">
        <v>1177</v>
      </c>
      <c r="AP207" s="7" t="s">
        <v>1177</v>
      </c>
      <c r="AQ207" s="7" t="s">
        <v>1177</v>
      </c>
      <c r="AR207" s="29">
        <v>0</v>
      </c>
      <c r="AS207" s="7" t="s">
        <v>1177</v>
      </c>
      <c r="AT207" s="7" t="s">
        <v>1363</v>
      </c>
      <c r="AU207" s="38">
        <v>46275</v>
      </c>
      <c r="AV207" s="39">
        <v>0.60354166666666997</v>
      </c>
    </row>
    <row r="208" spans="1:48" x14ac:dyDescent="0.35">
      <c r="A208" t="str">
        <f t="shared" si="3"/>
        <v>C393086B838</v>
      </c>
      <c r="B208" s="7" t="s">
        <v>140</v>
      </c>
      <c r="C208" s="7" t="s">
        <v>744</v>
      </c>
      <c r="D208" s="7" t="s">
        <v>48</v>
      </c>
      <c r="E208" s="7" t="s">
        <v>1177</v>
      </c>
      <c r="F208" s="7" t="s">
        <v>128</v>
      </c>
      <c r="G208" s="7" t="s">
        <v>130</v>
      </c>
      <c r="H208" s="7" t="s">
        <v>129</v>
      </c>
      <c r="I208" s="30">
        <v>2</v>
      </c>
      <c r="J208" s="7" t="s">
        <v>1177</v>
      </c>
      <c r="K208" s="7" t="s">
        <v>1178</v>
      </c>
      <c r="L208" s="7" t="s">
        <v>132</v>
      </c>
      <c r="M208" s="7" t="s">
        <v>133</v>
      </c>
      <c r="N208" s="30">
        <v>0</v>
      </c>
      <c r="O208" s="30">
        <v>0</v>
      </c>
      <c r="P208" s="30">
        <v>0</v>
      </c>
      <c r="Q208" s="30">
        <v>0</v>
      </c>
      <c r="R208" s="29">
        <v>0</v>
      </c>
      <c r="S208" s="36">
        <v>0</v>
      </c>
      <c r="T208" s="7" t="s">
        <v>131</v>
      </c>
      <c r="U208" s="7" t="s">
        <v>745</v>
      </c>
      <c r="V208" s="7" t="s">
        <v>745</v>
      </c>
      <c r="W208" s="7" t="s">
        <v>1177</v>
      </c>
      <c r="X208" s="30">
        <v>1</v>
      </c>
      <c r="Y208" s="7" t="s">
        <v>1177</v>
      </c>
      <c r="Z208" s="7" t="s">
        <v>1178</v>
      </c>
      <c r="AA208" s="30">
        <v>0</v>
      </c>
      <c r="AB208" s="36">
        <v>0</v>
      </c>
      <c r="AC208" s="7" t="s">
        <v>1177</v>
      </c>
      <c r="AD208" s="37">
        <v>0</v>
      </c>
      <c r="AE208" s="7" t="s">
        <v>1177</v>
      </c>
      <c r="AF208" s="7" t="s">
        <v>1177</v>
      </c>
      <c r="AG208" s="7" t="s">
        <v>1177</v>
      </c>
      <c r="AH208" s="38"/>
      <c r="AI208" s="36">
        <v>0</v>
      </c>
      <c r="AJ208" s="7" t="s">
        <v>1193</v>
      </c>
      <c r="AK208" s="7" t="s">
        <v>1177</v>
      </c>
      <c r="AL208" s="7" t="s">
        <v>1177</v>
      </c>
      <c r="AM208" s="7" t="s">
        <v>1177</v>
      </c>
      <c r="AN208" s="7" t="s">
        <v>3212</v>
      </c>
      <c r="AO208" s="7" t="s">
        <v>1177</v>
      </c>
      <c r="AP208" s="7" t="s">
        <v>1177</v>
      </c>
      <c r="AQ208" s="7" t="s">
        <v>1177</v>
      </c>
      <c r="AR208" s="29">
        <v>0</v>
      </c>
      <c r="AS208" s="7" t="s">
        <v>1177</v>
      </c>
      <c r="AT208" s="7" t="s">
        <v>1363</v>
      </c>
      <c r="AU208" s="38">
        <v>46275</v>
      </c>
      <c r="AV208" s="39">
        <v>0.60438657407407004</v>
      </c>
    </row>
    <row r="209" spans="1:48" x14ac:dyDescent="0.35">
      <c r="A209" t="str">
        <f t="shared" si="3"/>
        <v>C393106B825</v>
      </c>
      <c r="B209" s="7" t="s">
        <v>208</v>
      </c>
      <c r="C209" s="7" t="s">
        <v>511</v>
      </c>
      <c r="D209" s="7" t="s">
        <v>16</v>
      </c>
      <c r="E209" s="7" t="s">
        <v>1177</v>
      </c>
      <c r="F209" s="7" t="s">
        <v>128</v>
      </c>
      <c r="G209" s="7" t="s">
        <v>130</v>
      </c>
      <c r="H209" s="7" t="s">
        <v>129</v>
      </c>
      <c r="I209" s="30">
        <v>2</v>
      </c>
      <c r="J209" s="7" t="s">
        <v>1177</v>
      </c>
      <c r="K209" s="7" t="s">
        <v>1178</v>
      </c>
      <c r="L209" s="7" t="s">
        <v>132</v>
      </c>
      <c r="M209" s="7" t="s">
        <v>133</v>
      </c>
      <c r="N209" s="30">
        <v>0</v>
      </c>
      <c r="O209" s="30">
        <v>0</v>
      </c>
      <c r="P209" s="30">
        <v>0</v>
      </c>
      <c r="Q209" s="30">
        <v>0</v>
      </c>
      <c r="R209" s="29">
        <v>0</v>
      </c>
      <c r="S209" s="36">
        <v>0</v>
      </c>
      <c r="T209" s="7" t="s">
        <v>131</v>
      </c>
      <c r="U209" s="7" t="s">
        <v>512</v>
      </c>
      <c r="V209" s="7" t="s">
        <v>512</v>
      </c>
      <c r="W209" s="7" t="s">
        <v>1177</v>
      </c>
      <c r="X209" s="30">
        <v>1</v>
      </c>
      <c r="Y209" s="7" t="s">
        <v>1177</v>
      </c>
      <c r="Z209" s="7" t="s">
        <v>1178</v>
      </c>
      <c r="AA209" s="30">
        <v>0</v>
      </c>
      <c r="AB209" s="36">
        <v>0</v>
      </c>
      <c r="AC209" s="7" t="s">
        <v>1177</v>
      </c>
      <c r="AD209" s="37">
        <v>0</v>
      </c>
      <c r="AE209" s="7" t="s">
        <v>1177</v>
      </c>
      <c r="AF209" s="7" t="s">
        <v>1177</v>
      </c>
      <c r="AG209" s="7" t="s">
        <v>1177</v>
      </c>
      <c r="AH209" s="38"/>
      <c r="AI209" s="36">
        <v>0</v>
      </c>
      <c r="AJ209" s="7" t="s">
        <v>1193</v>
      </c>
      <c r="AK209" s="7" t="s">
        <v>1177</v>
      </c>
      <c r="AL209" s="7" t="s">
        <v>1177</v>
      </c>
      <c r="AM209" s="7" t="s">
        <v>1177</v>
      </c>
      <c r="AN209" s="7" t="s">
        <v>3212</v>
      </c>
      <c r="AO209" s="7" t="s">
        <v>1177</v>
      </c>
      <c r="AP209" s="7" t="s">
        <v>1177</v>
      </c>
      <c r="AQ209" s="7" t="s">
        <v>1177</v>
      </c>
      <c r="AR209" s="29">
        <v>0</v>
      </c>
      <c r="AS209" s="7" t="s">
        <v>1177</v>
      </c>
      <c r="AT209" s="7" t="s">
        <v>1363</v>
      </c>
      <c r="AU209" s="38">
        <v>46275</v>
      </c>
      <c r="AV209" s="39">
        <v>0.62302083333333003</v>
      </c>
    </row>
    <row r="210" spans="1:48" x14ac:dyDescent="0.35">
      <c r="A210" t="str">
        <f t="shared" si="3"/>
        <v>C393106B832</v>
      </c>
      <c r="B210" s="7" t="s">
        <v>208</v>
      </c>
      <c r="C210" s="7" t="s">
        <v>653</v>
      </c>
      <c r="D210" s="7" t="s">
        <v>19</v>
      </c>
      <c r="E210" s="7" t="s">
        <v>1177</v>
      </c>
      <c r="F210" s="7" t="s">
        <v>128</v>
      </c>
      <c r="G210" s="7" t="s">
        <v>130</v>
      </c>
      <c r="H210" s="7" t="s">
        <v>129</v>
      </c>
      <c r="I210" s="30">
        <v>2</v>
      </c>
      <c r="J210" s="7" t="s">
        <v>1177</v>
      </c>
      <c r="K210" s="7" t="s">
        <v>1178</v>
      </c>
      <c r="L210" s="7" t="s">
        <v>132</v>
      </c>
      <c r="M210" s="7" t="s">
        <v>133</v>
      </c>
      <c r="N210" s="30">
        <v>0</v>
      </c>
      <c r="O210" s="30">
        <v>0</v>
      </c>
      <c r="P210" s="30">
        <v>0</v>
      </c>
      <c r="Q210" s="30">
        <v>0</v>
      </c>
      <c r="R210" s="29">
        <v>0</v>
      </c>
      <c r="S210" s="36">
        <v>0</v>
      </c>
      <c r="T210" s="7" t="s">
        <v>131</v>
      </c>
      <c r="U210" s="7" t="s">
        <v>654</v>
      </c>
      <c r="V210" s="7" t="s">
        <v>654</v>
      </c>
      <c r="W210" s="7" t="s">
        <v>1177</v>
      </c>
      <c r="X210" s="30">
        <v>1</v>
      </c>
      <c r="Y210" s="7" t="s">
        <v>1177</v>
      </c>
      <c r="Z210" s="7" t="s">
        <v>1178</v>
      </c>
      <c r="AA210" s="30">
        <v>0</v>
      </c>
      <c r="AB210" s="36">
        <v>0</v>
      </c>
      <c r="AC210" s="7" t="s">
        <v>1177</v>
      </c>
      <c r="AD210" s="37">
        <v>0</v>
      </c>
      <c r="AE210" s="7" t="s">
        <v>1177</v>
      </c>
      <c r="AF210" s="7" t="s">
        <v>1177</v>
      </c>
      <c r="AG210" s="7" t="s">
        <v>1177</v>
      </c>
      <c r="AH210" s="38"/>
      <c r="AI210" s="36">
        <v>0</v>
      </c>
      <c r="AJ210" s="7" t="s">
        <v>1193</v>
      </c>
      <c r="AK210" s="7" t="s">
        <v>1177</v>
      </c>
      <c r="AL210" s="7" t="s">
        <v>1177</v>
      </c>
      <c r="AM210" s="7" t="s">
        <v>1177</v>
      </c>
      <c r="AN210" s="7" t="s">
        <v>3212</v>
      </c>
      <c r="AO210" s="7" t="s">
        <v>1177</v>
      </c>
      <c r="AP210" s="7" t="s">
        <v>1177</v>
      </c>
      <c r="AQ210" s="7" t="s">
        <v>1177</v>
      </c>
      <c r="AR210" s="29">
        <v>0</v>
      </c>
      <c r="AS210" s="7" t="s">
        <v>1177</v>
      </c>
      <c r="AT210" s="7" t="s">
        <v>1363</v>
      </c>
      <c r="AU210" s="38">
        <v>46275</v>
      </c>
      <c r="AV210" s="39">
        <v>0.62335648148148004</v>
      </c>
    </row>
    <row r="211" spans="1:48" x14ac:dyDescent="0.35">
      <c r="A211" t="str">
        <f t="shared" si="3"/>
        <v>C393107B825</v>
      </c>
      <c r="B211" s="7" t="s">
        <v>516</v>
      </c>
      <c r="C211" s="7" t="s">
        <v>511</v>
      </c>
      <c r="D211" s="7" t="s">
        <v>16</v>
      </c>
      <c r="E211" s="7" t="s">
        <v>1177</v>
      </c>
      <c r="F211" s="7" t="s">
        <v>128</v>
      </c>
      <c r="G211" s="7" t="s">
        <v>130</v>
      </c>
      <c r="H211" s="7" t="s">
        <v>129</v>
      </c>
      <c r="I211" s="30">
        <v>2</v>
      </c>
      <c r="J211" s="7" t="s">
        <v>1177</v>
      </c>
      <c r="K211" s="7" t="s">
        <v>1178</v>
      </c>
      <c r="L211" s="7" t="s">
        <v>132</v>
      </c>
      <c r="M211" s="7" t="s">
        <v>133</v>
      </c>
      <c r="N211" s="30">
        <v>0</v>
      </c>
      <c r="O211" s="30">
        <v>0</v>
      </c>
      <c r="P211" s="30">
        <v>0</v>
      </c>
      <c r="Q211" s="30">
        <v>0</v>
      </c>
      <c r="R211" s="29">
        <v>0</v>
      </c>
      <c r="S211" s="36">
        <v>0</v>
      </c>
      <c r="T211" s="7" t="s">
        <v>131</v>
      </c>
      <c r="U211" s="7" t="s">
        <v>512</v>
      </c>
      <c r="V211" s="7" t="s">
        <v>512</v>
      </c>
      <c r="W211" s="7" t="s">
        <v>1177</v>
      </c>
      <c r="X211" s="30">
        <v>1</v>
      </c>
      <c r="Y211" s="7" t="s">
        <v>1177</v>
      </c>
      <c r="Z211" s="7" t="s">
        <v>1178</v>
      </c>
      <c r="AA211" s="30">
        <v>0</v>
      </c>
      <c r="AB211" s="36">
        <v>0</v>
      </c>
      <c r="AC211" s="7" t="s">
        <v>1177</v>
      </c>
      <c r="AD211" s="37">
        <v>0</v>
      </c>
      <c r="AE211" s="7" t="s">
        <v>1177</v>
      </c>
      <c r="AF211" s="7" t="s">
        <v>1177</v>
      </c>
      <c r="AG211" s="7" t="s">
        <v>1177</v>
      </c>
      <c r="AH211" s="38"/>
      <c r="AI211" s="36">
        <v>0</v>
      </c>
      <c r="AJ211" s="7" t="s">
        <v>1193</v>
      </c>
      <c r="AK211" s="7" t="s">
        <v>1177</v>
      </c>
      <c r="AL211" s="7" t="s">
        <v>1177</v>
      </c>
      <c r="AM211" s="7" t="s">
        <v>1177</v>
      </c>
      <c r="AN211" s="7" t="s">
        <v>3212</v>
      </c>
      <c r="AO211" s="7" t="s">
        <v>1177</v>
      </c>
      <c r="AP211" s="7" t="s">
        <v>1177</v>
      </c>
      <c r="AQ211" s="7" t="s">
        <v>1177</v>
      </c>
      <c r="AR211" s="29">
        <v>0</v>
      </c>
      <c r="AS211" s="7" t="s">
        <v>1177</v>
      </c>
      <c r="AT211" s="7" t="s">
        <v>1363</v>
      </c>
      <c r="AU211" s="38">
        <v>46275</v>
      </c>
      <c r="AV211" s="39">
        <v>0.62302083333333003</v>
      </c>
    </row>
    <row r="212" spans="1:48" x14ac:dyDescent="0.35">
      <c r="A212" t="str">
        <f t="shared" si="3"/>
        <v>CAX0089B825</v>
      </c>
      <c r="B212" s="7" t="s">
        <v>342</v>
      </c>
      <c r="C212" s="7" t="s">
        <v>511</v>
      </c>
      <c r="D212" s="7" t="s">
        <v>16</v>
      </c>
      <c r="E212" s="7" t="s">
        <v>1177</v>
      </c>
      <c r="F212" s="7" t="s">
        <v>128</v>
      </c>
      <c r="G212" s="7" t="s">
        <v>130</v>
      </c>
      <c r="H212" s="7" t="s">
        <v>129</v>
      </c>
      <c r="I212" s="30">
        <v>2</v>
      </c>
      <c r="J212" s="7" t="s">
        <v>1177</v>
      </c>
      <c r="K212" s="7" t="s">
        <v>1178</v>
      </c>
      <c r="L212" s="7" t="s">
        <v>132</v>
      </c>
      <c r="M212" s="7" t="s">
        <v>133</v>
      </c>
      <c r="N212" s="30">
        <v>0</v>
      </c>
      <c r="O212" s="30">
        <v>0</v>
      </c>
      <c r="P212" s="30">
        <v>0</v>
      </c>
      <c r="Q212" s="30">
        <v>0</v>
      </c>
      <c r="R212" s="29">
        <v>0</v>
      </c>
      <c r="S212" s="36">
        <v>0</v>
      </c>
      <c r="T212" s="7" t="s">
        <v>131</v>
      </c>
      <c r="U212" s="7" t="s">
        <v>512</v>
      </c>
      <c r="V212" s="7" t="s">
        <v>512</v>
      </c>
      <c r="W212" s="7" t="s">
        <v>1177</v>
      </c>
      <c r="X212" s="30">
        <v>1</v>
      </c>
      <c r="Y212" s="7" t="s">
        <v>1177</v>
      </c>
      <c r="Z212" s="7" t="s">
        <v>1178</v>
      </c>
      <c r="AA212" s="30">
        <v>0</v>
      </c>
      <c r="AB212" s="36">
        <v>0</v>
      </c>
      <c r="AC212" s="7" t="s">
        <v>1177</v>
      </c>
      <c r="AD212" s="37">
        <v>0</v>
      </c>
      <c r="AE212" s="7" t="s">
        <v>1177</v>
      </c>
      <c r="AF212" s="7" t="s">
        <v>1177</v>
      </c>
      <c r="AG212" s="7" t="s">
        <v>1177</v>
      </c>
      <c r="AH212" s="38"/>
      <c r="AI212" s="36">
        <v>0</v>
      </c>
      <c r="AJ212" s="7" t="s">
        <v>1193</v>
      </c>
      <c r="AK212" s="7" t="s">
        <v>1177</v>
      </c>
      <c r="AL212" s="7" t="s">
        <v>1177</v>
      </c>
      <c r="AM212" s="7" t="s">
        <v>1177</v>
      </c>
      <c r="AN212" s="7" t="s">
        <v>3212</v>
      </c>
      <c r="AO212" s="7" t="s">
        <v>1177</v>
      </c>
      <c r="AP212" s="7" t="s">
        <v>1177</v>
      </c>
      <c r="AQ212" s="7" t="s">
        <v>1177</v>
      </c>
      <c r="AR212" s="29">
        <v>0</v>
      </c>
      <c r="AS212" s="7" t="s">
        <v>1177</v>
      </c>
      <c r="AT212" s="7" t="s">
        <v>1363</v>
      </c>
      <c r="AU212" s="38">
        <v>46275</v>
      </c>
      <c r="AV212" s="39">
        <v>0.60353009259259005</v>
      </c>
    </row>
    <row r="213" spans="1:48" x14ac:dyDescent="0.35">
      <c r="A213" t="str">
        <f t="shared" si="3"/>
        <v>CAX0089B838</v>
      </c>
      <c r="B213" s="7" t="s">
        <v>342</v>
      </c>
      <c r="C213" s="7" t="s">
        <v>744</v>
      </c>
      <c r="D213" s="7" t="s">
        <v>48</v>
      </c>
      <c r="E213" s="7" t="s">
        <v>1177</v>
      </c>
      <c r="F213" s="7" t="s">
        <v>128</v>
      </c>
      <c r="G213" s="7" t="s">
        <v>130</v>
      </c>
      <c r="H213" s="7" t="s">
        <v>129</v>
      </c>
      <c r="I213" s="30">
        <v>2</v>
      </c>
      <c r="J213" s="7" t="s">
        <v>1177</v>
      </c>
      <c r="K213" s="7" t="s">
        <v>1178</v>
      </c>
      <c r="L213" s="7" t="s">
        <v>132</v>
      </c>
      <c r="M213" s="7" t="s">
        <v>133</v>
      </c>
      <c r="N213" s="30">
        <v>0</v>
      </c>
      <c r="O213" s="30">
        <v>0</v>
      </c>
      <c r="P213" s="30">
        <v>0</v>
      </c>
      <c r="Q213" s="30">
        <v>0</v>
      </c>
      <c r="R213" s="29">
        <v>0</v>
      </c>
      <c r="S213" s="36">
        <v>0</v>
      </c>
      <c r="T213" s="7" t="s">
        <v>131</v>
      </c>
      <c r="U213" s="7" t="s">
        <v>745</v>
      </c>
      <c r="V213" s="7" t="s">
        <v>745</v>
      </c>
      <c r="W213" s="7" t="s">
        <v>1177</v>
      </c>
      <c r="X213" s="30">
        <v>1</v>
      </c>
      <c r="Y213" s="7" t="s">
        <v>1177</v>
      </c>
      <c r="Z213" s="7" t="s">
        <v>1178</v>
      </c>
      <c r="AA213" s="30">
        <v>0</v>
      </c>
      <c r="AB213" s="36">
        <v>0</v>
      </c>
      <c r="AC213" s="7" t="s">
        <v>1177</v>
      </c>
      <c r="AD213" s="37">
        <v>0</v>
      </c>
      <c r="AE213" s="7" t="s">
        <v>1177</v>
      </c>
      <c r="AF213" s="7" t="s">
        <v>1177</v>
      </c>
      <c r="AG213" s="7" t="s">
        <v>1177</v>
      </c>
      <c r="AH213" s="38"/>
      <c r="AI213" s="36">
        <v>0</v>
      </c>
      <c r="AJ213" s="7" t="s">
        <v>1193</v>
      </c>
      <c r="AK213" s="7" t="s">
        <v>1177</v>
      </c>
      <c r="AL213" s="7" t="s">
        <v>1177</v>
      </c>
      <c r="AM213" s="7" t="s">
        <v>1177</v>
      </c>
      <c r="AN213" s="7" t="s">
        <v>3212</v>
      </c>
      <c r="AO213" s="7" t="s">
        <v>1177</v>
      </c>
      <c r="AP213" s="7" t="s">
        <v>1177</v>
      </c>
      <c r="AQ213" s="7" t="s">
        <v>1177</v>
      </c>
      <c r="AR213" s="29">
        <v>0</v>
      </c>
      <c r="AS213" s="7" t="s">
        <v>1177</v>
      </c>
      <c r="AT213" s="7" t="s">
        <v>1363</v>
      </c>
      <c r="AU213" s="38">
        <v>46275</v>
      </c>
      <c r="AV213" s="39">
        <v>0.60442129629630004</v>
      </c>
    </row>
    <row r="214" spans="1:48" x14ac:dyDescent="0.35">
      <c r="A214" t="str">
        <f t="shared" si="3"/>
        <v>CBL0663B825</v>
      </c>
      <c r="B214" s="7" t="s">
        <v>343</v>
      </c>
      <c r="C214" s="7" t="s">
        <v>511</v>
      </c>
      <c r="D214" s="7" t="s">
        <v>16</v>
      </c>
      <c r="E214" s="7" t="s">
        <v>1177</v>
      </c>
      <c r="F214" s="7" t="s">
        <v>128</v>
      </c>
      <c r="G214" s="7" t="s">
        <v>130</v>
      </c>
      <c r="H214" s="7" t="s">
        <v>129</v>
      </c>
      <c r="I214" s="30">
        <v>1</v>
      </c>
      <c r="J214" s="7" t="s">
        <v>1177</v>
      </c>
      <c r="K214" s="7" t="s">
        <v>1178</v>
      </c>
      <c r="L214" s="7" t="s">
        <v>132</v>
      </c>
      <c r="M214" s="7" t="s">
        <v>133</v>
      </c>
      <c r="N214" s="30">
        <v>0</v>
      </c>
      <c r="O214" s="30">
        <v>0</v>
      </c>
      <c r="P214" s="30">
        <v>0</v>
      </c>
      <c r="Q214" s="30">
        <v>0</v>
      </c>
      <c r="R214" s="29">
        <v>0</v>
      </c>
      <c r="S214" s="36">
        <v>0</v>
      </c>
      <c r="T214" s="7" t="s">
        <v>131</v>
      </c>
      <c r="U214" s="7" t="s">
        <v>512</v>
      </c>
      <c r="V214" s="7" t="s">
        <v>512</v>
      </c>
      <c r="W214" s="7" t="s">
        <v>1177</v>
      </c>
      <c r="X214" s="30">
        <v>1</v>
      </c>
      <c r="Y214" s="7" t="s">
        <v>1177</v>
      </c>
      <c r="Z214" s="7" t="s">
        <v>1178</v>
      </c>
      <c r="AA214" s="30">
        <v>0</v>
      </c>
      <c r="AB214" s="36">
        <v>0</v>
      </c>
      <c r="AC214" s="7" t="s">
        <v>1177</v>
      </c>
      <c r="AD214" s="37">
        <v>0</v>
      </c>
      <c r="AE214" s="7" t="s">
        <v>1177</v>
      </c>
      <c r="AF214" s="7" t="s">
        <v>1177</v>
      </c>
      <c r="AG214" s="7" t="s">
        <v>1177</v>
      </c>
      <c r="AH214" s="38"/>
      <c r="AI214" s="36">
        <v>0</v>
      </c>
      <c r="AJ214" s="7" t="s">
        <v>1193</v>
      </c>
      <c r="AK214" s="7" t="s">
        <v>1177</v>
      </c>
      <c r="AL214" s="7" t="s">
        <v>1177</v>
      </c>
      <c r="AM214" s="7" t="s">
        <v>1177</v>
      </c>
      <c r="AN214" s="7" t="s">
        <v>3212</v>
      </c>
      <c r="AO214" s="7" t="s">
        <v>1177</v>
      </c>
      <c r="AP214" s="7" t="s">
        <v>1177</v>
      </c>
      <c r="AQ214" s="7" t="s">
        <v>1177</v>
      </c>
      <c r="AR214" s="29">
        <v>0</v>
      </c>
      <c r="AS214" s="7" t="s">
        <v>1177</v>
      </c>
      <c r="AT214" s="7" t="s">
        <v>1363</v>
      </c>
      <c r="AU214" s="38">
        <v>46275</v>
      </c>
      <c r="AV214" s="39">
        <v>0.62302083333333003</v>
      </c>
    </row>
    <row r="215" spans="1:48" x14ac:dyDescent="0.35">
      <c r="A215" t="str">
        <f t="shared" si="3"/>
        <v>F250014B856</v>
      </c>
      <c r="B215" s="7" t="s">
        <v>344</v>
      </c>
      <c r="C215" s="7" t="s">
        <v>852</v>
      </c>
      <c r="D215" s="7" t="s">
        <v>21</v>
      </c>
      <c r="E215" s="7" t="s">
        <v>1177</v>
      </c>
      <c r="F215" s="7" t="s">
        <v>134</v>
      </c>
      <c r="G215" s="7" t="s">
        <v>130</v>
      </c>
      <c r="H215" s="7" t="s">
        <v>129</v>
      </c>
      <c r="I215" s="30">
        <v>6</v>
      </c>
      <c r="J215" s="7" t="s">
        <v>1177</v>
      </c>
      <c r="K215" s="7" t="s">
        <v>1178</v>
      </c>
      <c r="L215" s="7" t="s">
        <v>132</v>
      </c>
      <c r="M215" s="7" t="s">
        <v>133</v>
      </c>
      <c r="N215" s="30">
        <v>0</v>
      </c>
      <c r="O215" s="30">
        <v>0</v>
      </c>
      <c r="P215" s="30">
        <v>0</v>
      </c>
      <c r="Q215" s="30">
        <v>0</v>
      </c>
      <c r="R215" s="29">
        <v>0</v>
      </c>
      <c r="S215" s="36">
        <v>0</v>
      </c>
      <c r="T215" s="7" t="s">
        <v>131</v>
      </c>
      <c r="U215" s="7" t="s">
        <v>853</v>
      </c>
      <c r="V215" s="7" t="s">
        <v>853</v>
      </c>
      <c r="W215" s="7" t="s">
        <v>1177</v>
      </c>
      <c r="X215" s="30">
        <v>6</v>
      </c>
      <c r="Y215" s="7" t="s">
        <v>1177</v>
      </c>
      <c r="Z215" s="7" t="s">
        <v>1178</v>
      </c>
      <c r="AA215" s="30">
        <v>0</v>
      </c>
      <c r="AB215" s="36">
        <v>0</v>
      </c>
      <c r="AC215" s="7" t="s">
        <v>1177</v>
      </c>
      <c r="AD215" s="37">
        <v>0</v>
      </c>
      <c r="AE215" s="7" t="s">
        <v>1177</v>
      </c>
      <c r="AF215" s="7" t="s">
        <v>1177</v>
      </c>
      <c r="AG215" s="7" t="s">
        <v>1177</v>
      </c>
      <c r="AH215" s="38"/>
      <c r="AI215" s="36">
        <v>0</v>
      </c>
      <c r="AJ215" s="7" t="s">
        <v>1193</v>
      </c>
      <c r="AK215" s="7" t="s">
        <v>1177</v>
      </c>
      <c r="AL215" s="7" t="s">
        <v>1177</v>
      </c>
      <c r="AM215" s="7" t="s">
        <v>1177</v>
      </c>
      <c r="AN215" s="7" t="s">
        <v>3212</v>
      </c>
      <c r="AO215" s="7" t="s">
        <v>1177</v>
      </c>
      <c r="AP215" s="7" t="s">
        <v>1177</v>
      </c>
      <c r="AQ215" s="7" t="s">
        <v>1177</v>
      </c>
      <c r="AR215" s="29">
        <v>0</v>
      </c>
      <c r="AS215" s="7" t="s">
        <v>1177</v>
      </c>
      <c r="AT215" s="7" t="s">
        <v>1363</v>
      </c>
      <c r="AU215" s="38">
        <v>46275</v>
      </c>
      <c r="AV215" s="39">
        <v>0.60521990740741005</v>
      </c>
    </row>
    <row r="216" spans="1:48" x14ac:dyDescent="0.35">
      <c r="A216" t="str">
        <f t="shared" si="3"/>
        <v>F250014B857</v>
      </c>
      <c r="B216" s="7" t="s">
        <v>344</v>
      </c>
      <c r="C216" s="7" t="s">
        <v>958</v>
      </c>
      <c r="D216" s="7" t="s">
        <v>23</v>
      </c>
      <c r="E216" s="7" t="s">
        <v>1177</v>
      </c>
      <c r="F216" s="7" t="s">
        <v>134</v>
      </c>
      <c r="G216" s="7" t="s">
        <v>130</v>
      </c>
      <c r="H216" s="7" t="s">
        <v>129</v>
      </c>
      <c r="I216" s="30">
        <v>2</v>
      </c>
      <c r="J216" s="7" t="s">
        <v>1177</v>
      </c>
      <c r="K216" s="7" t="s">
        <v>1178</v>
      </c>
      <c r="L216" s="7" t="s">
        <v>132</v>
      </c>
      <c r="M216" s="7" t="s">
        <v>133</v>
      </c>
      <c r="N216" s="30">
        <v>0</v>
      </c>
      <c r="O216" s="30">
        <v>0</v>
      </c>
      <c r="P216" s="30">
        <v>0</v>
      </c>
      <c r="Q216" s="30">
        <v>0</v>
      </c>
      <c r="R216" s="29">
        <v>0</v>
      </c>
      <c r="S216" s="36">
        <v>0</v>
      </c>
      <c r="T216" s="7" t="s">
        <v>131</v>
      </c>
      <c r="U216" s="7" t="s">
        <v>959</v>
      </c>
      <c r="V216" s="7" t="s">
        <v>959</v>
      </c>
      <c r="W216" s="7" t="s">
        <v>1177</v>
      </c>
      <c r="X216" s="30">
        <v>2</v>
      </c>
      <c r="Y216" s="7" t="s">
        <v>1177</v>
      </c>
      <c r="Z216" s="7" t="s">
        <v>1178</v>
      </c>
      <c r="AA216" s="30">
        <v>0</v>
      </c>
      <c r="AB216" s="36">
        <v>0</v>
      </c>
      <c r="AC216" s="7" t="s">
        <v>1177</v>
      </c>
      <c r="AD216" s="37">
        <v>0</v>
      </c>
      <c r="AE216" s="7" t="s">
        <v>1177</v>
      </c>
      <c r="AF216" s="7" t="s">
        <v>1177</v>
      </c>
      <c r="AG216" s="7" t="s">
        <v>1177</v>
      </c>
      <c r="AH216" s="38"/>
      <c r="AI216" s="36">
        <v>0</v>
      </c>
      <c r="AJ216" s="7" t="s">
        <v>1193</v>
      </c>
      <c r="AK216" s="7" t="s">
        <v>1177</v>
      </c>
      <c r="AL216" s="7" t="s">
        <v>1177</v>
      </c>
      <c r="AM216" s="7" t="s">
        <v>1177</v>
      </c>
      <c r="AN216" s="7" t="s">
        <v>3212</v>
      </c>
      <c r="AO216" s="7" t="s">
        <v>1177</v>
      </c>
      <c r="AP216" s="7" t="s">
        <v>1177</v>
      </c>
      <c r="AQ216" s="7" t="s">
        <v>1177</v>
      </c>
      <c r="AR216" s="29">
        <v>0</v>
      </c>
      <c r="AS216" s="7" t="s">
        <v>1177</v>
      </c>
      <c r="AT216" s="7" t="s">
        <v>1363</v>
      </c>
      <c r="AU216" s="38">
        <v>46275</v>
      </c>
      <c r="AV216" s="39">
        <v>0.60525462962962995</v>
      </c>
    </row>
    <row r="217" spans="1:48" x14ac:dyDescent="0.35">
      <c r="A217" t="str">
        <f t="shared" si="3"/>
        <v>F250014B865</v>
      </c>
      <c r="B217" s="7" t="s">
        <v>344</v>
      </c>
      <c r="C217" s="7" t="s">
        <v>1039</v>
      </c>
      <c r="D217" s="7" t="s">
        <v>7</v>
      </c>
      <c r="E217" s="7" t="s">
        <v>1177</v>
      </c>
      <c r="F217" s="7" t="s">
        <v>134</v>
      </c>
      <c r="G217" s="7" t="s">
        <v>130</v>
      </c>
      <c r="H217" s="7" t="s">
        <v>129</v>
      </c>
      <c r="I217" s="30">
        <v>2</v>
      </c>
      <c r="J217" s="7" t="s">
        <v>1177</v>
      </c>
      <c r="K217" s="7" t="s">
        <v>1178</v>
      </c>
      <c r="L217" s="7" t="s">
        <v>132</v>
      </c>
      <c r="M217" s="7" t="s">
        <v>133</v>
      </c>
      <c r="N217" s="30">
        <v>0</v>
      </c>
      <c r="O217" s="30">
        <v>0</v>
      </c>
      <c r="P217" s="30">
        <v>0</v>
      </c>
      <c r="Q217" s="30">
        <v>0</v>
      </c>
      <c r="R217" s="29">
        <v>0</v>
      </c>
      <c r="S217" s="36">
        <v>0</v>
      </c>
      <c r="T217" s="7" t="s">
        <v>131</v>
      </c>
      <c r="U217" s="7" t="s">
        <v>1040</v>
      </c>
      <c r="V217" s="7" t="s">
        <v>1040</v>
      </c>
      <c r="W217" s="7" t="s">
        <v>1177</v>
      </c>
      <c r="X217" s="30">
        <v>2</v>
      </c>
      <c r="Y217" s="7" t="s">
        <v>1177</v>
      </c>
      <c r="Z217" s="7" t="s">
        <v>1178</v>
      </c>
      <c r="AA217" s="30">
        <v>0</v>
      </c>
      <c r="AB217" s="36">
        <v>0</v>
      </c>
      <c r="AC217" s="7" t="s">
        <v>1177</v>
      </c>
      <c r="AD217" s="37">
        <v>0</v>
      </c>
      <c r="AE217" s="7" t="s">
        <v>1177</v>
      </c>
      <c r="AF217" s="7" t="s">
        <v>1177</v>
      </c>
      <c r="AG217" s="7" t="s">
        <v>1177</v>
      </c>
      <c r="AH217" s="38"/>
      <c r="AI217" s="36">
        <v>0</v>
      </c>
      <c r="AJ217" s="7" t="s">
        <v>1193</v>
      </c>
      <c r="AK217" s="7" t="s">
        <v>1177</v>
      </c>
      <c r="AL217" s="7" t="s">
        <v>1177</v>
      </c>
      <c r="AM217" s="7" t="s">
        <v>1177</v>
      </c>
      <c r="AN217" s="7" t="s">
        <v>3212</v>
      </c>
      <c r="AO217" s="7" t="s">
        <v>1177</v>
      </c>
      <c r="AP217" s="7" t="s">
        <v>1177</v>
      </c>
      <c r="AQ217" s="7" t="s">
        <v>1177</v>
      </c>
      <c r="AR217" s="29">
        <v>0</v>
      </c>
      <c r="AS217" s="7" t="s">
        <v>1177</v>
      </c>
      <c r="AT217" s="7" t="s">
        <v>1363</v>
      </c>
      <c r="AU217" s="38">
        <v>46275</v>
      </c>
      <c r="AV217" s="39">
        <v>0.60553240740740999</v>
      </c>
    </row>
    <row r="218" spans="1:48" x14ac:dyDescent="0.35">
      <c r="A218" t="str">
        <f t="shared" si="3"/>
        <v>GP000248B864</v>
      </c>
      <c r="B218" s="7" t="s">
        <v>1012</v>
      </c>
      <c r="C218" s="7" t="s">
        <v>1010</v>
      </c>
      <c r="D218" s="7" t="s">
        <v>10</v>
      </c>
      <c r="E218" s="7" t="s">
        <v>1177</v>
      </c>
      <c r="F218" s="7" t="s">
        <v>128</v>
      </c>
      <c r="G218" s="7" t="s">
        <v>130</v>
      </c>
      <c r="H218" s="7" t="s">
        <v>129</v>
      </c>
      <c r="I218" s="30">
        <v>2</v>
      </c>
      <c r="J218" s="7" t="s">
        <v>1177</v>
      </c>
      <c r="K218" s="7" t="s">
        <v>1178</v>
      </c>
      <c r="L218" s="7" t="s">
        <v>132</v>
      </c>
      <c r="M218" s="7" t="s">
        <v>133</v>
      </c>
      <c r="N218" s="30">
        <v>0</v>
      </c>
      <c r="O218" s="30">
        <v>0</v>
      </c>
      <c r="P218" s="30">
        <v>0</v>
      </c>
      <c r="Q218" s="30">
        <v>0</v>
      </c>
      <c r="R218" s="29">
        <v>0</v>
      </c>
      <c r="S218" s="36">
        <v>0</v>
      </c>
      <c r="T218" s="7" t="s">
        <v>131</v>
      </c>
      <c r="U218" s="7" t="s">
        <v>1011</v>
      </c>
      <c r="V218" s="7" t="s">
        <v>1011</v>
      </c>
      <c r="W218" s="7" t="s">
        <v>1177</v>
      </c>
      <c r="X218" s="30">
        <v>1</v>
      </c>
      <c r="Y218" s="7" t="s">
        <v>1177</v>
      </c>
      <c r="Z218" s="7" t="s">
        <v>1178</v>
      </c>
      <c r="AA218" s="30">
        <v>0</v>
      </c>
      <c r="AB218" s="36">
        <v>0</v>
      </c>
      <c r="AC218" s="7" t="s">
        <v>1177</v>
      </c>
      <c r="AD218" s="37">
        <v>0</v>
      </c>
      <c r="AE218" s="7" t="s">
        <v>1177</v>
      </c>
      <c r="AF218" s="7" t="s">
        <v>1177</v>
      </c>
      <c r="AG218" s="7" t="s">
        <v>1177</v>
      </c>
      <c r="AH218" s="38"/>
      <c r="AI218" s="36">
        <v>0</v>
      </c>
      <c r="AJ218" s="7" t="s">
        <v>1193</v>
      </c>
      <c r="AK218" s="7" t="s">
        <v>1177</v>
      </c>
      <c r="AL218" s="7" t="s">
        <v>1177</v>
      </c>
      <c r="AM218" s="7" t="s">
        <v>1177</v>
      </c>
      <c r="AN218" s="7" t="s">
        <v>3212</v>
      </c>
      <c r="AO218" s="7" t="s">
        <v>1177</v>
      </c>
      <c r="AP218" s="7" t="s">
        <v>1177</v>
      </c>
      <c r="AQ218" s="7" t="s">
        <v>1177</v>
      </c>
      <c r="AR218" s="29">
        <v>0</v>
      </c>
      <c r="AS218" s="7" t="s">
        <v>1177</v>
      </c>
      <c r="AT218" s="7" t="s">
        <v>1363</v>
      </c>
      <c r="AU218" s="38">
        <v>46275</v>
      </c>
      <c r="AV218" s="39">
        <v>0.62651620370369998</v>
      </c>
    </row>
    <row r="219" spans="1:48" x14ac:dyDescent="0.35">
      <c r="A219" t="str">
        <f t="shared" si="3"/>
        <v>GP000248B865</v>
      </c>
      <c r="B219" s="7" t="s">
        <v>1012</v>
      </c>
      <c r="C219" s="7" t="s">
        <v>1039</v>
      </c>
      <c r="D219" s="7" t="s">
        <v>7</v>
      </c>
      <c r="E219" s="7" t="s">
        <v>1177</v>
      </c>
      <c r="F219" s="7" t="s">
        <v>128</v>
      </c>
      <c r="G219" s="7" t="s">
        <v>130</v>
      </c>
      <c r="H219" s="7" t="s">
        <v>129</v>
      </c>
      <c r="I219" s="30">
        <v>2</v>
      </c>
      <c r="J219" s="7" t="s">
        <v>1177</v>
      </c>
      <c r="K219" s="7" t="s">
        <v>1178</v>
      </c>
      <c r="L219" s="7" t="s">
        <v>132</v>
      </c>
      <c r="M219" s="7" t="s">
        <v>133</v>
      </c>
      <c r="N219" s="30">
        <v>0</v>
      </c>
      <c r="O219" s="30">
        <v>0</v>
      </c>
      <c r="P219" s="30">
        <v>0</v>
      </c>
      <c r="Q219" s="30">
        <v>0</v>
      </c>
      <c r="R219" s="29">
        <v>0</v>
      </c>
      <c r="S219" s="36">
        <v>0</v>
      </c>
      <c r="T219" s="7" t="s">
        <v>131</v>
      </c>
      <c r="U219" s="7" t="s">
        <v>1040</v>
      </c>
      <c r="V219" s="7" t="s">
        <v>1040</v>
      </c>
      <c r="W219" s="7" t="s">
        <v>1177</v>
      </c>
      <c r="X219" s="30">
        <v>1</v>
      </c>
      <c r="Y219" s="7" t="s">
        <v>1177</v>
      </c>
      <c r="Z219" s="7" t="s">
        <v>1178</v>
      </c>
      <c r="AA219" s="30">
        <v>0</v>
      </c>
      <c r="AB219" s="36">
        <v>0</v>
      </c>
      <c r="AC219" s="7" t="s">
        <v>1177</v>
      </c>
      <c r="AD219" s="37">
        <v>0</v>
      </c>
      <c r="AE219" s="7" t="s">
        <v>1177</v>
      </c>
      <c r="AF219" s="7" t="s">
        <v>1177</v>
      </c>
      <c r="AG219" s="7" t="s">
        <v>1177</v>
      </c>
      <c r="AH219" s="38"/>
      <c r="AI219" s="36">
        <v>0</v>
      </c>
      <c r="AJ219" s="7" t="s">
        <v>1193</v>
      </c>
      <c r="AK219" s="7" t="s">
        <v>1177</v>
      </c>
      <c r="AL219" s="7" t="s">
        <v>1177</v>
      </c>
      <c r="AM219" s="7" t="s">
        <v>1177</v>
      </c>
      <c r="AN219" s="7" t="s">
        <v>3212</v>
      </c>
      <c r="AO219" s="7" t="s">
        <v>1177</v>
      </c>
      <c r="AP219" s="7" t="s">
        <v>1177</v>
      </c>
      <c r="AQ219" s="7" t="s">
        <v>1177</v>
      </c>
      <c r="AR219" s="29">
        <v>0</v>
      </c>
      <c r="AS219" s="7" t="s">
        <v>1177</v>
      </c>
      <c r="AT219" s="7" t="s">
        <v>1363</v>
      </c>
      <c r="AU219" s="38">
        <v>46275</v>
      </c>
      <c r="AV219" s="39">
        <v>0.62665509259259</v>
      </c>
    </row>
    <row r="220" spans="1:48" x14ac:dyDescent="0.35">
      <c r="A220" t="str">
        <f t="shared" si="3"/>
        <v>GP000877B825</v>
      </c>
      <c r="B220" s="7" t="s">
        <v>141</v>
      </c>
      <c r="C220" s="7" t="s">
        <v>511</v>
      </c>
      <c r="D220" s="7" t="s">
        <v>16</v>
      </c>
      <c r="E220" s="7" t="s">
        <v>1177</v>
      </c>
      <c r="F220" s="7" t="s">
        <v>128</v>
      </c>
      <c r="G220" s="7" t="s">
        <v>130</v>
      </c>
      <c r="H220" s="7" t="s">
        <v>129</v>
      </c>
      <c r="I220" s="30">
        <v>3</v>
      </c>
      <c r="J220" s="7" t="s">
        <v>1177</v>
      </c>
      <c r="K220" s="7" t="s">
        <v>1178</v>
      </c>
      <c r="L220" s="7" t="s">
        <v>132</v>
      </c>
      <c r="M220" s="7" t="s">
        <v>133</v>
      </c>
      <c r="N220" s="30">
        <v>0</v>
      </c>
      <c r="O220" s="30">
        <v>0</v>
      </c>
      <c r="P220" s="30">
        <v>0</v>
      </c>
      <c r="Q220" s="30">
        <v>0</v>
      </c>
      <c r="R220" s="29">
        <v>0</v>
      </c>
      <c r="S220" s="36">
        <v>0</v>
      </c>
      <c r="T220" s="7" t="s">
        <v>131</v>
      </c>
      <c r="U220" s="7" t="s">
        <v>512</v>
      </c>
      <c r="V220" s="7" t="s">
        <v>512</v>
      </c>
      <c r="W220" s="7" t="s">
        <v>1177</v>
      </c>
      <c r="X220" s="30">
        <v>1</v>
      </c>
      <c r="Y220" s="7" t="s">
        <v>1177</v>
      </c>
      <c r="Z220" s="7" t="s">
        <v>1178</v>
      </c>
      <c r="AA220" s="30">
        <v>0</v>
      </c>
      <c r="AB220" s="36">
        <v>0</v>
      </c>
      <c r="AC220" s="7" t="s">
        <v>1177</v>
      </c>
      <c r="AD220" s="37">
        <v>0</v>
      </c>
      <c r="AE220" s="7" t="s">
        <v>1177</v>
      </c>
      <c r="AF220" s="7" t="s">
        <v>1177</v>
      </c>
      <c r="AG220" s="7" t="s">
        <v>1177</v>
      </c>
      <c r="AH220" s="38"/>
      <c r="AI220" s="36">
        <v>0</v>
      </c>
      <c r="AJ220" s="7" t="s">
        <v>1193</v>
      </c>
      <c r="AK220" s="7" t="s">
        <v>1177</v>
      </c>
      <c r="AL220" s="7" t="s">
        <v>1177</v>
      </c>
      <c r="AM220" s="7" t="s">
        <v>1177</v>
      </c>
      <c r="AN220" s="7" t="s">
        <v>3212</v>
      </c>
      <c r="AO220" s="7" t="s">
        <v>1177</v>
      </c>
      <c r="AP220" s="7" t="s">
        <v>1177</v>
      </c>
      <c r="AQ220" s="7" t="s">
        <v>1177</v>
      </c>
      <c r="AR220" s="29">
        <v>0</v>
      </c>
      <c r="AS220" s="7" t="s">
        <v>1177</v>
      </c>
      <c r="AT220" s="7" t="s">
        <v>1363</v>
      </c>
      <c r="AU220" s="38">
        <v>46275</v>
      </c>
      <c r="AV220" s="39">
        <v>0.60351851851852001</v>
      </c>
    </row>
    <row r="221" spans="1:48" x14ac:dyDescent="0.35">
      <c r="A221" t="str">
        <f t="shared" si="3"/>
        <v>GP000877B832</v>
      </c>
      <c r="B221" s="7" t="s">
        <v>141</v>
      </c>
      <c r="C221" s="7" t="s">
        <v>653</v>
      </c>
      <c r="D221" s="7" t="s">
        <v>19</v>
      </c>
      <c r="E221" s="7" t="s">
        <v>1177</v>
      </c>
      <c r="F221" s="7" t="s">
        <v>128</v>
      </c>
      <c r="G221" s="7" t="s">
        <v>130</v>
      </c>
      <c r="H221" s="7" t="s">
        <v>129</v>
      </c>
      <c r="I221" s="30">
        <v>4</v>
      </c>
      <c r="J221" s="7" t="s">
        <v>1177</v>
      </c>
      <c r="K221" s="7" t="s">
        <v>1178</v>
      </c>
      <c r="L221" s="7" t="s">
        <v>132</v>
      </c>
      <c r="M221" s="7" t="s">
        <v>133</v>
      </c>
      <c r="N221" s="30">
        <v>0</v>
      </c>
      <c r="O221" s="30">
        <v>0</v>
      </c>
      <c r="P221" s="30">
        <v>0</v>
      </c>
      <c r="Q221" s="30">
        <v>0</v>
      </c>
      <c r="R221" s="29">
        <v>0</v>
      </c>
      <c r="S221" s="36">
        <v>0</v>
      </c>
      <c r="T221" s="7" t="s">
        <v>131</v>
      </c>
      <c r="U221" s="7" t="s">
        <v>654</v>
      </c>
      <c r="V221" s="7" t="s">
        <v>654</v>
      </c>
      <c r="W221" s="7" t="s">
        <v>1177</v>
      </c>
      <c r="X221" s="30">
        <v>1</v>
      </c>
      <c r="Y221" s="7" t="s">
        <v>1177</v>
      </c>
      <c r="Z221" s="7" t="s">
        <v>1178</v>
      </c>
      <c r="AA221" s="30">
        <v>0</v>
      </c>
      <c r="AB221" s="36">
        <v>0</v>
      </c>
      <c r="AC221" s="7" t="s">
        <v>1177</v>
      </c>
      <c r="AD221" s="37">
        <v>0</v>
      </c>
      <c r="AE221" s="7" t="s">
        <v>1177</v>
      </c>
      <c r="AF221" s="7" t="s">
        <v>1177</v>
      </c>
      <c r="AG221" s="7" t="s">
        <v>1177</v>
      </c>
      <c r="AH221" s="38"/>
      <c r="AI221" s="36">
        <v>0</v>
      </c>
      <c r="AJ221" s="7" t="s">
        <v>1193</v>
      </c>
      <c r="AK221" s="7" t="s">
        <v>1177</v>
      </c>
      <c r="AL221" s="7" t="s">
        <v>1177</v>
      </c>
      <c r="AM221" s="7" t="s">
        <v>1177</v>
      </c>
      <c r="AN221" s="7" t="s">
        <v>3212</v>
      </c>
      <c r="AO221" s="7" t="s">
        <v>1177</v>
      </c>
      <c r="AP221" s="7" t="s">
        <v>1177</v>
      </c>
      <c r="AQ221" s="7" t="s">
        <v>1177</v>
      </c>
      <c r="AR221" s="29">
        <v>0</v>
      </c>
      <c r="AS221" s="7" t="s">
        <v>1177</v>
      </c>
      <c r="AT221" s="7" t="s">
        <v>1363</v>
      </c>
      <c r="AU221" s="38">
        <v>46275</v>
      </c>
      <c r="AV221" s="39">
        <v>0.60385416666667002</v>
      </c>
    </row>
    <row r="222" spans="1:48" x14ac:dyDescent="0.35">
      <c r="A222" t="str">
        <f t="shared" si="3"/>
        <v>GP000877B833</v>
      </c>
      <c r="B222" s="7" t="s">
        <v>141</v>
      </c>
      <c r="C222" s="7" t="s">
        <v>698</v>
      </c>
      <c r="D222" s="7" t="s">
        <v>697</v>
      </c>
      <c r="E222" s="7" t="s">
        <v>1177</v>
      </c>
      <c r="F222" s="7" t="s">
        <v>128</v>
      </c>
      <c r="G222" s="7" t="s">
        <v>130</v>
      </c>
      <c r="H222" s="7" t="s">
        <v>129</v>
      </c>
      <c r="I222" s="30">
        <v>4</v>
      </c>
      <c r="J222" s="7" t="s">
        <v>1177</v>
      </c>
      <c r="K222" s="7" t="s">
        <v>1178</v>
      </c>
      <c r="L222" s="7" t="s">
        <v>132</v>
      </c>
      <c r="M222" s="7" t="s">
        <v>133</v>
      </c>
      <c r="N222" s="30">
        <v>0</v>
      </c>
      <c r="O222" s="30">
        <v>0</v>
      </c>
      <c r="P222" s="30">
        <v>0</v>
      </c>
      <c r="Q222" s="30">
        <v>0</v>
      </c>
      <c r="R222" s="29">
        <v>0</v>
      </c>
      <c r="S222" s="36">
        <v>0</v>
      </c>
      <c r="T222" s="7" t="s">
        <v>131</v>
      </c>
      <c r="U222" s="7" t="s">
        <v>699</v>
      </c>
      <c r="V222" s="7" t="s">
        <v>699</v>
      </c>
      <c r="W222" s="7" t="s">
        <v>1177</v>
      </c>
      <c r="X222" s="30">
        <v>1</v>
      </c>
      <c r="Y222" s="7" t="s">
        <v>1177</v>
      </c>
      <c r="Z222" s="7" t="s">
        <v>1178</v>
      </c>
      <c r="AA222" s="30">
        <v>0</v>
      </c>
      <c r="AB222" s="36">
        <v>0</v>
      </c>
      <c r="AC222" s="7" t="s">
        <v>1177</v>
      </c>
      <c r="AD222" s="37">
        <v>0</v>
      </c>
      <c r="AE222" s="7" t="s">
        <v>1177</v>
      </c>
      <c r="AF222" s="7" t="s">
        <v>1177</v>
      </c>
      <c r="AG222" s="7" t="s">
        <v>1177</v>
      </c>
      <c r="AH222" s="38"/>
      <c r="AI222" s="36">
        <v>0</v>
      </c>
      <c r="AJ222" s="7" t="s">
        <v>1193</v>
      </c>
      <c r="AK222" s="7" t="s">
        <v>1177</v>
      </c>
      <c r="AL222" s="7" t="s">
        <v>1177</v>
      </c>
      <c r="AM222" s="7" t="s">
        <v>1177</v>
      </c>
      <c r="AN222" s="7" t="s">
        <v>3212</v>
      </c>
      <c r="AO222" s="7" t="s">
        <v>1177</v>
      </c>
      <c r="AP222" s="7" t="s">
        <v>1177</v>
      </c>
      <c r="AQ222" s="7" t="s">
        <v>1177</v>
      </c>
      <c r="AR222" s="29">
        <v>0</v>
      </c>
      <c r="AS222" s="7" t="s">
        <v>1177</v>
      </c>
      <c r="AT222" s="7" t="s">
        <v>1363</v>
      </c>
      <c r="AU222" s="38">
        <v>46275</v>
      </c>
      <c r="AV222" s="39">
        <v>0.60395833333333004</v>
      </c>
    </row>
    <row r="223" spans="1:48" x14ac:dyDescent="0.35">
      <c r="A223" t="str">
        <f t="shared" si="3"/>
        <v>GP000877B838</v>
      </c>
      <c r="B223" s="7" t="s">
        <v>141</v>
      </c>
      <c r="C223" s="7" t="s">
        <v>744</v>
      </c>
      <c r="D223" s="7" t="s">
        <v>48</v>
      </c>
      <c r="E223" s="7" t="s">
        <v>1177</v>
      </c>
      <c r="F223" s="7" t="s">
        <v>128</v>
      </c>
      <c r="G223" s="7" t="s">
        <v>130</v>
      </c>
      <c r="H223" s="7" t="s">
        <v>129</v>
      </c>
      <c r="I223" s="30">
        <v>2</v>
      </c>
      <c r="J223" s="7" t="s">
        <v>1177</v>
      </c>
      <c r="K223" s="7" t="s">
        <v>1178</v>
      </c>
      <c r="L223" s="7" t="s">
        <v>132</v>
      </c>
      <c r="M223" s="7" t="s">
        <v>133</v>
      </c>
      <c r="N223" s="30">
        <v>0</v>
      </c>
      <c r="O223" s="30">
        <v>0</v>
      </c>
      <c r="P223" s="30">
        <v>0</v>
      </c>
      <c r="Q223" s="30">
        <v>0</v>
      </c>
      <c r="R223" s="29">
        <v>0</v>
      </c>
      <c r="S223" s="36">
        <v>0</v>
      </c>
      <c r="T223" s="7" t="s">
        <v>131</v>
      </c>
      <c r="U223" s="7" t="s">
        <v>745</v>
      </c>
      <c r="V223" s="7" t="s">
        <v>745</v>
      </c>
      <c r="W223" s="7" t="s">
        <v>1177</v>
      </c>
      <c r="X223" s="30">
        <v>1</v>
      </c>
      <c r="Y223" s="7" t="s">
        <v>1177</v>
      </c>
      <c r="Z223" s="7" t="s">
        <v>1178</v>
      </c>
      <c r="AA223" s="30">
        <v>0</v>
      </c>
      <c r="AB223" s="36">
        <v>0</v>
      </c>
      <c r="AC223" s="7" t="s">
        <v>1177</v>
      </c>
      <c r="AD223" s="37">
        <v>0</v>
      </c>
      <c r="AE223" s="7" t="s">
        <v>1177</v>
      </c>
      <c r="AF223" s="7" t="s">
        <v>1177</v>
      </c>
      <c r="AG223" s="7" t="s">
        <v>1177</v>
      </c>
      <c r="AH223" s="38"/>
      <c r="AI223" s="36">
        <v>0</v>
      </c>
      <c r="AJ223" s="7" t="s">
        <v>1193</v>
      </c>
      <c r="AK223" s="7" t="s">
        <v>1177</v>
      </c>
      <c r="AL223" s="7" t="s">
        <v>1177</v>
      </c>
      <c r="AM223" s="7" t="s">
        <v>1177</v>
      </c>
      <c r="AN223" s="7" t="s">
        <v>3212</v>
      </c>
      <c r="AO223" s="7" t="s">
        <v>1177</v>
      </c>
      <c r="AP223" s="7" t="s">
        <v>1177</v>
      </c>
      <c r="AQ223" s="7" t="s">
        <v>1177</v>
      </c>
      <c r="AR223" s="29">
        <v>0</v>
      </c>
      <c r="AS223" s="7" t="s">
        <v>1177</v>
      </c>
      <c r="AT223" s="7" t="s">
        <v>1363</v>
      </c>
      <c r="AU223" s="38">
        <v>46275</v>
      </c>
      <c r="AV223" s="39">
        <v>0.60438657407407004</v>
      </c>
    </row>
    <row r="224" spans="1:48" x14ac:dyDescent="0.35">
      <c r="A224" t="str">
        <f t="shared" si="3"/>
        <v>GP000877B856</v>
      </c>
      <c r="B224" s="7" t="s">
        <v>141</v>
      </c>
      <c r="C224" s="7" t="s">
        <v>852</v>
      </c>
      <c r="D224" s="7" t="s">
        <v>21</v>
      </c>
      <c r="E224" s="7" t="s">
        <v>1177</v>
      </c>
      <c r="F224" s="7" t="s">
        <v>128</v>
      </c>
      <c r="G224" s="7" t="s">
        <v>130</v>
      </c>
      <c r="H224" s="7" t="s">
        <v>129</v>
      </c>
      <c r="I224" s="30">
        <v>2</v>
      </c>
      <c r="J224" s="7" t="s">
        <v>1177</v>
      </c>
      <c r="K224" s="7" t="s">
        <v>1178</v>
      </c>
      <c r="L224" s="7" t="s">
        <v>132</v>
      </c>
      <c r="M224" s="7" t="s">
        <v>133</v>
      </c>
      <c r="N224" s="30">
        <v>0</v>
      </c>
      <c r="O224" s="30">
        <v>0</v>
      </c>
      <c r="P224" s="30">
        <v>0</v>
      </c>
      <c r="Q224" s="30">
        <v>0</v>
      </c>
      <c r="R224" s="29">
        <v>0</v>
      </c>
      <c r="S224" s="36">
        <v>0</v>
      </c>
      <c r="T224" s="7" t="s">
        <v>131</v>
      </c>
      <c r="U224" s="7" t="s">
        <v>853</v>
      </c>
      <c r="V224" s="7" t="s">
        <v>853</v>
      </c>
      <c r="W224" s="7" t="s">
        <v>1177</v>
      </c>
      <c r="X224" s="30">
        <v>1</v>
      </c>
      <c r="Y224" s="7" t="s">
        <v>1177</v>
      </c>
      <c r="Z224" s="7" t="s">
        <v>1178</v>
      </c>
      <c r="AA224" s="30">
        <v>0</v>
      </c>
      <c r="AB224" s="36">
        <v>0</v>
      </c>
      <c r="AC224" s="7" t="s">
        <v>1177</v>
      </c>
      <c r="AD224" s="37">
        <v>0</v>
      </c>
      <c r="AE224" s="7" t="s">
        <v>1177</v>
      </c>
      <c r="AF224" s="7" t="s">
        <v>1177</v>
      </c>
      <c r="AG224" s="7" t="s">
        <v>1177</v>
      </c>
      <c r="AH224" s="38"/>
      <c r="AI224" s="36">
        <v>0</v>
      </c>
      <c r="AJ224" s="7" t="s">
        <v>1193</v>
      </c>
      <c r="AK224" s="7" t="s">
        <v>1177</v>
      </c>
      <c r="AL224" s="7" t="s">
        <v>1177</v>
      </c>
      <c r="AM224" s="7" t="s">
        <v>1177</v>
      </c>
      <c r="AN224" s="7" t="s">
        <v>3212</v>
      </c>
      <c r="AO224" s="7" t="s">
        <v>1177</v>
      </c>
      <c r="AP224" s="7" t="s">
        <v>1177</v>
      </c>
      <c r="AQ224" s="7" t="s">
        <v>1177</v>
      </c>
      <c r="AR224" s="29">
        <v>0</v>
      </c>
      <c r="AS224" s="7" t="s">
        <v>1177</v>
      </c>
      <c r="AT224" s="7" t="s">
        <v>1363</v>
      </c>
      <c r="AU224" s="38">
        <v>46275</v>
      </c>
      <c r="AV224" s="39">
        <v>0.60521990740741005</v>
      </c>
    </row>
    <row r="225" spans="1:48" x14ac:dyDescent="0.35">
      <c r="A225" t="str">
        <f t="shared" si="3"/>
        <v>GP000877B857</v>
      </c>
      <c r="B225" s="7" t="s">
        <v>141</v>
      </c>
      <c r="C225" s="7" t="s">
        <v>958</v>
      </c>
      <c r="D225" s="7" t="s">
        <v>23</v>
      </c>
      <c r="E225" s="7" t="s">
        <v>1177</v>
      </c>
      <c r="F225" s="7" t="s">
        <v>128</v>
      </c>
      <c r="G225" s="7" t="s">
        <v>130</v>
      </c>
      <c r="H225" s="7" t="s">
        <v>129</v>
      </c>
      <c r="I225" s="30">
        <v>2</v>
      </c>
      <c r="J225" s="7" t="s">
        <v>1177</v>
      </c>
      <c r="K225" s="7" t="s">
        <v>1178</v>
      </c>
      <c r="L225" s="7" t="s">
        <v>132</v>
      </c>
      <c r="M225" s="7" t="s">
        <v>133</v>
      </c>
      <c r="N225" s="30">
        <v>0</v>
      </c>
      <c r="O225" s="30">
        <v>0</v>
      </c>
      <c r="P225" s="30">
        <v>0</v>
      </c>
      <c r="Q225" s="30">
        <v>0</v>
      </c>
      <c r="R225" s="29">
        <v>0</v>
      </c>
      <c r="S225" s="36">
        <v>0</v>
      </c>
      <c r="T225" s="7" t="s">
        <v>131</v>
      </c>
      <c r="U225" s="7" t="s">
        <v>959</v>
      </c>
      <c r="V225" s="7" t="s">
        <v>959</v>
      </c>
      <c r="W225" s="7" t="s">
        <v>1177</v>
      </c>
      <c r="X225" s="30">
        <v>1</v>
      </c>
      <c r="Y225" s="7" t="s">
        <v>1177</v>
      </c>
      <c r="Z225" s="7" t="s">
        <v>1178</v>
      </c>
      <c r="AA225" s="30">
        <v>0</v>
      </c>
      <c r="AB225" s="36">
        <v>0</v>
      </c>
      <c r="AC225" s="7" t="s">
        <v>1177</v>
      </c>
      <c r="AD225" s="37">
        <v>0</v>
      </c>
      <c r="AE225" s="7" t="s">
        <v>1177</v>
      </c>
      <c r="AF225" s="7" t="s">
        <v>1177</v>
      </c>
      <c r="AG225" s="7" t="s">
        <v>1177</v>
      </c>
      <c r="AH225" s="38"/>
      <c r="AI225" s="36">
        <v>0</v>
      </c>
      <c r="AJ225" s="7" t="s">
        <v>1193</v>
      </c>
      <c r="AK225" s="7" t="s">
        <v>1177</v>
      </c>
      <c r="AL225" s="7" t="s">
        <v>1177</v>
      </c>
      <c r="AM225" s="7" t="s">
        <v>1177</v>
      </c>
      <c r="AN225" s="7" t="s">
        <v>3212</v>
      </c>
      <c r="AO225" s="7" t="s">
        <v>1177</v>
      </c>
      <c r="AP225" s="7" t="s">
        <v>1177</v>
      </c>
      <c r="AQ225" s="7" t="s">
        <v>1177</v>
      </c>
      <c r="AR225" s="29">
        <v>0</v>
      </c>
      <c r="AS225" s="7" t="s">
        <v>1177</v>
      </c>
      <c r="AT225" s="7" t="s">
        <v>1363</v>
      </c>
      <c r="AU225" s="38">
        <v>46275</v>
      </c>
      <c r="AV225" s="39">
        <v>0.60528935185184995</v>
      </c>
    </row>
    <row r="226" spans="1:48" x14ac:dyDescent="0.35">
      <c r="A226" t="str">
        <f t="shared" si="3"/>
        <v>GP000973B825</v>
      </c>
      <c r="B226" s="7" t="s">
        <v>345</v>
      </c>
      <c r="C226" s="7" t="s">
        <v>511</v>
      </c>
      <c r="D226" s="7" t="s">
        <v>16</v>
      </c>
      <c r="E226" s="7" t="s">
        <v>1177</v>
      </c>
      <c r="F226" s="7" t="s">
        <v>128</v>
      </c>
      <c r="G226" s="7" t="s">
        <v>130</v>
      </c>
      <c r="H226" s="7" t="s">
        <v>129</v>
      </c>
      <c r="I226" s="30">
        <v>3</v>
      </c>
      <c r="J226" s="7" t="s">
        <v>1177</v>
      </c>
      <c r="K226" s="7" t="s">
        <v>1178</v>
      </c>
      <c r="L226" s="7" t="s">
        <v>132</v>
      </c>
      <c r="M226" s="7" t="s">
        <v>133</v>
      </c>
      <c r="N226" s="30">
        <v>0</v>
      </c>
      <c r="O226" s="30">
        <v>0</v>
      </c>
      <c r="P226" s="30">
        <v>0</v>
      </c>
      <c r="Q226" s="30">
        <v>0</v>
      </c>
      <c r="R226" s="29">
        <v>0</v>
      </c>
      <c r="S226" s="36">
        <v>0</v>
      </c>
      <c r="T226" s="7" t="s">
        <v>131</v>
      </c>
      <c r="U226" s="7" t="s">
        <v>512</v>
      </c>
      <c r="V226" s="7" t="s">
        <v>512</v>
      </c>
      <c r="W226" s="7" t="s">
        <v>1177</v>
      </c>
      <c r="X226" s="30">
        <v>1</v>
      </c>
      <c r="Y226" s="7" t="s">
        <v>1177</v>
      </c>
      <c r="Z226" s="7" t="s">
        <v>1178</v>
      </c>
      <c r="AA226" s="30">
        <v>0</v>
      </c>
      <c r="AB226" s="36">
        <v>0</v>
      </c>
      <c r="AC226" s="7" t="s">
        <v>1177</v>
      </c>
      <c r="AD226" s="37">
        <v>0</v>
      </c>
      <c r="AE226" s="7" t="s">
        <v>1177</v>
      </c>
      <c r="AF226" s="7" t="s">
        <v>1177</v>
      </c>
      <c r="AG226" s="7" t="s">
        <v>1177</v>
      </c>
      <c r="AH226" s="38"/>
      <c r="AI226" s="36">
        <v>0</v>
      </c>
      <c r="AJ226" s="7" t="s">
        <v>1193</v>
      </c>
      <c r="AK226" s="7" t="s">
        <v>1177</v>
      </c>
      <c r="AL226" s="7" t="s">
        <v>1177</v>
      </c>
      <c r="AM226" s="7" t="s">
        <v>1177</v>
      </c>
      <c r="AN226" s="7" t="s">
        <v>3212</v>
      </c>
      <c r="AO226" s="7" t="s">
        <v>1177</v>
      </c>
      <c r="AP226" s="7" t="s">
        <v>1177</v>
      </c>
      <c r="AQ226" s="7" t="s">
        <v>1177</v>
      </c>
      <c r="AR226" s="29">
        <v>0</v>
      </c>
      <c r="AS226" s="7" t="s">
        <v>1177</v>
      </c>
      <c r="AT226" s="7" t="s">
        <v>1363</v>
      </c>
      <c r="AU226" s="38">
        <v>46275</v>
      </c>
      <c r="AV226" s="39">
        <v>0.60351851851852001</v>
      </c>
    </row>
    <row r="227" spans="1:48" x14ac:dyDescent="0.35">
      <c r="A227" t="str">
        <f t="shared" si="3"/>
        <v>GP001017B825</v>
      </c>
      <c r="B227" s="7" t="s">
        <v>209</v>
      </c>
      <c r="C227" s="7" t="s">
        <v>511</v>
      </c>
      <c r="D227" s="7" t="s">
        <v>16</v>
      </c>
      <c r="E227" s="7" t="s">
        <v>1177</v>
      </c>
      <c r="F227" s="7" t="s">
        <v>134</v>
      </c>
      <c r="G227" s="7" t="s">
        <v>130</v>
      </c>
      <c r="H227" s="7" t="s">
        <v>129</v>
      </c>
      <c r="I227" s="30">
        <v>50</v>
      </c>
      <c r="J227" s="7" t="s">
        <v>1177</v>
      </c>
      <c r="K227" s="7" t="s">
        <v>1178</v>
      </c>
      <c r="L227" s="7" t="s">
        <v>132</v>
      </c>
      <c r="M227" s="7" t="s">
        <v>177</v>
      </c>
      <c r="N227" s="30">
        <v>0</v>
      </c>
      <c r="O227" s="30">
        <v>0</v>
      </c>
      <c r="P227" s="30">
        <v>0</v>
      </c>
      <c r="Q227" s="30">
        <v>0</v>
      </c>
      <c r="R227" s="29">
        <v>0</v>
      </c>
      <c r="S227" s="36">
        <v>0</v>
      </c>
      <c r="T227" s="7" t="s">
        <v>131</v>
      </c>
      <c r="U227" s="7" t="s">
        <v>512</v>
      </c>
      <c r="V227" s="7" t="s">
        <v>512</v>
      </c>
      <c r="W227" s="7" t="s">
        <v>1177</v>
      </c>
      <c r="X227" s="30">
        <v>50</v>
      </c>
      <c r="Y227" s="7" t="s">
        <v>1177</v>
      </c>
      <c r="Z227" s="7" t="s">
        <v>1178</v>
      </c>
      <c r="AA227" s="30">
        <v>0</v>
      </c>
      <c r="AB227" s="36">
        <v>0</v>
      </c>
      <c r="AC227" s="7" t="s">
        <v>1177</v>
      </c>
      <c r="AD227" s="37">
        <v>0</v>
      </c>
      <c r="AE227" s="7" t="s">
        <v>1177</v>
      </c>
      <c r="AF227" s="7" t="s">
        <v>1177</v>
      </c>
      <c r="AG227" s="7" t="s">
        <v>1177</v>
      </c>
      <c r="AH227" s="38"/>
      <c r="AI227" s="36">
        <v>0</v>
      </c>
      <c r="AJ227" s="7" t="s">
        <v>1193</v>
      </c>
      <c r="AK227" s="7" t="s">
        <v>1177</v>
      </c>
      <c r="AL227" s="7" t="s">
        <v>1177</v>
      </c>
      <c r="AM227" s="7" t="s">
        <v>1177</v>
      </c>
      <c r="AN227" s="7" t="s">
        <v>3212</v>
      </c>
      <c r="AO227" s="7" t="s">
        <v>1177</v>
      </c>
      <c r="AP227" s="7" t="s">
        <v>1177</v>
      </c>
      <c r="AQ227" s="7" t="s">
        <v>1177</v>
      </c>
      <c r="AR227" s="29">
        <v>0</v>
      </c>
      <c r="AS227" s="7" t="s">
        <v>1177</v>
      </c>
      <c r="AT227" s="7" t="s">
        <v>1363</v>
      </c>
      <c r="AU227" s="38">
        <v>46275</v>
      </c>
      <c r="AV227" s="39">
        <v>0.60351851851852001</v>
      </c>
    </row>
    <row r="228" spans="1:48" x14ac:dyDescent="0.35">
      <c r="A228" t="str">
        <f t="shared" si="3"/>
        <v>GP001017B832</v>
      </c>
      <c r="B228" s="7" t="s">
        <v>209</v>
      </c>
      <c r="C228" s="7" t="s">
        <v>653</v>
      </c>
      <c r="D228" s="7" t="s">
        <v>19</v>
      </c>
      <c r="E228" s="7" t="s">
        <v>1177</v>
      </c>
      <c r="F228" s="7" t="s">
        <v>134</v>
      </c>
      <c r="G228" s="7" t="s">
        <v>130</v>
      </c>
      <c r="H228" s="7" t="s">
        <v>129</v>
      </c>
      <c r="I228" s="30">
        <v>100</v>
      </c>
      <c r="J228" s="7" t="s">
        <v>1177</v>
      </c>
      <c r="K228" s="7" t="s">
        <v>1178</v>
      </c>
      <c r="L228" s="7" t="s">
        <v>132</v>
      </c>
      <c r="M228" s="7" t="s">
        <v>177</v>
      </c>
      <c r="N228" s="30">
        <v>0</v>
      </c>
      <c r="O228" s="30">
        <v>0</v>
      </c>
      <c r="P228" s="30">
        <v>0</v>
      </c>
      <c r="Q228" s="30">
        <v>0</v>
      </c>
      <c r="R228" s="29">
        <v>0</v>
      </c>
      <c r="S228" s="36">
        <v>0</v>
      </c>
      <c r="T228" s="7" t="s">
        <v>131</v>
      </c>
      <c r="U228" s="7" t="s">
        <v>654</v>
      </c>
      <c r="V228" s="7" t="s">
        <v>654</v>
      </c>
      <c r="W228" s="7" t="s">
        <v>1177</v>
      </c>
      <c r="X228" s="30">
        <v>100</v>
      </c>
      <c r="Y228" s="7" t="s">
        <v>1177</v>
      </c>
      <c r="Z228" s="7" t="s">
        <v>1178</v>
      </c>
      <c r="AA228" s="30">
        <v>0</v>
      </c>
      <c r="AB228" s="36">
        <v>0</v>
      </c>
      <c r="AC228" s="7" t="s">
        <v>1177</v>
      </c>
      <c r="AD228" s="37">
        <v>0</v>
      </c>
      <c r="AE228" s="7" t="s">
        <v>1177</v>
      </c>
      <c r="AF228" s="7" t="s">
        <v>1177</v>
      </c>
      <c r="AG228" s="7" t="s">
        <v>1177</v>
      </c>
      <c r="AH228" s="38"/>
      <c r="AI228" s="36">
        <v>0</v>
      </c>
      <c r="AJ228" s="7" t="s">
        <v>1193</v>
      </c>
      <c r="AK228" s="7" t="s">
        <v>1177</v>
      </c>
      <c r="AL228" s="7" t="s">
        <v>1177</v>
      </c>
      <c r="AM228" s="7" t="s">
        <v>1177</v>
      </c>
      <c r="AN228" s="7" t="s">
        <v>3212</v>
      </c>
      <c r="AO228" s="7" t="s">
        <v>1177</v>
      </c>
      <c r="AP228" s="7" t="s">
        <v>1177</v>
      </c>
      <c r="AQ228" s="7" t="s">
        <v>1177</v>
      </c>
      <c r="AR228" s="29">
        <v>0</v>
      </c>
      <c r="AS228" s="7" t="s">
        <v>1177</v>
      </c>
      <c r="AT228" s="7" t="s">
        <v>1363</v>
      </c>
      <c r="AU228" s="38">
        <v>46275</v>
      </c>
      <c r="AV228" s="39">
        <v>0.60386574074073995</v>
      </c>
    </row>
    <row r="229" spans="1:48" x14ac:dyDescent="0.35">
      <c r="A229" t="str">
        <f t="shared" si="3"/>
        <v>GP001017B838</v>
      </c>
      <c r="B229" s="7" t="s">
        <v>209</v>
      </c>
      <c r="C229" s="7" t="s">
        <v>744</v>
      </c>
      <c r="D229" s="7" t="s">
        <v>48</v>
      </c>
      <c r="E229" s="7" t="s">
        <v>1177</v>
      </c>
      <c r="F229" s="7" t="s">
        <v>134</v>
      </c>
      <c r="G229" s="7" t="s">
        <v>130</v>
      </c>
      <c r="H229" s="7" t="s">
        <v>129</v>
      </c>
      <c r="I229" s="30">
        <v>50</v>
      </c>
      <c r="J229" s="7" t="s">
        <v>1177</v>
      </c>
      <c r="K229" s="7" t="s">
        <v>1178</v>
      </c>
      <c r="L229" s="7" t="s">
        <v>132</v>
      </c>
      <c r="M229" s="7" t="s">
        <v>177</v>
      </c>
      <c r="N229" s="30">
        <v>0</v>
      </c>
      <c r="O229" s="30">
        <v>0</v>
      </c>
      <c r="P229" s="30">
        <v>0</v>
      </c>
      <c r="Q229" s="30">
        <v>0</v>
      </c>
      <c r="R229" s="29">
        <v>0</v>
      </c>
      <c r="S229" s="36">
        <v>0</v>
      </c>
      <c r="T229" s="7" t="s">
        <v>131</v>
      </c>
      <c r="U229" s="7" t="s">
        <v>745</v>
      </c>
      <c r="V229" s="7" t="s">
        <v>745</v>
      </c>
      <c r="W229" s="7" t="s">
        <v>1177</v>
      </c>
      <c r="X229" s="30">
        <v>50</v>
      </c>
      <c r="Y229" s="7" t="s">
        <v>1177</v>
      </c>
      <c r="Z229" s="7" t="s">
        <v>1178</v>
      </c>
      <c r="AA229" s="30">
        <v>0</v>
      </c>
      <c r="AB229" s="36">
        <v>0</v>
      </c>
      <c r="AC229" s="7" t="s">
        <v>1177</v>
      </c>
      <c r="AD229" s="37">
        <v>0</v>
      </c>
      <c r="AE229" s="7" t="s">
        <v>1177</v>
      </c>
      <c r="AF229" s="7" t="s">
        <v>1177</v>
      </c>
      <c r="AG229" s="7" t="s">
        <v>1177</v>
      </c>
      <c r="AH229" s="38"/>
      <c r="AI229" s="36">
        <v>0</v>
      </c>
      <c r="AJ229" s="7" t="s">
        <v>1193</v>
      </c>
      <c r="AK229" s="7" t="s">
        <v>1177</v>
      </c>
      <c r="AL229" s="7" t="s">
        <v>1177</v>
      </c>
      <c r="AM229" s="7" t="s">
        <v>1177</v>
      </c>
      <c r="AN229" s="7" t="s">
        <v>3212</v>
      </c>
      <c r="AO229" s="7" t="s">
        <v>1177</v>
      </c>
      <c r="AP229" s="7" t="s">
        <v>1177</v>
      </c>
      <c r="AQ229" s="7" t="s">
        <v>1177</v>
      </c>
      <c r="AR229" s="29">
        <v>0</v>
      </c>
      <c r="AS229" s="7" t="s">
        <v>1177</v>
      </c>
      <c r="AT229" s="7" t="s">
        <v>1363</v>
      </c>
      <c r="AU229" s="38">
        <v>46275</v>
      </c>
      <c r="AV229" s="39">
        <v>0.60465277777778004</v>
      </c>
    </row>
    <row r="230" spans="1:48" x14ac:dyDescent="0.35">
      <c r="A230" t="str">
        <f t="shared" si="3"/>
        <v>GP001017B856</v>
      </c>
      <c r="B230" s="7" t="s">
        <v>209</v>
      </c>
      <c r="C230" s="7" t="s">
        <v>852</v>
      </c>
      <c r="D230" s="7" t="s">
        <v>21</v>
      </c>
      <c r="E230" s="7" t="s">
        <v>1177</v>
      </c>
      <c r="F230" s="7" t="s">
        <v>134</v>
      </c>
      <c r="G230" s="7" t="s">
        <v>130</v>
      </c>
      <c r="H230" s="7" t="s">
        <v>129</v>
      </c>
      <c r="I230" s="30">
        <v>100</v>
      </c>
      <c r="J230" s="7" t="s">
        <v>1177</v>
      </c>
      <c r="K230" s="7" t="s">
        <v>1178</v>
      </c>
      <c r="L230" s="7" t="s">
        <v>132</v>
      </c>
      <c r="M230" s="7" t="s">
        <v>177</v>
      </c>
      <c r="N230" s="30">
        <v>0</v>
      </c>
      <c r="O230" s="30">
        <v>0</v>
      </c>
      <c r="P230" s="30">
        <v>0</v>
      </c>
      <c r="Q230" s="30">
        <v>0</v>
      </c>
      <c r="R230" s="29">
        <v>0</v>
      </c>
      <c r="S230" s="36">
        <v>0</v>
      </c>
      <c r="T230" s="7" t="s">
        <v>131</v>
      </c>
      <c r="U230" s="7" t="s">
        <v>853</v>
      </c>
      <c r="V230" s="7" t="s">
        <v>853</v>
      </c>
      <c r="W230" s="7" t="s">
        <v>1177</v>
      </c>
      <c r="X230" s="30">
        <v>100</v>
      </c>
      <c r="Y230" s="7" t="s">
        <v>1177</v>
      </c>
      <c r="Z230" s="7" t="s">
        <v>1178</v>
      </c>
      <c r="AA230" s="30">
        <v>0</v>
      </c>
      <c r="AB230" s="36">
        <v>0</v>
      </c>
      <c r="AC230" s="7" t="s">
        <v>1177</v>
      </c>
      <c r="AD230" s="37">
        <v>0</v>
      </c>
      <c r="AE230" s="7" t="s">
        <v>1177</v>
      </c>
      <c r="AF230" s="7" t="s">
        <v>1177</v>
      </c>
      <c r="AG230" s="7" t="s">
        <v>1177</v>
      </c>
      <c r="AH230" s="38"/>
      <c r="AI230" s="36">
        <v>0</v>
      </c>
      <c r="AJ230" s="7" t="s">
        <v>1193</v>
      </c>
      <c r="AK230" s="7" t="s">
        <v>1177</v>
      </c>
      <c r="AL230" s="7" t="s">
        <v>1177</v>
      </c>
      <c r="AM230" s="7" t="s">
        <v>1177</v>
      </c>
      <c r="AN230" s="7" t="s">
        <v>3212</v>
      </c>
      <c r="AO230" s="7" t="s">
        <v>1177</v>
      </c>
      <c r="AP230" s="7" t="s">
        <v>1177</v>
      </c>
      <c r="AQ230" s="7" t="s">
        <v>1177</v>
      </c>
      <c r="AR230" s="29">
        <v>0</v>
      </c>
      <c r="AS230" s="7" t="s">
        <v>1177</v>
      </c>
      <c r="AT230" s="7" t="s">
        <v>1363</v>
      </c>
      <c r="AU230" s="38">
        <v>46275</v>
      </c>
      <c r="AV230" s="39">
        <v>0.60521990740741005</v>
      </c>
    </row>
    <row r="231" spans="1:48" x14ac:dyDescent="0.35">
      <c r="A231" t="str">
        <f t="shared" si="3"/>
        <v>GP001017B857</v>
      </c>
      <c r="B231" s="7" t="s">
        <v>209</v>
      </c>
      <c r="C231" s="7" t="s">
        <v>958</v>
      </c>
      <c r="D231" s="7" t="s">
        <v>23</v>
      </c>
      <c r="E231" s="7" t="s">
        <v>1177</v>
      </c>
      <c r="F231" s="7" t="s">
        <v>134</v>
      </c>
      <c r="G231" s="7" t="s">
        <v>130</v>
      </c>
      <c r="H231" s="7" t="s">
        <v>129</v>
      </c>
      <c r="I231" s="30">
        <v>100</v>
      </c>
      <c r="J231" s="7" t="s">
        <v>1177</v>
      </c>
      <c r="K231" s="7" t="s">
        <v>1178</v>
      </c>
      <c r="L231" s="7" t="s">
        <v>132</v>
      </c>
      <c r="M231" s="7" t="s">
        <v>177</v>
      </c>
      <c r="N231" s="30">
        <v>0</v>
      </c>
      <c r="O231" s="30">
        <v>0</v>
      </c>
      <c r="P231" s="30">
        <v>0</v>
      </c>
      <c r="Q231" s="30">
        <v>0</v>
      </c>
      <c r="R231" s="29">
        <v>0</v>
      </c>
      <c r="S231" s="36">
        <v>0</v>
      </c>
      <c r="T231" s="7" t="s">
        <v>131</v>
      </c>
      <c r="U231" s="7" t="s">
        <v>959</v>
      </c>
      <c r="V231" s="7" t="s">
        <v>959</v>
      </c>
      <c r="W231" s="7" t="s">
        <v>1177</v>
      </c>
      <c r="X231" s="30">
        <v>100</v>
      </c>
      <c r="Y231" s="7" t="s">
        <v>1177</v>
      </c>
      <c r="Z231" s="7" t="s">
        <v>1178</v>
      </c>
      <c r="AA231" s="30">
        <v>0</v>
      </c>
      <c r="AB231" s="36">
        <v>0</v>
      </c>
      <c r="AC231" s="7" t="s">
        <v>1177</v>
      </c>
      <c r="AD231" s="37">
        <v>0</v>
      </c>
      <c r="AE231" s="7" t="s">
        <v>1177</v>
      </c>
      <c r="AF231" s="7" t="s">
        <v>1177</v>
      </c>
      <c r="AG231" s="7" t="s">
        <v>1177</v>
      </c>
      <c r="AH231" s="38"/>
      <c r="AI231" s="36">
        <v>0</v>
      </c>
      <c r="AJ231" s="7" t="s">
        <v>1193</v>
      </c>
      <c r="AK231" s="7" t="s">
        <v>1177</v>
      </c>
      <c r="AL231" s="7" t="s">
        <v>1177</v>
      </c>
      <c r="AM231" s="7" t="s">
        <v>1177</v>
      </c>
      <c r="AN231" s="7" t="s">
        <v>3212</v>
      </c>
      <c r="AO231" s="7" t="s">
        <v>1177</v>
      </c>
      <c r="AP231" s="7" t="s">
        <v>1177</v>
      </c>
      <c r="AQ231" s="7" t="s">
        <v>1177</v>
      </c>
      <c r="AR231" s="29">
        <v>0</v>
      </c>
      <c r="AS231" s="7" t="s">
        <v>1177</v>
      </c>
      <c r="AT231" s="7" t="s">
        <v>1363</v>
      </c>
      <c r="AU231" s="38">
        <v>46275</v>
      </c>
      <c r="AV231" s="39">
        <v>0.60525462962962995</v>
      </c>
    </row>
    <row r="232" spans="1:48" x14ac:dyDescent="0.35">
      <c r="A232" t="str">
        <f t="shared" si="3"/>
        <v>GP001017B867</v>
      </c>
      <c r="B232" s="7" t="s">
        <v>209</v>
      </c>
      <c r="C232" s="7" t="s">
        <v>1059</v>
      </c>
      <c r="D232" s="7" t="s">
        <v>25</v>
      </c>
      <c r="E232" s="7" t="s">
        <v>1177</v>
      </c>
      <c r="F232" s="7" t="s">
        <v>134</v>
      </c>
      <c r="G232" s="7" t="s">
        <v>130</v>
      </c>
      <c r="H232" s="7" t="s">
        <v>129</v>
      </c>
      <c r="I232" s="30">
        <v>100</v>
      </c>
      <c r="J232" s="7" t="s">
        <v>1177</v>
      </c>
      <c r="K232" s="7" t="s">
        <v>1178</v>
      </c>
      <c r="L232" s="7" t="s">
        <v>132</v>
      </c>
      <c r="M232" s="7" t="s">
        <v>177</v>
      </c>
      <c r="N232" s="30">
        <v>0</v>
      </c>
      <c r="O232" s="30">
        <v>0</v>
      </c>
      <c r="P232" s="30">
        <v>0</v>
      </c>
      <c r="Q232" s="30">
        <v>0</v>
      </c>
      <c r="R232" s="29">
        <v>0</v>
      </c>
      <c r="S232" s="36">
        <v>0</v>
      </c>
      <c r="T232" s="7" t="s">
        <v>131</v>
      </c>
      <c r="U232" s="7" t="s">
        <v>1060</v>
      </c>
      <c r="V232" s="7" t="s">
        <v>1060</v>
      </c>
      <c r="W232" s="7" t="s">
        <v>1177</v>
      </c>
      <c r="X232" s="30">
        <v>100</v>
      </c>
      <c r="Y232" s="7" t="s">
        <v>1177</v>
      </c>
      <c r="Z232" s="7" t="s">
        <v>1178</v>
      </c>
      <c r="AA232" s="30">
        <v>0</v>
      </c>
      <c r="AB232" s="36">
        <v>0</v>
      </c>
      <c r="AC232" s="7" t="s">
        <v>1177</v>
      </c>
      <c r="AD232" s="37">
        <v>0</v>
      </c>
      <c r="AE232" s="7" t="s">
        <v>1177</v>
      </c>
      <c r="AF232" s="7" t="s">
        <v>1177</v>
      </c>
      <c r="AG232" s="7" t="s">
        <v>1177</v>
      </c>
      <c r="AH232" s="38"/>
      <c r="AI232" s="36">
        <v>0</v>
      </c>
      <c r="AJ232" s="7" t="s">
        <v>1193</v>
      </c>
      <c r="AK232" s="7" t="s">
        <v>1177</v>
      </c>
      <c r="AL232" s="7" t="s">
        <v>1177</v>
      </c>
      <c r="AM232" s="7" t="s">
        <v>1177</v>
      </c>
      <c r="AN232" s="7" t="s">
        <v>3212</v>
      </c>
      <c r="AO232" s="7" t="s">
        <v>1177</v>
      </c>
      <c r="AP232" s="7" t="s">
        <v>1177</v>
      </c>
      <c r="AQ232" s="7" t="s">
        <v>1177</v>
      </c>
      <c r="AR232" s="29">
        <v>0</v>
      </c>
      <c r="AS232" s="7" t="s">
        <v>1177</v>
      </c>
      <c r="AT232" s="7" t="s">
        <v>1363</v>
      </c>
      <c r="AU232" s="38">
        <v>46275</v>
      </c>
      <c r="AV232" s="39">
        <v>0.60564814814815005</v>
      </c>
    </row>
    <row r="233" spans="1:48" x14ac:dyDescent="0.35">
      <c r="A233" t="str">
        <f t="shared" si="3"/>
        <v>GP001128B833</v>
      </c>
      <c r="B233" s="7" t="s">
        <v>346</v>
      </c>
      <c r="C233" s="7" t="s">
        <v>698</v>
      </c>
      <c r="D233" s="7" t="s">
        <v>697</v>
      </c>
      <c r="E233" s="7" t="s">
        <v>1177</v>
      </c>
      <c r="F233" s="7" t="s">
        <v>128</v>
      </c>
      <c r="G233" s="7" t="s">
        <v>130</v>
      </c>
      <c r="H233" s="7" t="s">
        <v>129</v>
      </c>
      <c r="I233" s="30">
        <v>2</v>
      </c>
      <c r="J233" s="7" t="s">
        <v>1177</v>
      </c>
      <c r="K233" s="7" t="s">
        <v>1178</v>
      </c>
      <c r="L233" s="7" t="s">
        <v>132</v>
      </c>
      <c r="M233" s="7" t="s">
        <v>133</v>
      </c>
      <c r="N233" s="30">
        <v>0</v>
      </c>
      <c r="O233" s="30">
        <v>0</v>
      </c>
      <c r="P233" s="30">
        <v>0</v>
      </c>
      <c r="Q233" s="30">
        <v>0</v>
      </c>
      <c r="R233" s="29">
        <v>0</v>
      </c>
      <c r="S233" s="36">
        <v>0</v>
      </c>
      <c r="T233" s="7" t="s">
        <v>131</v>
      </c>
      <c r="U233" s="7" t="s">
        <v>699</v>
      </c>
      <c r="V233" s="7" t="s">
        <v>699</v>
      </c>
      <c r="W233" s="7" t="s">
        <v>1177</v>
      </c>
      <c r="X233" s="30">
        <v>1</v>
      </c>
      <c r="Y233" s="7" t="s">
        <v>1177</v>
      </c>
      <c r="Z233" s="7" t="s">
        <v>1178</v>
      </c>
      <c r="AA233" s="30">
        <v>0</v>
      </c>
      <c r="AB233" s="36">
        <v>0</v>
      </c>
      <c r="AC233" s="7" t="s">
        <v>1177</v>
      </c>
      <c r="AD233" s="37">
        <v>0</v>
      </c>
      <c r="AE233" s="7" t="s">
        <v>1177</v>
      </c>
      <c r="AF233" s="7" t="s">
        <v>1177</v>
      </c>
      <c r="AG233" s="7" t="s">
        <v>1177</v>
      </c>
      <c r="AH233" s="38"/>
      <c r="AI233" s="36">
        <v>0</v>
      </c>
      <c r="AJ233" s="7" t="s">
        <v>1193</v>
      </c>
      <c r="AK233" s="7" t="s">
        <v>1177</v>
      </c>
      <c r="AL233" s="7" t="s">
        <v>1177</v>
      </c>
      <c r="AM233" s="7" t="s">
        <v>1177</v>
      </c>
      <c r="AN233" s="7" t="s">
        <v>3212</v>
      </c>
      <c r="AO233" s="7" t="s">
        <v>1177</v>
      </c>
      <c r="AP233" s="7" t="s">
        <v>1177</v>
      </c>
      <c r="AQ233" s="7" t="s">
        <v>1177</v>
      </c>
      <c r="AR233" s="29">
        <v>0</v>
      </c>
      <c r="AS233" s="7" t="s">
        <v>1177</v>
      </c>
      <c r="AT233" s="7" t="s">
        <v>1363</v>
      </c>
      <c r="AU233" s="38">
        <v>46275</v>
      </c>
      <c r="AV233" s="39">
        <v>0.60395833333333004</v>
      </c>
    </row>
    <row r="234" spans="1:48" x14ac:dyDescent="0.35">
      <c r="A234" t="str">
        <f t="shared" si="3"/>
        <v>GP001407B857</v>
      </c>
      <c r="B234" s="7" t="s">
        <v>960</v>
      </c>
      <c r="C234" s="7" t="s">
        <v>958</v>
      </c>
      <c r="D234" s="7" t="s">
        <v>23</v>
      </c>
      <c r="E234" s="7" t="s">
        <v>1177</v>
      </c>
      <c r="F234" s="7" t="s">
        <v>128</v>
      </c>
      <c r="G234" s="7" t="s">
        <v>130</v>
      </c>
      <c r="H234" s="7" t="s">
        <v>129</v>
      </c>
      <c r="I234" s="30">
        <v>4</v>
      </c>
      <c r="J234" s="7" t="s">
        <v>1177</v>
      </c>
      <c r="K234" s="7" t="s">
        <v>1178</v>
      </c>
      <c r="L234" s="7" t="s">
        <v>132</v>
      </c>
      <c r="M234" s="7" t="s">
        <v>133</v>
      </c>
      <c r="N234" s="30">
        <v>0</v>
      </c>
      <c r="O234" s="30">
        <v>0</v>
      </c>
      <c r="P234" s="30">
        <v>0</v>
      </c>
      <c r="Q234" s="30">
        <v>0</v>
      </c>
      <c r="R234" s="29">
        <v>0</v>
      </c>
      <c r="S234" s="36">
        <v>0</v>
      </c>
      <c r="T234" s="7" t="s">
        <v>131</v>
      </c>
      <c r="U234" s="7" t="s">
        <v>959</v>
      </c>
      <c r="V234" s="7" t="s">
        <v>959</v>
      </c>
      <c r="W234" s="7" t="s">
        <v>1177</v>
      </c>
      <c r="X234" s="30">
        <v>1</v>
      </c>
      <c r="Y234" s="7" t="s">
        <v>1177</v>
      </c>
      <c r="Z234" s="7" t="s">
        <v>1178</v>
      </c>
      <c r="AA234" s="30">
        <v>0</v>
      </c>
      <c r="AB234" s="36">
        <v>0</v>
      </c>
      <c r="AC234" s="7" t="s">
        <v>1177</v>
      </c>
      <c r="AD234" s="37">
        <v>0</v>
      </c>
      <c r="AE234" s="7" t="s">
        <v>1177</v>
      </c>
      <c r="AF234" s="7" t="s">
        <v>1177</v>
      </c>
      <c r="AG234" s="7" t="s">
        <v>1177</v>
      </c>
      <c r="AH234" s="38"/>
      <c r="AI234" s="36">
        <v>0</v>
      </c>
      <c r="AJ234" s="7" t="s">
        <v>1193</v>
      </c>
      <c r="AK234" s="7" t="s">
        <v>1177</v>
      </c>
      <c r="AL234" s="7" t="s">
        <v>1177</v>
      </c>
      <c r="AM234" s="7" t="s">
        <v>1177</v>
      </c>
      <c r="AN234" s="7" t="s">
        <v>3212</v>
      </c>
      <c r="AO234" s="7" t="s">
        <v>1177</v>
      </c>
      <c r="AP234" s="7" t="s">
        <v>1177</v>
      </c>
      <c r="AQ234" s="7" t="s">
        <v>1177</v>
      </c>
      <c r="AR234" s="29">
        <v>0</v>
      </c>
      <c r="AS234" s="7" t="s">
        <v>1177</v>
      </c>
      <c r="AT234" s="7" t="s">
        <v>1363</v>
      </c>
      <c r="AU234" s="38">
        <v>46275</v>
      </c>
      <c r="AV234" s="39">
        <v>0.60528935185184995</v>
      </c>
    </row>
    <row r="235" spans="1:48" x14ac:dyDescent="0.35">
      <c r="A235" t="str">
        <f t="shared" si="3"/>
        <v>GP001611B832</v>
      </c>
      <c r="B235" s="7" t="s">
        <v>656</v>
      </c>
      <c r="C235" s="7" t="s">
        <v>653</v>
      </c>
      <c r="D235" s="7" t="s">
        <v>19</v>
      </c>
      <c r="E235" s="7" t="s">
        <v>1177</v>
      </c>
      <c r="F235" s="7" t="s">
        <v>128</v>
      </c>
      <c r="G235" s="7" t="s">
        <v>130</v>
      </c>
      <c r="H235" s="7" t="s">
        <v>129</v>
      </c>
      <c r="I235" s="30">
        <v>2</v>
      </c>
      <c r="J235" s="7" t="s">
        <v>1177</v>
      </c>
      <c r="K235" s="7" t="s">
        <v>1178</v>
      </c>
      <c r="L235" s="7" t="s">
        <v>132</v>
      </c>
      <c r="M235" s="7" t="s">
        <v>133</v>
      </c>
      <c r="N235" s="30">
        <v>0</v>
      </c>
      <c r="O235" s="30">
        <v>0</v>
      </c>
      <c r="P235" s="30">
        <v>0</v>
      </c>
      <c r="Q235" s="30">
        <v>0</v>
      </c>
      <c r="R235" s="29">
        <v>0</v>
      </c>
      <c r="S235" s="36">
        <v>0</v>
      </c>
      <c r="T235" s="7" t="s">
        <v>131</v>
      </c>
      <c r="U235" s="7" t="s">
        <v>654</v>
      </c>
      <c r="V235" s="7" t="s">
        <v>654</v>
      </c>
      <c r="W235" s="7" t="s">
        <v>1177</v>
      </c>
      <c r="X235" s="30">
        <v>1</v>
      </c>
      <c r="Y235" s="7" t="s">
        <v>1177</v>
      </c>
      <c r="Z235" s="7" t="s">
        <v>1178</v>
      </c>
      <c r="AA235" s="30">
        <v>0</v>
      </c>
      <c r="AB235" s="36">
        <v>0</v>
      </c>
      <c r="AC235" s="7" t="s">
        <v>1177</v>
      </c>
      <c r="AD235" s="37">
        <v>0</v>
      </c>
      <c r="AE235" s="7" t="s">
        <v>1177</v>
      </c>
      <c r="AF235" s="7" t="s">
        <v>1177</v>
      </c>
      <c r="AG235" s="7" t="s">
        <v>1177</v>
      </c>
      <c r="AH235" s="38"/>
      <c r="AI235" s="36">
        <v>0</v>
      </c>
      <c r="AJ235" s="7" t="s">
        <v>1193</v>
      </c>
      <c r="AK235" s="7" t="s">
        <v>1177</v>
      </c>
      <c r="AL235" s="7" t="s">
        <v>1177</v>
      </c>
      <c r="AM235" s="7" t="s">
        <v>1177</v>
      </c>
      <c r="AN235" s="7" t="s">
        <v>3212</v>
      </c>
      <c r="AO235" s="7" t="s">
        <v>1177</v>
      </c>
      <c r="AP235" s="7" t="s">
        <v>1177</v>
      </c>
      <c r="AQ235" s="7" t="s">
        <v>1177</v>
      </c>
      <c r="AR235" s="29">
        <v>0</v>
      </c>
      <c r="AS235" s="7" t="s">
        <v>1177</v>
      </c>
      <c r="AT235" s="7" t="s">
        <v>1363</v>
      </c>
      <c r="AU235" s="38">
        <v>46275</v>
      </c>
      <c r="AV235" s="39">
        <v>0.62335648148148004</v>
      </c>
    </row>
    <row r="236" spans="1:48" x14ac:dyDescent="0.35">
      <c r="A236" t="str">
        <f t="shared" si="3"/>
        <v>GP001889B832</v>
      </c>
      <c r="B236" s="7" t="s">
        <v>657</v>
      </c>
      <c r="C236" s="7" t="s">
        <v>653</v>
      </c>
      <c r="D236" s="7" t="s">
        <v>19</v>
      </c>
      <c r="E236" s="7" t="s">
        <v>1177</v>
      </c>
      <c r="F236" s="7" t="s">
        <v>134</v>
      </c>
      <c r="G236" s="7" t="s">
        <v>130</v>
      </c>
      <c r="H236" s="7" t="s">
        <v>129</v>
      </c>
      <c r="I236" s="30">
        <v>2</v>
      </c>
      <c r="J236" s="7" t="s">
        <v>1177</v>
      </c>
      <c r="K236" s="7" t="s">
        <v>1178</v>
      </c>
      <c r="L236" s="7" t="s">
        <v>132</v>
      </c>
      <c r="M236" s="7" t="s">
        <v>133</v>
      </c>
      <c r="N236" s="30">
        <v>0</v>
      </c>
      <c r="O236" s="30">
        <v>0</v>
      </c>
      <c r="P236" s="30">
        <v>0</v>
      </c>
      <c r="Q236" s="30">
        <v>0</v>
      </c>
      <c r="R236" s="29">
        <v>0</v>
      </c>
      <c r="S236" s="36">
        <v>0</v>
      </c>
      <c r="T236" s="7" t="s">
        <v>131</v>
      </c>
      <c r="U236" s="7" t="s">
        <v>654</v>
      </c>
      <c r="V236" s="7" t="s">
        <v>654</v>
      </c>
      <c r="W236" s="7" t="s">
        <v>1177</v>
      </c>
      <c r="X236" s="30">
        <v>2</v>
      </c>
      <c r="Y236" s="7" t="s">
        <v>1177</v>
      </c>
      <c r="Z236" s="7" t="s">
        <v>1178</v>
      </c>
      <c r="AA236" s="30">
        <v>0</v>
      </c>
      <c r="AB236" s="36">
        <v>0</v>
      </c>
      <c r="AC236" s="7" t="s">
        <v>1177</v>
      </c>
      <c r="AD236" s="37">
        <v>0</v>
      </c>
      <c r="AE236" s="7" t="s">
        <v>1177</v>
      </c>
      <c r="AF236" s="7" t="s">
        <v>1177</v>
      </c>
      <c r="AG236" s="7" t="s">
        <v>1177</v>
      </c>
      <c r="AH236" s="38"/>
      <c r="AI236" s="36">
        <v>0</v>
      </c>
      <c r="AJ236" s="7" t="s">
        <v>1193</v>
      </c>
      <c r="AK236" s="7" t="s">
        <v>1177</v>
      </c>
      <c r="AL236" s="7" t="s">
        <v>1177</v>
      </c>
      <c r="AM236" s="7" t="s">
        <v>1177</v>
      </c>
      <c r="AN236" s="7" t="s">
        <v>3212</v>
      </c>
      <c r="AO236" s="7" t="s">
        <v>1177</v>
      </c>
      <c r="AP236" s="7" t="s">
        <v>1177</v>
      </c>
      <c r="AQ236" s="7" t="s">
        <v>1177</v>
      </c>
      <c r="AR236" s="29">
        <v>0</v>
      </c>
      <c r="AS236" s="7" t="s">
        <v>1177</v>
      </c>
      <c r="AT236" s="7" t="s">
        <v>1363</v>
      </c>
      <c r="AU236" s="38">
        <v>46275</v>
      </c>
      <c r="AV236" s="39">
        <v>0.60386574074073995</v>
      </c>
    </row>
    <row r="237" spans="1:48" x14ac:dyDescent="0.35">
      <c r="A237" t="str">
        <f t="shared" si="3"/>
        <v>GP001889B833</v>
      </c>
      <c r="B237" s="7" t="s">
        <v>657</v>
      </c>
      <c r="C237" s="7" t="s">
        <v>698</v>
      </c>
      <c r="D237" s="7" t="s">
        <v>697</v>
      </c>
      <c r="E237" s="7" t="s">
        <v>1177</v>
      </c>
      <c r="F237" s="7" t="s">
        <v>134</v>
      </c>
      <c r="G237" s="7" t="s">
        <v>130</v>
      </c>
      <c r="H237" s="7" t="s">
        <v>129</v>
      </c>
      <c r="I237" s="30">
        <v>2</v>
      </c>
      <c r="J237" s="7" t="s">
        <v>1177</v>
      </c>
      <c r="K237" s="7" t="s">
        <v>1178</v>
      </c>
      <c r="L237" s="7" t="s">
        <v>132</v>
      </c>
      <c r="M237" s="7" t="s">
        <v>133</v>
      </c>
      <c r="N237" s="30">
        <v>0</v>
      </c>
      <c r="O237" s="30">
        <v>0</v>
      </c>
      <c r="P237" s="30">
        <v>0</v>
      </c>
      <c r="Q237" s="30">
        <v>0</v>
      </c>
      <c r="R237" s="29">
        <v>0</v>
      </c>
      <c r="S237" s="36">
        <v>0</v>
      </c>
      <c r="T237" s="7" t="s">
        <v>131</v>
      </c>
      <c r="U237" s="7" t="s">
        <v>699</v>
      </c>
      <c r="V237" s="7" t="s">
        <v>699</v>
      </c>
      <c r="W237" s="7" t="s">
        <v>1177</v>
      </c>
      <c r="X237" s="30">
        <v>2</v>
      </c>
      <c r="Y237" s="7" t="s">
        <v>1177</v>
      </c>
      <c r="Z237" s="7" t="s">
        <v>1178</v>
      </c>
      <c r="AA237" s="30">
        <v>0</v>
      </c>
      <c r="AB237" s="36">
        <v>0</v>
      </c>
      <c r="AC237" s="7" t="s">
        <v>1177</v>
      </c>
      <c r="AD237" s="37">
        <v>0</v>
      </c>
      <c r="AE237" s="7" t="s">
        <v>1177</v>
      </c>
      <c r="AF237" s="7" t="s">
        <v>1177</v>
      </c>
      <c r="AG237" s="7" t="s">
        <v>1177</v>
      </c>
      <c r="AH237" s="38"/>
      <c r="AI237" s="36">
        <v>0</v>
      </c>
      <c r="AJ237" s="7" t="s">
        <v>1193</v>
      </c>
      <c r="AK237" s="7" t="s">
        <v>1177</v>
      </c>
      <c r="AL237" s="7" t="s">
        <v>1177</v>
      </c>
      <c r="AM237" s="7" t="s">
        <v>1177</v>
      </c>
      <c r="AN237" s="7" t="s">
        <v>3212</v>
      </c>
      <c r="AO237" s="7" t="s">
        <v>1177</v>
      </c>
      <c r="AP237" s="7" t="s">
        <v>1177</v>
      </c>
      <c r="AQ237" s="7" t="s">
        <v>1177</v>
      </c>
      <c r="AR237" s="29">
        <v>0</v>
      </c>
      <c r="AS237" s="7" t="s">
        <v>1177</v>
      </c>
      <c r="AT237" s="7" t="s">
        <v>1363</v>
      </c>
      <c r="AU237" s="38">
        <v>46275</v>
      </c>
      <c r="AV237" s="39">
        <v>0.60395833333333004</v>
      </c>
    </row>
    <row r="238" spans="1:48" x14ac:dyDescent="0.35">
      <c r="A238" t="str">
        <f t="shared" si="3"/>
        <v>GP001889B867</v>
      </c>
      <c r="B238" s="7" t="s">
        <v>657</v>
      </c>
      <c r="C238" s="7" t="s">
        <v>1059</v>
      </c>
      <c r="D238" s="7" t="s">
        <v>25</v>
      </c>
      <c r="E238" s="7" t="s">
        <v>1177</v>
      </c>
      <c r="F238" s="7" t="s">
        <v>134</v>
      </c>
      <c r="G238" s="7" t="s">
        <v>130</v>
      </c>
      <c r="H238" s="7" t="s">
        <v>129</v>
      </c>
      <c r="I238" s="30">
        <v>2</v>
      </c>
      <c r="J238" s="7" t="s">
        <v>1177</v>
      </c>
      <c r="K238" s="7" t="s">
        <v>1178</v>
      </c>
      <c r="L238" s="7" t="s">
        <v>132</v>
      </c>
      <c r="M238" s="7" t="s">
        <v>133</v>
      </c>
      <c r="N238" s="30">
        <v>0</v>
      </c>
      <c r="O238" s="30">
        <v>0</v>
      </c>
      <c r="P238" s="30">
        <v>0</v>
      </c>
      <c r="Q238" s="30">
        <v>0</v>
      </c>
      <c r="R238" s="29">
        <v>0</v>
      </c>
      <c r="S238" s="36">
        <v>0</v>
      </c>
      <c r="T238" s="7" t="s">
        <v>131</v>
      </c>
      <c r="U238" s="7" t="s">
        <v>1060</v>
      </c>
      <c r="V238" s="7" t="s">
        <v>1060</v>
      </c>
      <c r="W238" s="7" t="s">
        <v>1177</v>
      </c>
      <c r="X238" s="30">
        <v>2</v>
      </c>
      <c r="Y238" s="7" t="s">
        <v>1177</v>
      </c>
      <c r="Z238" s="7" t="s">
        <v>1178</v>
      </c>
      <c r="AA238" s="30">
        <v>0</v>
      </c>
      <c r="AB238" s="36">
        <v>0</v>
      </c>
      <c r="AC238" s="7" t="s">
        <v>1177</v>
      </c>
      <c r="AD238" s="37">
        <v>0</v>
      </c>
      <c r="AE238" s="7" t="s">
        <v>1177</v>
      </c>
      <c r="AF238" s="7" t="s">
        <v>1177</v>
      </c>
      <c r="AG238" s="7" t="s">
        <v>1177</v>
      </c>
      <c r="AH238" s="38"/>
      <c r="AI238" s="36">
        <v>0</v>
      </c>
      <c r="AJ238" s="7" t="s">
        <v>1193</v>
      </c>
      <c r="AK238" s="7" t="s">
        <v>1177</v>
      </c>
      <c r="AL238" s="7" t="s">
        <v>1177</v>
      </c>
      <c r="AM238" s="7" t="s">
        <v>1177</v>
      </c>
      <c r="AN238" s="7" t="s">
        <v>3212</v>
      </c>
      <c r="AO238" s="7" t="s">
        <v>1177</v>
      </c>
      <c r="AP238" s="7" t="s">
        <v>1177</v>
      </c>
      <c r="AQ238" s="7" t="s">
        <v>1177</v>
      </c>
      <c r="AR238" s="29">
        <v>0</v>
      </c>
      <c r="AS238" s="7" t="s">
        <v>1177</v>
      </c>
      <c r="AT238" s="7" t="s">
        <v>1363</v>
      </c>
      <c r="AU238" s="38">
        <v>46275</v>
      </c>
      <c r="AV238" s="39">
        <v>0.60564814814815005</v>
      </c>
    </row>
    <row r="239" spans="1:48" x14ac:dyDescent="0.35">
      <c r="A239" t="str">
        <f t="shared" si="3"/>
        <v>GP001921B867</v>
      </c>
      <c r="B239" s="7" t="s">
        <v>742</v>
      </c>
      <c r="C239" s="7" t="s">
        <v>1059</v>
      </c>
      <c r="D239" s="7" t="s">
        <v>25</v>
      </c>
      <c r="E239" s="7" t="s">
        <v>1177</v>
      </c>
      <c r="F239" s="7" t="s">
        <v>128</v>
      </c>
      <c r="G239" s="7" t="s">
        <v>130</v>
      </c>
      <c r="H239" s="7" t="s">
        <v>129</v>
      </c>
      <c r="I239" s="30">
        <v>1</v>
      </c>
      <c r="J239" s="7" t="s">
        <v>1177</v>
      </c>
      <c r="K239" s="7" t="s">
        <v>1178</v>
      </c>
      <c r="L239" s="7" t="s">
        <v>132</v>
      </c>
      <c r="M239" s="7" t="s">
        <v>133</v>
      </c>
      <c r="N239" s="30">
        <v>0</v>
      </c>
      <c r="O239" s="30">
        <v>0</v>
      </c>
      <c r="P239" s="30">
        <v>0</v>
      </c>
      <c r="Q239" s="30">
        <v>0</v>
      </c>
      <c r="R239" s="29">
        <v>0</v>
      </c>
      <c r="S239" s="36">
        <v>0</v>
      </c>
      <c r="T239" s="7" t="s">
        <v>131</v>
      </c>
      <c r="U239" s="7" t="s">
        <v>1060</v>
      </c>
      <c r="V239" s="7" t="s">
        <v>1060</v>
      </c>
      <c r="W239" s="7" t="s">
        <v>1177</v>
      </c>
      <c r="X239" s="30">
        <v>1</v>
      </c>
      <c r="Y239" s="7" t="s">
        <v>1177</v>
      </c>
      <c r="Z239" s="7" t="s">
        <v>1178</v>
      </c>
      <c r="AA239" s="30">
        <v>0</v>
      </c>
      <c r="AB239" s="36">
        <v>0</v>
      </c>
      <c r="AC239" s="7" t="s">
        <v>1177</v>
      </c>
      <c r="AD239" s="37">
        <v>0</v>
      </c>
      <c r="AE239" s="7" t="s">
        <v>1177</v>
      </c>
      <c r="AF239" s="7" t="s">
        <v>1177</v>
      </c>
      <c r="AG239" s="7" t="s">
        <v>1177</v>
      </c>
      <c r="AH239" s="38"/>
      <c r="AI239" s="36">
        <v>0</v>
      </c>
      <c r="AJ239" s="7" t="s">
        <v>1193</v>
      </c>
      <c r="AK239" s="7" t="s">
        <v>1177</v>
      </c>
      <c r="AL239" s="7" t="s">
        <v>1177</v>
      </c>
      <c r="AM239" s="7" t="s">
        <v>1177</v>
      </c>
      <c r="AN239" s="7" t="s">
        <v>3212</v>
      </c>
      <c r="AO239" s="7" t="s">
        <v>1177</v>
      </c>
      <c r="AP239" s="7" t="s">
        <v>1177</v>
      </c>
      <c r="AQ239" s="7" t="s">
        <v>1177</v>
      </c>
      <c r="AR239" s="29">
        <v>0</v>
      </c>
      <c r="AS239" s="7" t="s">
        <v>1177</v>
      </c>
      <c r="AT239" s="7" t="s">
        <v>1363</v>
      </c>
      <c r="AU239" s="38">
        <v>46275</v>
      </c>
      <c r="AV239" s="39">
        <v>0.60569444444443998</v>
      </c>
    </row>
    <row r="240" spans="1:48" x14ac:dyDescent="0.35">
      <c r="A240" t="str">
        <f t="shared" si="3"/>
        <v>GP001930B825</v>
      </c>
      <c r="B240" s="7" t="s">
        <v>347</v>
      </c>
      <c r="C240" s="7" t="s">
        <v>511</v>
      </c>
      <c r="D240" s="7" t="s">
        <v>16</v>
      </c>
      <c r="E240" s="7" t="s">
        <v>1177</v>
      </c>
      <c r="F240" s="7" t="s">
        <v>128</v>
      </c>
      <c r="G240" s="7" t="s">
        <v>130</v>
      </c>
      <c r="H240" s="7" t="s">
        <v>129</v>
      </c>
      <c r="I240" s="30">
        <v>2</v>
      </c>
      <c r="J240" s="7" t="s">
        <v>1177</v>
      </c>
      <c r="K240" s="7" t="s">
        <v>1178</v>
      </c>
      <c r="L240" s="7" t="s">
        <v>132</v>
      </c>
      <c r="M240" s="7" t="s">
        <v>133</v>
      </c>
      <c r="N240" s="30">
        <v>0</v>
      </c>
      <c r="O240" s="30">
        <v>0</v>
      </c>
      <c r="P240" s="30">
        <v>0</v>
      </c>
      <c r="Q240" s="30">
        <v>0</v>
      </c>
      <c r="R240" s="29">
        <v>0</v>
      </c>
      <c r="S240" s="36">
        <v>0</v>
      </c>
      <c r="T240" s="7" t="s">
        <v>131</v>
      </c>
      <c r="U240" s="7" t="s">
        <v>512</v>
      </c>
      <c r="V240" s="7" t="s">
        <v>512</v>
      </c>
      <c r="W240" s="7" t="s">
        <v>1177</v>
      </c>
      <c r="X240" s="30">
        <v>1</v>
      </c>
      <c r="Y240" s="7" t="s">
        <v>1177</v>
      </c>
      <c r="Z240" s="7" t="s">
        <v>1178</v>
      </c>
      <c r="AA240" s="30">
        <v>0</v>
      </c>
      <c r="AB240" s="36">
        <v>0</v>
      </c>
      <c r="AC240" s="7" t="s">
        <v>1177</v>
      </c>
      <c r="AD240" s="37">
        <v>0</v>
      </c>
      <c r="AE240" s="7" t="s">
        <v>1177</v>
      </c>
      <c r="AF240" s="7" t="s">
        <v>1177</v>
      </c>
      <c r="AG240" s="7" t="s">
        <v>1177</v>
      </c>
      <c r="AH240" s="38"/>
      <c r="AI240" s="36">
        <v>0</v>
      </c>
      <c r="AJ240" s="7" t="s">
        <v>1193</v>
      </c>
      <c r="AK240" s="7" t="s">
        <v>1177</v>
      </c>
      <c r="AL240" s="7" t="s">
        <v>1177</v>
      </c>
      <c r="AM240" s="7" t="s">
        <v>1177</v>
      </c>
      <c r="AN240" s="7" t="s">
        <v>3212</v>
      </c>
      <c r="AO240" s="7" t="s">
        <v>1177</v>
      </c>
      <c r="AP240" s="7" t="s">
        <v>1177</v>
      </c>
      <c r="AQ240" s="7" t="s">
        <v>1177</v>
      </c>
      <c r="AR240" s="29">
        <v>0</v>
      </c>
      <c r="AS240" s="7" t="s">
        <v>1177</v>
      </c>
      <c r="AT240" s="7" t="s">
        <v>1363</v>
      </c>
      <c r="AU240" s="38">
        <v>46275</v>
      </c>
      <c r="AV240" s="39">
        <v>0.60350694444443997</v>
      </c>
    </row>
    <row r="241" spans="1:48" x14ac:dyDescent="0.35">
      <c r="A241" t="str">
        <f t="shared" si="3"/>
        <v>GP001930B857</v>
      </c>
      <c r="B241" s="7" t="s">
        <v>347</v>
      </c>
      <c r="C241" s="7" t="s">
        <v>958</v>
      </c>
      <c r="D241" s="7" t="s">
        <v>23</v>
      </c>
      <c r="E241" s="7" t="s">
        <v>1177</v>
      </c>
      <c r="F241" s="7" t="s">
        <v>128</v>
      </c>
      <c r="G241" s="7" t="s">
        <v>130</v>
      </c>
      <c r="H241" s="7" t="s">
        <v>129</v>
      </c>
      <c r="I241" s="30">
        <v>1</v>
      </c>
      <c r="J241" s="7" t="s">
        <v>1177</v>
      </c>
      <c r="K241" s="7" t="s">
        <v>1178</v>
      </c>
      <c r="L241" s="7" t="s">
        <v>132</v>
      </c>
      <c r="M241" s="7" t="s">
        <v>133</v>
      </c>
      <c r="N241" s="30">
        <v>0</v>
      </c>
      <c r="O241" s="30">
        <v>0</v>
      </c>
      <c r="P241" s="30">
        <v>0</v>
      </c>
      <c r="Q241" s="30">
        <v>0</v>
      </c>
      <c r="R241" s="29">
        <v>0</v>
      </c>
      <c r="S241" s="36">
        <v>0</v>
      </c>
      <c r="T241" s="7" t="s">
        <v>131</v>
      </c>
      <c r="U241" s="7" t="s">
        <v>959</v>
      </c>
      <c r="V241" s="7" t="s">
        <v>959</v>
      </c>
      <c r="W241" s="7" t="s">
        <v>1177</v>
      </c>
      <c r="X241" s="30">
        <v>1</v>
      </c>
      <c r="Y241" s="7" t="s">
        <v>1177</v>
      </c>
      <c r="Z241" s="7" t="s">
        <v>1178</v>
      </c>
      <c r="AA241" s="30">
        <v>0</v>
      </c>
      <c r="AB241" s="36">
        <v>0</v>
      </c>
      <c r="AC241" s="7" t="s">
        <v>1177</v>
      </c>
      <c r="AD241" s="37">
        <v>0</v>
      </c>
      <c r="AE241" s="7" t="s">
        <v>1177</v>
      </c>
      <c r="AF241" s="7" t="s">
        <v>1177</v>
      </c>
      <c r="AG241" s="7" t="s">
        <v>1177</v>
      </c>
      <c r="AH241" s="38"/>
      <c r="AI241" s="36">
        <v>0</v>
      </c>
      <c r="AJ241" s="7" t="s">
        <v>1193</v>
      </c>
      <c r="AK241" s="7" t="s">
        <v>1177</v>
      </c>
      <c r="AL241" s="7" t="s">
        <v>1177</v>
      </c>
      <c r="AM241" s="7" t="s">
        <v>1177</v>
      </c>
      <c r="AN241" s="7" t="s">
        <v>3212</v>
      </c>
      <c r="AO241" s="7" t="s">
        <v>1177</v>
      </c>
      <c r="AP241" s="7" t="s">
        <v>1177</v>
      </c>
      <c r="AQ241" s="7" t="s">
        <v>1177</v>
      </c>
      <c r="AR241" s="29">
        <v>0</v>
      </c>
      <c r="AS241" s="7" t="s">
        <v>1177</v>
      </c>
      <c r="AT241" s="7" t="s">
        <v>1363</v>
      </c>
      <c r="AU241" s="38">
        <v>46275</v>
      </c>
      <c r="AV241" s="39">
        <v>0.60525462962962995</v>
      </c>
    </row>
    <row r="242" spans="1:48" x14ac:dyDescent="0.35">
      <c r="A242" t="str">
        <f t="shared" si="3"/>
        <v>GP002984B857</v>
      </c>
      <c r="B242" s="7" t="s">
        <v>210</v>
      </c>
      <c r="C242" s="7" t="s">
        <v>958</v>
      </c>
      <c r="D242" s="7" t="s">
        <v>23</v>
      </c>
      <c r="E242" s="7" t="s">
        <v>1177</v>
      </c>
      <c r="F242" s="7" t="s">
        <v>128</v>
      </c>
      <c r="G242" s="7" t="s">
        <v>130</v>
      </c>
      <c r="H242" s="7" t="s">
        <v>129</v>
      </c>
      <c r="I242" s="30">
        <v>2</v>
      </c>
      <c r="J242" s="7" t="s">
        <v>1177</v>
      </c>
      <c r="K242" s="7" t="s">
        <v>1178</v>
      </c>
      <c r="L242" s="7" t="s">
        <v>132</v>
      </c>
      <c r="M242" s="7" t="s">
        <v>133</v>
      </c>
      <c r="N242" s="30">
        <v>0</v>
      </c>
      <c r="O242" s="30">
        <v>0</v>
      </c>
      <c r="P242" s="30">
        <v>0</v>
      </c>
      <c r="Q242" s="30">
        <v>0</v>
      </c>
      <c r="R242" s="29">
        <v>0</v>
      </c>
      <c r="S242" s="36">
        <v>0</v>
      </c>
      <c r="T242" s="7" t="s">
        <v>131</v>
      </c>
      <c r="U242" s="7" t="s">
        <v>959</v>
      </c>
      <c r="V242" s="7" t="s">
        <v>959</v>
      </c>
      <c r="W242" s="7" t="s">
        <v>1177</v>
      </c>
      <c r="X242" s="30">
        <v>1</v>
      </c>
      <c r="Y242" s="7" t="s">
        <v>1177</v>
      </c>
      <c r="Z242" s="7" t="s">
        <v>1178</v>
      </c>
      <c r="AA242" s="30">
        <v>0</v>
      </c>
      <c r="AB242" s="36">
        <v>0</v>
      </c>
      <c r="AC242" s="7" t="s">
        <v>1177</v>
      </c>
      <c r="AD242" s="37">
        <v>0</v>
      </c>
      <c r="AE242" s="7" t="s">
        <v>1177</v>
      </c>
      <c r="AF242" s="7" t="s">
        <v>1177</v>
      </c>
      <c r="AG242" s="7" t="s">
        <v>1177</v>
      </c>
      <c r="AH242" s="38"/>
      <c r="AI242" s="36">
        <v>0</v>
      </c>
      <c r="AJ242" s="7" t="s">
        <v>1193</v>
      </c>
      <c r="AK242" s="7" t="s">
        <v>1177</v>
      </c>
      <c r="AL242" s="7" t="s">
        <v>1177</v>
      </c>
      <c r="AM242" s="7" t="s">
        <v>1177</v>
      </c>
      <c r="AN242" s="7" t="s">
        <v>3212</v>
      </c>
      <c r="AO242" s="7" t="s">
        <v>1177</v>
      </c>
      <c r="AP242" s="7" t="s">
        <v>1177</v>
      </c>
      <c r="AQ242" s="7" t="s">
        <v>1177</v>
      </c>
      <c r="AR242" s="29">
        <v>0</v>
      </c>
      <c r="AS242" s="7" t="s">
        <v>1177</v>
      </c>
      <c r="AT242" s="7" t="s">
        <v>1363</v>
      </c>
      <c r="AU242" s="38">
        <v>46275</v>
      </c>
      <c r="AV242" s="39">
        <v>0.62495370370369996</v>
      </c>
    </row>
    <row r="243" spans="1:48" x14ac:dyDescent="0.35">
      <c r="A243" t="str">
        <f t="shared" si="3"/>
        <v>GP002988B825</v>
      </c>
      <c r="B243" s="7" t="s">
        <v>517</v>
      </c>
      <c r="C243" s="7" t="s">
        <v>511</v>
      </c>
      <c r="D243" s="7" t="s">
        <v>16</v>
      </c>
      <c r="E243" s="7" t="s">
        <v>1177</v>
      </c>
      <c r="F243" s="7" t="s">
        <v>128</v>
      </c>
      <c r="G243" s="7" t="s">
        <v>130</v>
      </c>
      <c r="H243" s="7" t="s">
        <v>129</v>
      </c>
      <c r="I243" s="30">
        <v>1</v>
      </c>
      <c r="J243" s="7" t="s">
        <v>1177</v>
      </c>
      <c r="K243" s="7" t="s">
        <v>1178</v>
      </c>
      <c r="L243" s="7" t="s">
        <v>132</v>
      </c>
      <c r="M243" s="7" t="s">
        <v>133</v>
      </c>
      <c r="N243" s="30">
        <v>0</v>
      </c>
      <c r="O243" s="30">
        <v>0</v>
      </c>
      <c r="P243" s="30">
        <v>0</v>
      </c>
      <c r="Q243" s="30">
        <v>0</v>
      </c>
      <c r="R243" s="29">
        <v>0</v>
      </c>
      <c r="S243" s="36">
        <v>0</v>
      </c>
      <c r="T243" s="7" t="s">
        <v>131</v>
      </c>
      <c r="U243" s="7" t="s">
        <v>512</v>
      </c>
      <c r="V243" s="7" t="s">
        <v>512</v>
      </c>
      <c r="W243" s="7" t="s">
        <v>1177</v>
      </c>
      <c r="X243" s="30">
        <v>1</v>
      </c>
      <c r="Y243" s="7" t="s">
        <v>1177</v>
      </c>
      <c r="Z243" s="7" t="s">
        <v>1178</v>
      </c>
      <c r="AA243" s="30">
        <v>0</v>
      </c>
      <c r="AB243" s="36">
        <v>0</v>
      </c>
      <c r="AC243" s="7" t="s">
        <v>1177</v>
      </c>
      <c r="AD243" s="37">
        <v>0</v>
      </c>
      <c r="AE243" s="7" t="s">
        <v>1177</v>
      </c>
      <c r="AF243" s="7" t="s">
        <v>1177</v>
      </c>
      <c r="AG243" s="7" t="s">
        <v>1177</v>
      </c>
      <c r="AH243" s="38"/>
      <c r="AI243" s="36">
        <v>0</v>
      </c>
      <c r="AJ243" s="7" t="s">
        <v>1193</v>
      </c>
      <c r="AK243" s="7" t="s">
        <v>1177</v>
      </c>
      <c r="AL243" s="7" t="s">
        <v>1177</v>
      </c>
      <c r="AM243" s="7" t="s">
        <v>1177</v>
      </c>
      <c r="AN243" s="7" t="s">
        <v>3212</v>
      </c>
      <c r="AO243" s="7" t="s">
        <v>1177</v>
      </c>
      <c r="AP243" s="7" t="s">
        <v>1177</v>
      </c>
      <c r="AQ243" s="7" t="s">
        <v>1177</v>
      </c>
      <c r="AR243" s="29">
        <v>0</v>
      </c>
      <c r="AS243" s="7" t="s">
        <v>1177</v>
      </c>
      <c r="AT243" s="7" t="s">
        <v>1363</v>
      </c>
      <c r="AU243" s="38">
        <v>46275</v>
      </c>
      <c r="AV243" s="39">
        <v>0.60351851851852001</v>
      </c>
    </row>
    <row r="244" spans="1:48" x14ac:dyDescent="0.35">
      <c r="A244" t="str">
        <f t="shared" si="3"/>
        <v>GP003004B825</v>
      </c>
      <c r="B244" s="7" t="s">
        <v>518</v>
      </c>
      <c r="C244" s="7" t="s">
        <v>511</v>
      </c>
      <c r="D244" s="7" t="s">
        <v>16</v>
      </c>
      <c r="E244" s="7" t="s">
        <v>1177</v>
      </c>
      <c r="F244" s="7" t="s">
        <v>128</v>
      </c>
      <c r="G244" s="7" t="s">
        <v>130</v>
      </c>
      <c r="H244" s="7" t="s">
        <v>129</v>
      </c>
      <c r="I244" s="30">
        <v>2</v>
      </c>
      <c r="J244" s="7" t="s">
        <v>1177</v>
      </c>
      <c r="K244" s="7" t="s">
        <v>1178</v>
      </c>
      <c r="L244" s="7" t="s">
        <v>132</v>
      </c>
      <c r="M244" s="7" t="s">
        <v>133</v>
      </c>
      <c r="N244" s="30">
        <v>0</v>
      </c>
      <c r="O244" s="30">
        <v>0</v>
      </c>
      <c r="P244" s="30">
        <v>0</v>
      </c>
      <c r="Q244" s="30">
        <v>0</v>
      </c>
      <c r="R244" s="29">
        <v>0</v>
      </c>
      <c r="S244" s="36">
        <v>0</v>
      </c>
      <c r="T244" s="7" t="s">
        <v>131</v>
      </c>
      <c r="U244" s="7" t="s">
        <v>512</v>
      </c>
      <c r="V244" s="7" t="s">
        <v>512</v>
      </c>
      <c r="W244" s="7" t="s">
        <v>1177</v>
      </c>
      <c r="X244" s="30">
        <v>1</v>
      </c>
      <c r="Y244" s="7" t="s">
        <v>1177</v>
      </c>
      <c r="Z244" s="7" t="s">
        <v>1178</v>
      </c>
      <c r="AA244" s="30">
        <v>0</v>
      </c>
      <c r="AB244" s="36">
        <v>0</v>
      </c>
      <c r="AC244" s="7" t="s">
        <v>1177</v>
      </c>
      <c r="AD244" s="37">
        <v>0</v>
      </c>
      <c r="AE244" s="7" t="s">
        <v>1177</v>
      </c>
      <c r="AF244" s="7" t="s">
        <v>1177</v>
      </c>
      <c r="AG244" s="7" t="s">
        <v>1177</v>
      </c>
      <c r="AH244" s="38"/>
      <c r="AI244" s="36">
        <v>0</v>
      </c>
      <c r="AJ244" s="7" t="s">
        <v>1193</v>
      </c>
      <c r="AK244" s="7" t="s">
        <v>1177</v>
      </c>
      <c r="AL244" s="7" t="s">
        <v>1177</v>
      </c>
      <c r="AM244" s="7" t="s">
        <v>1177</v>
      </c>
      <c r="AN244" s="7" t="s">
        <v>3212</v>
      </c>
      <c r="AO244" s="7" t="s">
        <v>1177</v>
      </c>
      <c r="AP244" s="7" t="s">
        <v>1177</v>
      </c>
      <c r="AQ244" s="7" t="s">
        <v>1177</v>
      </c>
      <c r="AR244" s="29">
        <v>0</v>
      </c>
      <c r="AS244" s="7" t="s">
        <v>1177</v>
      </c>
      <c r="AT244" s="7" t="s">
        <v>1363</v>
      </c>
      <c r="AU244" s="38">
        <v>46275</v>
      </c>
      <c r="AV244" s="39">
        <v>0.60351851851852001</v>
      </c>
    </row>
    <row r="245" spans="1:48" x14ac:dyDescent="0.35">
      <c r="A245" t="str">
        <f t="shared" si="3"/>
        <v>GP003004B838</v>
      </c>
      <c r="B245" s="7" t="s">
        <v>518</v>
      </c>
      <c r="C245" s="7" t="s">
        <v>744</v>
      </c>
      <c r="D245" s="7" t="s">
        <v>48</v>
      </c>
      <c r="E245" s="7" t="s">
        <v>1177</v>
      </c>
      <c r="F245" s="7" t="s">
        <v>128</v>
      </c>
      <c r="G245" s="7" t="s">
        <v>130</v>
      </c>
      <c r="H245" s="7" t="s">
        <v>129</v>
      </c>
      <c r="I245" s="30">
        <v>2</v>
      </c>
      <c r="J245" s="7" t="s">
        <v>1177</v>
      </c>
      <c r="K245" s="7" t="s">
        <v>1178</v>
      </c>
      <c r="L245" s="7" t="s">
        <v>132</v>
      </c>
      <c r="M245" s="7" t="s">
        <v>133</v>
      </c>
      <c r="N245" s="30">
        <v>0</v>
      </c>
      <c r="O245" s="30">
        <v>0</v>
      </c>
      <c r="P245" s="30">
        <v>0</v>
      </c>
      <c r="Q245" s="30">
        <v>0</v>
      </c>
      <c r="R245" s="29">
        <v>0</v>
      </c>
      <c r="S245" s="36">
        <v>0</v>
      </c>
      <c r="T245" s="7" t="s">
        <v>131</v>
      </c>
      <c r="U245" s="7" t="s">
        <v>745</v>
      </c>
      <c r="V245" s="7" t="s">
        <v>745</v>
      </c>
      <c r="W245" s="7" t="s">
        <v>1177</v>
      </c>
      <c r="X245" s="30">
        <v>1</v>
      </c>
      <c r="Y245" s="7" t="s">
        <v>1177</v>
      </c>
      <c r="Z245" s="7" t="s">
        <v>1178</v>
      </c>
      <c r="AA245" s="30">
        <v>0</v>
      </c>
      <c r="AB245" s="36">
        <v>0</v>
      </c>
      <c r="AC245" s="7" t="s">
        <v>1177</v>
      </c>
      <c r="AD245" s="37">
        <v>0</v>
      </c>
      <c r="AE245" s="7" t="s">
        <v>1177</v>
      </c>
      <c r="AF245" s="7" t="s">
        <v>1177</v>
      </c>
      <c r="AG245" s="7" t="s">
        <v>1177</v>
      </c>
      <c r="AH245" s="38"/>
      <c r="AI245" s="36">
        <v>0</v>
      </c>
      <c r="AJ245" s="7" t="s">
        <v>1193</v>
      </c>
      <c r="AK245" s="7" t="s">
        <v>1177</v>
      </c>
      <c r="AL245" s="7" t="s">
        <v>1177</v>
      </c>
      <c r="AM245" s="7" t="s">
        <v>1177</v>
      </c>
      <c r="AN245" s="7" t="s">
        <v>3212</v>
      </c>
      <c r="AO245" s="7" t="s">
        <v>1177</v>
      </c>
      <c r="AP245" s="7" t="s">
        <v>1177</v>
      </c>
      <c r="AQ245" s="7" t="s">
        <v>1177</v>
      </c>
      <c r="AR245" s="29">
        <v>0</v>
      </c>
      <c r="AS245" s="7" t="s">
        <v>1177</v>
      </c>
      <c r="AT245" s="7" t="s">
        <v>1363</v>
      </c>
      <c r="AU245" s="38">
        <v>46275</v>
      </c>
      <c r="AV245" s="39">
        <v>0.60472222222222005</v>
      </c>
    </row>
    <row r="246" spans="1:48" x14ac:dyDescent="0.35">
      <c r="A246" t="str">
        <f t="shared" si="3"/>
        <v>GP003442B825</v>
      </c>
      <c r="B246" s="7" t="s">
        <v>348</v>
      </c>
      <c r="C246" s="7" t="s">
        <v>511</v>
      </c>
      <c r="D246" s="7" t="s">
        <v>16</v>
      </c>
      <c r="E246" s="7" t="s">
        <v>1177</v>
      </c>
      <c r="F246" s="7" t="s">
        <v>128</v>
      </c>
      <c r="G246" s="7" t="s">
        <v>130</v>
      </c>
      <c r="H246" s="7" t="s">
        <v>129</v>
      </c>
      <c r="I246" s="30">
        <v>2</v>
      </c>
      <c r="J246" s="7" t="s">
        <v>1177</v>
      </c>
      <c r="K246" s="7" t="s">
        <v>1178</v>
      </c>
      <c r="L246" s="7" t="s">
        <v>132</v>
      </c>
      <c r="M246" s="7" t="s">
        <v>133</v>
      </c>
      <c r="N246" s="30">
        <v>0</v>
      </c>
      <c r="O246" s="30">
        <v>0</v>
      </c>
      <c r="P246" s="30">
        <v>0</v>
      </c>
      <c r="Q246" s="30">
        <v>0</v>
      </c>
      <c r="R246" s="29">
        <v>0</v>
      </c>
      <c r="S246" s="36">
        <v>0</v>
      </c>
      <c r="T246" s="7" t="s">
        <v>131</v>
      </c>
      <c r="U246" s="7" t="s">
        <v>512</v>
      </c>
      <c r="V246" s="7" t="s">
        <v>512</v>
      </c>
      <c r="W246" s="7" t="s">
        <v>1177</v>
      </c>
      <c r="X246" s="30">
        <v>1</v>
      </c>
      <c r="Y246" s="7" t="s">
        <v>1177</v>
      </c>
      <c r="Z246" s="7" t="s">
        <v>1178</v>
      </c>
      <c r="AA246" s="30">
        <v>0</v>
      </c>
      <c r="AB246" s="36">
        <v>0</v>
      </c>
      <c r="AC246" s="7" t="s">
        <v>1177</v>
      </c>
      <c r="AD246" s="37">
        <v>0</v>
      </c>
      <c r="AE246" s="7" t="s">
        <v>1177</v>
      </c>
      <c r="AF246" s="7" t="s">
        <v>1177</v>
      </c>
      <c r="AG246" s="7" t="s">
        <v>1177</v>
      </c>
      <c r="AH246" s="38"/>
      <c r="AI246" s="36">
        <v>0</v>
      </c>
      <c r="AJ246" s="7" t="s">
        <v>1193</v>
      </c>
      <c r="AK246" s="7" t="s">
        <v>1177</v>
      </c>
      <c r="AL246" s="7" t="s">
        <v>1177</v>
      </c>
      <c r="AM246" s="7" t="s">
        <v>1177</v>
      </c>
      <c r="AN246" s="7" t="s">
        <v>3212</v>
      </c>
      <c r="AO246" s="7" t="s">
        <v>1177</v>
      </c>
      <c r="AP246" s="7" t="s">
        <v>1177</v>
      </c>
      <c r="AQ246" s="7" t="s">
        <v>1177</v>
      </c>
      <c r="AR246" s="29">
        <v>0</v>
      </c>
      <c r="AS246" s="7" t="s">
        <v>1177</v>
      </c>
      <c r="AT246" s="7" t="s">
        <v>1363</v>
      </c>
      <c r="AU246" s="38">
        <v>46275</v>
      </c>
      <c r="AV246" s="39">
        <v>0.62302083333333003</v>
      </c>
    </row>
    <row r="247" spans="1:48" x14ac:dyDescent="0.35">
      <c r="A247" t="str">
        <f t="shared" si="3"/>
        <v>GP004219B857</v>
      </c>
      <c r="B247" s="7" t="s">
        <v>961</v>
      </c>
      <c r="C247" s="7" t="s">
        <v>958</v>
      </c>
      <c r="D247" s="7" t="s">
        <v>23</v>
      </c>
      <c r="E247" s="7" t="s">
        <v>1177</v>
      </c>
      <c r="F247" s="7" t="s">
        <v>128</v>
      </c>
      <c r="G247" s="7" t="s">
        <v>130</v>
      </c>
      <c r="H247" s="7" t="s">
        <v>129</v>
      </c>
      <c r="I247" s="30">
        <v>12</v>
      </c>
      <c r="J247" s="7" t="s">
        <v>1177</v>
      </c>
      <c r="K247" s="7" t="s">
        <v>1178</v>
      </c>
      <c r="L247" s="7" t="s">
        <v>132</v>
      </c>
      <c r="M247" s="7" t="s">
        <v>133</v>
      </c>
      <c r="N247" s="30">
        <v>0</v>
      </c>
      <c r="O247" s="30">
        <v>0</v>
      </c>
      <c r="P247" s="30">
        <v>0</v>
      </c>
      <c r="Q247" s="30">
        <v>0</v>
      </c>
      <c r="R247" s="29">
        <v>0</v>
      </c>
      <c r="S247" s="36">
        <v>0</v>
      </c>
      <c r="T247" s="7" t="s">
        <v>131</v>
      </c>
      <c r="U247" s="7" t="s">
        <v>959</v>
      </c>
      <c r="V247" s="7" t="s">
        <v>959</v>
      </c>
      <c r="W247" s="7" t="s">
        <v>1177</v>
      </c>
      <c r="X247" s="30">
        <v>3</v>
      </c>
      <c r="Y247" s="7" t="s">
        <v>1177</v>
      </c>
      <c r="Z247" s="7" t="s">
        <v>1178</v>
      </c>
      <c r="AA247" s="30">
        <v>0</v>
      </c>
      <c r="AB247" s="36">
        <v>0</v>
      </c>
      <c r="AC247" s="7" t="s">
        <v>1177</v>
      </c>
      <c r="AD247" s="37">
        <v>0</v>
      </c>
      <c r="AE247" s="7" t="s">
        <v>1177</v>
      </c>
      <c r="AF247" s="7" t="s">
        <v>1177</v>
      </c>
      <c r="AG247" s="7" t="s">
        <v>1177</v>
      </c>
      <c r="AH247" s="38"/>
      <c r="AI247" s="36">
        <v>0</v>
      </c>
      <c r="AJ247" s="7" t="s">
        <v>1193</v>
      </c>
      <c r="AK247" s="7" t="s">
        <v>1177</v>
      </c>
      <c r="AL247" s="7" t="s">
        <v>1177</v>
      </c>
      <c r="AM247" s="7" t="s">
        <v>1177</v>
      </c>
      <c r="AN247" s="7" t="s">
        <v>3212</v>
      </c>
      <c r="AO247" s="7" t="s">
        <v>1177</v>
      </c>
      <c r="AP247" s="7" t="s">
        <v>1177</v>
      </c>
      <c r="AQ247" s="7" t="s">
        <v>1177</v>
      </c>
      <c r="AR247" s="29">
        <v>0</v>
      </c>
      <c r="AS247" s="7" t="s">
        <v>1177</v>
      </c>
      <c r="AT247" s="7" t="s">
        <v>1363</v>
      </c>
      <c r="AU247" s="38">
        <v>46275</v>
      </c>
      <c r="AV247" s="39">
        <v>0.62495370370369996</v>
      </c>
    </row>
    <row r="248" spans="1:48" x14ac:dyDescent="0.35">
      <c r="A248" t="str">
        <f t="shared" si="3"/>
        <v>GP004219B864</v>
      </c>
      <c r="B248" s="7" t="s">
        <v>961</v>
      </c>
      <c r="C248" s="7" t="s">
        <v>1010</v>
      </c>
      <c r="D248" s="7" t="s">
        <v>10</v>
      </c>
      <c r="E248" s="7" t="s">
        <v>1177</v>
      </c>
      <c r="F248" s="7" t="s">
        <v>128</v>
      </c>
      <c r="G248" s="7" t="s">
        <v>130</v>
      </c>
      <c r="H248" s="7" t="s">
        <v>129</v>
      </c>
      <c r="I248" s="30">
        <v>2</v>
      </c>
      <c r="J248" s="7" t="s">
        <v>1177</v>
      </c>
      <c r="K248" s="7" t="s">
        <v>1178</v>
      </c>
      <c r="L248" s="7" t="s">
        <v>132</v>
      </c>
      <c r="M248" s="7" t="s">
        <v>133</v>
      </c>
      <c r="N248" s="30">
        <v>0</v>
      </c>
      <c r="O248" s="30">
        <v>0</v>
      </c>
      <c r="P248" s="30">
        <v>0</v>
      </c>
      <c r="Q248" s="30">
        <v>0</v>
      </c>
      <c r="R248" s="29">
        <v>0</v>
      </c>
      <c r="S248" s="36">
        <v>0</v>
      </c>
      <c r="T248" s="7" t="s">
        <v>131</v>
      </c>
      <c r="U248" s="7" t="s">
        <v>1011</v>
      </c>
      <c r="V248" s="7" t="s">
        <v>1011</v>
      </c>
      <c r="W248" s="7" t="s">
        <v>1177</v>
      </c>
      <c r="X248" s="30">
        <v>1</v>
      </c>
      <c r="Y248" s="7" t="s">
        <v>1177</v>
      </c>
      <c r="Z248" s="7" t="s">
        <v>1178</v>
      </c>
      <c r="AA248" s="30">
        <v>0</v>
      </c>
      <c r="AB248" s="36">
        <v>0</v>
      </c>
      <c r="AC248" s="7" t="s">
        <v>1177</v>
      </c>
      <c r="AD248" s="37">
        <v>0</v>
      </c>
      <c r="AE248" s="7" t="s">
        <v>1177</v>
      </c>
      <c r="AF248" s="7" t="s">
        <v>1177</v>
      </c>
      <c r="AG248" s="7" t="s">
        <v>1177</v>
      </c>
      <c r="AH248" s="38"/>
      <c r="AI248" s="36">
        <v>0</v>
      </c>
      <c r="AJ248" s="7" t="s">
        <v>1193</v>
      </c>
      <c r="AK248" s="7" t="s">
        <v>1177</v>
      </c>
      <c r="AL248" s="7" t="s">
        <v>1177</v>
      </c>
      <c r="AM248" s="7" t="s">
        <v>1177</v>
      </c>
      <c r="AN248" s="7" t="s">
        <v>3212</v>
      </c>
      <c r="AO248" s="7" t="s">
        <v>1177</v>
      </c>
      <c r="AP248" s="7" t="s">
        <v>1177</v>
      </c>
      <c r="AQ248" s="7" t="s">
        <v>1177</v>
      </c>
      <c r="AR248" s="29">
        <v>0</v>
      </c>
      <c r="AS248" s="7" t="s">
        <v>1177</v>
      </c>
      <c r="AT248" s="7" t="s">
        <v>1363</v>
      </c>
      <c r="AU248" s="38">
        <v>46275</v>
      </c>
      <c r="AV248" s="39">
        <v>0.62651620370369998</v>
      </c>
    </row>
    <row r="249" spans="1:48" x14ac:dyDescent="0.35">
      <c r="A249" t="str">
        <f t="shared" si="3"/>
        <v>GP004249B825</v>
      </c>
      <c r="B249" s="7" t="s">
        <v>211</v>
      </c>
      <c r="C249" s="7" t="s">
        <v>511</v>
      </c>
      <c r="D249" s="7" t="s">
        <v>16</v>
      </c>
      <c r="E249" s="7" t="s">
        <v>1177</v>
      </c>
      <c r="F249" s="7" t="s">
        <v>128</v>
      </c>
      <c r="G249" s="7" t="s">
        <v>130</v>
      </c>
      <c r="H249" s="7" t="s">
        <v>129</v>
      </c>
      <c r="I249" s="30">
        <v>1</v>
      </c>
      <c r="J249" s="7" t="s">
        <v>1177</v>
      </c>
      <c r="K249" s="7" t="s">
        <v>1178</v>
      </c>
      <c r="L249" s="7" t="s">
        <v>132</v>
      </c>
      <c r="M249" s="7" t="s">
        <v>133</v>
      </c>
      <c r="N249" s="30">
        <v>0</v>
      </c>
      <c r="O249" s="30">
        <v>0</v>
      </c>
      <c r="P249" s="30">
        <v>0</v>
      </c>
      <c r="Q249" s="30">
        <v>0</v>
      </c>
      <c r="R249" s="29">
        <v>0</v>
      </c>
      <c r="S249" s="36">
        <v>0</v>
      </c>
      <c r="T249" s="7" t="s">
        <v>131</v>
      </c>
      <c r="U249" s="7" t="s">
        <v>512</v>
      </c>
      <c r="V249" s="7" t="s">
        <v>512</v>
      </c>
      <c r="W249" s="7" t="s">
        <v>1177</v>
      </c>
      <c r="X249" s="30">
        <v>1</v>
      </c>
      <c r="Y249" s="7" t="s">
        <v>1177</v>
      </c>
      <c r="Z249" s="7" t="s">
        <v>1178</v>
      </c>
      <c r="AA249" s="30">
        <v>0</v>
      </c>
      <c r="AB249" s="36">
        <v>0</v>
      </c>
      <c r="AC249" s="7" t="s">
        <v>1177</v>
      </c>
      <c r="AD249" s="37">
        <v>0</v>
      </c>
      <c r="AE249" s="7" t="s">
        <v>1177</v>
      </c>
      <c r="AF249" s="7" t="s">
        <v>1177</v>
      </c>
      <c r="AG249" s="7" t="s">
        <v>1177</v>
      </c>
      <c r="AH249" s="38"/>
      <c r="AI249" s="36">
        <v>0</v>
      </c>
      <c r="AJ249" s="7" t="s">
        <v>1193</v>
      </c>
      <c r="AK249" s="7" t="s">
        <v>1177</v>
      </c>
      <c r="AL249" s="7" t="s">
        <v>1177</v>
      </c>
      <c r="AM249" s="7" t="s">
        <v>1177</v>
      </c>
      <c r="AN249" s="7" t="s">
        <v>3212</v>
      </c>
      <c r="AO249" s="7" t="s">
        <v>1177</v>
      </c>
      <c r="AP249" s="7" t="s">
        <v>1177</v>
      </c>
      <c r="AQ249" s="7" t="s">
        <v>1177</v>
      </c>
      <c r="AR249" s="29">
        <v>0</v>
      </c>
      <c r="AS249" s="7" t="s">
        <v>1177</v>
      </c>
      <c r="AT249" s="7" t="s">
        <v>1363</v>
      </c>
      <c r="AU249" s="38">
        <v>46275</v>
      </c>
      <c r="AV249" s="39">
        <v>0.60351851851852001</v>
      </c>
    </row>
    <row r="250" spans="1:48" x14ac:dyDescent="0.35">
      <c r="A250" t="str">
        <f t="shared" si="3"/>
        <v>GP004249B832</v>
      </c>
      <c r="B250" s="7" t="s">
        <v>211</v>
      </c>
      <c r="C250" s="7" t="s">
        <v>653</v>
      </c>
      <c r="D250" s="7" t="s">
        <v>19</v>
      </c>
      <c r="E250" s="7" t="s">
        <v>1177</v>
      </c>
      <c r="F250" s="7" t="s">
        <v>128</v>
      </c>
      <c r="G250" s="7" t="s">
        <v>130</v>
      </c>
      <c r="H250" s="7" t="s">
        <v>129</v>
      </c>
      <c r="I250" s="30">
        <v>1</v>
      </c>
      <c r="J250" s="7" t="s">
        <v>1177</v>
      </c>
      <c r="K250" s="7" t="s">
        <v>1178</v>
      </c>
      <c r="L250" s="7" t="s">
        <v>132</v>
      </c>
      <c r="M250" s="7" t="s">
        <v>133</v>
      </c>
      <c r="N250" s="30">
        <v>0</v>
      </c>
      <c r="O250" s="30">
        <v>0</v>
      </c>
      <c r="P250" s="30">
        <v>0</v>
      </c>
      <c r="Q250" s="30">
        <v>0</v>
      </c>
      <c r="R250" s="29">
        <v>0</v>
      </c>
      <c r="S250" s="36">
        <v>0</v>
      </c>
      <c r="T250" s="7" t="s">
        <v>131</v>
      </c>
      <c r="U250" s="7" t="s">
        <v>654</v>
      </c>
      <c r="V250" s="7" t="s">
        <v>654</v>
      </c>
      <c r="W250" s="7" t="s">
        <v>1177</v>
      </c>
      <c r="X250" s="30">
        <v>1</v>
      </c>
      <c r="Y250" s="7" t="s">
        <v>1177</v>
      </c>
      <c r="Z250" s="7" t="s">
        <v>1178</v>
      </c>
      <c r="AA250" s="30">
        <v>0</v>
      </c>
      <c r="AB250" s="36">
        <v>0</v>
      </c>
      <c r="AC250" s="7" t="s">
        <v>1177</v>
      </c>
      <c r="AD250" s="37">
        <v>0</v>
      </c>
      <c r="AE250" s="7" t="s">
        <v>1177</v>
      </c>
      <c r="AF250" s="7" t="s">
        <v>1177</v>
      </c>
      <c r="AG250" s="7" t="s">
        <v>1177</v>
      </c>
      <c r="AH250" s="38"/>
      <c r="AI250" s="36">
        <v>0</v>
      </c>
      <c r="AJ250" s="7" t="s">
        <v>1193</v>
      </c>
      <c r="AK250" s="7" t="s">
        <v>1177</v>
      </c>
      <c r="AL250" s="7" t="s">
        <v>1177</v>
      </c>
      <c r="AM250" s="7" t="s">
        <v>1177</v>
      </c>
      <c r="AN250" s="7" t="s">
        <v>3212</v>
      </c>
      <c r="AO250" s="7" t="s">
        <v>1177</v>
      </c>
      <c r="AP250" s="7" t="s">
        <v>1177</v>
      </c>
      <c r="AQ250" s="7" t="s">
        <v>1177</v>
      </c>
      <c r="AR250" s="29">
        <v>0</v>
      </c>
      <c r="AS250" s="7" t="s">
        <v>1177</v>
      </c>
      <c r="AT250" s="7" t="s">
        <v>1363</v>
      </c>
      <c r="AU250" s="38">
        <v>46275</v>
      </c>
      <c r="AV250" s="39">
        <v>0.60384259259258999</v>
      </c>
    </row>
    <row r="251" spans="1:48" x14ac:dyDescent="0.35">
      <c r="A251" t="str">
        <f t="shared" si="3"/>
        <v>GP004258B832</v>
      </c>
      <c r="B251" s="7" t="s">
        <v>142</v>
      </c>
      <c r="C251" s="7" t="s">
        <v>653</v>
      </c>
      <c r="D251" s="7" t="s">
        <v>19</v>
      </c>
      <c r="E251" s="7" t="s">
        <v>1177</v>
      </c>
      <c r="F251" s="7" t="s">
        <v>128</v>
      </c>
      <c r="G251" s="7" t="s">
        <v>130</v>
      </c>
      <c r="H251" s="7" t="s">
        <v>129</v>
      </c>
      <c r="I251" s="30">
        <v>1</v>
      </c>
      <c r="J251" s="7" t="s">
        <v>1177</v>
      </c>
      <c r="K251" s="7" t="s">
        <v>1178</v>
      </c>
      <c r="L251" s="7" t="s">
        <v>132</v>
      </c>
      <c r="M251" s="7" t="s">
        <v>133</v>
      </c>
      <c r="N251" s="30">
        <v>0</v>
      </c>
      <c r="O251" s="30">
        <v>0</v>
      </c>
      <c r="P251" s="30">
        <v>0</v>
      </c>
      <c r="Q251" s="30">
        <v>0</v>
      </c>
      <c r="R251" s="29">
        <v>0</v>
      </c>
      <c r="S251" s="36">
        <v>0</v>
      </c>
      <c r="T251" s="7" t="s">
        <v>131</v>
      </c>
      <c r="U251" s="7" t="s">
        <v>654</v>
      </c>
      <c r="V251" s="7" t="s">
        <v>654</v>
      </c>
      <c r="W251" s="7" t="s">
        <v>1177</v>
      </c>
      <c r="X251" s="30">
        <v>1</v>
      </c>
      <c r="Y251" s="7" t="s">
        <v>1177</v>
      </c>
      <c r="Z251" s="7" t="s">
        <v>1178</v>
      </c>
      <c r="AA251" s="30">
        <v>0</v>
      </c>
      <c r="AB251" s="36">
        <v>0</v>
      </c>
      <c r="AC251" s="7" t="s">
        <v>1177</v>
      </c>
      <c r="AD251" s="37">
        <v>0</v>
      </c>
      <c r="AE251" s="7" t="s">
        <v>1177</v>
      </c>
      <c r="AF251" s="7" t="s">
        <v>1177</v>
      </c>
      <c r="AG251" s="7" t="s">
        <v>1177</v>
      </c>
      <c r="AH251" s="38"/>
      <c r="AI251" s="36">
        <v>0</v>
      </c>
      <c r="AJ251" s="7" t="s">
        <v>1193</v>
      </c>
      <c r="AK251" s="7" t="s">
        <v>1177</v>
      </c>
      <c r="AL251" s="7" t="s">
        <v>1177</v>
      </c>
      <c r="AM251" s="7" t="s">
        <v>1177</v>
      </c>
      <c r="AN251" s="7" t="s">
        <v>3212</v>
      </c>
      <c r="AO251" s="7" t="s">
        <v>1177</v>
      </c>
      <c r="AP251" s="7" t="s">
        <v>1177</v>
      </c>
      <c r="AQ251" s="7" t="s">
        <v>1177</v>
      </c>
      <c r="AR251" s="29">
        <v>0</v>
      </c>
      <c r="AS251" s="7" t="s">
        <v>1177</v>
      </c>
      <c r="AT251" s="7" t="s">
        <v>1363</v>
      </c>
      <c r="AU251" s="38">
        <v>46275</v>
      </c>
      <c r="AV251" s="39">
        <v>0.60384259259258999</v>
      </c>
    </row>
    <row r="252" spans="1:48" x14ac:dyDescent="0.35">
      <c r="A252" t="str">
        <f t="shared" si="3"/>
        <v>GP004259B825</v>
      </c>
      <c r="B252" s="7" t="s">
        <v>212</v>
      </c>
      <c r="C252" s="7" t="s">
        <v>511</v>
      </c>
      <c r="D252" s="7" t="s">
        <v>16</v>
      </c>
      <c r="E252" s="7" t="s">
        <v>1177</v>
      </c>
      <c r="F252" s="7" t="s">
        <v>128</v>
      </c>
      <c r="G252" s="7" t="s">
        <v>130</v>
      </c>
      <c r="H252" s="7" t="s">
        <v>129</v>
      </c>
      <c r="I252" s="30">
        <v>2</v>
      </c>
      <c r="J252" s="7" t="s">
        <v>1177</v>
      </c>
      <c r="K252" s="7" t="s">
        <v>1178</v>
      </c>
      <c r="L252" s="7" t="s">
        <v>132</v>
      </c>
      <c r="M252" s="7" t="s">
        <v>133</v>
      </c>
      <c r="N252" s="30">
        <v>0</v>
      </c>
      <c r="O252" s="30">
        <v>0</v>
      </c>
      <c r="P252" s="30">
        <v>0</v>
      </c>
      <c r="Q252" s="30">
        <v>0</v>
      </c>
      <c r="R252" s="29">
        <v>0</v>
      </c>
      <c r="S252" s="36">
        <v>0</v>
      </c>
      <c r="T252" s="7" t="s">
        <v>131</v>
      </c>
      <c r="U252" s="7" t="s">
        <v>512</v>
      </c>
      <c r="V252" s="7" t="s">
        <v>512</v>
      </c>
      <c r="W252" s="7" t="s">
        <v>1177</v>
      </c>
      <c r="X252" s="30">
        <v>1</v>
      </c>
      <c r="Y252" s="7" t="s">
        <v>1177</v>
      </c>
      <c r="Z252" s="7" t="s">
        <v>1178</v>
      </c>
      <c r="AA252" s="30">
        <v>0</v>
      </c>
      <c r="AB252" s="36">
        <v>0</v>
      </c>
      <c r="AC252" s="7" t="s">
        <v>1177</v>
      </c>
      <c r="AD252" s="37">
        <v>0</v>
      </c>
      <c r="AE252" s="7" t="s">
        <v>1177</v>
      </c>
      <c r="AF252" s="7" t="s">
        <v>1177</v>
      </c>
      <c r="AG252" s="7" t="s">
        <v>1177</v>
      </c>
      <c r="AH252" s="38"/>
      <c r="AI252" s="36">
        <v>0</v>
      </c>
      <c r="AJ252" s="7" t="s">
        <v>1193</v>
      </c>
      <c r="AK252" s="7" t="s">
        <v>1177</v>
      </c>
      <c r="AL252" s="7" t="s">
        <v>1177</v>
      </c>
      <c r="AM252" s="7" t="s">
        <v>1177</v>
      </c>
      <c r="AN252" s="7" t="s">
        <v>3212</v>
      </c>
      <c r="AO252" s="7" t="s">
        <v>1177</v>
      </c>
      <c r="AP252" s="7" t="s">
        <v>1177</v>
      </c>
      <c r="AQ252" s="7" t="s">
        <v>1177</v>
      </c>
      <c r="AR252" s="29">
        <v>0</v>
      </c>
      <c r="AS252" s="7" t="s">
        <v>1177</v>
      </c>
      <c r="AT252" s="7" t="s">
        <v>1363</v>
      </c>
      <c r="AU252" s="38">
        <v>46275</v>
      </c>
      <c r="AV252" s="39">
        <v>0.62302083333333003</v>
      </c>
    </row>
    <row r="253" spans="1:48" x14ac:dyDescent="0.35">
      <c r="A253" t="str">
        <f t="shared" si="3"/>
        <v>GP004259B832</v>
      </c>
      <c r="B253" s="7" t="s">
        <v>212</v>
      </c>
      <c r="C253" s="7" t="s">
        <v>653</v>
      </c>
      <c r="D253" s="7" t="s">
        <v>19</v>
      </c>
      <c r="E253" s="7" t="s">
        <v>1177</v>
      </c>
      <c r="F253" s="7" t="s">
        <v>128</v>
      </c>
      <c r="G253" s="7" t="s">
        <v>130</v>
      </c>
      <c r="H253" s="7" t="s">
        <v>129</v>
      </c>
      <c r="I253" s="30">
        <v>2</v>
      </c>
      <c r="J253" s="7" t="s">
        <v>1177</v>
      </c>
      <c r="K253" s="7" t="s">
        <v>1178</v>
      </c>
      <c r="L253" s="7" t="s">
        <v>132</v>
      </c>
      <c r="M253" s="7" t="s">
        <v>133</v>
      </c>
      <c r="N253" s="30">
        <v>0</v>
      </c>
      <c r="O253" s="30">
        <v>0</v>
      </c>
      <c r="P253" s="30">
        <v>0</v>
      </c>
      <c r="Q253" s="30">
        <v>0</v>
      </c>
      <c r="R253" s="29">
        <v>0</v>
      </c>
      <c r="S253" s="36">
        <v>0</v>
      </c>
      <c r="T253" s="7" t="s">
        <v>131</v>
      </c>
      <c r="U253" s="7" t="s">
        <v>654</v>
      </c>
      <c r="V253" s="7" t="s">
        <v>654</v>
      </c>
      <c r="W253" s="7" t="s">
        <v>1177</v>
      </c>
      <c r="X253" s="30">
        <v>1</v>
      </c>
      <c r="Y253" s="7" t="s">
        <v>1177</v>
      </c>
      <c r="Z253" s="7" t="s">
        <v>1178</v>
      </c>
      <c r="AA253" s="30">
        <v>0</v>
      </c>
      <c r="AB253" s="36">
        <v>0</v>
      </c>
      <c r="AC253" s="7" t="s">
        <v>1177</v>
      </c>
      <c r="AD253" s="37">
        <v>0</v>
      </c>
      <c r="AE253" s="7" t="s">
        <v>1177</v>
      </c>
      <c r="AF253" s="7" t="s">
        <v>1177</v>
      </c>
      <c r="AG253" s="7" t="s">
        <v>1177</v>
      </c>
      <c r="AH253" s="38"/>
      <c r="AI253" s="36">
        <v>0</v>
      </c>
      <c r="AJ253" s="7" t="s">
        <v>1193</v>
      </c>
      <c r="AK253" s="7" t="s">
        <v>1177</v>
      </c>
      <c r="AL253" s="7" t="s">
        <v>1177</v>
      </c>
      <c r="AM253" s="7" t="s">
        <v>1177</v>
      </c>
      <c r="AN253" s="7" t="s">
        <v>3212</v>
      </c>
      <c r="AO253" s="7" t="s">
        <v>1177</v>
      </c>
      <c r="AP253" s="7" t="s">
        <v>1177</v>
      </c>
      <c r="AQ253" s="7" t="s">
        <v>1177</v>
      </c>
      <c r="AR253" s="29">
        <v>0</v>
      </c>
      <c r="AS253" s="7" t="s">
        <v>1177</v>
      </c>
      <c r="AT253" s="7" t="s">
        <v>1363</v>
      </c>
      <c r="AU253" s="38">
        <v>46275</v>
      </c>
      <c r="AV253" s="39">
        <v>0.62335648148148004</v>
      </c>
    </row>
    <row r="254" spans="1:48" x14ac:dyDescent="0.35">
      <c r="A254" t="str">
        <f t="shared" si="3"/>
        <v>GP004260B825</v>
      </c>
      <c r="B254" s="7" t="s">
        <v>143</v>
      </c>
      <c r="C254" s="7" t="s">
        <v>511</v>
      </c>
      <c r="D254" s="7" t="s">
        <v>16</v>
      </c>
      <c r="E254" s="7" t="s">
        <v>1177</v>
      </c>
      <c r="F254" s="7" t="s">
        <v>128</v>
      </c>
      <c r="G254" s="7" t="s">
        <v>130</v>
      </c>
      <c r="H254" s="7" t="s">
        <v>129</v>
      </c>
      <c r="I254" s="30">
        <v>2</v>
      </c>
      <c r="J254" s="7" t="s">
        <v>1177</v>
      </c>
      <c r="K254" s="7" t="s">
        <v>1178</v>
      </c>
      <c r="L254" s="7" t="s">
        <v>132</v>
      </c>
      <c r="M254" s="7" t="s">
        <v>133</v>
      </c>
      <c r="N254" s="30">
        <v>0</v>
      </c>
      <c r="O254" s="30">
        <v>0</v>
      </c>
      <c r="P254" s="30">
        <v>0</v>
      </c>
      <c r="Q254" s="30">
        <v>0</v>
      </c>
      <c r="R254" s="29">
        <v>0</v>
      </c>
      <c r="S254" s="36">
        <v>0</v>
      </c>
      <c r="T254" s="7" t="s">
        <v>131</v>
      </c>
      <c r="U254" s="7" t="s">
        <v>512</v>
      </c>
      <c r="V254" s="7" t="s">
        <v>512</v>
      </c>
      <c r="W254" s="7" t="s">
        <v>1177</v>
      </c>
      <c r="X254" s="30">
        <v>1</v>
      </c>
      <c r="Y254" s="7" t="s">
        <v>1177</v>
      </c>
      <c r="Z254" s="7" t="s">
        <v>1178</v>
      </c>
      <c r="AA254" s="30">
        <v>0</v>
      </c>
      <c r="AB254" s="36">
        <v>0</v>
      </c>
      <c r="AC254" s="7" t="s">
        <v>1177</v>
      </c>
      <c r="AD254" s="37">
        <v>0</v>
      </c>
      <c r="AE254" s="7" t="s">
        <v>1177</v>
      </c>
      <c r="AF254" s="7" t="s">
        <v>1177</v>
      </c>
      <c r="AG254" s="7" t="s">
        <v>1177</v>
      </c>
      <c r="AH254" s="38"/>
      <c r="AI254" s="36">
        <v>0</v>
      </c>
      <c r="AJ254" s="7" t="s">
        <v>1193</v>
      </c>
      <c r="AK254" s="7" t="s">
        <v>1177</v>
      </c>
      <c r="AL254" s="7" t="s">
        <v>1177</v>
      </c>
      <c r="AM254" s="7" t="s">
        <v>1177</v>
      </c>
      <c r="AN254" s="7" t="s">
        <v>3212</v>
      </c>
      <c r="AO254" s="7" t="s">
        <v>1177</v>
      </c>
      <c r="AP254" s="7" t="s">
        <v>1177</v>
      </c>
      <c r="AQ254" s="7" t="s">
        <v>1177</v>
      </c>
      <c r="AR254" s="29">
        <v>0</v>
      </c>
      <c r="AS254" s="7" t="s">
        <v>1177</v>
      </c>
      <c r="AT254" s="7" t="s">
        <v>1363</v>
      </c>
      <c r="AU254" s="38">
        <v>46275</v>
      </c>
      <c r="AV254" s="39">
        <v>0.60351851851852001</v>
      </c>
    </row>
    <row r="255" spans="1:48" x14ac:dyDescent="0.35">
      <c r="A255" t="str">
        <f t="shared" si="3"/>
        <v>GP004260B832</v>
      </c>
      <c r="B255" s="7" t="s">
        <v>143</v>
      </c>
      <c r="C255" s="7" t="s">
        <v>653</v>
      </c>
      <c r="D255" s="7" t="s">
        <v>19</v>
      </c>
      <c r="E255" s="7" t="s">
        <v>1177</v>
      </c>
      <c r="F255" s="7" t="s">
        <v>128</v>
      </c>
      <c r="G255" s="7" t="s">
        <v>130</v>
      </c>
      <c r="H255" s="7" t="s">
        <v>129</v>
      </c>
      <c r="I255" s="30">
        <v>2</v>
      </c>
      <c r="J255" s="7" t="s">
        <v>1177</v>
      </c>
      <c r="K255" s="7" t="s">
        <v>1178</v>
      </c>
      <c r="L255" s="7" t="s">
        <v>132</v>
      </c>
      <c r="M255" s="7" t="s">
        <v>133</v>
      </c>
      <c r="N255" s="30">
        <v>0</v>
      </c>
      <c r="O255" s="30">
        <v>0</v>
      </c>
      <c r="P255" s="30">
        <v>0</v>
      </c>
      <c r="Q255" s="30">
        <v>0</v>
      </c>
      <c r="R255" s="29">
        <v>0</v>
      </c>
      <c r="S255" s="36">
        <v>0</v>
      </c>
      <c r="T255" s="7" t="s">
        <v>131</v>
      </c>
      <c r="U255" s="7" t="s">
        <v>654</v>
      </c>
      <c r="V255" s="7" t="s">
        <v>654</v>
      </c>
      <c r="W255" s="7" t="s">
        <v>1177</v>
      </c>
      <c r="X255" s="30">
        <v>1</v>
      </c>
      <c r="Y255" s="7" t="s">
        <v>1177</v>
      </c>
      <c r="Z255" s="7" t="s">
        <v>1178</v>
      </c>
      <c r="AA255" s="30">
        <v>0</v>
      </c>
      <c r="AB255" s="36">
        <v>0</v>
      </c>
      <c r="AC255" s="7" t="s">
        <v>1177</v>
      </c>
      <c r="AD255" s="37">
        <v>0</v>
      </c>
      <c r="AE255" s="7" t="s">
        <v>1177</v>
      </c>
      <c r="AF255" s="7" t="s">
        <v>1177</v>
      </c>
      <c r="AG255" s="7" t="s">
        <v>1177</v>
      </c>
      <c r="AH255" s="38"/>
      <c r="AI255" s="36">
        <v>0</v>
      </c>
      <c r="AJ255" s="7" t="s">
        <v>1193</v>
      </c>
      <c r="AK255" s="7" t="s">
        <v>1177</v>
      </c>
      <c r="AL255" s="7" t="s">
        <v>1177</v>
      </c>
      <c r="AM255" s="7" t="s">
        <v>1177</v>
      </c>
      <c r="AN255" s="7" t="s">
        <v>3212</v>
      </c>
      <c r="AO255" s="7" t="s">
        <v>1177</v>
      </c>
      <c r="AP255" s="7" t="s">
        <v>1177</v>
      </c>
      <c r="AQ255" s="7" t="s">
        <v>1177</v>
      </c>
      <c r="AR255" s="29">
        <v>0</v>
      </c>
      <c r="AS255" s="7" t="s">
        <v>1177</v>
      </c>
      <c r="AT255" s="7" t="s">
        <v>1363</v>
      </c>
      <c r="AU255" s="38">
        <v>46275</v>
      </c>
      <c r="AV255" s="39">
        <v>0.60384259259258999</v>
      </c>
    </row>
    <row r="256" spans="1:48" x14ac:dyDescent="0.35">
      <c r="A256" t="str">
        <f t="shared" si="3"/>
        <v>GP004260B838</v>
      </c>
      <c r="B256" s="7" t="s">
        <v>143</v>
      </c>
      <c r="C256" s="7" t="s">
        <v>744</v>
      </c>
      <c r="D256" s="7" t="s">
        <v>48</v>
      </c>
      <c r="E256" s="7" t="s">
        <v>1177</v>
      </c>
      <c r="F256" s="7" t="s">
        <v>128</v>
      </c>
      <c r="G256" s="7" t="s">
        <v>130</v>
      </c>
      <c r="H256" s="7" t="s">
        <v>129</v>
      </c>
      <c r="I256" s="30">
        <v>2</v>
      </c>
      <c r="J256" s="7" t="s">
        <v>1177</v>
      </c>
      <c r="K256" s="7" t="s">
        <v>1178</v>
      </c>
      <c r="L256" s="7" t="s">
        <v>132</v>
      </c>
      <c r="M256" s="7" t="s">
        <v>133</v>
      </c>
      <c r="N256" s="30">
        <v>0</v>
      </c>
      <c r="O256" s="30">
        <v>0</v>
      </c>
      <c r="P256" s="30">
        <v>0</v>
      </c>
      <c r="Q256" s="30">
        <v>0</v>
      </c>
      <c r="R256" s="29">
        <v>0</v>
      </c>
      <c r="S256" s="36">
        <v>0</v>
      </c>
      <c r="T256" s="7" t="s">
        <v>131</v>
      </c>
      <c r="U256" s="7" t="s">
        <v>745</v>
      </c>
      <c r="V256" s="7" t="s">
        <v>745</v>
      </c>
      <c r="W256" s="7" t="s">
        <v>1177</v>
      </c>
      <c r="X256" s="30">
        <v>1</v>
      </c>
      <c r="Y256" s="7" t="s">
        <v>1177</v>
      </c>
      <c r="Z256" s="7" t="s">
        <v>1178</v>
      </c>
      <c r="AA256" s="30">
        <v>0</v>
      </c>
      <c r="AB256" s="36">
        <v>0</v>
      </c>
      <c r="AC256" s="7" t="s">
        <v>1177</v>
      </c>
      <c r="AD256" s="37">
        <v>0</v>
      </c>
      <c r="AE256" s="7" t="s">
        <v>1177</v>
      </c>
      <c r="AF256" s="7" t="s">
        <v>1177</v>
      </c>
      <c r="AG256" s="7" t="s">
        <v>1177</v>
      </c>
      <c r="AH256" s="38"/>
      <c r="AI256" s="36">
        <v>0</v>
      </c>
      <c r="AJ256" s="7" t="s">
        <v>1193</v>
      </c>
      <c r="AK256" s="7" t="s">
        <v>1177</v>
      </c>
      <c r="AL256" s="7" t="s">
        <v>1177</v>
      </c>
      <c r="AM256" s="7" t="s">
        <v>1177</v>
      </c>
      <c r="AN256" s="7" t="s">
        <v>3212</v>
      </c>
      <c r="AO256" s="7" t="s">
        <v>1177</v>
      </c>
      <c r="AP256" s="7" t="s">
        <v>1177</v>
      </c>
      <c r="AQ256" s="7" t="s">
        <v>1177</v>
      </c>
      <c r="AR256" s="29">
        <v>0</v>
      </c>
      <c r="AS256" s="7" t="s">
        <v>1177</v>
      </c>
      <c r="AT256" s="7" t="s">
        <v>1363</v>
      </c>
      <c r="AU256" s="38">
        <v>46275</v>
      </c>
      <c r="AV256" s="39">
        <v>0.60465277777778004</v>
      </c>
    </row>
    <row r="257" spans="1:48" x14ac:dyDescent="0.35">
      <c r="A257" t="str">
        <f t="shared" si="3"/>
        <v>GP004263B825</v>
      </c>
      <c r="B257" s="7" t="s">
        <v>14</v>
      </c>
      <c r="C257" s="7" t="s">
        <v>511</v>
      </c>
      <c r="D257" s="7" t="s">
        <v>16</v>
      </c>
      <c r="E257" s="7" t="s">
        <v>1177</v>
      </c>
      <c r="F257" s="7" t="s">
        <v>128</v>
      </c>
      <c r="G257" s="7" t="s">
        <v>130</v>
      </c>
      <c r="H257" s="7" t="s">
        <v>129</v>
      </c>
      <c r="I257" s="30">
        <v>20</v>
      </c>
      <c r="J257" s="7" t="s">
        <v>1177</v>
      </c>
      <c r="K257" s="7" t="s">
        <v>1178</v>
      </c>
      <c r="L257" s="7" t="s">
        <v>132</v>
      </c>
      <c r="M257" s="7" t="s">
        <v>133</v>
      </c>
      <c r="N257" s="30">
        <v>0</v>
      </c>
      <c r="O257" s="30">
        <v>0</v>
      </c>
      <c r="P257" s="30">
        <v>0</v>
      </c>
      <c r="Q257" s="30">
        <v>0</v>
      </c>
      <c r="R257" s="29">
        <v>0</v>
      </c>
      <c r="S257" s="36">
        <v>0</v>
      </c>
      <c r="T257" s="7" t="s">
        <v>131</v>
      </c>
      <c r="U257" s="7" t="s">
        <v>512</v>
      </c>
      <c r="V257" s="7" t="s">
        <v>512</v>
      </c>
      <c r="W257" s="7" t="s">
        <v>1177</v>
      </c>
      <c r="X257" s="30">
        <v>5</v>
      </c>
      <c r="Y257" s="7" t="s">
        <v>1177</v>
      </c>
      <c r="Z257" s="7" t="s">
        <v>1178</v>
      </c>
      <c r="AA257" s="30">
        <v>0</v>
      </c>
      <c r="AB257" s="36">
        <v>0</v>
      </c>
      <c r="AC257" s="7" t="s">
        <v>1177</v>
      </c>
      <c r="AD257" s="37">
        <v>0</v>
      </c>
      <c r="AE257" s="7" t="s">
        <v>1177</v>
      </c>
      <c r="AF257" s="7" t="s">
        <v>1177</v>
      </c>
      <c r="AG257" s="7" t="s">
        <v>1177</v>
      </c>
      <c r="AH257" s="38"/>
      <c r="AI257" s="36">
        <v>0</v>
      </c>
      <c r="AJ257" s="7" t="s">
        <v>1193</v>
      </c>
      <c r="AK257" s="7" t="s">
        <v>1177</v>
      </c>
      <c r="AL257" s="7" t="s">
        <v>1177</v>
      </c>
      <c r="AM257" s="7" t="s">
        <v>1177</v>
      </c>
      <c r="AN257" s="7" t="s">
        <v>3212</v>
      </c>
      <c r="AO257" s="7" t="s">
        <v>1177</v>
      </c>
      <c r="AP257" s="7" t="s">
        <v>1177</v>
      </c>
      <c r="AQ257" s="7" t="s">
        <v>1177</v>
      </c>
      <c r="AR257" s="29">
        <v>0</v>
      </c>
      <c r="AS257" s="7" t="s">
        <v>1177</v>
      </c>
      <c r="AT257" s="7" t="s">
        <v>1363</v>
      </c>
      <c r="AU257" s="38">
        <v>46275</v>
      </c>
      <c r="AV257" s="39">
        <v>0.60351851851852001</v>
      </c>
    </row>
    <row r="258" spans="1:48" x14ac:dyDescent="0.35">
      <c r="A258" t="str">
        <f t="shared" si="3"/>
        <v>GP004263B832</v>
      </c>
      <c r="B258" s="7" t="s">
        <v>14</v>
      </c>
      <c r="C258" s="7" t="s">
        <v>653</v>
      </c>
      <c r="D258" s="7" t="s">
        <v>19</v>
      </c>
      <c r="E258" s="7" t="s">
        <v>1177</v>
      </c>
      <c r="F258" s="7" t="s">
        <v>128</v>
      </c>
      <c r="G258" s="7" t="s">
        <v>130</v>
      </c>
      <c r="H258" s="7" t="s">
        <v>129</v>
      </c>
      <c r="I258" s="30">
        <v>4</v>
      </c>
      <c r="J258" s="7" t="s">
        <v>1177</v>
      </c>
      <c r="K258" s="7" t="s">
        <v>1178</v>
      </c>
      <c r="L258" s="7" t="s">
        <v>132</v>
      </c>
      <c r="M258" s="7" t="s">
        <v>133</v>
      </c>
      <c r="N258" s="30">
        <v>0</v>
      </c>
      <c r="O258" s="30">
        <v>0</v>
      </c>
      <c r="P258" s="30">
        <v>0</v>
      </c>
      <c r="Q258" s="30">
        <v>0</v>
      </c>
      <c r="R258" s="29">
        <v>0</v>
      </c>
      <c r="S258" s="36">
        <v>0</v>
      </c>
      <c r="T258" s="7" t="s">
        <v>131</v>
      </c>
      <c r="U258" s="7" t="s">
        <v>654</v>
      </c>
      <c r="V258" s="7" t="s">
        <v>654</v>
      </c>
      <c r="W258" s="7" t="s">
        <v>1177</v>
      </c>
      <c r="X258" s="30">
        <v>1</v>
      </c>
      <c r="Y258" s="7" t="s">
        <v>1177</v>
      </c>
      <c r="Z258" s="7" t="s">
        <v>1178</v>
      </c>
      <c r="AA258" s="30">
        <v>0</v>
      </c>
      <c r="AB258" s="36">
        <v>0</v>
      </c>
      <c r="AC258" s="7" t="s">
        <v>1177</v>
      </c>
      <c r="AD258" s="37">
        <v>0</v>
      </c>
      <c r="AE258" s="7" t="s">
        <v>1177</v>
      </c>
      <c r="AF258" s="7" t="s">
        <v>1177</v>
      </c>
      <c r="AG258" s="7" t="s">
        <v>1177</v>
      </c>
      <c r="AH258" s="38"/>
      <c r="AI258" s="36">
        <v>0</v>
      </c>
      <c r="AJ258" s="7" t="s">
        <v>1193</v>
      </c>
      <c r="AK258" s="7" t="s">
        <v>1177</v>
      </c>
      <c r="AL258" s="7" t="s">
        <v>1177</v>
      </c>
      <c r="AM258" s="7" t="s">
        <v>1177</v>
      </c>
      <c r="AN258" s="7" t="s">
        <v>3212</v>
      </c>
      <c r="AO258" s="7" t="s">
        <v>1177</v>
      </c>
      <c r="AP258" s="7" t="s">
        <v>1177</v>
      </c>
      <c r="AQ258" s="7" t="s">
        <v>1177</v>
      </c>
      <c r="AR258" s="29">
        <v>0</v>
      </c>
      <c r="AS258" s="7" t="s">
        <v>1177</v>
      </c>
      <c r="AT258" s="7" t="s">
        <v>1363</v>
      </c>
      <c r="AU258" s="38">
        <v>46275</v>
      </c>
      <c r="AV258" s="39">
        <v>0.60384259259258999</v>
      </c>
    </row>
    <row r="259" spans="1:48" x14ac:dyDescent="0.35">
      <c r="A259" t="str">
        <f t="shared" ref="A259:A322" si="4">_xlfn.CONCAT(B259,D259)</f>
        <v>GP004263B833</v>
      </c>
      <c r="B259" s="7" t="s">
        <v>14</v>
      </c>
      <c r="C259" s="7" t="s">
        <v>698</v>
      </c>
      <c r="D259" s="7" t="s">
        <v>697</v>
      </c>
      <c r="E259" s="7" t="s">
        <v>1177</v>
      </c>
      <c r="F259" s="7" t="s">
        <v>128</v>
      </c>
      <c r="G259" s="7" t="s">
        <v>130</v>
      </c>
      <c r="H259" s="7" t="s">
        <v>129</v>
      </c>
      <c r="I259" s="30">
        <v>2</v>
      </c>
      <c r="J259" s="7" t="s">
        <v>1177</v>
      </c>
      <c r="K259" s="7" t="s">
        <v>1178</v>
      </c>
      <c r="L259" s="7" t="s">
        <v>132</v>
      </c>
      <c r="M259" s="7" t="s">
        <v>133</v>
      </c>
      <c r="N259" s="30">
        <v>0</v>
      </c>
      <c r="O259" s="30">
        <v>0</v>
      </c>
      <c r="P259" s="30">
        <v>0</v>
      </c>
      <c r="Q259" s="30">
        <v>0</v>
      </c>
      <c r="R259" s="29">
        <v>0</v>
      </c>
      <c r="S259" s="36">
        <v>0</v>
      </c>
      <c r="T259" s="7" t="s">
        <v>131</v>
      </c>
      <c r="U259" s="7" t="s">
        <v>699</v>
      </c>
      <c r="V259" s="7" t="s">
        <v>699</v>
      </c>
      <c r="W259" s="7" t="s">
        <v>1177</v>
      </c>
      <c r="X259" s="30">
        <v>1</v>
      </c>
      <c r="Y259" s="7" t="s">
        <v>1177</v>
      </c>
      <c r="Z259" s="7" t="s">
        <v>1178</v>
      </c>
      <c r="AA259" s="30">
        <v>0</v>
      </c>
      <c r="AB259" s="36">
        <v>0</v>
      </c>
      <c r="AC259" s="7" t="s">
        <v>1177</v>
      </c>
      <c r="AD259" s="37">
        <v>0</v>
      </c>
      <c r="AE259" s="7" t="s">
        <v>1177</v>
      </c>
      <c r="AF259" s="7" t="s">
        <v>1177</v>
      </c>
      <c r="AG259" s="7" t="s">
        <v>1177</v>
      </c>
      <c r="AH259" s="38"/>
      <c r="AI259" s="36">
        <v>0</v>
      </c>
      <c r="AJ259" s="7" t="s">
        <v>1193</v>
      </c>
      <c r="AK259" s="7" t="s">
        <v>1177</v>
      </c>
      <c r="AL259" s="7" t="s">
        <v>1177</v>
      </c>
      <c r="AM259" s="7" t="s">
        <v>1177</v>
      </c>
      <c r="AN259" s="7" t="s">
        <v>3212</v>
      </c>
      <c r="AO259" s="7" t="s">
        <v>1177</v>
      </c>
      <c r="AP259" s="7" t="s">
        <v>1177</v>
      </c>
      <c r="AQ259" s="7" t="s">
        <v>1177</v>
      </c>
      <c r="AR259" s="29">
        <v>0</v>
      </c>
      <c r="AS259" s="7" t="s">
        <v>1177</v>
      </c>
      <c r="AT259" s="7" t="s">
        <v>1363</v>
      </c>
      <c r="AU259" s="38">
        <v>46275</v>
      </c>
      <c r="AV259" s="39">
        <v>0.60396990740740997</v>
      </c>
    </row>
    <row r="260" spans="1:48" x14ac:dyDescent="0.35">
      <c r="A260" t="str">
        <f t="shared" si="4"/>
        <v>GP004263B838</v>
      </c>
      <c r="B260" s="7" t="s">
        <v>14</v>
      </c>
      <c r="C260" s="7" t="s">
        <v>744</v>
      </c>
      <c r="D260" s="7" t="s">
        <v>48</v>
      </c>
      <c r="E260" s="7" t="s">
        <v>1177</v>
      </c>
      <c r="F260" s="7" t="s">
        <v>128</v>
      </c>
      <c r="G260" s="7" t="s">
        <v>130</v>
      </c>
      <c r="H260" s="7" t="s">
        <v>129</v>
      </c>
      <c r="I260" s="30">
        <v>2</v>
      </c>
      <c r="J260" s="7" t="s">
        <v>1177</v>
      </c>
      <c r="K260" s="7" t="s">
        <v>1178</v>
      </c>
      <c r="L260" s="7" t="s">
        <v>132</v>
      </c>
      <c r="M260" s="7" t="s">
        <v>133</v>
      </c>
      <c r="N260" s="30">
        <v>0</v>
      </c>
      <c r="O260" s="30">
        <v>0</v>
      </c>
      <c r="P260" s="30">
        <v>0</v>
      </c>
      <c r="Q260" s="30">
        <v>0</v>
      </c>
      <c r="R260" s="29">
        <v>0</v>
      </c>
      <c r="S260" s="36">
        <v>0</v>
      </c>
      <c r="T260" s="7" t="s">
        <v>131</v>
      </c>
      <c r="U260" s="7" t="s">
        <v>745</v>
      </c>
      <c r="V260" s="7" t="s">
        <v>745</v>
      </c>
      <c r="W260" s="7" t="s">
        <v>1177</v>
      </c>
      <c r="X260" s="30">
        <v>1</v>
      </c>
      <c r="Y260" s="7" t="s">
        <v>1177</v>
      </c>
      <c r="Z260" s="7" t="s">
        <v>1178</v>
      </c>
      <c r="AA260" s="30">
        <v>0</v>
      </c>
      <c r="AB260" s="36">
        <v>0</v>
      </c>
      <c r="AC260" s="7" t="s">
        <v>1177</v>
      </c>
      <c r="AD260" s="37">
        <v>0</v>
      </c>
      <c r="AE260" s="7" t="s">
        <v>1177</v>
      </c>
      <c r="AF260" s="7" t="s">
        <v>1177</v>
      </c>
      <c r="AG260" s="7" t="s">
        <v>1177</v>
      </c>
      <c r="AH260" s="38"/>
      <c r="AI260" s="36">
        <v>0</v>
      </c>
      <c r="AJ260" s="7" t="s">
        <v>1193</v>
      </c>
      <c r="AK260" s="7" t="s">
        <v>1177</v>
      </c>
      <c r="AL260" s="7" t="s">
        <v>1177</v>
      </c>
      <c r="AM260" s="7" t="s">
        <v>1177</v>
      </c>
      <c r="AN260" s="7" t="s">
        <v>3212</v>
      </c>
      <c r="AO260" s="7" t="s">
        <v>1177</v>
      </c>
      <c r="AP260" s="7" t="s">
        <v>1177</v>
      </c>
      <c r="AQ260" s="7" t="s">
        <v>1177</v>
      </c>
      <c r="AR260" s="29">
        <v>0</v>
      </c>
      <c r="AS260" s="7" t="s">
        <v>1177</v>
      </c>
      <c r="AT260" s="7" t="s">
        <v>1363</v>
      </c>
      <c r="AU260" s="38">
        <v>46275</v>
      </c>
      <c r="AV260" s="39">
        <v>0.60474537037037002</v>
      </c>
    </row>
    <row r="261" spans="1:48" x14ac:dyDescent="0.35">
      <c r="A261" t="str">
        <f t="shared" si="4"/>
        <v>GP004263B856</v>
      </c>
      <c r="B261" s="7" t="s">
        <v>14</v>
      </c>
      <c r="C261" s="7" t="s">
        <v>852</v>
      </c>
      <c r="D261" s="7" t="s">
        <v>21</v>
      </c>
      <c r="E261" s="7" t="s">
        <v>1177</v>
      </c>
      <c r="F261" s="7" t="s">
        <v>128</v>
      </c>
      <c r="G261" s="7" t="s">
        <v>130</v>
      </c>
      <c r="H261" s="7" t="s">
        <v>129</v>
      </c>
      <c r="I261" s="30">
        <v>2</v>
      </c>
      <c r="J261" s="7" t="s">
        <v>1177</v>
      </c>
      <c r="K261" s="7" t="s">
        <v>1178</v>
      </c>
      <c r="L261" s="7" t="s">
        <v>132</v>
      </c>
      <c r="M261" s="7" t="s">
        <v>133</v>
      </c>
      <c r="N261" s="30">
        <v>0</v>
      </c>
      <c r="O261" s="30">
        <v>0</v>
      </c>
      <c r="P261" s="30">
        <v>0</v>
      </c>
      <c r="Q261" s="30">
        <v>0</v>
      </c>
      <c r="R261" s="29">
        <v>0</v>
      </c>
      <c r="S261" s="36">
        <v>0</v>
      </c>
      <c r="T261" s="7" t="s">
        <v>131</v>
      </c>
      <c r="U261" s="7" t="s">
        <v>853</v>
      </c>
      <c r="V261" s="7" t="s">
        <v>853</v>
      </c>
      <c r="W261" s="7" t="s">
        <v>1177</v>
      </c>
      <c r="X261" s="30">
        <v>1</v>
      </c>
      <c r="Y261" s="7" t="s">
        <v>1177</v>
      </c>
      <c r="Z261" s="7" t="s">
        <v>1178</v>
      </c>
      <c r="AA261" s="30">
        <v>0</v>
      </c>
      <c r="AB261" s="36">
        <v>0</v>
      </c>
      <c r="AC261" s="7" t="s">
        <v>1177</v>
      </c>
      <c r="AD261" s="37">
        <v>0</v>
      </c>
      <c r="AE261" s="7" t="s">
        <v>1177</v>
      </c>
      <c r="AF261" s="7" t="s">
        <v>1177</v>
      </c>
      <c r="AG261" s="7" t="s">
        <v>1177</v>
      </c>
      <c r="AH261" s="38"/>
      <c r="AI261" s="36">
        <v>0</v>
      </c>
      <c r="AJ261" s="7" t="s">
        <v>1193</v>
      </c>
      <c r="AK261" s="7" t="s">
        <v>1177</v>
      </c>
      <c r="AL261" s="7" t="s">
        <v>1177</v>
      </c>
      <c r="AM261" s="7" t="s">
        <v>1177</v>
      </c>
      <c r="AN261" s="7" t="s">
        <v>3212</v>
      </c>
      <c r="AO261" s="7" t="s">
        <v>1177</v>
      </c>
      <c r="AP261" s="7" t="s">
        <v>1177</v>
      </c>
      <c r="AQ261" s="7" t="s">
        <v>1177</v>
      </c>
      <c r="AR261" s="29">
        <v>0</v>
      </c>
      <c r="AS261" s="7" t="s">
        <v>1177</v>
      </c>
      <c r="AT261" s="7" t="s">
        <v>1363</v>
      </c>
      <c r="AU261" s="38">
        <v>46275</v>
      </c>
      <c r="AV261" s="39">
        <v>0.60521990740741005</v>
      </c>
    </row>
    <row r="262" spans="1:48" x14ac:dyDescent="0.35">
      <c r="A262" t="str">
        <f t="shared" si="4"/>
        <v>GP004263B857</v>
      </c>
      <c r="B262" s="7" t="s">
        <v>14</v>
      </c>
      <c r="C262" s="7" t="s">
        <v>958</v>
      </c>
      <c r="D262" s="7" t="s">
        <v>23</v>
      </c>
      <c r="E262" s="7" t="s">
        <v>1177</v>
      </c>
      <c r="F262" s="7" t="s">
        <v>128</v>
      </c>
      <c r="G262" s="7" t="s">
        <v>130</v>
      </c>
      <c r="H262" s="7" t="s">
        <v>129</v>
      </c>
      <c r="I262" s="30">
        <v>2</v>
      </c>
      <c r="J262" s="7" t="s">
        <v>1177</v>
      </c>
      <c r="K262" s="7" t="s">
        <v>1178</v>
      </c>
      <c r="L262" s="7" t="s">
        <v>132</v>
      </c>
      <c r="M262" s="7" t="s">
        <v>133</v>
      </c>
      <c r="N262" s="30">
        <v>0</v>
      </c>
      <c r="O262" s="30">
        <v>0</v>
      </c>
      <c r="P262" s="30">
        <v>0</v>
      </c>
      <c r="Q262" s="30">
        <v>0</v>
      </c>
      <c r="R262" s="29">
        <v>0</v>
      </c>
      <c r="S262" s="36">
        <v>0</v>
      </c>
      <c r="T262" s="7" t="s">
        <v>131</v>
      </c>
      <c r="U262" s="7" t="s">
        <v>959</v>
      </c>
      <c r="V262" s="7" t="s">
        <v>959</v>
      </c>
      <c r="W262" s="7" t="s">
        <v>1177</v>
      </c>
      <c r="X262" s="30">
        <v>1</v>
      </c>
      <c r="Y262" s="7" t="s">
        <v>1177</v>
      </c>
      <c r="Z262" s="7" t="s">
        <v>1178</v>
      </c>
      <c r="AA262" s="30">
        <v>0</v>
      </c>
      <c r="AB262" s="36">
        <v>0</v>
      </c>
      <c r="AC262" s="7" t="s">
        <v>1177</v>
      </c>
      <c r="AD262" s="37">
        <v>0</v>
      </c>
      <c r="AE262" s="7" t="s">
        <v>1177</v>
      </c>
      <c r="AF262" s="7" t="s">
        <v>1177</v>
      </c>
      <c r="AG262" s="7" t="s">
        <v>1177</v>
      </c>
      <c r="AH262" s="38"/>
      <c r="AI262" s="36">
        <v>0</v>
      </c>
      <c r="AJ262" s="7" t="s">
        <v>1193</v>
      </c>
      <c r="AK262" s="7" t="s">
        <v>1177</v>
      </c>
      <c r="AL262" s="7" t="s">
        <v>1177</v>
      </c>
      <c r="AM262" s="7" t="s">
        <v>1177</v>
      </c>
      <c r="AN262" s="7" t="s">
        <v>3212</v>
      </c>
      <c r="AO262" s="7" t="s">
        <v>1177</v>
      </c>
      <c r="AP262" s="7" t="s">
        <v>1177</v>
      </c>
      <c r="AQ262" s="7" t="s">
        <v>1177</v>
      </c>
      <c r="AR262" s="29">
        <v>0</v>
      </c>
      <c r="AS262" s="7" t="s">
        <v>1177</v>
      </c>
      <c r="AT262" s="7" t="s">
        <v>1363</v>
      </c>
      <c r="AU262" s="38">
        <v>46275</v>
      </c>
      <c r="AV262" s="39">
        <v>0.60525462962962995</v>
      </c>
    </row>
    <row r="263" spans="1:48" x14ac:dyDescent="0.35">
      <c r="A263" t="str">
        <f t="shared" si="4"/>
        <v>GP004263B864</v>
      </c>
      <c r="B263" s="7" t="s">
        <v>14</v>
      </c>
      <c r="C263" s="7" t="s">
        <v>1010</v>
      </c>
      <c r="D263" s="7" t="s">
        <v>10</v>
      </c>
      <c r="E263" s="7" t="s">
        <v>1177</v>
      </c>
      <c r="F263" s="7" t="s">
        <v>128</v>
      </c>
      <c r="G263" s="7" t="s">
        <v>130</v>
      </c>
      <c r="H263" s="7" t="s">
        <v>129</v>
      </c>
      <c r="I263" s="30">
        <v>10</v>
      </c>
      <c r="J263" s="7" t="s">
        <v>1177</v>
      </c>
      <c r="K263" s="7" t="s">
        <v>1178</v>
      </c>
      <c r="L263" s="7" t="s">
        <v>132</v>
      </c>
      <c r="M263" s="7" t="s">
        <v>133</v>
      </c>
      <c r="N263" s="30">
        <v>0</v>
      </c>
      <c r="O263" s="30">
        <v>0</v>
      </c>
      <c r="P263" s="30">
        <v>0</v>
      </c>
      <c r="Q263" s="30">
        <v>0</v>
      </c>
      <c r="R263" s="29">
        <v>0</v>
      </c>
      <c r="S263" s="36">
        <v>0</v>
      </c>
      <c r="T263" s="7" t="s">
        <v>131</v>
      </c>
      <c r="U263" s="7" t="s">
        <v>1011</v>
      </c>
      <c r="V263" s="7" t="s">
        <v>1011</v>
      </c>
      <c r="W263" s="7" t="s">
        <v>1177</v>
      </c>
      <c r="X263" s="30">
        <v>3</v>
      </c>
      <c r="Y263" s="7" t="s">
        <v>1177</v>
      </c>
      <c r="Z263" s="7" t="s">
        <v>1178</v>
      </c>
      <c r="AA263" s="30">
        <v>0</v>
      </c>
      <c r="AB263" s="36">
        <v>0</v>
      </c>
      <c r="AC263" s="7" t="s">
        <v>1177</v>
      </c>
      <c r="AD263" s="37">
        <v>0</v>
      </c>
      <c r="AE263" s="7" t="s">
        <v>1177</v>
      </c>
      <c r="AF263" s="7" t="s">
        <v>1177</v>
      </c>
      <c r="AG263" s="7" t="s">
        <v>1177</v>
      </c>
      <c r="AH263" s="38"/>
      <c r="AI263" s="36">
        <v>0</v>
      </c>
      <c r="AJ263" s="7" t="s">
        <v>1193</v>
      </c>
      <c r="AK263" s="7" t="s">
        <v>1177</v>
      </c>
      <c r="AL263" s="7" t="s">
        <v>1177</v>
      </c>
      <c r="AM263" s="7" t="s">
        <v>1177</v>
      </c>
      <c r="AN263" s="7" t="s">
        <v>3212</v>
      </c>
      <c r="AO263" s="7" t="s">
        <v>1177</v>
      </c>
      <c r="AP263" s="7" t="s">
        <v>1177</v>
      </c>
      <c r="AQ263" s="7" t="s">
        <v>1177</v>
      </c>
      <c r="AR263" s="29">
        <v>0</v>
      </c>
      <c r="AS263" s="7" t="s">
        <v>1177</v>
      </c>
      <c r="AT263" s="7" t="s">
        <v>1363</v>
      </c>
      <c r="AU263" s="38">
        <v>46275</v>
      </c>
      <c r="AV263" s="39">
        <v>0.60541666666667004</v>
      </c>
    </row>
    <row r="264" spans="1:48" x14ac:dyDescent="0.35">
      <c r="A264" t="str">
        <f t="shared" si="4"/>
        <v>GP004263B865</v>
      </c>
      <c r="B264" s="7" t="s">
        <v>14</v>
      </c>
      <c r="C264" s="7" t="s">
        <v>1039</v>
      </c>
      <c r="D264" s="7" t="s">
        <v>7</v>
      </c>
      <c r="E264" s="7" t="s">
        <v>1177</v>
      </c>
      <c r="F264" s="7" t="s">
        <v>128</v>
      </c>
      <c r="G264" s="7" t="s">
        <v>130</v>
      </c>
      <c r="H264" s="7" t="s">
        <v>129</v>
      </c>
      <c r="I264" s="30">
        <v>10</v>
      </c>
      <c r="J264" s="7" t="s">
        <v>1177</v>
      </c>
      <c r="K264" s="7" t="s">
        <v>1178</v>
      </c>
      <c r="L264" s="7" t="s">
        <v>132</v>
      </c>
      <c r="M264" s="7" t="s">
        <v>133</v>
      </c>
      <c r="N264" s="30">
        <v>0</v>
      </c>
      <c r="O264" s="30">
        <v>0</v>
      </c>
      <c r="P264" s="30">
        <v>0</v>
      </c>
      <c r="Q264" s="30">
        <v>0</v>
      </c>
      <c r="R264" s="29">
        <v>0</v>
      </c>
      <c r="S264" s="36">
        <v>0</v>
      </c>
      <c r="T264" s="7" t="s">
        <v>131</v>
      </c>
      <c r="U264" s="7" t="s">
        <v>1040</v>
      </c>
      <c r="V264" s="7" t="s">
        <v>1040</v>
      </c>
      <c r="W264" s="7" t="s">
        <v>1177</v>
      </c>
      <c r="X264" s="30">
        <v>3</v>
      </c>
      <c r="Y264" s="7" t="s">
        <v>1177</v>
      </c>
      <c r="Z264" s="7" t="s">
        <v>1178</v>
      </c>
      <c r="AA264" s="30">
        <v>0</v>
      </c>
      <c r="AB264" s="36">
        <v>0</v>
      </c>
      <c r="AC264" s="7" t="s">
        <v>1177</v>
      </c>
      <c r="AD264" s="37">
        <v>0</v>
      </c>
      <c r="AE264" s="7" t="s">
        <v>1177</v>
      </c>
      <c r="AF264" s="7" t="s">
        <v>1177</v>
      </c>
      <c r="AG264" s="7" t="s">
        <v>1177</v>
      </c>
      <c r="AH264" s="38"/>
      <c r="AI264" s="36">
        <v>0</v>
      </c>
      <c r="AJ264" s="7" t="s">
        <v>1193</v>
      </c>
      <c r="AK264" s="7" t="s">
        <v>1177</v>
      </c>
      <c r="AL264" s="7" t="s">
        <v>1177</v>
      </c>
      <c r="AM264" s="7" t="s">
        <v>1177</v>
      </c>
      <c r="AN264" s="7" t="s">
        <v>3212</v>
      </c>
      <c r="AO264" s="7" t="s">
        <v>1177</v>
      </c>
      <c r="AP264" s="7" t="s">
        <v>1177</v>
      </c>
      <c r="AQ264" s="7" t="s">
        <v>1177</v>
      </c>
      <c r="AR264" s="29">
        <v>0</v>
      </c>
      <c r="AS264" s="7" t="s">
        <v>1177</v>
      </c>
      <c r="AT264" s="7" t="s">
        <v>1363</v>
      </c>
      <c r="AU264" s="38">
        <v>46275</v>
      </c>
      <c r="AV264" s="39">
        <v>0.60550925925926002</v>
      </c>
    </row>
    <row r="265" spans="1:48" x14ac:dyDescent="0.35">
      <c r="A265" t="str">
        <f t="shared" si="4"/>
        <v>GP004263B867</v>
      </c>
      <c r="B265" s="7" t="s">
        <v>14</v>
      </c>
      <c r="C265" s="7" t="s">
        <v>1059</v>
      </c>
      <c r="D265" s="7" t="s">
        <v>25</v>
      </c>
      <c r="E265" s="7" t="s">
        <v>1177</v>
      </c>
      <c r="F265" s="7" t="s">
        <v>128</v>
      </c>
      <c r="G265" s="7" t="s">
        <v>130</v>
      </c>
      <c r="H265" s="7" t="s">
        <v>129</v>
      </c>
      <c r="I265" s="30">
        <v>2</v>
      </c>
      <c r="J265" s="7" t="s">
        <v>1177</v>
      </c>
      <c r="K265" s="7" t="s">
        <v>1178</v>
      </c>
      <c r="L265" s="7" t="s">
        <v>132</v>
      </c>
      <c r="M265" s="7" t="s">
        <v>133</v>
      </c>
      <c r="N265" s="30">
        <v>0</v>
      </c>
      <c r="O265" s="30">
        <v>0</v>
      </c>
      <c r="P265" s="30">
        <v>0</v>
      </c>
      <c r="Q265" s="30">
        <v>0</v>
      </c>
      <c r="R265" s="29">
        <v>0</v>
      </c>
      <c r="S265" s="36">
        <v>0</v>
      </c>
      <c r="T265" s="7" t="s">
        <v>131</v>
      </c>
      <c r="U265" s="7" t="s">
        <v>1060</v>
      </c>
      <c r="V265" s="7" t="s">
        <v>1060</v>
      </c>
      <c r="W265" s="7" t="s">
        <v>1177</v>
      </c>
      <c r="X265" s="30">
        <v>1</v>
      </c>
      <c r="Y265" s="7" t="s">
        <v>1177</v>
      </c>
      <c r="Z265" s="7" t="s">
        <v>1178</v>
      </c>
      <c r="AA265" s="30">
        <v>0</v>
      </c>
      <c r="AB265" s="36">
        <v>0</v>
      </c>
      <c r="AC265" s="7" t="s">
        <v>1177</v>
      </c>
      <c r="AD265" s="37">
        <v>0</v>
      </c>
      <c r="AE265" s="7" t="s">
        <v>1177</v>
      </c>
      <c r="AF265" s="7" t="s">
        <v>1177</v>
      </c>
      <c r="AG265" s="7" t="s">
        <v>1177</v>
      </c>
      <c r="AH265" s="38"/>
      <c r="AI265" s="36">
        <v>0</v>
      </c>
      <c r="AJ265" s="7" t="s">
        <v>1193</v>
      </c>
      <c r="AK265" s="7" t="s">
        <v>1177</v>
      </c>
      <c r="AL265" s="7" t="s">
        <v>1177</v>
      </c>
      <c r="AM265" s="7" t="s">
        <v>1177</v>
      </c>
      <c r="AN265" s="7" t="s">
        <v>3212</v>
      </c>
      <c r="AO265" s="7" t="s">
        <v>1177</v>
      </c>
      <c r="AP265" s="7" t="s">
        <v>1177</v>
      </c>
      <c r="AQ265" s="7" t="s">
        <v>1177</v>
      </c>
      <c r="AR265" s="29">
        <v>0</v>
      </c>
      <c r="AS265" s="7" t="s">
        <v>1177</v>
      </c>
      <c r="AT265" s="7" t="s">
        <v>1363</v>
      </c>
      <c r="AU265" s="38">
        <v>46275</v>
      </c>
      <c r="AV265" s="39">
        <v>0.60569444444443998</v>
      </c>
    </row>
    <row r="266" spans="1:48" x14ac:dyDescent="0.35">
      <c r="A266" t="str">
        <f t="shared" si="4"/>
        <v>GP004265B825</v>
      </c>
      <c r="B266" s="7" t="s">
        <v>144</v>
      </c>
      <c r="C266" s="7" t="s">
        <v>511</v>
      </c>
      <c r="D266" s="7" t="s">
        <v>16</v>
      </c>
      <c r="E266" s="7" t="s">
        <v>1177</v>
      </c>
      <c r="F266" s="7" t="s">
        <v>128</v>
      </c>
      <c r="G266" s="7" t="s">
        <v>130</v>
      </c>
      <c r="H266" s="7" t="s">
        <v>129</v>
      </c>
      <c r="I266" s="30">
        <v>2</v>
      </c>
      <c r="J266" s="7" t="s">
        <v>1177</v>
      </c>
      <c r="K266" s="7" t="s">
        <v>1178</v>
      </c>
      <c r="L266" s="7" t="s">
        <v>132</v>
      </c>
      <c r="M266" s="7" t="s">
        <v>133</v>
      </c>
      <c r="N266" s="30">
        <v>0</v>
      </c>
      <c r="O266" s="30">
        <v>0</v>
      </c>
      <c r="P266" s="30">
        <v>0</v>
      </c>
      <c r="Q266" s="30">
        <v>0</v>
      </c>
      <c r="R266" s="29">
        <v>0</v>
      </c>
      <c r="S266" s="36">
        <v>0</v>
      </c>
      <c r="T266" s="7" t="s">
        <v>131</v>
      </c>
      <c r="U266" s="7" t="s">
        <v>512</v>
      </c>
      <c r="V266" s="7" t="s">
        <v>512</v>
      </c>
      <c r="W266" s="7" t="s">
        <v>1177</v>
      </c>
      <c r="X266" s="30">
        <v>1</v>
      </c>
      <c r="Y266" s="7" t="s">
        <v>1177</v>
      </c>
      <c r="Z266" s="7" t="s">
        <v>1178</v>
      </c>
      <c r="AA266" s="30">
        <v>0</v>
      </c>
      <c r="AB266" s="36">
        <v>0</v>
      </c>
      <c r="AC266" s="7" t="s">
        <v>1177</v>
      </c>
      <c r="AD266" s="37">
        <v>0</v>
      </c>
      <c r="AE266" s="7" t="s">
        <v>1177</v>
      </c>
      <c r="AF266" s="7" t="s">
        <v>1177</v>
      </c>
      <c r="AG266" s="7" t="s">
        <v>1177</v>
      </c>
      <c r="AH266" s="38"/>
      <c r="AI266" s="36">
        <v>0</v>
      </c>
      <c r="AJ266" s="7" t="s">
        <v>1193</v>
      </c>
      <c r="AK266" s="7" t="s">
        <v>1177</v>
      </c>
      <c r="AL266" s="7" t="s">
        <v>1177</v>
      </c>
      <c r="AM266" s="7" t="s">
        <v>1177</v>
      </c>
      <c r="AN266" s="7" t="s">
        <v>3212</v>
      </c>
      <c r="AO266" s="7" t="s">
        <v>1177</v>
      </c>
      <c r="AP266" s="7" t="s">
        <v>1177</v>
      </c>
      <c r="AQ266" s="7" t="s">
        <v>1177</v>
      </c>
      <c r="AR266" s="29">
        <v>0</v>
      </c>
      <c r="AS266" s="7" t="s">
        <v>1177</v>
      </c>
      <c r="AT266" s="7" t="s">
        <v>1363</v>
      </c>
      <c r="AU266" s="38">
        <v>46275</v>
      </c>
      <c r="AV266" s="39">
        <v>0.60351851851852001</v>
      </c>
    </row>
    <row r="267" spans="1:48" x14ac:dyDescent="0.35">
      <c r="A267" t="str">
        <f t="shared" si="4"/>
        <v>GP004265B832</v>
      </c>
      <c r="B267" s="7" t="s">
        <v>144</v>
      </c>
      <c r="C267" s="7" t="s">
        <v>653</v>
      </c>
      <c r="D267" s="7" t="s">
        <v>19</v>
      </c>
      <c r="E267" s="7" t="s">
        <v>1177</v>
      </c>
      <c r="F267" s="7" t="s">
        <v>128</v>
      </c>
      <c r="G267" s="7" t="s">
        <v>130</v>
      </c>
      <c r="H267" s="7" t="s">
        <v>129</v>
      </c>
      <c r="I267" s="30">
        <v>2</v>
      </c>
      <c r="J267" s="7" t="s">
        <v>1177</v>
      </c>
      <c r="K267" s="7" t="s">
        <v>1178</v>
      </c>
      <c r="L267" s="7" t="s">
        <v>132</v>
      </c>
      <c r="M267" s="7" t="s">
        <v>133</v>
      </c>
      <c r="N267" s="30">
        <v>0</v>
      </c>
      <c r="O267" s="30">
        <v>0</v>
      </c>
      <c r="P267" s="30">
        <v>0</v>
      </c>
      <c r="Q267" s="30">
        <v>0</v>
      </c>
      <c r="R267" s="29">
        <v>0</v>
      </c>
      <c r="S267" s="36">
        <v>0</v>
      </c>
      <c r="T267" s="7" t="s">
        <v>131</v>
      </c>
      <c r="U267" s="7" t="s">
        <v>654</v>
      </c>
      <c r="V267" s="7" t="s">
        <v>654</v>
      </c>
      <c r="W267" s="7" t="s">
        <v>1177</v>
      </c>
      <c r="X267" s="30">
        <v>1</v>
      </c>
      <c r="Y267" s="7" t="s">
        <v>1177</v>
      </c>
      <c r="Z267" s="7" t="s">
        <v>1178</v>
      </c>
      <c r="AA267" s="30">
        <v>0</v>
      </c>
      <c r="AB267" s="36">
        <v>0</v>
      </c>
      <c r="AC267" s="7" t="s">
        <v>1177</v>
      </c>
      <c r="AD267" s="37">
        <v>0</v>
      </c>
      <c r="AE267" s="7" t="s">
        <v>1177</v>
      </c>
      <c r="AF267" s="7" t="s">
        <v>1177</v>
      </c>
      <c r="AG267" s="7" t="s">
        <v>1177</v>
      </c>
      <c r="AH267" s="38"/>
      <c r="AI267" s="36">
        <v>0</v>
      </c>
      <c r="AJ267" s="7" t="s">
        <v>1193</v>
      </c>
      <c r="AK267" s="7" t="s">
        <v>1177</v>
      </c>
      <c r="AL267" s="7" t="s">
        <v>1177</v>
      </c>
      <c r="AM267" s="7" t="s">
        <v>1177</v>
      </c>
      <c r="AN267" s="7" t="s">
        <v>3212</v>
      </c>
      <c r="AO267" s="7" t="s">
        <v>1177</v>
      </c>
      <c r="AP267" s="7" t="s">
        <v>1177</v>
      </c>
      <c r="AQ267" s="7" t="s">
        <v>1177</v>
      </c>
      <c r="AR267" s="29">
        <v>0</v>
      </c>
      <c r="AS267" s="7" t="s">
        <v>1177</v>
      </c>
      <c r="AT267" s="7" t="s">
        <v>1363</v>
      </c>
      <c r="AU267" s="38">
        <v>46275</v>
      </c>
      <c r="AV267" s="39">
        <v>0.60384259259258999</v>
      </c>
    </row>
    <row r="268" spans="1:48" x14ac:dyDescent="0.35">
      <c r="A268" t="str">
        <f t="shared" si="4"/>
        <v>GP004265B838</v>
      </c>
      <c r="B268" s="7" t="s">
        <v>144</v>
      </c>
      <c r="C268" s="7" t="s">
        <v>744</v>
      </c>
      <c r="D268" s="7" t="s">
        <v>48</v>
      </c>
      <c r="E268" s="7" t="s">
        <v>1177</v>
      </c>
      <c r="F268" s="7" t="s">
        <v>128</v>
      </c>
      <c r="G268" s="7" t="s">
        <v>130</v>
      </c>
      <c r="H268" s="7" t="s">
        <v>129</v>
      </c>
      <c r="I268" s="30">
        <v>2</v>
      </c>
      <c r="J268" s="7" t="s">
        <v>1177</v>
      </c>
      <c r="K268" s="7" t="s">
        <v>1178</v>
      </c>
      <c r="L268" s="7" t="s">
        <v>132</v>
      </c>
      <c r="M268" s="7" t="s">
        <v>133</v>
      </c>
      <c r="N268" s="30">
        <v>0</v>
      </c>
      <c r="O268" s="30">
        <v>0</v>
      </c>
      <c r="P268" s="30">
        <v>0</v>
      </c>
      <c r="Q268" s="30">
        <v>0</v>
      </c>
      <c r="R268" s="29">
        <v>0</v>
      </c>
      <c r="S268" s="36">
        <v>0</v>
      </c>
      <c r="T268" s="7" t="s">
        <v>131</v>
      </c>
      <c r="U268" s="7" t="s">
        <v>745</v>
      </c>
      <c r="V268" s="7" t="s">
        <v>745</v>
      </c>
      <c r="W268" s="7" t="s">
        <v>1177</v>
      </c>
      <c r="X268" s="30">
        <v>1</v>
      </c>
      <c r="Y268" s="7" t="s">
        <v>1177</v>
      </c>
      <c r="Z268" s="7" t="s">
        <v>1178</v>
      </c>
      <c r="AA268" s="30">
        <v>0</v>
      </c>
      <c r="AB268" s="36">
        <v>0</v>
      </c>
      <c r="AC268" s="7" t="s">
        <v>1177</v>
      </c>
      <c r="AD268" s="37">
        <v>0</v>
      </c>
      <c r="AE268" s="7" t="s">
        <v>1177</v>
      </c>
      <c r="AF268" s="7" t="s">
        <v>1177</v>
      </c>
      <c r="AG268" s="7" t="s">
        <v>1177</v>
      </c>
      <c r="AH268" s="38"/>
      <c r="AI268" s="36">
        <v>0</v>
      </c>
      <c r="AJ268" s="7" t="s">
        <v>1193</v>
      </c>
      <c r="AK268" s="7" t="s">
        <v>1177</v>
      </c>
      <c r="AL268" s="7" t="s">
        <v>1177</v>
      </c>
      <c r="AM268" s="7" t="s">
        <v>1177</v>
      </c>
      <c r="AN268" s="7" t="s">
        <v>3212</v>
      </c>
      <c r="AO268" s="7" t="s">
        <v>1177</v>
      </c>
      <c r="AP268" s="7" t="s">
        <v>1177</v>
      </c>
      <c r="AQ268" s="7" t="s">
        <v>1177</v>
      </c>
      <c r="AR268" s="29">
        <v>0</v>
      </c>
      <c r="AS268" s="7" t="s">
        <v>1177</v>
      </c>
      <c r="AT268" s="7" t="s">
        <v>1363</v>
      </c>
      <c r="AU268" s="38">
        <v>46275</v>
      </c>
      <c r="AV268" s="39">
        <v>0.60462962962962996</v>
      </c>
    </row>
    <row r="269" spans="1:48" x14ac:dyDescent="0.35">
      <c r="A269" t="str">
        <f t="shared" si="4"/>
        <v>GP004265B856</v>
      </c>
      <c r="B269" s="7" t="s">
        <v>144</v>
      </c>
      <c r="C269" s="7" t="s">
        <v>852</v>
      </c>
      <c r="D269" s="7" t="s">
        <v>21</v>
      </c>
      <c r="E269" s="7" t="s">
        <v>1177</v>
      </c>
      <c r="F269" s="7" t="s">
        <v>128</v>
      </c>
      <c r="G269" s="7" t="s">
        <v>130</v>
      </c>
      <c r="H269" s="7" t="s">
        <v>129</v>
      </c>
      <c r="I269" s="30">
        <v>4</v>
      </c>
      <c r="J269" s="7" t="s">
        <v>1177</v>
      </c>
      <c r="K269" s="7" t="s">
        <v>1178</v>
      </c>
      <c r="L269" s="7" t="s">
        <v>132</v>
      </c>
      <c r="M269" s="7" t="s">
        <v>133</v>
      </c>
      <c r="N269" s="30">
        <v>0</v>
      </c>
      <c r="O269" s="30">
        <v>0</v>
      </c>
      <c r="P269" s="30">
        <v>0</v>
      </c>
      <c r="Q269" s="30">
        <v>0</v>
      </c>
      <c r="R269" s="29">
        <v>0</v>
      </c>
      <c r="S269" s="36">
        <v>0</v>
      </c>
      <c r="T269" s="7" t="s">
        <v>131</v>
      </c>
      <c r="U269" s="7" t="s">
        <v>853</v>
      </c>
      <c r="V269" s="7" t="s">
        <v>853</v>
      </c>
      <c r="W269" s="7" t="s">
        <v>1177</v>
      </c>
      <c r="X269" s="30">
        <v>1</v>
      </c>
      <c r="Y269" s="7" t="s">
        <v>1177</v>
      </c>
      <c r="Z269" s="7" t="s">
        <v>1178</v>
      </c>
      <c r="AA269" s="30">
        <v>0</v>
      </c>
      <c r="AB269" s="36">
        <v>0</v>
      </c>
      <c r="AC269" s="7" t="s">
        <v>1177</v>
      </c>
      <c r="AD269" s="37">
        <v>0</v>
      </c>
      <c r="AE269" s="7" t="s">
        <v>1177</v>
      </c>
      <c r="AF269" s="7" t="s">
        <v>1177</v>
      </c>
      <c r="AG269" s="7" t="s">
        <v>1177</v>
      </c>
      <c r="AH269" s="38"/>
      <c r="AI269" s="36">
        <v>0</v>
      </c>
      <c r="AJ269" s="7" t="s">
        <v>1193</v>
      </c>
      <c r="AK269" s="7" t="s">
        <v>1177</v>
      </c>
      <c r="AL269" s="7" t="s">
        <v>1177</v>
      </c>
      <c r="AM269" s="7" t="s">
        <v>1177</v>
      </c>
      <c r="AN269" s="7" t="s">
        <v>3212</v>
      </c>
      <c r="AO269" s="7" t="s">
        <v>1177</v>
      </c>
      <c r="AP269" s="7" t="s">
        <v>1177</v>
      </c>
      <c r="AQ269" s="7" t="s">
        <v>1177</v>
      </c>
      <c r="AR269" s="29">
        <v>0</v>
      </c>
      <c r="AS269" s="7" t="s">
        <v>1177</v>
      </c>
      <c r="AT269" s="7" t="s">
        <v>1363</v>
      </c>
      <c r="AU269" s="38">
        <v>46275</v>
      </c>
      <c r="AV269" s="39">
        <v>0.60521990740741005</v>
      </c>
    </row>
    <row r="270" spans="1:48" x14ac:dyDescent="0.35">
      <c r="A270" t="str">
        <f t="shared" si="4"/>
        <v>GP004265B857</v>
      </c>
      <c r="B270" s="7" t="s">
        <v>144</v>
      </c>
      <c r="C270" s="7" t="s">
        <v>958</v>
      </c>
      <c r="D270" s="7" t="s">
        <v>23</v>
      </c>
      <c r="E270" s="7" t="s">
        <v>1177</v>
      </c>
      <c r="F270" s="7" t="s">
        <v>128</v>
      </c>
      <c r="G270" s="7" t="s">
        <v>130</v>
      </c>
      <c r="H270" s="7" t="s">
        <v>129</v>
      </c>
      <c r="I270" s="30">
        <v>2</v>
      </c>
      <c r="J270" s="7" t="s">
        <v>1177</v>
      </c>
      <c r="K270" s="7" t="s">
        <v>1178</v>
      </c>
      <c r="L270" s="7" t="s">
        <v>132</v>
      </c>
      <c r="M270" s="7" t="s">
        <v>133</v>
      </c>
      <c r="N270" s="30">
        <v>0</v>
      </c>
      <c r="O270" s="30">
        <v>0</v>
      </c>
      <c r="P270" s="30">
        <v>0</v>
      </c>
      <c r="Q270" s="30">
        <v>0</v>
      </c>
      <c r="R270" s="29">
        <v>0</v>
      </c>
      <c r="S270" s="36">
        <v>0</v>
      </c>
      <c r="T270" s="7" t="s">
        <v>131</v>
      </c>
      <c r="U270" s="7" t="s">
        <v>959</v>
      </c>
      <c r="V270" s="7" t="s">
        <v>959</v>
      </c>
      <c r="W270" s="7" t="s">
        <v>1177</v>
      </c>
      <c r="X270" s="30">
        <v>1</v>
      </c>
      <c r="Y270" s="7" t="s">
        <v>1177</v>
      </c>
      <c r="Z270" s="7" t="s">
        <v>1178</v>
      </c>
      <c r="AA270" s="30">
        <v>0</v>
      </c>
      <c r="AB270" s="36">
        <v>0</v>
      </c>
      <c r="AC270" s="7" t="s">
        <v>1177</v>
      </c>
      <c r="AD270" s="37">
        <v>0</v>
      </c>
      <c r="AE270" s="7" t="s">
        <v>1177</v>
      </c>
      <c r="AF270" s="7" t="s">
        <v>1177</v>
      </c>
      <c r="AG270" s="7" t="s">
        <v>1177</v>
      </c>
      <c r="AH270" s="38"/>
      <c r="AI270" s="36">
        <v>0</v>
      </c>
      <c r="AJ270" s="7" t="s">
        <v>1193</v>
      </c>
      <c r="AK270" s="7" t="s">
        <v>1177</v>
      </c>
      <c r="AL270" s="7" t="s">
        <v>1177</v>
      </c>
      <c r="AM270" s="7" t="s">
        <v>1177</v>
      </c>
      <c r="AN270" s="7" t="s">
        <v>3212</v>
      </c>
      <c r="AO270" s="7" t="s">
        <v>1177</v>
      </c>
      <c r="AP270" s="7" t="s">
        <v>1177</v>
      </c>
      <c r="AQ270" s="7" t="s">
        <v>1177</v>
      </c>
      <c r="AR270" s="29">
        <v>0</v>
      </c>
      <c r="AS270" s="7" t="s">
        <v>1177</v>
      </c>
      <c r="AT270" s="7" t="s">
        <v>1363</v>
      </c>
      <c r="AU270" s="38">
        <v>46275</v>
      </c>
      <c r="AV270" s="39">
        <v>0.60524305555556002</v>
      </c>
    </row>
    <row r="271" spans="1:48" x14ac:dyDescent="0.35">
      <c r="A271" t="str">
        <f t="shared" si="4"/>
        <v>GP004265B864</v>
      </c>
      <c r="B271" s="7" t="s">
        <v>144</v>
      </c>
      <c r="C271" s="7" t="s">
        <v>1010</v>
      </c>
      <c r="D271" s="7" t="s">
        <v>10</v>
      </c>
      <c r="E271" s="7" t="s">
        <v>1177</v>
      </c>
      <c r="F271" s="7" t="s">
        <v>128</v>
      </c>
      <c r="G271" s="7" t="s">
        <v>130</v>
      </c>
      <c r="H271" s="7" t="s">
        <v>129</v>
      </c>
      <c r="I271" s="30">
        <v>5</v>
      </c>
      <c r="J271" s="7" t="s">
        <v>1177</v>
      </c>
      <c r="K271" s="7" t="s">
        <v>1178</v>
      </c>
      <c r="L271" s="7" t="s">
        <v>132</v>
      </c>
      <c r="M271" s="7" t="s">
        <v>133</v>
      </c>
      <c r="N271" s="30">
        <v>0</v>
      </c>
      <c r="O271" s="30">
        <v>0</v>
      </c>
      <c r="P271" s="30">
        <v>0</v>
      </c>
      <c r="Q271" s="30">
        <v>0</v>
      </c>
      <c r="R271" s="29">
        <v>0</v>
      </c>
      <c r="S271" s="36">
        <v>0</v>
      </c>
      <c r="T271" s="7" t="s">
        <v>131</v>
      </c>
      <c r="U271" s="7" t="s">
        <v>1011</v>
      </c>
      <c r="V271" s="7" t="s">
        <v>1011</v>
      </c>
      <c r="W271" s="7" t="s">
        <v>1177</v>
      </c>
      <c r="X271" s="30">
        <v>1</v>
      </c>
      <c r="Y271" s="7" t="s">
        <v>1177</v>
      </c>
      <c r="Z271" s="7" t="s">
        <v>1178</v>
      </c>
      <c r="AA271" s="30">
        <v>0</v>
      </c>
      <c r="AB271" s="36">
        <v>0</v>
      </c>
      <c r="AC271" s="7" t="s">
        <v>1177</v>
      </c>
      <c r="AD271" s="37">
        <v>0</v>
      </c>
      <c r="AE271" s="7" t="s">
        <v>1177</v>
      </c>
      <c r="AF271" s="7" t="s">
        <v>1177</v>
      </c>
      <c r="AG271" s="7" t="s">
        <v>1177</v>
      </c>
      <c r="AH271" s="38"/>
      <c r="AI271" s="36">
        <v>0</v>
      </c>
      <c r="AJ271" s="7" t="s">
        <v>1193</v>
      </c>
      <c r="AK271" s="7" t="s">
        <v>1177</v>
      </c>
      <c r="AL271" s="7" t="s">
        <v>1177</v>
      </c>
      <c r="AM271" s="7" t="s">
        <v>1177</v>
      </c>
      <c r="AN271" s="7" t="s">
        <v>3212</v>
      </c>
      <c r="AO271" s="7" t="s">
        <v>1177</v>
      </c>
      <c r="AP271" s="7" t="s">
        <v>1177</v>
      </c>
      <c r="AQ271" s="7" t="s">
        <v>1177</v>
      </c>
      <c r="AR271" s="29">
        <v>0</v>
      </c>
      <c r="AS271" s="7" t="s">
        <v>1177</v>
      </c>
      <c r="AT271" s="7" t="s">
        <v>1363</v>
      </c>
      <c r="AU271" s="38">
        <v>46275</v>
      </c>
      <c r="AV271" s="39">
        <v>0.60541666666667004</v>
      </c>
    </row>
    <row r="272" spans="1:48" x14ac:dyDescent="0.35">
      <c r="A272" t="str">
        <f t="shared" si="4"/>
        <v>GP004265B865</v>
      </c>
      <c r="B272" s="7" t="s">
        <v>144</v>
      </c>
      <c r="C272" s="7" t="s">
        <v>1039</v>
      </c>
      <c r="D272" s="7" t="s">
        <v>7</v>
      </c>
      <c r="E272" s="7" t="s">
        <v>1177</v>
      </c>
      <c r="F272" s="7" t="s">
        <v>128</v>
      </c>
      <c r="G272" s="7" t="s">
        <v>130</v>
      </c>
      <c r="H272" s="7" t="s">
        <v>129</v>
      </c>
      <c r="I272" s="30">
        <v>3</v>
      </c>
      <c r="J272" s="7" t="s">
        <v>1177</v>
      </c>
      <c r="K272" s="7" t="s">
        <v>1178</v>
      </c>
      <c r="L272" s="7" t="s">
        <v>132</v>
      </c>
      <c r="M272" s="7" t="s">
        <v>133</v>
      </c>
      <c r="N272" s="30">
        <v>0</v>
      </c>
      <c r="O272" s="30">
        <v>0</v>
      </c>
      <c r="P272" s="30">
        <v>0</v>
      </c>
      <c r="Q272" s="30">
        <v>0</v>
      </c>
      <c r="R272" s="29">
        <v>0</v>
      </c>
      <c r="S272" s="36">
        <v>0</v>
      </c>
      <c r="T272" s="7" t="s">
        <v>131</v>
      </c>
      <c r="U272" s="7" t="s">
        <v>1040</v>
      </c>
      <c r="V272" s="7" t="s">
        <v>1040</v>
      </c>
      <c r="W272" s="7" t="s">
        <v>1177</v>
      </c>
      <c r="X272" s="30">
        <v>1</v>
      </c>
      <c r="Y272" s="7" t="s">
        <v>1177</v>
      </c>
      <c r="Z272" s="7" t="s">
        <v>1178</v>
      </c>
      <c r="AA272" s="30">
        <v>0</v>
      </c>
      <c r="AB272" s="36">
        <v>0</v>
      </c>
      <c r="AC272" s="7" t="s">
        <v>1177</v>
      </c>
      <c r="AD272" s="37">
        <v>0</v>
      </c>
      <c r="AE272" s="7" t="s">
        <v>1177</v>
      </c>
      <c r="AF272" s="7" t="s">
        <v>1177</v>
      </c>
      <c r="AG272" s="7" t="s">
        <v>1177</v>
      </c>
      <c r="AH272" s="38"/>
      <c r="AI272" s="36">
        <v>0</v>
      </c>
      <c r="AJ272" s="7" t="s">
        <v>1193</v>
      </c>
      <c r="AK272" s="7" t="s">
        <v>1177</v>
      </c>
      <c r="AL272" s="7" t="s">
        <v>1177</v>
      </c>
      <c r="AM272" s="7" t="s">
        <v>1177</v>
      </c>
      <c r="AN272" s="7" t="s">
        <v>3212</v>
      </c>
      <c r="AO272" s="7" t="s">
        <v>1177</v>
      </c>
      <c r="AP272" s="7" t="s">
        <v>1177</v>
      </c>
      <c r="AQ272" s="7" t="s">
        <v>1177</v>
      </c>
      <c r="AR272" s="29">
        <v>0</v>
      </c>
      <c r="AS272" s="7" t="s">
        <v>1177</v>
      </c>
      <c r="AT272" s="7" t="s">
        <v>1363</v>
      </c>
      <c r="AU272" s="38">
        <v>46275</v>
      </c>
      <c r="AV272" s="39">
        <v>0.60552083333332996</v>
      </c>
    </row>
    <row r="273" spans="1:48" x14ac:dyDescent="0.35">
      <c r="A273" t="str">
        <f t="shared" si="4"/>
        <v>GP004265B867</v>
      </c>
      <c r="B273" s="7" t="s">
        <v>144</v>
      </c>
      <c r="C273" s="7" t="s">
        <v>1059</v>
      </c>
      <c r="D273" s="7" t="s">
        <v>25</v>
      </c>
      <c r="E273" s="7" t="s">
        <v>1177</v>
      </c>
      <c r="F273" s="7" t="s">
        <v>128</v>
      </c>
      <c r="G273" s="7" t="s">
        <v>130</v>
      </c>
      <c r="H273" s="7" t="s">
        <v>129</v>
      </c>
      <c r="I273" s="30">
        <v>2</v>
      </c>
      <c r="J273" s="7" t="s">
        <v>1177</v>
      </c>
      <c r="K273" s="7" t="s">
        <v>1178</v>
      </c>
      <c r="L273" s="7" t="s">
        <v>132</v>
      </c>
      <c r="M273" s="7" t="s">
        <v>133</v>
      </c>
      <c r="N273" s="30">
        <v>0</v>
      </c>
      <c r="O273" s="30">
        <v>0</v>
      </c>
      <c r="P273" s="30">
        <v>0</v>
      </c>
      <c r="Q273" s="30">
        <v>0</v>
      </c>
      <c r="R273" s="29">
        <v>0</v>
      </c>
      <c r="S273" s="36">
        <v>0</v>
      </c>
      <c r="T273" s="7" t="s">
        <v>131</v>
      </c>
      <c r="U273" s="7" t="s">
        <v>1060</v>
      </c>
      <c r="V273" s="7" t="s">
        <v>1060</v>
      </c>
      <c r="W273" s="7" t="s">
        <v>1177</v>
      </c>
      <c r="X273" s="30">
        <v>1</v>
      </c>
      <c r="Y273" s="7" t="s">
        <v>1177</v>
      </c>
      <c r="Z273" s="7" t="s">
        <v>1178</v>
      </c>
      <c r="AA273" s="30">
        <v>0</v>
      </c>
      <c r="AB273" s="36">
        <v>0</v>
      </c>
      <c r="AC273" s="7" t="s">
        <v>1177</v>
      </c>
      <c r="AD273" s="37">
        <v>0</v>
      </c>
      <c r="AE273" s="7" t="s">
        <v>1177</v>
      </c>
      <c r="AF273" s="7" t="s">
        <v>1177</v>
      </c>
      <c r="AG273" s="7" t="s">
        <v>1177</v>
      </c>
      <c r="AH273" s="38"/>
      <c r="AI273" s="36">
        <v>0</v>
      </c>
      <c r="AJ273" s="7" t="s">
        <v>1193</v>
      </c>
      <c r="AK273" s="7" t="s">
        <v>1177</v>
      </c>
      <c r="AL273" s="7" t="s">
        <v>1177</v>
      </c>
      <c r="AM273" s="7" t="s">
        <v>1177</v>
      </c>
      <c r="AN273" s="7" t="s">
        <v>3212</v>
      </c>
      <c r="AO273" s="7" t="s">
        <v>1177</v>
      </c>
      <c r="AP273" s="7" t="s">
        <v>1177</v>
      </c>
      <c r="AQ273" s="7" t="s">
        <v>1177</v>
      </c>
      <c r="AR273" s="29">
        <v>0</v>
      </c>
      <c r="AS273" s="7" t="s">
        <v>1177</v>
      </c>
      <c r="AT273" s="7" t="s">
        <v>1363</v>
      </c>
      <c r="AU273" s="38">
        <v>46275</v>
      </c>
      <c r="AV273" s="39">
        <v>0.60569444444443998</v>
      </c>
    </row>
    <row r="274" spans="1:48" x14ac:dyDescent="0.35">
      <c r="A274" t="str">
        <f t="shared" si="4"/>
        <v>GP004844B857</v>
      </c>
      <c r="B274" s="7" t="s">
        <v>349</v>
      </c>
      <c r="C274" s="7" t="s">
        <v>958</v>
      </c>
      <c r="D274" s="7" t="s">
        <v>23</v>
      </c>
      <c r="E274" s="7" t="s">
        <v>1177</v>
      </c>
      <c r="F274" s="7" t="s">
        <v>128</v>
      </c>
      <c r="G274" s="7" t="s">
        <v>130</v>
      </c>
      <c r="H274" s="7" t="s">
        <v>129</v>
      </c>
      <c r="I274" s="30">
        <v>1</v>
      </c>
      <c r="J274" s="7" t="s">
        <v>1177</v>
      </c>
      <c r="K274" s="7" t="s">
        <v>1178</v>
      </c>
      <c r="L274" s="7" t="s">
        <v>132</v>
      </c>
      <c r="M274" s="7" t="s">
        <v>133</v>
      </c>
      <c r="N274" s="30">
        <v>0</v>
      </c>
      <c r="O274" s="30">
        <v>0</v>
      </c>
      <c r="P274" s="30">
        <v>0</v>
      </c>
      <c r="Q274" s="30">
        <v>0</v>
      </c>
      <c r="R274" s="29">
        <v>0</v>
      </c>
      <c r="S274" s="36">
        <v>0</v>
      </c>
      <c r="T274" s="7" t="s">
        <v>131</v>
      </c>
      <c r="U274" s="7" t="s">
        <v>959</v>
      </c>
      <c r="V274" s="7" t="s">
        <v>959</v>
      </c>
      <c r="W274" s="7" t="s">
        <v>1177</v>
      </c>
      <c r="X274" s="30">
        <v>1</v>
      </c>
      <c r="Y274" s="7" t="s">
        <v>1177</v>
      </c>
      <c r="Z274" s="7" t="s">
        <v>1178</v>
      </c>
      <c r="AA274" s="30">
        <v>0</v>
      </c>
      <c r="AB274" s="36">
        <v>0</v>
      </c>
      <c r="AC274" s="7" t="s">
        <v>1177</v>
      </c>
      <c r="AD274" s="37">
        <v>0</v>
      </c>
      <c r="AE274" s="7" t="s">
        <v>1177</v>
      </c>
      <c r="AF274" s="7" t="s">
        <v>1177</v>
      </c>
      <c r="AG274" s="7" t="s">
        <v>1177</v>
      </c>
      <c r="AH274" s="38"/>
      <c r="AI274" s="36">
        <v>0</v>
      </c>
      <c r="AJ274" s="7" t="s">
        <v>1193</v>
      </c>
      <c r="AK274" s="7" t="s">
        <v>1177</v>
      </c>
      <c r="AL274" s="7" t="s">
        <v>1177</v>
      </c>
      <c r="AM274" s="7" t="s">
        <v>1177</v>
      </c>
      <c r="AN274" s="7" t="s">
        <v>3212</v>
      </c>
      <c r="AO274" s="7" t="s">
        <v>1177</v>
      </c>
      <c r="AP274" s="7" t="s">
        <v>1177</v>
      </c>
      <c r="AQ274" s="7" t="s">
        <v>1177</v>
      </c>
      <c r="AR274" s="29">
        <v>0</v>
      </c>
      <c r="AS274" s="7" t="s">
        <v>1177</v>
      </c>
      <c r="AT274" s="7" t="s">
        <v>1363</v>
      </c>
      <c r="AU274" s="38">
        <v>46275</v>
      </c>
      <c r="AV274" s="39">
        <v>0.62495370370369996</v>
      </c>
    </row>
    <row r="275" spans="1:48" x14ac:dyDescent="0.35">
      <c r="A275" t="str">
        <f t="shared" si="4"/>
        <v>GP004844B867</v>
      </c>
      <c r="B275" s="7" t="s">
        <v>349</v>
      </c>
      <c r="C275" s="7" t="s">
        <v>1059</v>
      </c>
      <c r="D275" s="7" t="s">
        <v>25</v>
      </c>
      <c r="E275" s="7" t="s">
        <v>1177</v>
      </c>
      <c r="F275" s="7" t="s">
        <v>128</v>
      </c>
      <c r="G275" s="7" t="s">
        <v>130</v>
      </c>
      <c r="H275" s="7" t="s">
        <v>129</v>
      </c>
      <c r="I275" s="30">
        <v>1</v>
      </c>
      <c r="J275" s="7" t="s">
        <v>1177</v>
      </c>
      <c r="K275" s="7" t="s">
        <v>1178</v>
      </c>
      <c r="L275" s="7" t="s">
        <v>132</v>
      </c>
      <c r="M275" s="7" t="s">
        <v>133</v>
      </c>
      <c r="N275" s="30">
        <v>0</v>
      </c>
      <c r="O275" s="30">
        <v>0</v>
      </c>
      <c r="P275" s="30">
        <v>0</v>
      </c>
      <c r="Q275" s="30">
        <v>0</v>
      </c>
      <c r="R275" s="29">
        <v>0</v>
      </c>
      <c r="S275" s="36">
        <v>0</v>
      </c>
      <c r="T275" s="7" t="s">
        <v>131</v>
      </c>
      <c r="U275" s="7" t="s">
        <v>1060</v>
      </c>
      <c r="V275" s="7" t="s">
        <v>1060</v>
      </c>
      <c r="W275" s="7" t="s">
        <v>1177</v>
      </c>
      <c r="X275" s="30">
        <v>1</v>
      </c>
      <c r="Y275" s="7" t="s">
        <v>1177</v>
      </c>
      <c r="Z275" s="7" t="s">
        <v>1178</v>
      </c>
      <c r="AA275" s="30">
        <v>0</v>
      </c>
      <c r="AB275" s="36">
        <v>0</v>
      </c>
      <c r="AC275" s="7" t="s">
        <v>1177</v>
      </c>
      <c r="AD275" s="37">
        <v>0</v>
      </c>
      <c r="AE275" s="7" t="s">
        <v>1177</v>
      </c>
      <c r="AF275" s="7" t="s">
        <v>1177</v>
      </c>
      <c r="AG275" s="7" t="s">
        <v>1177</v>
      </c>
      <c r="AH275" s="38"/>
      <c r="AI275" s="36">
        <v>0</v>
      </c>
      <c r="AJ275" s="7" t="s">
        <v>1193</v>
      </c>
      <c r="AK275" s="7" t="s">
        <v>1177</v>
      </c>
      <c r="AL275" s="7" t="s">
        <v>1177</v>
      </c>
      <c r="AM275" s="7" t="s">
        <v>1177</v>
      </c>
      <c r="AN275" s="7" t="s">
        <v>3212</v>
      </c>
      <c r="AO275" s="7" t="s">
        <v>1177</v>
      </c>
      <c r="AP275" s="7" t="s">
        <v>1177</v>
      </c>
      <c r="AQ275" s="7" t="s">
        <v>1177</v>
      </c>
      <c r="AR275" s="29">
        <v>0</v>
      </c>
      <c r="AS275" s="7" t="s">
        <v>1177</v>
      </c>
      <c r="AT275" s="7" t="s">
        <v>1363</v>
      </c>
      <c r="AU275" s="38">
        <v>46275</v>
      </c>
      <c r="AV275" s="39">
        <v>0.62736111111111004</v>
      </c>
    </row>
    <row r="276" spans="1:48" x14ac:dyDescent="0.35">
      <c r="A276" t="str">
        <f t="shared" si="4"/>
        <v>GP004849B856</v>
      </c>
      <c r="B276" s="7" t="s">
        <v>213</v>
      </c>
      <c r="C276" s="7" t="s">
        <v>852</v>
      </c>
      <c r="D276" s="7" t="s">
        <v>21</v>
      </c>
      <c r="E276" s="7" t="s">
        <v>1177</v>
      </c>
      <c r="F276" s="7" t="s">
        <v>128</v>
      </c>
      <c r="G276" s="7" t="s">
        <v>130</v>
      </c>
      <c r="H276" s="7" t="s">
        <v>129</v>
      </c>
      <c r="I276" s="30">
        <v>2</v>
      </c>
      <c r="J276" s="7" t="s">
        <v>1177</v>
      </c>
      <c r="K276" s="7" t="s">
        <v>1178</v>
      </c>
      <c r="L276" s="7" t="s">
        <v>132</v>
      </c>
      <c r="M276" s="7" t="s">
        <v>133</v>
      </c>
      <c r="N276" s="30">
        <v>0</v>
      </c>
      <c r="O276" s="30">
        <v>0</v>
      </c>
      <c r="P276" s="30">
        <v>0</v>
      </c>
      <c r="Q276" s="30">
        <v>0</v>
      </c>
      <c r="R276" s="29">
        <v>0</v>
      </c>
      <c r="S276" s="36">
        <v>0</v>
      </c>
      <c r="T276" s="7" t="s">
        <v>131</v>
      </c>
      <c r="U276" s="7" t="s">
        <v>853</v>
      </c>
      <c r="V276" s="7" t="s">
        <v>853</v>
      </c>
      <c r="W276" s="7" t="s">
        <v>1177</v>
      </c>
      <c r="X276" s="30">
        <v>1</v>
      </c>
      <c r="Y276" s="7" t="s">
        <v>1177</v>
      </c>
      <c r="Z276" s="7" t="s">
        <v>1178</v>
      </c>
      <c r="AA276" s="30">
        <v>0</v>
      </c>
      <c r="AB276" s="36">
        <v>0</v>
      </c>
      <c r="AC276" s="7" t="s">
        <v>1177</v>
      </c>
      <c r="AD276" s="37">
        <v>0</v>
      </c>
      <c r="AE276" s="7" t="s">
        <v>1177</v>
      </c>
      <c r="AF276" s="7" t="s">
        <v>1177</v>
      </c>
      <c r="AG276" s="7" t="s">
        <v>1177</v>
      </c>
      <c r="AH276" s="38"/>
      <c r="AI276" s="36">
        <v>0</v>
      </c>
      <c r="AJ276" s="7" t="s">
        <v>1193</v>
      </c>
      <c r="AK276" s="7" t="s">
        <v>1177</v>
      </c>
      <c r="AL276" s="7" t="s">
        <v>1177</v>
      </c>
      <c r="AM276" s="7" t="s">
        <v>1177</v>
      </c>
      <c r="AN276" s="7" t="s">
        <v>3212</v>
      </c>
      <c r="AO276" s="7" t="s">
        <v>1177</v>
      </c>
      <c r="AP276" s="7" t="s">
        <v>1177</v>
      </c>
      <c r="AQ276" s="7" t="s">
        <v>1177</v>
      </c>
      <c r="AR276" s="29">
        <v>0</v>
      </c>
      <c r="AS276" s="7" t="s">
        <v>1177</v>
      </c>
      <c r="AT276" s="7" t="s">
        <v>1363</v>
      </c>
      <c r="AU276" s="38">
        <v>46275</v>
      </c>
      <c r="AV276" s="39">
        <v>0.60521990740741005</v>
      </c>
    </row>
    <row r="277" spans="1:48" x14ac:dyDescent="0.35">
      <c r="A277" t="str">
        <f t="shared" si="4"/>
        <v>GP004888B825</v>
      </c>
      <c r="B277" s="7" t="s">
        <v>214</v>
      </c>
      <c r="C277" s="7" t="s">
        <v>511</v>
      </c>
      <c r="D277" s="7" t="s">
        <v>16</v>
      </c>
      <c r="E277" s="7" t="s">
        <v>1177</v>
      </c>
      <c r="F277" s="7" t="s">
        <v>128</v>
      </c>
      <c r="G277" s="7" t="s">
        <v>130</v>
      </c>
      <c r="H277" s="7" t="s">
        <v>129</v>
      </c>
      <c r="I277" s="30">
        <v>1</v>
      </c>
      <c r="J277" s="7" t="s">
        <v>1177</v>
      </c>
      <c r="K277" s="7" t="s">
        <v>1178</v>
      </c>
      <c r="L277" s="7" t="s">
        <v>132</v>
      </c>
      <c r="M277" s="7" t="s">
        <v>133</v>
      </c>
      <c r="N277" s="30">
        <v>0</v>
      </c>
      <c r="O277" s="30">
        <v>0</v>
      </c>
      <c r="P277" s="30">
        <v>0</v>
      </c>
      <c r="Q277" s="30">
        <v>0</v>
      </c>
      <c r="R277" s="29">
        <v>0</v>
      </c>
      <c r="S277" s="36">
        <v>0</v>
      </c>
      <c r="T277" s="7" t="s">
        <v>131</v>
      </c>
      <c r="U277" s="7" t="s">
        <v>512</v>
      </c>
      <c r="V277" s="7" t="s">
        <v>512</v>
      </c>
      <c r="W277" s="7" t="s">
        <v>1177</v>
      </c>
      <c r="X277" s="30">
        <v>1</v>
      </c>
      <c r="Y277" s="7" t="s">
        <v>1177</v>
      </c>
      <c r="Z277" s="7" t="s">
        <v>1178</v>
      </c>
      <c r="AA277" s="30">
        <v>0</v>
      </c>
      <c r="AB277" s="36">
        <v>0</v>
      </c>
      <c r="AC277" s="7" t="s">
        <v>1177</v>
      </c>
      <c r="AD277" s="37">
        <v>0</v>
      </c>
      <c r="AE277" s="7" t="s">
        <v>1177</v>
      </c>
      <c r="AF277" s="7" t="s">
        <v>1177</v>
      </c>
      <c r="AG277" s="7" t="s">
        <v>1177</v>
      </c>
      <c r="AH277" s="38"/>
      <c r="AI277" s="36">
        <v>0</v>
      </c>
      <c r="AJ277" s="7" t="s">
        <v>1193</v>
      </c>
      <c r="AK277" s="7" t="s">
        <v>1177</v>
      </c>
      <c r="AL277" s="7" t="s">
        <v>1177</v>
      </c>
      <c r="AM277" s="7" t="s">
        <v>1177</v>
      </c>
      <c r="AN277" s="7" t="s">
        <v>3212</v>
      </c>
      <c r="AO277" s="7" t="s">
        <v>1177</v>
      </c>
      <c r="AP277" s="7" t="s">
        <v>1177</v>
      </c>
      <c r="AQ277" s="7" t="s">
        <v>1177</v>
      </c>
      <c r="AR277" s="29">
        <v>0</v>
      </c>
      <c r="AS277" s="7" t="s">
        <v>1177</v>
      </c>
      <c r="AT277" s="7" t="s">
        <v>1363</v>
      </c>
      <c r="AU277" s="38">
        <v>46275</v>
      </c>
      <c r="AV277" s="39">
        <v>0.60351851851852001</v>
      </c>
    </row>
    <row r="278" spans="1:48" x14ac:dyDescent="0.35">
      <c r="A278" t="str">
        <f t="shared" si="4"/>
        <v>GP004889B838</v>
      </c>
      <c r="B278" s="7" t="s">
        <v>350</v>
      </c>
      <c r="C278" s="7" t="s">
        <v>744</v>
      </c>
      <c r="D278" s="7" t="s">
        <v>48</v>
      </c>
      <c r="E278" s="7" t="s">
        <v>1177</v>
      </c>
      <c r="F278" s="7" t="s">
        <v>128</v>
      </c>
      <c r="G278" s="7" t="s">
        <v>130</v>
      </c>
      <c r="H278" s="7" t="s">
        <v>129</v>
      </c>
      <c r="I278" s="30">
        <v>2</v>
      </c>
      <c r="J278" s="7" t="s">
        <v>1177</v>
      </c>
      <c r="K278" s="7" t="s">
        <v>1178</v>
      </c>
      <c r="L278" s="7" t="s">
        <v>132</v>
      </c>
      <c r="M278" s="7" t="s">
        <v>133</v>
      </c>
      <c r="N278" s="30">
        <v>0</v>
      </c>
      <c r="O278" s="30">
        <v>0</v>
      </c>
      <c r="P278" s="30">
        <v>0</v>
      </c>
      <c r="Q278" s="30">
        <v>0</v>
      </c>
      <c r="R278" s="29">
        <v>0</v>
      </c>
      <c r="S278" s="36">
        <v>0</v>
      </c>
      <c r="T278" s="7" t="s">
        <v>131</v>
      </c>
      <c r="U278" s="7" t="s">
        <v>745</v>
      </c>
      <c r="V278" s="7" t="s">
        <v>745</v>
      </c>
      <c r="W278" s="7" t="s">
        <v>1177</v>
      </c>
      <c r="X278" s="30">
        <v>1</v>
      </c>
      <c r="Y278" s="7" t="s">
        <v>1177</v>
      </c>
      <c r="Z278" s="7" t="s">
        <v>1178</v>
      </c>
      <c r="AA278" s="30">
        <v>0</v>
      </c>
      <c r="AB278" s="36">
        <v>0</v>
      </c>
      <c r="AC278" s="7" t="s">
        <v>1177</v>
      </c>
      <c r="AD278" s="37">
        <v>0</v>
      </c>
      <c r="AE278" s="7" t="s">
        <v>1177</v>
      </c>
      <c r="AF278" s="7" t="s">
        <v>1177</v>
      </c>
      <c r="AG278" s="7" t="s">
        <v>1177</v>
      </c>
      <c r="AH278" s="38"/>
      <c r="AI278" s="36">
        <v>0</v>
      </c>
      <c r="AJ278" s="7" t="s">
        <v>1193</v>
      </c>
      <c r="AK278" s="7" t="s">
        <v>1177</v>
      </c>
      <c r="AL278" s="7" t="s">
        <v>1177</v>
      </c>
      <c r="AM278" s="7" t="s">
        <v>1177</v>
      </c>
      <c r="AN278" s="7" t="s">
        <v>3212</v>
      </c>
      <c r="AO278" s="7" t="s">
        <v>1177</v>
      </c>
      <c r="AP278" s="7" t="s">
        <v>1177</v>
      </c>
      <c r="AQ278" s="7" t="s">
        <v>1177</v>
      </c>
      <c r="AR278" s="29">
        <v>0</v>
      </c>
      <c r="AS278" s="7" t="s">
        <v>1177</v>
      </c>
      <c r="AT278" s="7" t="s">
        <v>1363</v>
      </c>
      <c r="AU278" s="38">
        <v>46275</v>
      </c>
      <c r="AV278" s="39">
        <v>0.60450231481480998</v>
      </c>
    </row>
    <row r="279" spans="1:48" x14ac:dyDescent="0.35">
      <c r="A279" t="str">
        <f t="shared" si="4"/>
        <v>GP004889B857</v>
      </c>
      <c r="B279" s="7" t="s">
        <v>350</v>
      </c>
      <c r="C279" s="7" t="s">
        <v>958</v>
      </c>
      <c r="D279" s="7" t="s">
        <v>23</v>
      </c>
      <c r="E279" s="7" t="s">
        <v>1177</v>
      </c>
      <c r="F279" s="7" t="s">
        <v>128</v>
      </c>
      <c r="G279" s="7" t="s">
        <v>130</v>
      </c>
      <c r="H279" s="7" t="s">
        <v>129</v>
      </c>
      <c r="I279" s="30">
        <v>1</v>
      </c>
      <c r="J279" s="7" t="s">
        <v>1177</v>
      </c>
      <c r="K279" s="7" t="s">
        <v>1178</v>
      </c>
      <c r="L279" s="7" t="s">
        <v>132</v>
      </c>
      <c r="M279" s="7" t="s">
        <v>133</v>
      </c>
      <c r="N279" s="30">
        <v>0</v>
      </c>
      <c r="O279" s="30">
        <v>0</v>
      </c>
      <c r="P279" s="30">
        <v>0</v>
      </c>
      <c r="Q279" s="30">
        <v>0</v>
      </c>
      <c r="R279" s="29">
        <v>0</v>
      </c>
      <c r="S279" s="36">
        <v>0</v>
      </c>
      <c r="T279" s="7" t="s">
        <v>131</v>
      </c>
      <c r="U279" s="7" t="s">
        <v>959</v>
      </c>
      <c r="V279" s="7" t="s">
        <v>959</v>
      </c>
      <c r="W279" s="7" t="s">
        <v>1177</v>
      </c>
      <c r="X279" s="30">
        <v>1</v>
      </c>
      <c r="Y279" s="7" t="s">
        <v>1177</v>
      </c>
      <c r="Z279" s="7" t="s">
        <v>1178</v>
      </c>
      <c r="AA279" s="30">
        <v>0</v>
      </c>
      <c r="AB279" s="36">
        <v>0</v>
      </c>
      <c r="AC279" s="7" t="s">
        <v>1177</v>
      </c>
      <c r="AD279" s="37">
        <v>0</v>
      </c>
      <c r="AE279" s="7" t="s">
        <v>1177</v>
      </c>
      <c r="AF279" s="7" t="s">
        <v>1177</v>
      </c>
      <c r="AG279" s="7" t="s">
        <v>1177</v>
      </c>
      <c r="AH279" s="38"/>
      <c r="AI279" s="36">
        <v>0</v>
      </c>
      <c r="AJ279" s="7" t="s">
        <v>1193</v>
      </c>
      <c r="AK279" s="7" t="s">
        <v>1177</v>
      </c>
      <c r="AL279" s="7" t="s">
        <v>1177</v>
      </c>
      <c r="AM279" s="7" t="s">
        <v>1177</v>
      </c>
      <c r="AN279" s="7" t="s">
        <v>3212</v>
      </c>
      <c r="AO279" s="7" t="s">
        <v>1177</v>
      </c>
      <c r="AP279" s="7" t="s">
        <v>1177</v>
      </c>
      <c r="AQ279" s="7" t="s">
        <v>1177</v>
      </c>
      <c r="AR279" s="29">
        <v>0</v>
      </c>
      <c r="AS279" s="7" t="s">
        <v>1177</v>
      </c>
      <c r="AT279" s="7" t="s">
        <v>1363</v>
      </c>
      <c r="AU279" s="38">
        <v>46275</v>
      </c>
      <c r="AV279" s="39">
        <v>0.60525462962962995</v>
      </c>
    </row>
    <row r="280" spans="1:48" x14ac:dyDescent="0.35">
      <c r="A280" t="str">
        <f t="shared" si="4"/>
        <v>GP004889B867</v>
      </c>
      <c r="B280" s="7" t="s">
        <v>350</v>
      </c>
      <c r="C280" s="7" t="s">
        <v>1059</v>
      </c>
      <c r="D280" s="7" t="s">
        <v>25</v>
      </c>
      <c r="E280" s="7" t="s">
        <v>1177</v>
      </c>
      <c r="F280" s="7" t="s">
        <v>128</v>
      </c>
      <c r="G280" s="7" t="s">
        <v>130</v>
      </c>
      <c r="H280" s="7" t="s">
        <v>129</v>
      </c>
      <c r="I280" s="30">
        <v>2</v>
      </c>
      <c r="J280" s="7" t="s">
        <v>1177</v>
      </c>
      <c r="K280" s="7" t="s">
        <v>1178</v>
      </c>
      <c r="L280" s="7" t="s">
        <v>132</v>
      </c>
      <c r="M280" s="7" t="s">
        <v>133</v>
      </c>
      <c r="N280" s="30">
        <v>0</v>
      </c>
      <c r="O280" s="30">
        <v>0</v>
      </c>
      <c r="P280" s="30">
        <v>0</v>
      </c>
      <c r="Q280" s="30">
        <v>0</v>
      </c>
      <c r="R280" s="29">
        <v>0</v>
      </c>
      <c r="S280" s="36">
        <v>0</v>
      </c>
      <c r="T280" s="7" t="s">
        <v>131</v>
      </c>
      <c r="U280" s="7" t="s">
        <v>1060</v>
      </c>
      <c r="V280" s="7" t="s">
        <v>1060</v>
      </c>
      <c r="W280" s="7" t="s">
        <v>1177</v>
      </c>
      <c r="X280" s="30">
        <v>1</v>
      </c>
      <c r="Y280" s="7" t="s">
        <v>1177</v>
      </c>
      <c r="Z280" s="7" t="s">
        <v>1178</v>
      </c>
      <c r="AA280" s="30">
        <v>0</v>
      </c>
      <c r="AB280" s="36">
        <v>0</v>
      </c>
      <c r="AC280" s="7" t="s">
        <v>1177</v>
      </c>
      <c r="AD280" s="37">
        <v>0</v>
      </c>
      <c r="AE280" s="7" t="s">
        <v>1177</v>
      </c>
      <c r="AF280" s="7" t="s">
        <v>1177</v>
      </c>
      <c r="AG280" s="7" t="s">
        <v>1177</v>
      </c>
      <c r="AH280" s="38"/>
      <c r="AI280" s="36">
        <v>0</v>
      </c>
      <c r="AJ280" s="7" t="s">
        <v>1193</v>
      </c>
      <c r="AK280" s="7" t="s">
        <v>1177</v>
      </c>
      <c r="AL280" s="7" t="s">
        <v>1177</v>
      </c>
      <c r="AM280" s="7" t="s">
        <v>1177</v>
      </c>
      <c r="AN280" s="7" t="s">
        <v>3212</v>
      </c>
      <c r="AO280" s="7" t="s">
        <v>1177</v>
      </c>
      <c r="AP280" s="7" t="s">
        <v>1177</v>
      </c>
      <c r="AQ280" s="7" t="s">
        <v>1177</v>
      </c>
      <c r="AR280" s="29">
        <v>0</v>
      </c>
      <c r="AS280" s="7" t="s">
        <v>1177</v>
      </c>
      <c r="AT280" s="7" t="s">
        <v>1363</v>
      </c>
      <c r="AU280" s="38">
        <v>46275</v>
      </c>
      <c r="AV280" s="39">
        <v>0.60569444444443998</v>
      </c>
    </row>
    <row r="281" spans="1:48" x14ac:dyDescent="0.35">
      <c r="A281" t="str">
        <f t="shared" si="4"/>
        <v>GP004890B833</v>
      </c>
      <c r="B281" s="7" t="s">
        <v>145</v>
      </c>
      <c r="C281" s="7" t="s">
        <v>698</v>
      </c>
      <c r="D281" s="7" t="s">
        <v>697</v>
      </c>
      <c r="E281" s="7" t="s">
        <v>1177</v>
      </c>
      <c r="F281" s="7" t="s">
        <v>128</v>
      </c>
      <c r="G281" s="7" t="s">
        <v>130</v>
      </c>
      <c r="H281" s="7" t="s">
        <v>129</v>
      </c>
      <c r="I281" s="30">
        <v>2</v>
      </c>
      <c r="J281" s="7" t="s">
        <v>1177</v>
      </c>
      <c r="K281" s="7" t="s">
        <v>1178</v>
      </c>
      <c r="L281" s="7" t="s">
        <v>132</v>
      </c>
      <c r="M281" s="7" t="s">
        <v>133</v>
      </c>
      <c r="N281" s="30">
        <v>0</v>
      </c>
      <c r="O281" s="30">
        <v>0</v>
      </c>
      <c r="P281" s="30">
        <v>0</v>
      </c>
      <c r="Q281" s="30">
        <v>0</v>
      </c>
      <c r="R281" s="29">
        <v>0</v>
      </c>
      <c r="S281" s="36">
        <v>0</v>
      </c>
      <c r="T281" s="7" t="s">
        <v>131</v>
      </c>
      <c r="U281" s="7" t="s">
        <v>699</v>
      </c>
      <c r="V281" s="7" t="s">
        <v>699</v>
      </c>
      <c r="W281" s="7" t="s">
        <v>1177</v>
      </c>
      <c r="X281" s="30">
        <v>1</v>
      </c>
      <c r="Y281" s="7" t="s">
        <v>1177</v>
      </c>
      <c r="Z281" s="7" t="s">
        <v>1178</v>
      </c>
      <c r="AA281" s="30">
        <v>0</v>
      </c>
      <c r="AB281" s="36">
        <v>0</v>
      </c>
      <c r="AC281" s="7" t="s">
        <v>1177</v>
      </c>
      <c r="AD281" s="37">
        <v>0</v>
      </c>
      <c r="AE281" s="7" t="s">
        <v>1177</v>
      </c>
      <c r="AF281" s="7" t="s">
        <v>1177</v>
      </c>
      <c r="AG281" s="7" t="s">
        <v>1177</v>
      </c>
      <c r="AH281" s="38"/>
      <c r="AI281" s="36">
        <v>0</v>
      </c>
      <c r="AJ281" s="7" t="s">
        <v>1193</v>
      </c>
      <c r="AK281" s="7" t="s">
        <v>1177</v>
      </c>
      <c r="AL281" s="7" t="s">
        <v>1177</v>
      </c>
      <c r="AM281" s="7" t="s">
        <v>1177</v>
      </c>
      <c r="AN281" s="7" t="s">
        <v>3212</v>
      </c>
      <c r="AO281" s="7" t="s">
        <v>1177</v>
      </c>
      <c r="AP281" s="7" t="s">
        <v>1177</v>
      </c>
      <c r="AQ281" s="7" t="s">
        <v>1177</v>
      </c>
      <c r="AR281" s="29">
        <v>0</v>
      </c>
      <c r="AS281" s="7" t="s">
        <v>1177</v>
      </c>
      <c r="AT281" s="7" t="s">
        <v>1363</v>
      </c>
      <c r="AU281" s="38">
        <v>46275</v>
      </c>
      <c r="AV281" s="39">
        <v>0.60395833333333004</v>
      </c>
    </row>
    <row r="282" spans="1:48" x14ac:dyDescent="0.35">
      <c r="A282" t="str">
        <f t="shared" si="4"/>
        <v>GP004890B838</v>
      </c>
      <c r="B282" s="7" t="s">
        <v>145</v>
      </c>
      <c r="C282" s="7" t="s">
        <v>744</v>
      </c>
      <c r="D282" s="7" t="s">
        <v>48</v>
      </c>
      <c r="E282" s="7" t="s">
        <v>1177</v>
      </c>
      <c r="F282" s="7" t="s">
        <v>128</v>
      </c>
      <c r="G282" s="7" t="s">
        <v>130</v>
      </c>
      <c r="H282" s="7" t="s">
        <v>129</v>
      </c>
      <c r="I282" s="30">
        <v>1</v>
      </c>
      <c r="J282" s="7" t="s">
        <v>1177</v>
      </c>
      <c r="K282" s="7" t="s">
        <v>1178</v>
      </c>
      <c r="L282" s="7" t="s">
        <v>132</v>
      </c>
      <c r="M282" s="7" t="s">
        <v>133</v>
      </c>
      <c r="N282" s="30">
        <v>0</v>
      </c>
      <c r="O282" s="30">
        <v>0</v>
      </c>
      <c r="P282" s="30">
        <v>0</v>
      </c>
      <c r="Q282" s="30">
        <v>0</v>
      </c>
      <c r="R282" s="29">
        <v>0</v>
      </c>
      <c r="S282" s="36">
        <v>0</v>
      </c>
      <c r="T282" s="7" t="s">
        <v>131</v>
      </c>
      <c r="U282" s="7" t="s">
        <v>745</v>
      </c>
      <c r="V282" s="7" t="s">
        <v>745</v>
      </c>
      <c r="W282" s="7" t="s">
        <v>1177</v>
      </c>
      <c r="X282" s="30">
        <v>1</v>
      </c>
      <c r="Y282" s="7" t="s">
        <v>1177</v>
      </c>
      <c r="Z282" s="7" t="s">
        <v>1178</v>
      </c>
      <c r="AA282" s="30">
        <v>0</v>
      </c>
      <c r="AB282" s="36">
        <v>0</v>
      </c>
      <c r="AC282" s="7" t="s">
        <v>1177</v>
      </c>
      <c r="AD282" s="37">
        <v>0</v>
      </c>
      <c r="AE282" s="7" t="s">
        <v>1177</v>
      </c>
      <c r="AF282" s="7" t="s">
        <v>1177</v>
      </c>
      <c r="AG282" s="7" t="s">
        <v>1177</v>
      </c>
      <c r="AH282" s="38"/>
      <c r="AI282" s="36">
        <v>0</v>
      </c>
      <c r="AJ282" s="7" t="s">
        <v>1193</v>
      </c>
      <c r="AK282" s="7" t="s">
        <v>1177</v>
      </c>
      <c r="AL282" s="7" t="s">
        <v>1177</v>
      </c>
      <c r="AM282" s="7" t="s">
        <v>1177</v>
      </c>
      <c r="AN282" s="7" t="s">
        <v>3212</v>
      </c>
      <c r="AO282" s="7" t="s">
        <v>1177</v>
      </c>
      <c r="AP282" s="7" t="s">
        <v>1177</v>
      </c>
      <c r="AQ282" s="7" t="s">
        <v>1177</v>
      </c>
      <c r="AR282" s="29">
        <v>0</v>
      </c>
      <c r="AS282" s="7" t="s">
        <v>1177</v>
      </c>
      <c r="AT282" s="7" t="s">
        <v>1363</v>
      </c>
      <c r="AU282" s="38">
        <v>46275</v>
      </c>
      <c r="AV282" s="39">
        <v>0.60451388888889002</v>
      </c>
    </row>
    <row r="283" spans="1:48" x14ac:dyDescent="0.35">
      <c r="A283" t="str">
        <f t="shared" si="4"/>
        <v>GP004890B856</v>
      </c>
      <c r="B283" s="7" t="s">
        <v>145</v>
      </c>
      <c r="C283" s="7" t="s">
        <v>852</v>
      </c>
      <c r="D283" s="7" t="s">
        <v>21</v>
      </c>
      <c r="E283" s="7" t="s">
        <v>1177</v>
      </c>
      <c r="F283" s="7" t="s">
        <v>128</v>
      </c>
      <c r="G283" s="7" t="s">
        <v>130</v>
      </c>
      <c r="H283" s="7" t="s">
        <v>129</v>
      </c>
      <c r="I283" s="30">
        <v>2</v>
      </c>
      <c r="J283" s="7" t="s">
        <v>1177</v>
      </c>
      <c r="K283" s="7" t="s">
        <v>1178</v>
      </c>
      <c r="L283" s="7" t="s">
        <v>132</v>
      </c>
      <c r="M283" s="7" t="s">
        <v>133</v>
      </c>
      <c r="N283" s="30">
        <v>0</v>
      </c>
      <c r="O283" s="30">
        <v>0</v>
      </c>
      <c r="P283" s="30">
        <v>0</v>
      </c>
      <c r="Q283" s="30">
        <v>0</v>
      </c>
      <c r="R283" s="29">
        <v>0</v>
      </c>
      <c r="S283" s="36">
        <v>0</v>
      </c>
      <c r="T283" s="7" t="s">
        <v>131</v>
      </c>
      <c r="U283" s="7" t="s">
        <v>853</v>
      </c>
      <c r="V283" s="7" t="s">
        <v>853</v>
      </c>
      <c r="W283" s="7" t="s">
        <v>1177</v>
      </c>
      <c r="X283" s="30">
        <v>1</v>
      </c>
      <c r="Y283" s="7" t="s">
        <v>1177</v>
      </c>
      <c r="Z283" s="7" t="s">
        <v>1178</v>
      </c>
      <c r="AA283" s="30">
        <v>0</v>
      </c>
      <c r="AB283" s="36">
        <v>0</v>
      </c>
      <c r="AC283" s="7" t="s">
        <v>1177</v>
      </c>
      <c r="AD283" s="37">
        <v>0</v>
      </c>
      <c r="AE283" s="7" t="s">
        <v>1177</v>
      </c>
      <c r="AF283" s="7" t="s">
        <v>1177</v>
      </c>
      <c r="AG283" s="7" t="s">
        <v>1177</v>
      </c>
      <c r="AH283" s="38"/>
      <c r="AI283" s="36">
        <v>0</v>
      </c>
      <c r="AJ283" s="7" t="s">
        <v>1193</v>
      </c>
      <c r="AK283" s="7" t="s">
        <v>1177</v>
      </c>
      <c r="AL283" s="7" t="s">
        <v>1177</v>
      </c>
      <c r="AM283" s="7" t="s">
        <v>1177</v>
      </c>
      <c r="AN283" s="7" t="s">
        <v>3212</v>
      </c>
      <c r="AO283" s="7" t="s">
        <v>1177</v>
      </c>
      <c r="AP283" s="7" t="s">
        <v>1177</v>
      </c>
      <c r="AQ283" s="7" t="s">
        <v>1177</v>
      </c>
      <c r="AR283" s="29">
        <v>0</v>
      </c>
      <c r="AS283" s="7" t="s">
        <v>1177</v>
      </c>
      <c r="AT283" s="7" t="s">
        <v>1363</v>
      </c>
      <c r="AU283" s="38">
        <v>46275</v>
      </c>
      <c r="AV283" s="39">
        <v>0.60521990740741005</v>
      </c>
    </row>
    <row r="284" spans="1:48" x14ac:dyDescent="0.35">
      <c r="A284" t="str">
        <f t="shared" si="4"/>
        <v>GP004890B857</v>
      </c>
      <c r="B284" s="7" t="s">
        <v>145</v>
      </c>
      <c r="C284" s="7" t="s">
        <v>958</v>
      </c>
      <c r="D284" s="7" t="s">
        <v>23</v>
      </c>
      <c r="E284" s="7" t="s">
        <v>1177</v>
      </c>
      <c r="F284" s="7" t="s">
        <v>128</v>
      </c>
      <c r="G284" s="7" t="s">
        <v>130</v>
      </c>
      <c r="H284" s="7" t="s">
        <v>129</v>
      </c>
      <c r="I284" s="30">
        <v>1</v>
      </c>
      <c r="J284" s="7" t="s">
        <v>1177</v>
      </c>
      <c r="K284" s="7" t="s">
        <v>1178</v>
      </c>
      <c r="L284" s="7" t="s">
        <v>132</v>
      </c>
      <c r="M284" s="7" t="s">
        <v>133</v>
      </c>
      <c r="N284" s="30">
        <v>0</v>
      </c>
      <c r="O284" s="30">
        <v>0</v>
      </c>
      <c r="P284" s="30">
        <v>0</v>
      </c>
      <c r="Q284" s="30">
        <v>0</v>
      </c>
      <c r="R284" s="29">
        <v>0</v>
      </c>
      <c r="S284" s="36">
        <v>0</v>
      </c>
      <c r="T284" s="7" t="s">
        <v>131</v>
      </c>
      <c r="U284" s="7" t="s">
        <v>959</v>
      </c>
      <c r="V284" s="7" t="s">
        <v>959</v>
      </c>
      <c r="W284" s="7" t="s">
        <v>1177</v>
      </c>
      <c r="X284" s="30">
        <v>1</v>
      </c>
      <c r="Y284" s="7" t="s">
        <v>1177</v>
      </c>
      <c r="Z284" s="7" t="s">
        <v>1178</v>
      </c>
      <c r="AA284" s="30">
        <v>0</v>
      </c>
      <c r="AB284" s="36">
        <v>0</v>
      </c>
      <c r="AC284" s="7" t="s">
        <v>1177</v>
      </c>
      <c r="AD284" s="37">
        <v>0</v>
      </c>
      <c r="AE284" s="7" t="s">
        <v>1177</v>
      </c>
      <c r="AF284" s="7" t="s">
        <v>1177</v>
      </c>
      <c r="AG284" s="7" t="s">
        <v>1177</v>
      </c>
      <c r="AH284" s="38"/>
      <c r="AI284" s="36">
        <v>0</v>
      </c>
      <c r="AJ284" s="7" t="s">
        <v>1193</v>
      </c>
      <c r="AK284" s="7" t="s">
        <v>1177</v>
      </c>
      <c r="AL284" s="7" t="s">
        <v>1177</v>
      </c>
      <c r="AM284" s="7" t="s">
        <v>1177</v>
      </c>
      <c r="AN284" s="7" t="s">
        <v>3212</v>
      </c>
      <c r="AO284" s="7" t="s">
        <v>1177</v>
      </c>
      <c r="AP284" s="7" t="s">
        <v>1177</v>
      </c>
      <c r="AQ284" s="7" t="s">
        <v>1177</v>
      </c>
      <c r="AR284" s="29">
        <v>0</v>
      </c>
      <c r="AS284" s="7" t="s">
        <v>1177</v>
      </c>
      <c r="AT284" s="7" t="s">
        <v>1363</v>
      </c>
      <c r="AU284" s="38">
        <v>46275</v>
      </c>
      <c r="AV284" s="39">
        <v>0.60525462962962995</v>
      </c>
    </row>
    <row r="285" spans="1:48" x14ac:dyDescent="0.35">
      <c r="A285" t="str">
        <f t="shared" si="4"/>
        <v>GP004890B864</v>
      </c>
      <c r="B285" s="7" t="s">
        <v>145</v>
      </c>
      <c r="C285" s="7" t="s">
        <v>1010</v>
      </c>
      <c r="D285" s="7" t="s">
        <v>10</v>
      </c>
      <c r="E285" s="7" t="s">
        <v>1177</v>
      </c>
      <c r="F285" s="7" t="s">
        <v>128</v>
      </c>
      <c r="G285" s="7" t="s">
        <v>130</v>
      </c>
      <c r="H285" s="7" t="s">
        <v>129</v>
      </c>
      <c r="I285" s="30">
        <v>1</v>
      </c>
      <c r="J285" s="7" t="s">
        <v>1177</v>
      </c>
      <c r="K285" s="7" t="s">
        <v>1178</v>
      </c>
      <c r="L285" s="7" t="s">
        <v>132</v>
      </c>
      <c r="M285" s="7" t="s">
        <v>133</v>
      </c>
      <c r="N285" s="30">
        <v>0</v>
      </c>
      <c r="O285" s="30">
        <v>0</v>
      </c>
      <c r="P285" s="30">
        <v>0</v>
      </c>
      <c r="Q285" s="30">
        <v>0</v>
      </c>
      <c r="R285" s="29">
        <v>0</v>
      </c>
      <c r="S285" s="36">
        <v>0</v>
      </c>
      <c r="T285" s="7" t="s">
        <v>131</v>
      </c>
      <c r="U285" s="7" t="s">
        <v>1011</v>
      </c>
      <c r="V285" s="7" t="s">
        <v>1011</v>
      </c>
      <c r="W285" s="7" t="s">
        <v>1177</v>
      </c>
      <c r="X285" s="30">
        <v>1</v>
      </c>
      <c r="Y285" s="7" t="s">
        <v>1177</v>
      </c>
      <c r="Z285" s="7" t="s">
        <v>1178</v>
      </c>
      <c r="AA285" s="30">
        <v>0</v>
      </c>
      <c r="AB285" s="36">
        <v>0</v>
      </c>
      <c r="AC285" s="7" t="s">
        <v>1177</v>
      </c>
      <c r="AD285" s="37">
        <v>0</v>
      </c>
      <c r="AE285" s="7" t="s">
        <v>1177</v>
      </c>
      <c r="AF285" s="7" t="s">
        <v>1177</v>
      </c>
      <c r="AG285" s="7" t="s">
        <v>1177</v>
      </c>
      <c r="AH285" s="38"/>
      <c r="AI285" s="36">
        <v>0</v>
      </c>
      <c r="AJ285" s="7" t="s">
        <v>1193</v>
      </c>
      <c r="AK285" s="7" t="s">
        <v>1177</v>
      </c>
      <c r="AL285" s="7" t="s">
        <v>1177</v>
      </c>
      <c r="AM285" s="7" t="s">
        <v>1177</v>
      </c>
      <c r="AN285" s="7" t="s">
        <v>3212</v>
      </c>
      <c r="AO285" s="7" t="s">
        <v>1177</v>
      </c>
      <c r="AP285" s="7" t="s">
        <v>1177</v>
      </c>
      <c r="AQ285" s="7" t="s">
        <v>1177</v>
      </c>
      <c r="AR285" s="29">
        <v>0</v>
      </c>
      <c r="AS285" s="7" t="s">
        <v>1177</v>
      </c>
      <c r="AT285" s="7" t="s">
        <v>1363</v>
      </c>
      <c r="AU285" s="38">
        <v>46275</v>
      </c>
      <c r="AV285" s="39">
        <v>0.60541666666667004</v>
      </c>
    </row>
    <row r="286" spans="1:48" x14ac:dyDescent="0.35">
      <c r="A286" t="str">
        <f t="shared" si="4"/>
        <v>GP004890B865</v>
      </c>
      <c r="B286" s="7" t="s">
        <v>145</v>
      </c>
      <c r="C286" s="7" t="s">
        <v>1039</v>
      </c>
      <c r="D286" s="7" t="s">
        <v>7</v>
      </c>
      <c r="E286" s="7" t="s">
        <v>1177</v>
      </c>
      <c r="F286" s="7" t="s">
        <v>128</v>
      </c>
      <c r="G286" s="7" t="s">
        <v>130</v>
      </c>
      <c r="H286" s="7" t="s">
        <v>129</v>
      </c>
      <c r="I286" s="30">
        <v>1</v>
      </c>
      <c r="J286" s="7" t="s">
        <v>1177</v>
      </c>
      <c r="K286" s="7" t="s">
        <v>1178</v>
      </c>
      <c r="L286" s="7" t="s">
        <v>132</v>
      </c>
      <c r="M286" s="7" t="s">
        <v>133</v>
      </c>
      <c r="N286" s="30">
        <v>0</v>
      </c>
      <c r="O286" s="30">
        <v>0</v>
      </c>
      <c r="P286" s="30">
        <v>0</v>
      </c>
      <c r="Q286" s="30">
        <v>0</v>
      </c>
      <c r="R286" s="29">
        <v>0</v>
      </c>
      <c r="S286" s="36">
        <v>0</v>
      </c>
      <c r="T286" s="7" t="s">
        <v>131</v>
      </c>
      <c r="U286" s="7" t="s">
        <v>1040</v>
      </c>
      <c r="V286" s="7" t="s">
        <v>1040</v>
      </c>
      <c r="W286" s="7" t="s">
        <v>1177</v>
      </c>
      <c r="X286" s="30">
        <v>1</v>
      </c>
      <c r="Y286" s="7" t="s">
        <v>1177</v>
      </c>
      <c r="Z286" s="7" t="s">
        <v>1178</v>
      </c>
      <c r="AA286" s="30">
        <v>0</v>
      </c>
      <c r="AB286" s="36">
        <v>0</v>
      </c>
      <c r="AC286" s="7" t="s">
        <v>1177</v>
      </c>
      <c r="AD286" s="37">
        <v>0</v>
      </c>
      <c r="AE286" s="7" t="s">
        <v>1177</v>
      </c>
      <c r="AF286" s="7" t="s">
        <v>1177</v>
      </c>
      <c r="AG286" s="7" t="s">
        <v>1177</v>
      </c>
      <c r="AH286" s="38"/>
      <c r="AI286" s="36">
        <v>0</v>
      </c>
      <c r="AJ286" s="7" t="s">
        <v>1193</v>
      </c>
      <c r="AK286" s="7" t="s">
        <v>1177</v>
      </c>
      <c r="AL286" s="7" t="s">
        <v>1177</v>
      </c>
      <c r="AM286" s="7" t="s">
        <v>1177</v>
      </c>
      <c r="AN286" s="7" t="s">
        <v>3212</v>
      </c>
      <c r="AO286" s="7" t="s">
        <v>1177</v>
      </c>
      <c r="AP286" s="7" t="s">
        <v>1177</v>
      </c>
      <c r="AQ286" s="7" t="s">
        <v>1177</v>
      </c>
      <c r="AR286" s="29">
        <v>0</v>
      </c>
      <c r="AS286" s="7" t="s">
        <v>1177</v>
      </c>
      <c r="AT286" s="7" t="s">
        <v>1363</v>
      </c>
      <c r="AU286" s="38">
        <v>46275</v>
      </c>
      <c r="AV286" s="39">
        <v>0.60552083333332996</v>
      </c>
    </row>
    <row r="287" spans="1:48" x14ac:dyDescent="0.35">
      <c r="A287" t="str">
        <f t="shared" si="4"/>
        <v>GP004890B867</v>
      </c>
      <c r="B287" s="7" t="s">
        <v>145</v>
      </c>
      <c r="C287" s="7" t="s">
        <v>1059</v>
      </c>
      <c r="D287" s="7" t="s">
        <v>25</v>
      </c>
      <c r="E287" s="7" t="s">
        <v>1177</v>
      </c>
      <c r="F287" s="7" t="s">
        <v>128</v>
      </c>
      <c r="G287" s="7" t="s">
        <v>130</v>
      </c>
      <c r="H287" s="7" t="s">
        <v>129</v>
      </c>
      <c r="I287" s="30">
        <v>2</v>
      </c>
      <c r="J287" s="7" t="s">
        <v>1177</v>
      </c>
      <c r="K287" s="7" t="s">
        <v>1178</v>
      </c>
      <c r="L287" s="7" t="s">
        <v>132</v>
      </c>
      <c r="M287" s="7" t="s">
        <v>133</v>
      </c>
      <c r="N287" s="30">
        <v>0</v>
      </c>
      <c r="O287" s="30">
        <v>0</v>
      </c>
      <c r="P287" s="30">
        <v>0</v>
      </c>
      <c r="Q287" s="30">
        <v>0</v>
      </c>
      <c r="R287" s="29">
        <v>0</v>
      </c>
      <c r="S287" s="36">
        <v>0</v>
      </c>
      <c r="T287" s="7" t="s">
        <v>131</v>
      </c>
      <c r="U287" s="7" t="s">
        <v>1060</v>
      </c>
      <c r="V287" s="7" t="s">
        <v>1060</v>
      </c>
      <c r="W287" s="7" t="s">
        <v>1177</v>
      </c>
      <c r="X287" s="30">
        <v>1</v>
      </c>
      <c r="Y287" s="7" t="s">
        <v>1177</v>
      </c>
      <c r="Z287" s="7" t="s">
        <v>1178</v>
      </c>
      <c r="AA287" s="30">
        <v>0</v>
      </c>
      <c r="AB287" s="36">
        <v>0</v>
      </c>
      <c r="AC287" s="7" t="s">
        <v>1177</v>
      </c>
      <c r="AD287" s="37">
        <v>0</v>
      </c>
      <c r="AE287" s="7" t="s">
        <v>1177</v>
      </c>
      <c r="AF287" s="7" t="s">
        <v>1177</v>
      </c>
      <c r="AG287" s="7" t="s">
        <v>1177</v>
      </c>
      <c r="AH287" s="38"/>
      <c r="AI287" s="36">
        <v>0</v>
      </c>
      <c r="AJ287" s="7" t="s">
        <v>1193</v>
      </c>
      <c r="AK287" s="7" t="s">
        <v>1177</v>
      </c>
      <c r="AL287" s="7" t="s">
        <v>1177</v>
      </c>
      <c r="AM287" s="7" t="s">
        <v>1177</v>
      </c>
      <c r="AN287" s="7" t="s">
        <v>3212</v>
      </c>
      <c r="AO287" s="7" t="s">
        <v>1177</v>
      </c>
      <c r="AP287" s="7" t="s">
        <v>1177</v>
      </c>
      <c r="AQ287" s="7" t="s">
        <v>1177</v>
      </c>
      <c r="AR287" s="29">
        <v>0</v>
      </c>
      <c r="AS287" s="7" t="s">
        <v>1177</v>
      </c>
      <c r="AT287" s="7" t="s">
        <v>1363</v>
      </c>
      <c r="AU287" s="38">
        <v>46275</v>
      </c>
      <c r="AV287" s="39">
        <v>0.60569444444443998</v>
      </c>
    </row>
    <row r="288" spans="1:48" x14ac:dyDescent="0.35">
      <c r="A288" t="str">
        <f t="shared" si="4"/>
        <v>GP004891B825</v>
      </c>
      <c r="B288" s="7" t="s">
        <v>215</v>
      </c>
      <c r="C288" s="7" t="s">
        <v>511</v>
      </c>
      <c r="D288" s="7" t="s">
        <v>16</v>
      </c>
      <c r="E288" s="7" t="s">
        <v>1177</v>
      </c>
      <c r="F288" s="7" t="s">
        <v>128</v>
      </c>
      <c r="G288" s="7" t="s">
        <v>130</v>
      </c>
      <c r="H288" s="7" t="s">
        <v>129</v>
      </c>
      <c r="I288" s="30">
        <v>1</v>
      </c>
      <c r="J288" s="7" t="s">
        <v>1177</v>
      </c>
      <c r="K288" s="7" t="s">
        <v>1178</v>
      </c>
      <c r="L288" s="7" t="s">
        <v>132</v>
      </c>
      <c r="M288" s="7" t="s">
        <v>133</v>
      </c>
      <c r="N288" s="30">
        <v>0</v>
      </c>
      <c r="O288" s="30">
        <v>0</v>
      </c>
      <c r="P288" s="30">
        <v>0</v>
      </c>
      <c r="Q288" s="30">
        <v>0</v>
      </c>
      <c r="R288" s="29">
        <v>0</v>
      </c>
      <c r="S288" s="36">
        <v>0</v>
      </c>
      <c r="T288" s="7" t="s">
        <v>131</v>
      </c>
      <c r="U288" s="7" t="s">
        <v>512</v>
      </c>
      <c r="V288" s="7" t="s">
        <v>512</v>
      </c>
      <c r="W288" s="7" t="s">
        <v>1177</v>
      </c>
      <c r="X288" s="30">
        <v>1</v>
      </c>
      <c r="Y288" s="7" t="s">
        <v>1177</v>
      </c>
      <c r="Z288" s="7" t="s">
        <v>1178</v>
      </c>
      <c r="AA288" s="30">
        <v>0</v>
      </c>
      <c r="AB288" s="36">
        <v>0</v>
      </c>
      <c r="AC288" s="7" t="s">
        <v>1177</v>
      </c>
      <c r="AD288" s="37">
        <v>0</v>
      </c>
      <c r="AE288" s="7" t="s">
        <v>1177</v>
      </c>
      <c r="AF288" s="7" t="s">
        <v>1177</v>
      </c>
      <c r="AG288" s="7" t="s">
        <v>1177</v>
      </c>
      <c r="AH288" s="38"/>
      <c r="AI288" s="36">
        <v>0</v>
      </c>
      <c r="AJ288" s="7" t="s">
        <v>1193</v>
      </c>
      <c r="AK288" s="7" t="s">
        <v>1177</v>
      </c>
      <c r="AL288" s="7" t="s">
        <v>1177</v>
      </c>
      <c r="AM288" s="7" t="s">
        <v>1177</v>
      </c>
      <c r="AN288" s="7" t="s">
        <v>3212</v>
      </c>
      <c r="AO288" s="7" t="s">
        <v>1177</v>
      </c>
      <c r="AP288" s="7" t="s">
        <v>1177</v>
      </c>
      <c r="AQ288" s="7" t="s">
        <v>1177</v>
      </c>
      <c r="AR288" s="29">
        <v>0</v>
      </c>
      <c r="AS288" s="7" t="s">
        <v>1177</v>
      </c>
      <c r="AT288" s="7" t="s">
        <v>1363</v>
      </c>
      <c r="AU288" s="38">
        <v>46275</v>
      </c>
      <c r="AV288" s="39">
        <v>0.60351851851852001</v>
      </c>
    </row>
    <row r="289" spans="1:48" x14ac:dyDescent="0.35">
      <c r="A289" t="str">
        <f t="shared" si="4"/>
        <v>GP004891B832</v>
      </c>
      <c r="B289" s="7" t="s">
        <v>215</v>
      </c>
      <c r="C289" s="7" t="s">
        <v>653</v>
      </c>
      <c r="D289" s="7" t="s">
        <v>19</v>
      </c>
      <c r="E289" s="7" t="s">
        <v>1177</v>
      </c>
      <c r="F289" s="7" t="s">
        <v>128</v>
      </c>
      <c r="G289" s="7" t="s">
        <v>130</v>
      </c>
      <c r="H289" s="7" t="s">
        <v>129</v>
      </c>
      <c r="I289" s="30">
        <v>2</v>
      </c>
      <c r="J289" s="7" t="s">
        <v>1177</v>
      </c>
      <c r="K289" s="7" t="s">
        <v>1178</v>
      </c>
      <c r="L289" s="7" t="s">
        <v>132</v>
      </c>
      <c r="M289" s="7" t="s">
        <v>133</v>
      </c>
      <c r="N289" s="30">
        <v>0</v>
      </c>
      <c r="O289" s="30">
        <v>0</v>
      </c>
      <c r="P289" s="30">
        <v>0</v>
      </c>
      <c r="Q289" s="30">
        <v>0</v>
      </c>
      <c r="R289" s="29">
        <v>0</v>
      </c>
      <c r="S289" s="36">
        <v>0</v>
      </c>
      <c r="T289" s="7" t="s">
        <v>131</v>
      </c>
      <c r="U289" s="7" t="s">
        <v>654</v>
      </c>
      <c r="V289" s="7" t="s">
        <v>654</v>
      </c>
      <c r="W289" s="7" t="s">
        <v>1177</v>
      </c>
      <c r="X289" s="30">
        <v>1</v>
      </c>
      <c r="Y289" s="7" t="s">
        <v>1177</v>
      </c>
      <c r="Z289" s="7" t="s">
        <v>1178</v>
      </c>
      <c r="AA289" s="30">
        <v>0</v>
      </c>
      <c r="AB289" s="36">
        <v>0</v>
      </c>
      <c r="AC289" s="7" t="s">
        <v>1177</v>
      </c>
      <c r="AD289" s="37">
        <v>0</v>
      </c>
      <c r="AE289" s="7" t="s">
        <v>1177</v>
      </c>
      <c r="AF289" s="7" t="s">
        <v>1177</v>
      </c>
      <c r="AG289" s="7" t="s">
        <v>1177</v>
      </c>
      <c r="AH289" s="38"/>
      <c r="AI289" s="36">
        <v>0</v>
      </c>
      <c r="AJ289" s="7" t="s">
        <v>1193</v>
      </c>
      <c r="AK289" s="7" t="s">
        <v>1177</v>
      </c>
      <c r="AL289" s="7" t="s">
        <v>1177</v>
      </c>
      <c r="AM289" s="7" t="s">
        <v>1177</v>
      </c>
      <c r="AN289" s="7" t="s">
        <v>3212</v>
      </c>
      <c r="AO289" s="7" t="s">
        <v>1177</v>
      </c>
      <c r="AP289" s="7" t="s">
        <v>1177</v>
      </c>
      <c r="AQ289" s="7" t="s">
        <v>1177</v>
      </c>
      <c r="AR289" s="29">
        <v>0</v>
      </c>
      <c r="AS289" s="7" t="s">
        <v>1177</v>
      </c>
      <c r="AT289" s="7" t="s">
        <v>1363</v>
      </c>
      <c r="AU289" s="38">
        <v>46275</v>
      </c>
      <c r="AV289" s="39">
        <v>0.60383101851851995</v>
      </c>
    </row>
    <row r="290" spans="1:48" x14ac:dyDescent="0.35">
      <c r="A290" t="str">
        <f t="shared" si="4"/>
        <v>GP004891B857</v>
      </c>
      <c r="B290" s="7" t="s">
        <v>215</v>
      </c>
      <c r="C290" s="7" t="s">
        <v>958</v>
      </c>
      <c r="D290" s="7" t="s">
        <v>23</v>
      </c>
      <c r="E290" s="7" t="s">
        <v>1177</v>
      </c>
      <c r="F290" s="7" t="s">
        <v>128</v>
      </c>
      <c r="G290" s="7" t="s">
        <v>130</v>
      </c>
      <c r="H290" s="7" t="s">
        <v>129</v>
      </c>
      <c r="I290" s="30">
        <v>1</v>
      </c>
      <c r="J290" s="7" t="s">
        <v>1177</v>
      </c>
      <c r="K290" s="7" t="s">
        <v>1178</v>
      </c>
      <c r="L290" s="7" t="s">
        <v>132</v>
      </c>
      <c r="M290" s="7" t="s">
        <v>133</v>
      </c>
      <c r="N290" s="30">
        <v>0</v>
      </c>
      <c r="O290" s="30">
        <v>0</v>
      </c>
      <c r="P290" s="30">
        <v>0</v>
      </c>
      <c r="Q290" s="30">
        <v>0</v>
      </c>
      <c r="R290" s="29">
        <v>0</v>
      </c>
      <c r="S290" s="36">
        <v>0</v>
      </c>
      <c r="T290" s="7" t="s">
        <v>131</v>
      </c>
      <c r="U290" s="7" t="s">
        <v>959</v>
      </c>
      <c r="V290" s="7" t="s">
        <v>959</v>
      </c>
      <c r="W290" s="7" t="s">
        <v>1177</v>
      </c>
      <c r="X290" s="30">
        <v>1</v>
      </c>
      <c r="Y290" s="7" t="s">
        <v>1177</v>
      </c>
      <c r="Z290" s="7" t="s">
        <v>1178</v>
      </c>
      <c r="AA290" s="30">
        <v>0</v>
      </c>
      <c r="AB290" s="36">
        <v>0</v>
      </c>
      <c r="AC290" s="7" t="s">
        <v>1177</v>
      </c>
      <c r="AD290" s="37">
        <v>0</v>
      </c>
      <c r="AE290" s="7" t="s">
        <v>1177</v>
      </c>
      <c r="AF290" s="7" t="s">
        <v>1177</v>
      </c>
      <c r="AG290" s="7" t="s">
        <v>1177</v>
      </c>
      <c r="AH290" s="38"/>
      <c r="AI290" s="36">
        <v>0</v>
      </c>
      <c r="AJ290" s="7" t="s">
        <v>1193</v>
      </c>
      <c r="AK290" s="7" t="s">
        <v>1177</v>
      </c>
      <c r="AL290" s="7" t="s">
        <v>1177</v>
      </c>
      <c r="AM290" s="7" t="s">
        <v>1177</v>
      </c>
      <c r="AN290" s="7" t="s">
        <v>3212</v>
      </c>
      <c r="AO290" s="7" t="s">
        <v>1177</v>
      </c>
      <c r="AP290" s="7" t="s">
        <v>1177</v>
      </c>
      <c r="AQ290" s="7" t="s">
        <v>1177</v>
      </c>
      <c r="AR290" s="29">
        <v>0</v>
      </c>
      <c r="AS290" s="7" t="s">
        <v>1177</v>
      </c>
      <c r="AT290" s="7" t="s">
        <v>1363</v>
      </c>
      <c r="AU290" s="38">
        <v>46275</v>
      </c>
      <c r="AV290" s="39">
        <v>0.60524305555556002</v>
      </c>
    </row>
    <row r="291" spans="1:48" x14ac:dyDescent="0.35">
      <c r="A291" t="str">
        <f t="shared" si="4"/>
        <v>GP004891B864</v>
      </c>
      <c r="B291" s="7" t="s">
        <v>215</v>
      </c>
      <c r="C291" s="7" t="s">
        <v>1010</v>
      </c>
      <c r="D291" s="7" t="s">
        <v>10</v>
      </c>
      <c r="E291" s="7" t="s">
        <v>1177</v>
      </c>
      <c r="F291" s="7" t="s">
        <v>128</v>
      </c>
      <c r="G291" s="7" t="s">
        <v>130</v>
      </c>
      <c r="H291" s="7" t="s">
        <v>129</v>
      </c>
      <c r="I291" s="30">
        <v>5</v>
      </c>
      <c r="J291" s="7" t="s">
        <v>1177</v>
      </c>
      <c r="K291" s="7" t="s">
        <v>1178</v>
      </c>
      <c r="L291" s="7" t="s">
        <v>132</v>
      </c>
      <c r="M291" s="7" t="s">
        <v>133</v>
      </c>
      <c r="N291" s="30">
        <v>0</v>
      </c>
      <c r="O291" s="30">
        <v>0</v>
      </c>
      <c r="P291" s="30">
        <v>0</v>
      </c>
      <c r="Q291" s="30">
        <v>0</v>
      </c>
      <c r="R291" s="29">
        <v>0</v>
      </c>
      <c r="S291" s="36">
        <v>0</v>
      </c>
      <c r="T291" s="7" t="s">
        <v>131</v>
      </c>
      <c r="U291" s="7" t="s">
        <v>1011</v>
      </c>
      <c r="V291" s="7" t="s">
        <v>1011</v>
      </c>
      <c r="W291" s="7" t="s">
        <v>1177</v>
      </c>
      <c r="X291" s="30">
        <v>1</v>
      </c>
      <c r="Y291" s="7" t="s">
        <v>1177</v>
      </c>
      <c r="Z291" s="7" t="s">
        <v>1178</v>
      </c>
      <c r="AA291" s="30">
        <v>0</v>
      </c>
      <c r="AB291" s="36">
        <v>0</v>
      </c>
      <c r="AC291" s="7" t="s">
        <v>1177</v>
      </c>
      <c r="AD291" s="37">
        <v>0</v>
      </c>
      <c r="AE291" s="7" t="s">
        <v>1177</v>
      </c>
      <c r="AF291" s="7" t="s">
        <v>1177</v>
      </c>
      <c r="AG291" s="7" t="s">
        <v>1177</v>
      </c>
      <c r="AH291" s="38"/>
      <c r="AI291" s="36">
        <v>0</v>
      </c>
      <c r="AJ291" s="7" t="s">
        <v>1193</v>
      </c>
      <c r="AK291" s="7" t="s">
        <v>1177</v>
      </c>
      <c r="AL291" s="7" t="s">
        <v>1177</v>
      </c>
      <c r="AM291" s="7" t="s">
        <v>1177</v>
      </c>
      <c r="AN291" s="7" t="s">
        <v>3212</v>
      </c>
      <c r="AO291" s="7" t="s">
        <v>1177</v>
      </c>
      <c r="AP291" s="7" t="s">
        <v>1177</v>
      </c>
      <c r="AQ291" s="7" t="s">
        <v>1177</v>
      </c>
      <c r="AR291" s="29">
        <v>0</v>
      </c>
      <c r="AS291" s="7" t="s">
        <v>1177</v>
      </c>
      <c r="AT291" s="7" t="s">
        <v>1363</v>
      </c>
      <c r="AU291" s="38">
        <v>46275</v>
      </c>
      <c r="AV291" s="39">
        <v>0.60541666666667004</v>
      </c>
    </row>
    <row r="292" spans="1:48" x14ac:dyDescent="0.35">
      <c r="A292" t="str">
        <f t="shared" si="4"/>
        <v>GP004891B867</v>
      </c>
      <c r="B292" s="7" t="s">
        <v>215</v>
      </c>
      <c r="C292" s="7" t="s">
        <v>1059</v>
      </c>
      <c r="D292" s="7" t="s">
        <v>25</v>
      </c>
      <c r="E292" s="7" t="s">
        <v>1177</v>
      </c>
      <c r="F292" s="7" t="s">
        <v>128</v>
      </c>
      <c r="G292" s="7" t="s">
        <v>130</v>
      </c>
      <c r="H292" s="7" t="s">
        <v>129</v>
      </c>
      <c r="I292" s="30">
        <v>2</v>
      </c>
      <c r="J292" s="7" t="s">
        <v>1177</v>
      </c>
      <c r="K292" s="7" t="s">
        <v>1178</v>
      </c>
      <c r="L292" s="7" t="s">
        <v>132</v>
      </c>
      <c r="M292" s="7" t="s">
        <v>133</v>
      </c>
      <c r="N292" s="30">
        <v>0</v>
      </c>
      <c r="O292" s="30">
        <v>0</v>
      </c>
      <c r="P292" s="30">
        <v>0</v>
      </c>
      <c r="Q292" s="30">
        <v>0</v>
      </c>
      <c r="R292" s="29">
        <v>0</v>
      </c>
      <c r="S292" s="36">
        <v>0</v>
      </c>
      <c r="T292" s="7" t="s">
        <v>131</v>
      </c>
      <c r="U292" s="7" t="s">
        <v>1060</v>
      </c>
      <c r="V292" s="7" t="s">
        <v>1060</v>
      </c>
      <c r="W292" s="7" t="s">
        <v>1177</v>
      </c>
      <c r="X292" s="30">
        <v>1</v>
      </c>
      <c r="Y292" s="7" t="s">
        <v>1177</v>
      </c>
      <c r="Z292" s="7" t="s">
        <v>1178</v>
      </c>
      <c r="AA292" s="30">
        <v>0</v>
      </c>
      <c r="AB292" s="36">
        <v>0</v>
      </c>
      <c r="AC292" s="7" t="s">
        <v>1177</v>
      </c>
      <c r="AD292" s="37">
        <v>0</v>
      </c>
      <c r="AE292" s="7" t="s">
        <v>1177</v>
      </c>
      <c r="AF292" s="7" t="s">
        <v>1177</v>
      </c>
      <c r="AG292" s="7" t="s">
        <v>1177</v>
      </c>
      <c r="AH292" s="38"/>
      <c r="AI292" s="36">
        <v>0</v>
      </c>
      <c r="AJ292" s="7" t="s">
        <v>1193</v>
      </c>
      <c r="AK292" s="7" t="s">
        <v>1177</v>
      </c>
      <c r="AL292" s="7" t="s">
        <v>1177</v>
      </c>
      <c r="AM292" s="7" t="s">
        <v>1177</v>
      </c>
      <c r="AN292" s="7" t="s">
        <v>3212</v>
      </c>
      <c r="AO292" s="7" t="s">
        <v>1177</v>
      </c>
      <c r="AP292" s="7" t="s">
        <v>1177</v>
      </c>
      <c r="AQ292" s="7" t="s">
        <v>1177</v>
      </c>
      <c r="AR292" s="29">
        <v>0</v>
      </c>
      <c r="AS292" s="7" t="s">
        <v>1177</v>
      </c>
      <c r="AT292" s="7" t="s">
        <v>1363</v>
      </c>
      <c r="AU292" s="38">
        <v>46275</v>
      </c>
      <c r="AV292" s="39">
        <v>0.60568287037037005</v>
      </c>
    </row>
    <row r="293" spans="1:48" x14ac:dyDescent="0.35">
      <c r="A293" t="str">
        <f t="shared" si="4"/>
        <v>GP004892B825</v>
      </c>
      <c r="B293" s="7" t="s">
        <v>27</v>
      </c>
      <c r="C293" s="7" t="s">
        <v>511</v>
      </c>
      <c r="D293" s="7" t="s">
        <v>16</v>
      </c>
      <c r="E293" s="7" t="s">
        <v>1177</v>
      </c>
      <c r="F293" s="7" t="s">
        <v>128</v>
      </c>
      <c r="G293" s="7" t="s">
        <v>130</v>
      </c>
      <c r="H293" s="7" t="s">
        <v>129</v>
      </c>
      <c r="I293" s="30">
        <v>1</v>
      </c>
      <c r="J293" s="7" t="s">
        <v>1177</v>
      </c>
      <c r="K293" s="7" t="s">
        <v>1178</v>
      </c>
      <c r="L293" s="7" t="s">
        <v>132</v>
      </c>
      <c r="M293" s="7" t="s">
        <v>133</v>
      </c>
      <c r="N293" s="30">
        <v>0</v>
      </c>
      <c r="O293" s="30">
        <v>0</v>
      </c>
      <c r="P293" s="30">
        <v>0</v>
      </c>
      <c r="Q293" s="30">
        <v>0</v>
      </c>
      <c r="R293" s="29">
        <v>0</v>
      </c>
      <c r="S293" s="36">
        <v>0</v>
      </c>
      <c r="T293" s="7" t="s">
        <v>131</v>
      </c>
      <c r="U293" s="7" t="s">
        <v>512</v>
      </c>
      <c r="V293" s="7" t="s">
        <v>512</v>
      </c>
      <c r="W293" s="7" t="s">
        <v>1177</v>
      </c>
      <c r="X293" s="30">
        <v>1</v>
      </c>
      <c r="Y293" s="7" t="s">
        <v>1177</v>
      </c>
      <c r="Z293" s="7" t="s">
        <v>1178</v>
      </c>
      <c r="AA293" s="30">
        <v>0</v>
      </c>
      <c r="AB293" s="36">
        <v>0</v>
      </c>
      <c r="AC293" s="7" t="s">
        <v>1177</v>
      </c>
      <c r="AD293" s="37">
        <v>0</v>
      </c>
      <c r="AE293" s="7" t="s">
        <v>1177</v>
      </c>
      <c r="AF293" s="7" t="s">
        <v>1177</v>
      </c>
      <c r="AG293" s="7" t="s">
        <v>1177</v>
      </c>
      <c r="AH293" s="38"/>
      <c r="AI293" s="36">
        <v>0</v>
      </c>
      <c r="AJ293" s="7" t="s">
        <v>1193</v>
      </c>
      <c r="AK293" s="7" t="s">
        <v>1177</v>
      </c>
      <c r="AL293" s="7" t="s">
        <v>1177</v>
      </c>
      <c r="AM293" s="7" t="s">
        <v>1177</v>
      </c>
      <c r="AN293" s="7" t="s">
        <v>3212</v>
      </c>
      <c r="AO293" s="7" t="s">
        <v>1177</v>
      </c>
      <c r="AP293" s="7" t="s">
        <v>1177</v>
      </c>
      <c r="AQ293" s="7" t="s">
        <v>1177</v>
      </c>
      <c r="AR293" s="29">
        <v>0</v>
      </c>
      <c r="AS293" s="7" t="s">
        <v>1177</v>
      </c>
      <c r="AT293" s="7" t="s">
        <v>1363</v>
      </c>
      <c r="AU293" s="38">
        <v>46275</v>
      </c>
      <c r="AV293" s="39">
        <v>0.60351851851852001</v>
      </c>
    </row>
    <row r="294" spans="1:48" x14ac:dyDescent="0.35">
      <c r="A294" t="str">
        <f t="shared" si="4"/>
        <v>GP004892B832</v>
      </c>
      <c r="B294" s="7" t="s">
        <v>27</v>
      </c>
      <c r="C294" s="7" t="s">
        <v>653</v>
      </c>
      <c r="D294" s="7" t="s">
        <v>19</v>
      </c>
      <c r="E294" s="7" t="s">
        <v>1177</v>
      </c>
      <c r="F294" s="7" t="s">
        <v>128</v>
      </c>
      <c r="G294" s="7" t="s">
        <v>130</v>
      </c>
      <c r="H294" s="7" t="s">
        <v>129</v>
      </c>
      <c r="I294" s="30">
        <v>2</v>
      </c>
      <c r="J294" s="7" t="s">
        <v>1177</v>
      </c>
      <c r="K294" s="7" t="s">
        <v>1178</v>
      </c>
      <c r="L294" s="7" t="s">
        <v>132</v>
      </c>
      <c r="M294" s="7" t="s">
        <v>133</v>
      </c>
      <c r="N294" s="30">
        <v>0</v>
      </c>
      <c r="O294" s="30">
        <v>0</v>
      </c>
      <c r="P294" s="30">
        <v>0</v>
      </c>
      <c r="Q294" s="30">
        <v>0</v>
      </c>
      <c r="R294" s="29">
        <v>0</v>
      </c>
      <c r="S294" s="36">
        <v>0</v>
      </c>
      <c r="T294" s="7" t="s">
        <v>131</v>
      </c>
      <c r="U294" s="7" t="s">
        <v>654</v>
      </c>
      <c r="V294" s="7" t="s">
        <v>654</v>
      </c>
      <c r="W294" s="7" t="s">
        <v>1177</v>
      </c>
      <c r="X294" s="30">
        <v>1</v>
      </c>
      <c r="Y294" s="7" t="s">
        <v>1177</v>
      </c>
      <c r="Z294" s="7" t="s">
        <v>1178</v>
      </c>
      <c r="AA294" s="30">
        <v>0</v>
      </c>
      <c r="AB294" s="36">
        <v>0</v>
      </c>
      <c r="AC294" s="7" t="s">
        <v>1177</v>
      </c>
      <c r="AD294" s="37">
        <v>0</v>
      </c>
      <c r="AE294" s="7" t="s">
        <v>1177</v>
      </c>
      <c r="AF294" s="7" t="s">
        <v>1177</v>
      </c>
      <c r="AG294" s="7" t="s">
        <v>1177</v>
      </c>
      <c r="AH294" s="38"/>
      <c r="AI294" s="36">
        <v>0</v>
      </c>
      <c r="AJ294" s="7" t="s">
        <v>1193</v>
      </c>
      <c r="AK294" s="7" t="s">
        <v>1177</v>
      </c>
      <c r="AL294" s="7" t="s">
        <v>1177</v>
      </c>
      <c r="AM294" s="7" t="s">
        <v>1177</v>
      </c>
      <c r="AN294" s="7" t="s">
        <v>3212</v>
      </c>
      <c r="AO294" s="7" t="s">
        <v>1177</v>
      </c>
      <c r="AP294" s="7" t="s">
        <v>1177</v>
      </c>
      <c r="AQ294" s="7" t="s">
        <v>1177</v>
      </c>
      <c r="AR294" s="29">
        <v>0</v>
      </c>
      <c r="AS294" s="7" t="s">
        <v>1177</v>
      </c>
      <c r="AT294" s="7" t="s">
        <v>1363</v>
      </c>
      <c r="AU294" s="38">
        <v>46275</v>
      </c>
      <c r="AV294" s="39">
        <v>0.60384259259258999</v>
      </c>
    </row>
    <row r="295" spans="1:48" x14ac:dyDescent="0.35">
      <c r="A295" t="str">
        <f t="shared" si="4"/>
        <v>GP004892B833</v>
      </c>
      <c r="B295" s="7" t="s">
        <v>27</v>
      </c>
      <c r="C295" s="7" t="s">
        <v>698</v>
      </c>
      <c r="D295" s="7" t="s">
        <v>697</v>
      </c>
      <c r="E295" s="7" t="s">
        <v>1177</v>
      </c>
      <c r="F295" s="7" t="s">
        <v>128</v>
      </c>
      <c r="G295" s="7" t="s">
        <v>130</v>
      </c>
      <c r="H295" s="7" t="s">
        <v>129</v>
      </c>
      <c r="I295" s="30">
        <v>2</v>
      </c>
      <c r="J295" s="7" t="s">
        <v>1177</v>
      </c>
      <c r="K295" s="7" t="s">
        <v>1178</v>
      </c>
      <c r="L295" s="7" t="s">
        <v>132</v>
      </c>
      <c r="M295" s="7" t="s">
        <v>133</v>
      </c>
      <c r="N295" s="30">
        <v>0</v>
      </c>
      <c r="O295" s="30">
        <v>0</v>
      </c>
      <c r="P295" s="30">
        <v>0</v>
      </c>
      <c r="Q295" s="30">
        <v>0</v>
      </c>
      <c r="R295" s="29">
        <v>0</v>
      </c>
      <c r="S295" s="36">
        <v>0</v>
      </c>
      <c r="T295" s="7" t="s">
        <v>131</v>
      </c>
      <c r="U295" s="7" t="s">
        <v>699</v>
      </c>
      <c r="V295" s="7" t="s">
        <v>699</v>
      </c>
      <c r="W295" s="7" t="s">
        <v>1177</v>
      </c>
      <c r="X295" s="30">
        <v>1</v>
      </c>
      <c r="Y295" s="7" t="s">
        <v>1177</v>
      </c>
      <c r="Z295" s="7" t="s">
        <v>1178</v>
      </c>
      <c r="AA295" s="30">
        <v>0</v>
      </c>
      <c r="AB295" s="36">
        <v>0</v>
      </c>
      <c r="AC295" s="7" t="s">
        <v>1177</v>
      </c>
      <c r="AD295" s="37">
        <v>0</v>
      </c>
      <c r="AE295" s="7" t="s">
        <v>1177</v>
      </c>
      <c r="AF295" s="7" t="s">
        <v>1177</v>
      </c>
      <c r="AG295" s="7" t="s">
        <v>1177</v>
      </c>
      <c r="AH295" s="38"/>
      <c r="AI295" s="36">
        <v>0</v>
      </c>
      <c r="AJ295" s="7" t="s">
        <v>1193</v>
      </c>
      <c r="AK295" s="7" t="s">
        <v>1177</v>
      </c>
      <c r="AL295" s="7" t="s">
        <v>1177</v>
      </c>
      <c r="AM295" s="7" t="s">
        <v>1177</v>
      </c>
      <c r="AN295" s="7" t="s">
        <v>3212</v>
      </c>
      <c r="AO295" s="7" t="s">
        <v>1177</v>
      </c>
      <c r="AP295" s="7" t="s">
        <v>1177</v>
      </c>
      <c r="AQ295" s="7" t="s">
        <v>1177</v>
      </c>
      <c r="AR295" s="29">
        <v>0</v>
      </c>
      <c r="AS295" s="7" t="s">
        <v>1177</v>
      </c>
      <c r="AT295" s="7" t="s">
        <v>1363</v>
      </c>
      <c r="AU295" s="38">
        <v>46275</v>
      </c>
      <c r="AV295" s="39">
        <v>0.60396990740740997</v>
      </c>
    </row>
    <row r="296" spans="1:48" x14ac:dyDescent="0.35">
      <c r="A296" t="str">
        <f t="shared" si="4"/>
        <v>GP004892B856</v>
      </c>
      <c r="B296" s="7" t="s">
        <v>27</v>
      </c>
      <c r="C296" s="7" t="s">
        <v>852</v>
      </c>
      <c r="D296" s="7" t="s">
        <v>21</v>
      </c>
      <c r="E296" s="7" t="s">
        <v>1177</v>
      </c>
      <c r="F296" s="7" t="s">
        <v>128</v>
      </c>
      <c r="G296" s="7" t="s">
        <v>130</v>
      </c>
      <c r="H296" s="7" t="s">
        <v>129</v>
      </c>
      <c r="I296" s="30">
        <v>2</v>
      </c>
      <c r="J296" s="7" t="s">
        <v>1177</v>
      </c>
      <c r="K296" s="7" t="s">
        <v>1178</v>
      </c>
      <c r="L296" s="7" t="s">
        <v>132</v>
      </c>
      <c r="M296" s="7" t="s">
        <v>133</v>
      </c>
      <c r="N296" s="30">
        <v>0</v>
      </c>
      <c r="O296" s="30">
        <v>0</v>
      </c>
      <c r="P296" s="30">
        <v>0</v>
      </c>
      <c r="Q296" s="30">
        <v>0</v>
      </c>
      <c r="R296" s="29">
        <v>0</v>
      </c>
      <c r="S296" s="36">
        <v>0</v>
      </c>
      <c r="T296" s="7" t="s">
        <v>131</v>
      </c>
      <c r="U296" s="7" t="s">
        <v>853</v>
      </c>
      <c r="V296" s="7" t="s">
        <v>853</v>
      </c>
      <c r="W296" s="7" t="s">
        <v>1177</v>
      </c>
      <c r="X296" s="30">
        <v>1</v>
      </c>
      <c r="Y296" s="7" t="s">
        <v>1177</v>
      </c>
      <c r="Z296" s="7" t="s">
        <v>1178</v>
      </c>
      <c r="AA296" s="30">
        <v>0</v>
      </c>
      <c r="AB296" s="36">
        <v>0</v>
      </c>
      <c r="AC296" s="7" t="s">
        <v>1177</v>
      </c>
      <c r="AD296" s="37">
        <v>0</v>
      </c>
      <c r="AE296" s="7" t="s">
        <v>1177</v>
      </c>
      <c r="AF296" s="7" t="s">
        <v>1177</v>
      </c>
      <c r="AG296" s="7" t="s">
        <v>1177</v>
      </c>
      <c r="AH296" s="38"/>
      <c r="AI296" s="36">
        <v>0</v>
      </c>
      <c r="AJ296" s="7" t="s">
        <v>1193</v>
      </c>
      <c r="AK296" s="7" t="s">
        <v>1177</v>
      </c>
      <c r="AL296" s="7" t="s">
        <v>1177</v>
      </c>
      <c r="AM296" s="7" t="s">
        <v>1177</v>
      </c>
      <c r="AN296" s="7" t="s">
        <v>3212</v>
      </c>
      <c r="AO296" s="7" t="s">
        <v>1177</v>
      </c>
      <c r="AP296" s="7" t="s">
        <v>1177</v>
      </c>
      <c r="AQ296" s="7" t="s">
        <v>1177</v>
      </c>
      <c r="AR296" s="29">
        <v>0</v>
      </c>
      <c r="AS296" s="7" t="s">
        <v>1177</v>
      </c>
      <c r="AT296" s="7" t="s">
        <v>1363</v>
      </c>
      <c r="AU296" s="38">
        <v>46275</v>
      </c>
      <c r="AV296" s="39">
        <v>0.60523148148147998</v>
      </c>
    </row>
    <row r="297" spans="1:48" x14ac:dyDescent="0.35">
      <c r="A297" t="str">
        <f t="shared" si="4"/>
        <v>GP004892B857</v>
      </c>
      <c r="B297" s="7" t="s">
        <v>27</v>
      </c>
      <c r="C297" s="7" t="s">
        <v>958</v>
      </c>
      <c r="D297" s="7" t="s">
        <v>23</v>
      </c>
      <c r="E297" s="7" t="s">
        <v>1177</v>
      </c>
      <c r="F297" s="7" t="s">
        <v>128</v>
      </c>
      <c r="G297" s="7" t="s">
        <v>130</v>
      </c>
      <c r="H297" s="7" t="s">
        <v>129</v>
      </c>
      <c r="I297" s="30">
        <v>2</v>
      </c>
      <c r="J297" s="7" t="s">
        <v>1177</v>
      </c>
      <c r="K297" s="7" t="s">
        <v>1178</v>
      </c>
      <c r="L297" s="7" t="s">
        <v>132</v>
      </c>
      <c r="M297" s="7" t="s">
        <v>133</v>
      </c>
      <c r="N297" s="30">
        <v>0</v>
      </c>
      <c r="O297" s="30">
        <v>0</v>
      </c>
      <c r="P297" s="30">
        <v>0</v>
      </c>
      <c r="Q297" s="30">
        <v>0</v>
      </c>
      <c r="R297" s="29">
        <v>0</v>
      </c>
      <c r="S297" s="36">
        <v>0</v>
      </c>
      <c r="T297" s="7" t="s">
        <v>131</v>
      </c>
      <c r="U297" s="7" t="s">
        <v>959</v>
      </c>
      <c r="V297" s="7" t="s">
        <v>959</v>
      </c>
      <c r="W297" s="7" t="s">
        <v>1177</v>
      </c>
      <c r="X297" s="30">
        <v>1</v>
      </c>
      <c r="Y297" s="7" t="s">
        <v>1177</v>
      </c>
      <c r="Z297" s="7" t="s">
        <v>1178</v>
      </c>
      <c r="AA297" s="30">
        <v>0</v>
      </c>
      <c r="AB297" s="36">
        <v>0</v>
      </c>
      <c r="AC297" s="7" t="s">
        <v>1177</v>
      </c>
      <c r="AD297" s="37">
        <v>0</v>
      </c>
      <c r="AE297" s="7" t="s">
        <v>1177</v>
      </c>
      <c r="AF297" s="7" t="s">
        <v>1177</v>
      </c>
      <c r="AG297" s="7" t="s">
        <v>1177</v>
      </c>
      <c r="AH297" s="38"/>
      <c r="AI297" s="36">
        <v>0</v>
      </c>
      <c r="AJ297" s="7" t="s">
        <v>1193</v>
      </c>
      <c r="AK297" s="7" t="s">
        <v>1177</v>
      </c>
      <c r="AL297" s="7" t="s">
        <v>1177</v>
      </c>
      <c r="AM297" s="7" t="s">
        <v>1177</v>
      </c>
      <c r="AN297" s="7" t="s">
        <v>3212</v>
      </c>
      <c r="AO297" s="7" t="s">
        <v>1177</v>
      </c>
      <c r="AP297" s="7" t="s">
        <v>1177</v>
      </c>
      <c r="AQ297" s="7" t="s">
        <v>1177</v>
      </c>
      <c r="AR297" s="29">
        <v>0</v>
      </c>
      <c r="AS297" s="7" t="s">
        <v>1177</v>
      </c>
      <c r="AT297" s="7" t="s">
        <v>1363</v>
      </c>
      <c r="AU297" s="38">
        <v>46275</v>
      </c>
      <c r="AV297" s="39">
        <v>0.60526620370369999</v>
      </c>
    </row>
    <row r="298" spans="1:48" x14ac:dyDescent="0.35">
      <c r="A298" t="str">
        <f t="shared" si="4"/>
        <v>GP004892B864</v>
      </c>
      <c r="B298" s="7" t="s">
        <v>27</v>
      </c>
      <c r="C298" s="7" t="s">
        <v>1010</v>
      </c>
      <c r="D298" s="7" t="s">
        <v>10</v>
      </c>
      <c r="E298" s="7" t="s">
        <v>1177</v>
      </c>
      <c r="F298" s="7" t="s">
        <v>128</v>
      </c>
      <c r="G298" s="7" t="s">
        <v>130</v>
      </c>
      <c r="H298" s="7" t="s">
        <v>129</v>
      </c>
      <c r="I298" s="30">
        <v>5</v>
      </c>
      <c r="J298" s="7" t="s">
        <v>1177</v>
      </c>
      <c r="K298" s="7" t="s">
        <v>1178</v>
      </c>
      <c r="L298" s="7" t="s">
        <v>132</v>
      </c>
      <c r="M298" s="7" t="s">
        <v>133</v>
      </c>
      <c r="N298" s="30">
        <v>0</v>
      </c>
      <c r="O298" s="30">
        <v>0</v>
      </c>
      <c r="P298" s="30">
        <v>0</v>
      </c>
      <c r="Q298" s="30">
        <v>0</v>
      </c>
      <c r="R298" s="29">
        <v>0</v>
      </c>
      <c r="S298" s="36">
        <v>0</v>
      </c>
      <c r="T298" s="7" t="s">
        <v>131</v>
      </c>
      <c r="U298" s="7" t="s">
        <v>1011</v>
      </c>
      <c r="V298" s="7" t="s">
        <v>1011</v>
      </c>
      <c r="W298" s="7" t="s">
        <v>1177</v>
      </c>
      <c r="X298" s="30">
        <v>1</v>
      </c>
      <c r="Y298" s="7" t="s">
        <v>1177</v>
      </c>
      <c r="Z298" s="7" t="s">
        <v>1178</v>
      </c>
      <c r="AA298" s="30">
        <v>0</v>
      </c>
      <c r="AB298" s="36">
        <v>0</v>
      </c>
      <c r="AC298" s="7" t="s">
        <v>1177</v>
      </c>
      <c r="AD298" s="37">
        <v>0</v>
      </c>
      <c r="AE298" s="7" t="s">
        <v>1177</v>
      </c>
      <c r="AF298" s="7" t="s">
        <v>1177</v>
      </c>
      <c r="AG298" s="7" t="s">
        <v>1177</v>
      </c>
      <c r="AH298" s="38"/>
      <c r="AI298" s="36">
        <v>0</v>
      </c>
      <c r="AJ298" s="7" t="s">
        <v>1193</v>
      </c>
      <c r="AK298" s="7" t="s">
        <v>1177</v>
      </c>
      <c r="AL298" s="7" t="s">
        <v>1177</v>
      </c>
      <c r="AM298" s="7" t="s">
        <v>1177</v>
      </c>
      <c r="AN298" s="7" t="s">
        <v>3212</v>
      </c>
      <c r="AO298" s="7" t="s">
        <v>1177</v>
      </c>
      <c r="AP298" s="7" t="s">
        <v>1177</v>
      </c>
      <c r="AQ298" s="7" t="s">
        <v>1177</v>
      </c>
      <c r="AR298" s="29">
        <v>0</v>
      </c>
      <c r="AS298" s="7" t="s">
        <v>1177</v>
      </c>
      <c r="AT298" s="7" t="s">
        <v>1363</v>
      </c>
      <c r="AU298" s="38">
        <v>46275</v>
      </c>
      <c r="AV298" s="39">
        <v>0.60541666666667004</v>
      </c>
    </row>
    <row r="299" spans="1:48" x14ac:dyDescent="0.35">
      <c r="A299" t="str">
        <f t="shared" si="4"/>
        <v>GP004892B865</v>
      </c>
      <c r="B299" s="7" t="s">
        <v>27</v>
      </c>
      <c r="C299" s="7" t="s">
        <v>1039</v>
      </c>
      <c r="D299" s="7" t="s">
        <v>7</v>
      </c>
      <c r="E299" s="7" t="s">
        <v>1177</v>
      </c>
      <c r="F299" s="7" t="s">
        <v>128</v>
      </c>
      <c r="G299" s="7" t="s">
        <v>130</v>
      </c>
      <c r="H299" s="7" t="s">
        <v>129</v>
      </c>
      <c r="I299" s="30">
        <v>4</v>
      </c>
      <c r="J299" s="7" t="s">
        <v>1177</v>
      </c>
      <c r="K299" s="7" t="s">
        <v>1178</v>
      </c>
      <c r="L299" s="7" t="s">
        <v>132</v>
      </c>
      <c r="M299" s="7" t="s">
        <v>133</v>
      </c>
      <c r="N299" s="30">
        <v>0</v>
      </c>
      <c r="O299" s="30">
        <v>0</v>
      </c>
      <c r="P299" s="30">
        <v>0</v>
      </c>
      <c r="Q299" s="30">
        <v>0</v>
      </c>
      <c r="R299" s="29">
        <v>0</v>
      </c>
      <c r="S299" s="36">
        <v>0</v>
      </c>
      <c r="T299" s="7" t="s">
        <v>131</v>
      </c>
      <c r="U299" s="7" t="s">
        <v>1040</v>
      </c>
      <c r="V299" s="7" t="s">
        <v>1040</v>
      </c>
      <c r="W299" s="7" t="s">
        <v>1177</v>
      </c>
      <c r="X299" s="30">
        <v>1</v>
      </c>
      <c r="Y299" s="7" t="s">
        <v>1177</v>
      </c>
      <c r="Z299" s="7" t="s">
        <v>1178</v>
      </c>
      <c r="AA299" s="30">
        <v>0</v>
      </c>
      <c r="AB299" s="36">
        <v>0</v>
      </c>
      <c r="AC299" s="7" t="s">
        <v>1177</v>
      </c>
      <c r="AD299" s="37">
        <v>0</v>
      </c>
      <c r="AE299" s="7" t="s">
        <v>1177</v>
      </c>
      <c r="AF299" s="7" t="s">
        <v>1177</v>
      </c>
      <c r="AG299" s="7" t="s">
        <v>1177</v>
      </c>
      <c r="AH299" s="38"/>
      <c r="AI299" s="36">
        <v>0</v>
      </c>
      <c r="AJ299" s="7" t="s">
        <v>1193</v>
      </c>
      <c r="AK299" s="7" t="s">
        <v>1177</v>
      </c>
      <c r="AL299" s="7" t="s">
        <v>1177</v>
      </c>
      <c r="AM299" s="7" t="s">
        <v>1177</v>
      </c>
      <c r="AN299" s="7" t="s">
        <v>3212</v>
      </c>
      <c r="AO299" s="7" t="s">
        <v>1177</v>
      </c>
      <c r="AP299" s="7" t="s">
        <v>1177</v>
      </c>
      <c r="AQ299" s="7" t="s">
        <v>1177</v>
      </c>
      <c r="AR299" s="29">
        <v>0</v>
      </c>
      <c r="AS299" s="7" t="s">
        <v>1177</v>
      </c>
      <c r="AT299" s="7" t="s">
        <v>1363</v>
      </c>
      <c r="AU299" s="38">
        <v>46275</v>
      </c>
      <c r="AV299" s="39">
        <v>0.60552083333332996</v>
      </c>
    </row>
    <row r="300" spans="1:48" x14ac:dyDescent="0.35">
      <c r="A300" t="str">
        <f t="shared" si="4"/>
        <v>GP004892B867</v>
      </c>
      <c r="B300" s="7" t="s">
        <v>27</v>
      </c>
      <c r="C300" s="7" t="s">
        <v>1059</v>
      </c>
      <c r="D300" s="7" t="s">
        <v>25</v>
      </c>
      <c r="E300" s="7" t="s">
        <v>1177</v>
      </c>
      <c r="F300" s="7" t="s">
        <v>128</v>
      </c>
      <c r="G300" s="7" t="s">
        <v>130</v>
      </c>
      <c r="H300" s="7" t="s">
        <v>129</v>
      </c>
      <c r="I300" s="30">
        <v>2</v>
      </c>
      <c r="J300" s="7" t="s">
        <v>1177</v>
      </c>
      <c r="K300" s="7" t="s">
        <v>1178</v>
      </c>
      <c r="L300" s="7" t="s">
        <v>132</v>
      </c>
      <c r="M300" s="7" t="s">
        <v>133</v>
      </c>
      <c r="N300" s="30">
        <v>0</v>
      </c>
      <c r="O300" s="30">
        <v>0</v>
      </c>
      <c r="P300" s="30">
        <v>0</v>
      </c>
      <c r="Q300" s="30">
        <v>0</v>
      </c>
      <c r="R300" s="29">
        <v>0</v>
      </c>
      <c r="S300" s="36">
        <v>0</v>
      </c>
      <c r="T300" s="7" t="s">
        <v>131</v>
      </c>
      <c r="U300" s="7" t="s">
        <v>1060</v>
      </c>
      <c r="V300" s="7" t="s">
        <v>1060</v>
      </c>
      <c r="W300" s="7" t="s">
        <v>1177</v>
      </c>
      <c r="X300" s="30">
        <v>1</v>
      </c>
      <c r="Y300" s="7" t="s">
        <v>1177</v>
      </c>
      <c r="Z300" s="7" t="s">
        <v>1178</v>
      </c>
      <c r="AA300" s="30">
        <v>0</v>
      </c>
      <c r="AB300" s="36">
        <v>0</v>
      </c>
      <c r="AC300" s="7" t="s">
        <v>1177</v>
      </c>
      <c r="AD300" s="37">
        <v>0</v>
      </c>
      <c r="AE300" s="7" t="s">
        <v>1177</v>
      </c>
      <c r="AF300" s="7" t="s">
        <v>1177</v>
      </c>
      <c r="AG300" s="7" t="s">
        <v>1177</v>
      </c>
      <c r="AH300" s="38"/>
      <c r="AI300" s="36">
        <v>0</v>
      </c>
      <c r="AJ300" s="7" t="s">
        <v>1193</v>
      </c>
      <c r="AK300" s="7" t="s">
        <v>1177</v>
      </c>
      <c r="AL300" s="7" t="s">
        <v>1177</v>
      </c>
      <c r="AM300" s="7" t="s">
        <v>1177</v>
      </c>
      <c r="AN300" s="7" t="s">
        <v>3212</v>
      </c>
      <c r="AO300" s="7" t="s">
        <v>1177</v>
      </c>
      <c r="AP300" s="7" t="s">
        <v>1177</v>
      </c>
      <c r="AQ300" s="7" t="s">
        <v>1177</v>
      </c>
      <c r="AR300" s="29">
        <v>0</v>
      </c>
      <c r="AS300" s="7" t="s">
        <v>1177</v>
      </c>
      <c r="AT300" s="7" t="s">
        <v>1363</v>
      </c>
      <c r="AU300" s="38">
        <v>46275</v>
      </c>
      <c r="AV300" s="39">
        <v>0.60569444444443998</v>
      </c>
    </row>
    <row r="301" spans="1:48" x14ac:dyDescent="0.35">
      <c r="A301" t="str">
        <f t="shared" si="4"/>
        <v>GP004894B825</v>
      </c>
      <c r="B301" s="7" t="s">
        <v>146</v>
      </c>
      <c r="C301" s="7" t="s">
        <v>511</v>
      </c>
      <c r="D301" s="7" t="s">
        <v>16</v>
      </c>
      <c r="E301" s="7" t="s">
        <v>1177</v>
      </c>
      <c r="F301" s="7" t="s">
        <v>128</v>
      </c>
      <c r="G301" s="7" t="s">
        <v>130</v>
      </c>
      <c r="H301" s="7" t="s">
        <v>129</v>
      </c>
      <c r="I301" s="30">
        <v>2</v>
      </c>
      <c r="J301" s="7" t="s">
        <v>1177</v>
      </c>
      <c r="K301" s="7" t="s">
        <v>1178</v>
      </c>
      <c r="L301" s="7" t="s">
        <v>132</v>
      </c>
      <c r="M301" s="7" t="s">
        <v>133</v>
      </c>
      <c r="N301" s="30">
        <v>0</v>
      </c>
      <c r="O301" s="30">
        <v>0</v>
      </c>
      <c r="P301" s="30">
        <v>0</v>
      </c>
      <c r="Q301" s="30">
        <v>0</v>
      </c>
      <c r="R301" s="29">
        <v>0</v>
      </c>
      <c r="S301" s="36">
        <v>0</v>
      </c>
      <c r="T301" s="7" t="s">
        <v>131</v>
      </c>
      <c r="U301" s="7" t="s">
        <v>512</v>
      </c>
      <c r="V301" s="7" t="s">
        <v>512</v>
      </c>
      <c r="W301" s="7" t="s">
        <v>1177</v>
      </c>
      <c r="X301" s="30">
        <v>1</v>
      </c>
      <c r="Y301" s="7" t="s">
        <v>1177</v>
      </c>
      <c r="Z301" s="7" t="s">
        <v>1178</v>
      </c>
      <c r="AA301" s="30">
        <v>0</v>
      </c>
      <c r="AB301" s="36">
        <v>0</v>
      </c>
      <c r="AC301" s="7" t="s">
        <v>1177</v>
      </c>
      <c r="AD301" s="37">
        <v>0</v>
      </c>
      <c r="AE301" s="7" t="s">
        <v>1177</v>
      </c>
      <c r="AF301" s="7" t="s">
        <v>1177</v>
      </c>
      <c r="AG301" s="7" t="s">
        <v>1177</v>
      </c>
      <c r="AH301" s="38"/>
      <c r="AI301" s="36">
        <v>0</v>
      </c>
      <c r="AJ301" s="7" t="s">
        <v>1193</v>
      </c>
      <c r="AK301" s="7" t="s">
        <v>1177</v>
      </c>
      <c r="AL301" s="7" t="s">
        <v>1177</v>
      </c>
      <c r="AM301" s="7" t="s">
        <v>1177</v>
      </c>
      <c r="AN301" s="7" t="s">
        <v>3212</v>
      </c>
      <c r="AO301" s="7" t="s">
        <v>1177</v>
      </c>
      <c r="AP301" s="7" t="s">
        <v>1177</v>
      </c>
      <c r="AQ301" s="7" t="s">
        <v>1177</v>
      </c>
      <c r="AR301" s="29">
        <v>0</v>
      </c>
      <c r="AS301" s="7" t="s">
        <v>1177</v>
      </c>
      <c r="AT301" s="7" t="s">
        <v>1363</v>
      </c>
      <c r="AU301" s="38">
        <v>46275</v>
      </c>
      <c r="AV301" s="39">
        <v>0.60351851851852001</v>
      </c>
    </row>
    <row r="302" spans="1:48" x14ac:dyDescent="0.35">
      <c r="A302" t="str">
        <f t="shared" si="4"/>
        <v>GP004894B832</v>
      </c>
      <c r="B302" s="7" t="s">
        <v>146</v>
      </c>
      <c r="C302" s="7" t="s">
        <v>653</v>
      </c>
      <c r="D302" s="7" t="s">
        <v>19</v>
      </c>
      <c r="E302" s="7" t="s">
        <v>1177</v>
      </c>
      <c r="F302" s="7" t="s">
        <v>128</v>
      </c>
      <c r="G302" s="7" t="s">
        <v>130</v>
      </c>
      <c r="H302" s="7" t="s">
        <v>129</v>
      </c>
      <c r="I302" s="30">
        <v>1</v>
      </c>
      <c r="J302" s="7" t="s">
        <v>1177</v>
      </c>
      <c r="K302" s="7" t="s">
        <v>1178</v>
      </c>
      <c r="L302" s="7" t="s">
        <v>132</v>
      </c>
      <c r="M302" s="7" t="s">
        <v>133</v>
      </c>
      <c r="N302" s="30">
        <v>0</v>
      </c>
      <c r="O302" s="30">
        <v>0</v>
      </c>
      <c r="P302" s="30">
        <v>0</v>
      </c>
      <c r="Q302" s="30">
        <v>0</v>
      </c>
      <c r="R302" s="29">
        <v>0</v>
      </c>
      <c r="S302" s="36">
        <v>0</v>
      </c>
      <c r="T302" s="7" t="s">
        <v>131</v>
      </c>
      <c r="U302" s="7" t="s">
        <v>654</v>
      </c>
      <c r="V302" s="7" t="s">
        <v>654</v>
      </c>
      <c r="W302" s="7" t="s">
        <v>1177</v>
      </c>
      <c r="X302" s="30">
        <v>1</v>
      </c>
      <c r="Y302" s="7" t="s">
        <v>1177</v>
      </c>
      <c r="Z302" s="7" t="s">
        <v>1178</v>
      </c>
      <c r="AA302" s="30">
        <v>0</v>
      </c>
      <c r="AB302" s="36">
        <v>0</v>
      </c>
      <c r="AC302" s="7" t="s">
        <v>1177</v>
      </c>
      <c r="AD302" s="37">
        <v>0</v>
      </c>
      <c r="AE302" s="7" t="s">
        <v>1177</v>
      </c>
      <c r="AF302" s="7" t="s">
        <v>1177</v>
      </c>
      <c r="AG302" s="7" t="s">
        <v>1177</v>
      </c>
      <c r="AH302" s="38"/>
      <c r="AI302" s="36">
        <v>0</v>
      </c>
      <c r="AJ302" s="7" t="s">
        <v>1193</v>
      </c>
      <c r="AK302" s="7" t="s">
        <v>1177</v>
      </c>
      <c r="AL302" s="7" t="s">
        <v>1177</v>
      </c>
      <c r="AM302" s="7" t="s">
        <v>1177</v>
      </c>
      <c r="AN302" s="7" t="s">
        <v>3212</v>
      </c>
      <c r="AO302" s="7" t="s">
        <v>1177</v>
      </c>
      <c r="AP302" s="7" t="s">
        <v>1177</v>
      </c>
      <c r="AQ302" s="7" t="s">
        <v>1177</v>
      </c>
      <c r="AR302" s="29">
        <v>0</v>
      </c>
      <c r="AS302" s="7" t="s">
        <v>1177</v>
      </c>
      <c r="AT302" s="7" t="s">
        <v>1363</v>
      </c>
      <c r="AU302" s="38">
        <v>46275</v>
      </c>
      <c r="AV302" s="39">
        <v>0.60384259259258999</v>
      </c>
    </row>
    <row r="303" spans="1:48" x14ac:dyDescent="0.35">
      <c r="A303" t="str">
        <f t="shared" si="4"/>
        <v>GP004894B856</v>
      </c>
      <c r="B303" s="7" t="s">
        <v>146</v>
      </c>
      <c r="C303" s="7" t="s">
        <v>852</v>
      </c>
      <c r="D303" s="7" t="s">
        <v>21</v>
      </c>
      <c r="E303" s="7" t="s">
        <v>1177</v>
      </c>
      <c r="F303" s="7" t="s">
        <v>128</v>
      </c>
      <c r="G303" s="7" t="s">
        <v>130</v>
      </c>
      <c r="H303" s="7" t="s">
        <v>129</v>
      </c>
      <c r="I303" s="30">
        <v>2</v>
      </c>
      <c r="J303" s="7" t="s">
        <v>1177</v>
      </c>
      <c r="K303" s="7" t="s">
        <v>1178</v>
      </c>
      <c r="L303" s="7" t="s">
        <v>132</v>
      </c>
      <c r="M303" s="7" t="s">
        <v>133</v>
      </c>
      <c r="N303" s="30">
        <v>0</v>
      </c>
      <c r="O303" s="30">
        <v>0</v>
      </c>
      <c r="P303" s="30">
        <v>0</v>
      </c>
      <c r="Q303" s="30">
        <v>0</v>
      </c>
      <c r="R303" s="29">
        <v>0</v>
      </c>
      <c r="S303" s="36">
        <v>0</v>
      </c>
      <c r="T303" s="7" t="s">
        <v>131</v>
      </c>
      <c r="U303" s="7" t="s">
        <v>853</v>
      </c>
      <c r="V303" s="7" t="s">
        <v>853</v>
      </c>
      <c r="W303" s="7" t="s">
        <v>1177</v>
      </c>
      <c r="X303" s="30">
        <v>1</v>
      </c>
      <c r="Y303" s="7" t="s">
        <v>1177</v>
      </c>
      <c r="Z303" s="7" t="s">
        <v>1178</v>
      </c>
      <c r="AA303" s="30">
        <v>0</v>
      </c>
      <c r="AB303" s="36">
        <v>0</v>
      </c>
      <c r="AC303" s="7" t="s">
        <v>1177</v>
      </c>
      <c r="AD303" s="37">
        <v>0</v>
      </c>
      <c r="AE303" s="7" t="s">
        <v>1177</v>
      </c>
      <c r="AF303" s="7" t="s">
        <v>1177</v>
      </c>
      <c r="AG303" s="7" t="s">
        <v>1177</v>
      </c>
      <c r="AH303" s="38"/>
      <c r="AI303" s="36">
        <v>0</v>
      </c>
      <c r="AJ303" s="7" t="s">
        <v>1193</v>
      </c>
      <c r="AK303" s="7" t="s">
        <v>1177</v>
      </c>
      <c r="AL303" s="7" t="s">
        <v>1177</v>
      </c>
      <c r="AM303" s="7" t="s">
        <v>1177</v>
      </c>
      <c r="AN303" s="7" t="s">
        <v>3212</v>
      </c>
      <c r="AO303" s="7" t="s">
        <v>1177</v>
      </c>
      <c r="AP303" s="7" t="s">
        <v>1177</v>
      </c>
      <c r="AQ303" s="7" t="s">
        <v>1177</v>
      </c>
      <c r="AR303" s="29">
        <v>0</v>
      </c>
      <c r="AS303" s="7" t="s">
        <v>1177</v>
      </c>
      <c r="AT303" s="7" t="s">
        <v>1363</v>
      </c>
      <c r="AU303" s="38">
        <v>46275</v>
      </c>
      <c r="AV303" s="39">
        <v>0.60523148148147998</v>
      </c>
    </row>
    <row r="304" spans="1:48" x14ac:dyDescent="0.35">
      <c r="A304" t="str">
        <f t="shared" si="4"/>
        <v>GP004894B857</v>
      </c>
      <c r="B304" s="7" t="s">
        <v>146</v>
      </c>
      <c r="C304" s="7" t="s">
        <v>958</v>
      </c>
      <c r="D304" s="7" t="s">
        <v>23</v>
      </c>
      <c r="E304" s="7" t="s">
        <v>1177</v>
      </c>
      <c r="F304" s="7" t="s">
        <v>128</v>
      </c>
      <c r="G304" s="7" t="s">
        <v>130</v>
      </c>
      <c r="H304" s="7" t="s">
        <v>129</v>
      </c>
      <c r="I304" s="30">
        <v>2</v>
      </c>
      <c r="J304" s="7" t="s">
        <v>1177</v>
      </c>
      <c r="K304" s="7" t="s">
        <v>1178</v>
      </c>
      <c r="L304" s="7" t="s">
        <v>132</v>
      </c>
      <c r="M304" s="7" t="s">
        <v>133</v>
      </c>
      <c r="N304" s="30">
        <v>0</v>
      </c>
      <c r="O304" s="30">
        <v>0</v>
      </c>
      <c r="P304" s="30">
        <v>0</v>
      </c>
      <c r="Q304" s="30">
        <v>0</v>
      </c>
      <c r="R304" s="29">
        <v>0</v>
      </c>
      <c r="S304" s="36">
        <v>0</v>
      </c>
      <c r="T304" s="7" t="s">
        <v>131</v>
      </c>
      <c r="U304" s="7" t="s">
        <v>959</v>
      </c>
      <c r="V304" s="7" t="s">
        <v>959</v>
      </c>
      <c r="W304" s="7" t="s">
        <v>1177</v>
      </c>
      <c r="X304" s="30">
        <v>1</v>
      </c>
      <c r="Y304" s="7" t="s">
        <v>1177</v>
      </c>
      <c r="Z304" s="7" t="s">
        <v>1178</v>
      </c>
      <c r="AA304" s="30">
        <v>0</v>
      </c>
      <c r="AB304" s="36">
        <v>0</v>
      </c>
      <c r="AC304" s="7" t="s">
        <v>1177</v>
      </c>
      <c r="AD304" s="37">
        <v>0</v>
      </c>
      <c r="AE304" s="7" t="s">
        <v>1177</v>
      </c>
      <c r="AF304" s="7" t="s">
        <v>1177</v>
      </c>
      <c r="AG304" s="7" t="s">
        <v>1177</v>
      </c>
      <c r="AH304" s="38"/>
      <c r="AI304" s="36">
        <v>0</v>
      </c>
      <c r="AJ304" s="7" t="s">
        <v>1193</v>
      </c>
      <c r="AK304" s="7" t="s">
        <v>1177</v>
      </c>
      <c r="AL304" s="7" t="s">
        <v>1177</v>
      </c>
      <c r="AM304" s="7" t="s">
        <v>1177</v>
      </c>
      <c r="AN304" s="7" t="s">
        <v>3212</v>
      </c>
      <c r="AO304" s="7" t="s">
        <v>1177</v>
      </c>
      <c r="AP304" s="7" t="s">
        <v>1177</v>
      </c>
      <c r="AQ304" s="7" t="s">
        <v>1177</v>
      </c>
      <c r="AR304" s="29">
        <v>0</v>
      </c>
      <c r="AS304" s="7" t="s">
        <v>1177</v>
      </c>
      <c r="AT304" s="7" t="s">
        <v>1363</v>
      </c>
      <c r="AU304" s="38">
        <v>46275</v>
      </c>
      <c r="AV304" s="39">
        <v>0.60527777777778002</v>
      </c>
    </row>
    <row r="305" spans="1:48" x14ac:dyDescent="0.35">
      <c r="A305" t="str">
        <f t="shared" si="4"/>
        <v>GP004894B867</v>
      </c>
      <c r="B305" s="7" t="s">
        <v>146</v>
      </c>
      <c r="C305" s="7" t="s">
        <v>1059</v>
      </c>
      <c r="D305" s="7" t="s">
        <v>25</v>
      </c>
      <c r="E305" s="7" t="s">
        <v>1177</v>
      </c>
      <c r="F305" s="7" t="s">
        <v>128</v>
      </c>
      <c r="G305" s="7" t="s">
        <v>130</v>
      </c>
      <c r="H305" s="7" t="s">
        <v>129</v>
      </c>
      <c r="I305" s="30">
        <v>2</v>
      </c>
      <c r="J305" s="7" t="s">
        <v>1177</v>
      </c>
      <c r="K305" s="7" t="s">
        <v>1178</v>
      </c>
      <c r="L305" s="7" t="s">
        <v>132</v>
      </c>
      <c r="M305" s="7" t="s">
        <v>133</v>
      </c>
      <c r="N305" s="30">
        <v>0</v>
      </c>
      <c r="O305" s="30">
        <v>0</v>
      </c>
      <c r="P305" s="30">
        <v>0</v>
      </c>
      <c r="Q305" s="30">
        <v>0</v>
      </c>
      <c r="R305" s="29">
        <v>0</v>
      </c>
      <c r="S305" s="36">
        <v>0</v>
      </c>
      <c r="T305" s="7" t="s">
        <v>131</v>
      </c>
      <c r="U305" s="7" t="s">
        <v>1060</v>
      </c>
      <c r="V305" s="7" t="s">
        <v>1060</v>
      </c>
      <c r="W305" s="7" t="s">
        <v>1177</v>
      </c>
      <c r="X305" s="30">
        <v>1</v>
      </c>
      <c r="Y305" s="7" t="s">
        <v>1177</v>
      </c>
      <c r="Z305" s="7" t="s">
        <v>1178</v>
      </c>
      <c r="AA305" s="30">
        <v>0</v>
      </c>
      <c r="AB305" s="36">
        <v>0</v>
      </c>
      <c r="AC305" s="7" t="s">
        <v>1177</v>
      </c>
      <c r="AD305" s="37">
        <v>0</v>
      </c>
      <c r="AE305" s="7" t="s">
        <v>1177</v>
      </c>
      <c r="AF305" s="7" t="s">
        <v>1177</v>
      </c>
      <c r="AG305" s="7" t="s">
        <v>1177</v>
      </c>
      <c r="AH305" s="38"/>
      <c r="AI305" s="36">
        <v>0</v>
      </c>
      <c r="AJ305" s="7" t="s">
        <v>1193</v>
      </c>
      <c r="AK305" s="7" t="s">
        <v>1177</v>
      </c>
      <c r="AL305" s="7" t="s">
        <v>1177</v>
      </c>
      <c r="AM305" s="7" t="s">
        <v>1177</v>
      </c>
      <c r="AN305" s="7" t="s">
        <v>3212</v>
      </c>
      <c r="AO305" s="7" t="s">
        <v>1177</v>
      </c>
      <c r="AP305" s="7" t="s">
        <v>1177</v>
      </c>
      <c r="AQ305" s="7" t="s">
        <v>1177</v>
      </c>
      <c r="AR305" s="29">
        <v>0</v>
      </c>
      <c r="AS305" s="7" t="s">
        <v>1177</v>
      </c>
      <c r="AT305" s="7" t="s">
        <v>1363</v>
      </c>
      <c r="AU305" s="38">
        <v>46275</v>
      </c>
      <c r="AV305" s="39">
        <v>0.60569444444443998</v>
      </c>
    </row>
    <row r="306" spans="1:48" x14ac:dyDescent="0.35">
      <c r="A306" t="str">
        <f t="shared" si="4"/>
        <v>GP004895B825</v>
      </c>
      <c r="B306" s="7" t="s">
        <v>147</v>
      </c>
      <c r="C306" s="7" t="s">
        <v>511</v>
      </c>
      <c r="D306" s="7" t="s">
        <v>16</v>
      </c>
      <c r="E306" s="7" t="s">
        <v>1177</v>
      </c>
      <c r="F306" s="7" t="s">
        <v>128</v>
      </c>
      <c r="G306" s="7" t="s">
        <v>130</v>
      </c>
      <c r="H306" s="7" t="s">
        <v>129</v>
      </c>
      <c r="I306" s="30">
        <v>1</v>
      </c>
      <c r="J306" s="7" t="s">
        <v>1177</v>
      </c>
      <c r="K306" s="7" t="s">
        <v>1178</v>
      </c>
      <c r="L306" s="7" t="s">
        <v>132</v>
      </c>
      <c r="M306" s="7" t="s">
        <v>133</v>
      </c>
      <c r="N306" s="30">
        <v>0</v>
      </c>
      <c r="O306" s="30">
        <v>0</v>
      </c>
      <c r="P306" s="30">
        <v>0</v>
      </c>
      <c r="Q306" s="30">
        <v>0</v>
      </c>
      <c r="R306" s="29">
        <v>0</v>
      </c>
      <c r="S306" s="36">
        <v>0</v>
      </c>
      <c r="T306" s="7" t="s">
        <v>131</v>
      </c>
      <c r="U306" s="7" t="s">
        <v>512</v>
      </c>
      <c r="V306" s="7" t="s">
        <v>512</v>
      </c>
      <c r="W306" s="7" t="s">
        <v>1177</v>
      </c>
      <c r="X306" s="30">
        <v>1</v>
      </c>
      <c r="Y306" s="7" t="s">
        <v>1177</v>
      </c>
      <c r="Z306" s="7" t="s">
        <v>1178</v>
      </c>
      <c r="AA306" s="30">
        <v>0</v>
      </c>
      <c r="AB306" s="36">
        <v>0</v>
      </c>
      <c r="AC306" s="7" t="s">
        <v>1177</v>
      </c>
      <c r="AD306" s="37">
        <v>0</v>
      </c>
      <c r="AE306" s="7" t="s">
        <v>1177</v>
      </c>
      <c r="AF306" s="7" t="s">
        <v>1177</v>
      </c>
      <c r="AG306" s="7" t="s">
        <v>1177</v>
      </c>
      <c r="AH306" s="38"/>
      <c r="AI306" s="36">
        <v>0</v>
      </c>
      <c r="AJ306" s="7" t="s">
        <v>1193</v>
      </c>
      <c r="AK306" s="7" t="s">
        <v>1177</v>
      </c>
      <c r="AL306" s="7" t="s">
        <v>1177</v>
      </c>
      <c r="AM306" s="7" t="s">
        <v>1177</v>
      </c>
      <c r="AN306" s="7" t="s">
        <v>3212</v>
      </c>
      <c r="AO306" s="7" t="s">
        <v>1177</v>
      </c>
      <c r="AP306" s="7" t="s">
        <v>1177</v>
      </c>
      <c r="AQ306" s="7" t="s">
        <v>1177</v>
      </c>
      <c r="AR306" s="29">
        <v>0</v>
      </c>
      <c r="AS306" s="7" t="s">
        <v>1177</v>
      </c>
      <c r="AT306" s="7" t="s">
        <v>1363</v>
      </c>
      <c r="AU306" s="38">
        <v>46275</v>
      </c>
      <c r="AV306" s="39">
        <v>0.60351851851852001</v>
      </c>
    </row>
    <row r="307" spans="1:48" x14ac:dyDescent="0.35">
      <c r="A307" t="str">
        <f t="shared" si="4"/>
        <v>GP004895B832</v>
      </c>
      <c r="B307" s="7" t="s">
        <v>147</v>
      </c>
      <c r="C307" s="7" t="s">
        <v>653</v>
      </c>
      <c r="D307" s="7" t="s">
        <v>19</v>
      </c>
      <c r="E307" s="7" t="s">
        <v>1177</v>
      </c>
      <c r="F307" s="7" t="s">
        <v>128</v>
      </c>
      <c r="G307" s="7" t="s">
        <v>130</v>
      </c>
      <c r="H307" s="7" t="s">
        <v>129</v>
      </c>
      <c r="I307" s="30">
        <v>2</v>
      </c>
      <c r="J307" s="7" t="s">
        <v>1177</v>
      </c>
      <c r="K307" s="7" t="s">
        <v>1178</v>
      </c>
      <c r="L307" s="7" t="s">
        <v>132</v>
      </c>
      <c r="M307" s="7" t="s">
        <v>133</v>
      </c>
      <c r="N307" s="30">
        <v>0</v>
      </c>
      <c r="O307" s="30">
        <v>0</v>
      </c>
      <c r="P307" s="30">
        <v>0</v>
      </c>
      <c r="Q307" s="30">
        <v>0</v>
      </c>
      <c r="R307" s="29">
        <v>0</v>
      </c>
      <c r="S307" s="36">
        <v>0</v>
      </c>
      <c r="T307" s="7" t="s">
        <v>131</v>
      </c>
      <c r="U307" s="7" t="s">
        <v>654</v>
      </c>
      <c r="V307" s="7" t="s">
        <v>654</v>
      </c>
      <c r="W307" s="7" t="s">
        <v>1177</v>
      </c>
      <c r="X307" s="30">
        <v>1</v>
      </c>
      <c r="Y307" s="7" t="s">
        <v>1177</v>
      </c>
      <c r="Z307" s="7" t="s">
        <v>1178</v>
      </c>
      <c r="AA307" s="30">
        <v>0</v>
      </c>
      <c r="AB307" s="36">
        <v>0</v>
      </c>
      <c r="AC307" s="7" t="s">
        <v>1177</v>
      </c>
      <c r="AD307" s="37">
        <v>0</v>
      </c>
      <c r="AE307" s="7" t="s">
        <v>1177</v>
      </c>
      <c r="AF307" s="7" t="s">
        <v>1177</v>
      </c>
      <c r="AG307" s="7" t="s">
        <v>1177</v>
      </c>
      <c r="AH307" s="38"/>
      <c r="AI307" s="36">
        <v>0</v>
      </c>
      <c r="AJ307" s="7" t="s">
        <v>1193</v>
      </c>
      <c r="AK307" s="7" t="s">
        <v>1177</v>
      </c>
      <c r="AL307" s="7" t="s">
        <v>1177</v>
      </c>
      <c r="AM307" s="7" t="s">
        <v>1177</v>
      </c>
      <c r="AN307" s="7" t="s">
        <v>3212</v>
      </c>
      <c r="AO307" s="7" t="s">
        <v>1177</v>
      </c>
      <c r="AP307" s="7" t="s">
        <v>1177</v>
      </c>
      <c r="AQ307" s="7" t="s">
        <v>1177</v>
      </c>
      <c r="AR307" s="29">
        <v>0</v>
      </c>
      <c r="AS307" s="7" t="s">
        <v>1177</v>
      </c>
      <c r="AT307" s="7" t="s">
        <v>1363</v>
      </c>
      <c r="AU307" s="38">
        <v>46275</v>
      </c>
      <c r="AV307" s="39">
        <v>0.60384259259258999</v>
      </c>
    </row>
    <row r="308" spans="1:48" x14ac:dyDescent="0.35">
      <c r="A308" t="str">
        <f t="shared" si="4"/>
        <v>GP004895B833</v>
      </c>
      <c r="B308" s="7" t="s">
        <v>147</v>
      </c>
      <c r="C308" s="7" t="s">
        <v>698</v>
      </c>
      <c r="D308" s="7" t="s">
        <v>697</v>
      </c>
      <c r="E308" s="7" t="s">
        <v>1177</v>
      </c>
      <c r="F308" s="7" t="s">
        <v>128</v>
      </c>
      <c r="G308" s="7" t="s">
        <v>130</v>
      </c>
      <c r="H308" s="7" t="s">
        <v>129</v>
      </c>
      <c r="I308" s="30">
        <v>2</v>
      </c>
      <c r="J308" s="7" t="s">
        <v>1177</v>
      </c>
      <c r="K308" s="7" t="s">
        <v>1178</v>
      </c>
      <c r="L308" s="7" t="s">
        <v>132</v>
      </c>
      <c r="M308" s="7" t="s">
        <v>133</v>
      </c>
      <c r="N308" s="30">
        <v>0</v>
      </c>
      <c r="O308" s="30">
        <v>0</v>
      </c>
      <c r="P308" s="30">
        <v>0</v>
      </c>
      <c r="Q308" s="30">
        <v>0</v>
      </c>
      <c r="R308" s="29">
        <v>0</v>
      </c>
      <c r="S308" s="36">
        <v>0</v>
      </c>
      <c r="T308" s="7" t="s">
        <v>131</v>
      </c>
      <c r="U308" s="7" t="s">
        <v>699</v>
      </c>
      <c r="V308" s="7" t="s">
        <v>699</v>
      </c>
      <c r="W308" s="7" t="s">
        <v>1177</v>
      </c>
      <c r="X308" s="30">
        <v>1</v>
      </c>
      <c r="Y308" s="7" t="s">
        <v>1177</v>
      </c>
      <c r="Z308" s="7" t="s">
        <v>1178</v>
      </c>
      <c r="AA308" s="30">
        <v>0</v>
      </c>
      <c r="AB308" s="36">
        <v>0</v>
      </c>
      <c r="AC308" s="7" t="s">
        <v>1177</v>
      </c>
      <c r="AD308" s="37">
        <v>0</v>
      </c>
      <c r="AE308" s="7" t="s">
        <v>1177</v>
      </c>
      <c r="AF308" s="7" t="s">
        <v>1177</v>
      </c>
      <c r="AG308" s="7" t="s">
        <v>1177</v>
      </c>
      <c r="AH308" s="38"/>
      <c r="AI308" s="36">
        <v>0</v>
      </c>
      <c r="AJ308" s="7" t="s">
        <v>1193</v>
      </c>
      <c r="AK308" s="7" t="s">
        <v>1177</v>
      </c>
      <c r="AL308" s="7" t="s">
        <v>1177</v>
      </c>
      <c r="AM308" s="7" t="s">
        <v>1177</v>
      </c>
      <c r="AN308" s="7" t="s">
        <v>3212</v>
      </c>
      <c r="AO308" s="7" t="s">
        <v>1177</v>
      </c>
      <c r="AP308" s="7" t="s">
        <v>1177</v>
      </c>
      <c r="AQ308" s="7" t="s">
        <v>1177</v>
      </c>
      <c r="AR308" s="29">
        <v>0</v>
      </c>
      <c r="AS308" s="7" t="s">
        <v>1177</v>
      </c>
      <c r="AT308" s="7" t="s">
        <v>1363</v>
      </c>
      <c r="AU308" s="38">
        <v>46275</v>
      </c>
      <c r="AV308" s="39">
        <v>0.60396990740740997</v>
      </c>
    </row>
    <row r="309" spans="1:48" x14ac:dyDescent="0.35">
      <c r="A309" t="str">
        <f t="shared" si="4"/>
        <v>GP004895B838</v>
      </c>
      <c r="B309" s="7" t="s">
        <v>147</v>
      </c>
      <c r="C309" s="7" t="s">
        <v>744</v>
      </c>
      <c r="D309" s="7" t="s">
        <v>48</v>
      </c>
      <c r="E309" s="7" t="s">
        <v>1177</v>
      </c>
      <c r="F309" s="7" t="s">
        <v>128</v>
      </c>
      <c r="G309" s="7" t="s">
        <v>130</v>
      </c>
      <c r="H309" s="7" t="s">
        <v>129</v>
      </c>
      <c r="I309" s="30">
        <v>2</v>
      </c>
      <c r="J309" s="7" t="s">
        <v>1177</v>
      </c>
      <c r="K309" s="7" t="s">
        <v>1178</v>
      </c>
      <c r="L309" s="7" t="s">
        <v>132</v>
      </c>
      <c r="M309" s="7" t="s">
        <v>133</v>
      </c>
      <c r="N309" s="30">
        <v>0</v>
      </c>
      <c r="O309" s="30">
        <v>0</v>
      </c>
      <c r="P309" s="30">
        <v>0</v>
      </c>
      <c r="Q309" s="30">
        <v>0</v>
      </c>
      <c r="R309" s="29">
        <v>0</v>
      </c>
      <c r="S309" s="36">
        <v>0</v>
      </c>
      <c r="T309" s="7" t="s">
        <v>131</v>
      </c>
      <c r="U309" s="7" t="s">
        <v>745</v>
      </c>
      <c r="V309" s="7" t="s">
        <v>745</v>
      </c>
      <c r="W309" s="7" t="s">
        <v>1177</v>
      </c>
      <c r="X309" s="30">
        <v>1</v>
      </c>
      <c r="Y309" s="7" t="s">
        <v>1177</v>
      </c>
      <c r="Z309" s="7" t="s">
        <v>1178</v>
      </c>
      <c r="AA309" s="30">
        <v>0</v>
      </c>
      <c r="AB309" s="36">
        <v>0</v>
      </c>
      <c r="AC309" s="7" t="s">
        <v>1177</v>
      </c>
      <c r="AD309" s="37">
        <v>0</v>
      </c>
      <c r="AE309" s="7" t="s">
        <v>1177</v>
      </c>
      <c r="AF309" s="7" t="s">
        <v>1177</v>
      </c>
      <c r="AG309" s="7" t="s">
        <v>1177</v>
      </c>
      <c r="AH309" s="38"/>
      <c r="AI309" s="36">
        <v>0</v>
      </c>
      <c r="AJ309" s="7" t="s">
        <v>1193</v>
      </c>
      <c r="AK309" s="7" t="s">
        <v>1177</v>
      </c>
      <c r="AL309" s="7" t="s">
        <v>1177</v>
      </c>
      <c r="AM309" s="7" t="s">
        <v>1177</v>
      </c>
      <c r="AN309" s="7" t="s">
        <v>3212</v>
      </c>
      <c r="AO309" s="7" t="s">
        <v>1177</v>
      </c>
      <c r="AP309" s="7" t="s">
        <v>1177</v>
      </c>
      <c r="AQ309" s="7" t="s">
        <v>1177</v>
      </c>
      <c r="AR309" s="29">
        <v>0</v>
      </c>
      <c r="AS309" s="7" t="s">
        <v>1177</v>
      </c>
      <c r="AT309" s="7" t="s">
        <v>1363</v>
      </c>
      <c r="AU309" s="38">
        <v>46275</v>
      </c>
      <c r="AV309" s="39">
        <v>0.60472222222222005</v>
      </c>
    </row>
    <row r="310" spans="1:48" x14ac:dyDescent="0.35">
      <c r="A310" t="str">
        <f t="shared" si="4"/>
        <v>GP004896B825</v>
      </c>
      <c r="B310" s="7" t="s">
        <v>148</v>
      </c>
      <c r="C310" s="7" t="s">
        <v>511</v>
      </c>
      <c r="D310" s="7" t="s">
        <v>16</v>
      </c>
      <c r="E310" s="7" t="s">
        <v>1177</v>
      </c>
      <c r="F310" s="7" t="s">
        <v>128</v>
      </c>
      <c r="G310" s="7" t="s">
        <v>130</v>
      </c>
      <c r="H310" s="7" t="s">
        <v>129</v>
      </c>
      <c r="I310" s="30">
        <v>2</v>
      </c>
      <c r="J310" s="7" t="s">
        <v>1177</v>
      </c>
      <c r="K310" s="7" t="s">
        <v>1178</v>
      </c>
      <c r="L310" s="7" t="s">
        <v>132</v>
      </c>
      <c r="M310" s="7" t="s">
        <v>133</v>
      </c>
      <c r="N310" s="30">
        <v>0</v>
      </c>
      <c r="O310" s="30">
        <v>0</v>
      </c>
      <c r="P310" s="30">
        <v>0</v>
      </c>
      <c r="Q310" s="30">
        <v>0</v>
      </c>
      <c r="R310" s="29">
        <v>0</v>
      </c>
      <c r="S310" s="36">
        <v>0</v>
      </c>
      <c r="T310" s="7" t="s">
        <v>131</v>
      </c>
      <c r="U310" s="7" t="s">
        <v>512</v>
      </c>
      <c r="V310" s="7" t="s">
        <v>512</v>
      </c>
      <c r="W310" s="7" t="s">
        <v>1177</v>
      </c>
      <c r="X310" s="30">
        <v>1</v>
      </c>
      <c r="Y310" s="7" t="s">
        <v>1177</v>
      </c>
      <c r="Z310" s="7" t="s">
        <v>1178</v>
      </c>
      <c r="AA310" s="30">
        <v>0</v>
      </c>
      <c r="AB310" s="36">
        <v>0</v>
      </c>
      <c r="AC310" s="7" t="s">
        <v>1177</v>
      </c>
      <c r="AD310" s="37">
        <v>0</v>
      </c>
      <c r="AE310" s="7" t="s">
        <v>1177</v>
      </c>
      <c r="AF310" s="7" t="s">
        <v>1177</v>
      </c>
      <c r="AG310" s="7" t="s">
        <v>1177</v>
      </c>
      <c r="AH310" s="38"/>
      <c r="AI310" s="36">
        <v>0</v>
      </c>
      <c r="AJ310" s="7" t="s">
        <v>1193</v>
      </c>
      <c r="AK310" s="7" t="s">
        <v>1177</v>
      </c>
      <c r="AL310" s="7" t="s">
        <v>1177</v>
      </c>
      <c r="AM310" s="7" t="s">
        <v>1177</v>
      </c>
      <c r="AN310" s="7" t="s">
        <v>3212</v>
      </c>
      <c r="AO310" s="7" t="s">
        <v>1177</v>
      </c>
      <c r="AP310" s="7" t="s">
        <v>1177</v>
      </c>
      <c r="AQ310" s="7" t="s">
        <v>1177</v>
      </c>
      <c r="AR310" s="29">
        <v>0</v>
      </c>
      <c r="AS310" s="7" t="s">
        <v>1177</v>
      </c>
      <c r="AT310" s="7" t="s">
        <v>1363</v>
      </c>
      <c r="AU310" s="38">
        <v>46275</v>
      </c>
      <c r="AV310" s="39">
        <v>0.60351851851852001</v>
      </c>
    </row>
    <row r="311" spans="1:48" x14ac:dyDescent="0.35">
      <c r="A311" t="str">
        <f t="shared" si="4"/>
        <v>GP004896B838</v>
      </c>
      <c r="B311" s="7" t="s">
        <v>148</v>
      </c>
      <c r="C311" s="7" t="s">
        <v>744</v>
      </c>
      <c r="D311" s="7" t="s">
        <v>48</v>
      </c>
      <c r="E311" s="7" t="s">
        <v>1177</v>
      </c>
      <c r="F311" s="7" t="s">
        <v>128</v>
      </c>
      <c r="G311" s="7" t="s">
        <v>130</v>
      </c>
      <c r="H311" s="7" t="s">
        <v>129</v>
      </c>
      <c r="I311" s="30">
        <v>2</v>
      </c>
      <c r="J311" s="7" t="s">
        <v>1177</v>
      </c>
      <c r="K311" s="7" t="s">
        <v>1178</v>
      </c>
      <c r="L311" s="7" t="s">
        <v>132</v>
      </c>
      <c r="M311" s="7" t="s">
        <v>133</v>
      </c>
      <c r="N311" s="30">
        <v>0</v>
      </c>
      <c r="O311" s="30">
        <v>0</v>
      </c>
      <c r="P311" s="30">
        <v>0</v>
      </c>
      <c r="Q311" s="30">
        <v>0</v>
      </c>
      <c r="R311" s="29">
        <v>0</v>
      </c>
      <c r="S311" s="36">
        <v>0</v>
      </c>
      <c r="T311" s="7" t="s">
        <v>131</v>
      </c>
      <c r="U311" s="7" t="s">
        <v>745</v>
      </c>
      <c r="V311" s="7" t="s">
        <v>745</v>
      </c>
      <c r="W311" s="7" t="s">
        <v>1177</v>
      </c>
      <c r="X311" s="30">
        <v>1</v>
      </c>
      <c r="Y311" s="7" t="s">
        <v>1177</v>
      </c>
      <c r="Z311" s="7" t="s">
        <v>1178</v>
      </c>
      <c r="AA311" s="30">
        <v>0</v>
      </c>
      <c r="AB311" s="36">
        <v>0</v>
      </c>
      <c r="AC311" s="7" t="s">
        <v>1177</v>
      </c>
      <c r="AD311" s="37">
        <v>0</v>
      </c>
      <c r="AE311" s="7" t="s">
        <v>1177</v>
      </c>
      <c r="AF311" s="7" t="s">
        <v>1177</v>
      </c>
      <c r="AG311" s="7" t="s">
        <v>1177</v>
      </c>
      <c r="AH311" s="38"/>
      <c r="AI311" s="36">
        <v>0</v>
      </c>
      <c r="AJ311" s="7" t="s">
        <v>1193</v>
      </c>
      <c r="AK311" s="7" t="s">
        <v>1177</v>
      </c>
      <c r="AL311" s="7" t="s">
        <v>1177</v>
      </c>
      <c r="AM311" s="7" t="s">
        <v>1177</v>
      </c>
      <c r="AN311" s="7" t="s">
        <v>3212</v>
      </c>
      <c r="AO311" s="7" t="s">
        <v>1177</v>
      </c>
      <c r="AP311" s="7" t="s">
        <v>1177</v>
      </c>
      <c r="AQ311" s="7" t="s">
        <v>1177</v>
      </c>
      <c r="AR311" s="29">
        <v>0</v>
      </c>
      <c r="AS311" s="7" t="s">
        <v>1177</v>
      </c>
      <c r="AT311" s="7" t="s">
        <v>1363</v>
      </c>
      <c r="AU311" s="38">
        <v>46275</v>
      </c>
      <c r="AV311" s="39">
        <v>0.60438657407407004</v>
      </c>
    </row>
    <row r="312" spans="1:48" x14ac:dyDescent="0.35">
      <c r="A312" t="str">
        <f t="shared" si="4"/>
        <v>GP004896B856</v>
      </c>
      <c r="B312" s="7" t="s">
        <v>148</v>
      </c>
      <c r="C312" s="7" t="s">
        <v>852</v>
      </c>
      <c r="D312" s="7" t="s">
        <v>21</v>
      </c>
      <c r="E312" s="7" t="s">
        <v>1177</v>
      </c>
      <c r="F312" s="7" t="s">
        <v>128</v>
      </c>
      <c r="G312" s="7" t="s">
        <v>130</v>
      </c>
      <c r="H312" s="7" t="s">
        <v>129</v>
      </c>
      <c r="I312" s="30">
        <v>2</v>
      </c>
      <c r="J312" s="7" t="s">
        <v>1177</v>
      </c>
      <c r="K312" s="7" t="s">
        <v>1178</v>
      </c>
      <c r="L312" s="7" t="s">
        <v>132</v>
      </c>
      <c r="M312" s="7" t="s">
        <v>133</v>
      </c>
      <c r="N312" s="30">
        <v>0</v>
      </c>
      <c r="O312" s="30">
        <v>0</v>
      </c>
      <c r="P312" s="30">
        <v>0</v>
      </c>
      <c r="Q312" s="30">
        <v>0</v>
      </c>
      <c r="R312" s="29">
        <v>0</v>
      </c>
      <c r="S312" s="36">
        <v>0</v>
      </c>
      <c r="T312" s="7" t="s">
        <v>131</v>
      </c>
      <c r="U312" s="7" t="s">
        <v>853</v>
      </c>
      <c r="V312" s="7" t="s">
        <v>853</v>
      </c>
      <c r="W312" s="7" t="s">
        <v>1177</v>
      </c>
      <c r="X312" s="30">
        <v>1</v>
      </c>
      <c r="Y312" s="7" t="s">
        <v>1177</v>
      </c>
      <c r="Z312" s="7" t="s">
        <v>1178</v>
      </c>
      <c r="AA312" s="30">
        <v>0</v>
      </c>
      <c r="AB312" s="36">
        <v>0</v>
      </c>
      <c r="AC312" s="7" t="s">
        <v>1177</v>
      </c>
      <c r="AD312" s="37">
        <v>0</v>
      </c>
      <c r="AE312" s="7" t="s">
        <v>1177</v>
      </c>
      <c r="AF312" s="7" t="s">
        <v>1177</v>
      </c>
      <c r="AG312" s="7" t="s">
        <v>1177</v>
      </c>
      <c r="AH312" s="38"/>
      <c r="AI312" s="36">
        <v>0</v>
      </c>
      <c r="AJ312" s="7" t="s">
        <v>1193</v>
      </c>
      <c r="AK312" s="7" t="s">
        <v>1177</v>
      </c>
      <c r="AL312" s="7" t="s">
        <v>1177</v>
      </c>
      <c r="AM312" s="7" t="s">
        <v>1177</v>
      </c>
      <c r="AN312" s="7" t="s">
        <v>3212</v>
      </c>
      <c r="AO312" s="7" t="s">
        <v>1177</v>
      </c>
      <c r="AP312" s="7" t="s">
        <v>1177</v>
      </c>
      <c r="AQ312" s="7" t="s">
        <v>1177</v>
      </c>
      <c r="AR312" s="29">
        <v>0</v>
      </c>
      <c r="AS312" s="7" t="s">
        <v>1177</v>
      </c>
      <c r="AT312" s="7" t="s">
        <v>1363</v>
      </c>
      <c r="AU312" s="38">
        <v>46275</v>
      </c>
      <c r="AV312" s="39">
        <v>0.60523148148147998</v>
      </c>
    </row>
    <row r="313" spans="1:48" x14ac:dyDescent="0.35">
      <c r="A313" t="str">
        <f t="shared" si="4"/>
        <v>GP004896B857</v>
      </c>
      <c r="B313" s="7" t="s">
        <v>148</v>
      </c>
      <c r="C313" s="7" t="s">
        <v>958</v>
      </c>
      <c r="D313" s="7" t="s">
        <v>23</v>
      </c>
      <c r="E313" s="7" t="s">
        <v>1177</v>
      </c>
      <c r="F313" s="7" t="s">
        <v>128</v>
      </c>
      <c r="G313" s="7" t="s">
        <v>130</v>
      </c>
      <c r="H313" s="7" t="s">
        <v>129</v>
      </c>
      <c r="I313" s="30">
        <v>2</v>
      </c>
      <c r="J313" s="7" t="s">
        <v>1177</v>
      </c>
      <c r="K313" s="7" t="s">
        <v>1178</v>
      </c>
      <c r="L313" s="7" t="s">
        <v>132</v>
      </c>
      <c r="M313" s="7" t="s">
        <v>133</v>
      </c>
      <c r="N313" s="30">
        <v>0</v>
      </c>
      <c r="O313" s="30">
        <v>0</v>
      </c>
      <c r="P313" s="30">
        <v>0</v>
      </c>
      <c r="Q313" s="30">
        <v>0</v>
      </c>
      <c r="R313" s="29">
        <v>0</v>
      </c>
      <c r="S313" s="36">
        <v>0</v>
      </c>
      <c r="T313" s="7" t="s">
        <v>131</v>
      </c>
      <c r="U313" s="7" t="s">
        <v>959</v>
      </c>
      <c r="V313" s="7" t="s">
        <v>959</v>
      </c>
      <c r="W313" s="7" t="s">
        <v>1177</v>
      </c>
      <c r="X313" s="30">
        <v>1</v>
      </c>
      <c r="Y313" s="7" t="s">
        <v>1177</v>
      </c>
      <c r="Z313" s="7" t="s">
        <v>1178</v>
      </c>
      <c r="AA313" s="30">
        <v>0</v>
      </c>
      <c r="AB313" s="36">
        <v>0</v>
      </c>
      <c r="AC313" s="7" t="s">
        <v>1177</v>
      </c>
      <c r="AD313" s="37">
        <v>0</v>
      </c>
      <c r="AE313" s="7" t="s">
        <v>1177</v>
      </c>
      <c r="AF313" s="7" t="s">
        <v>1177</v>
      </c>
      <c r="AG313" s="7" t="s">
        <v>1177</v>
      </c>
      <c r="AH313" s="38"/>
      <c r="AI313" s="36">
        <v>0</v>
      </c>
      <c r="AJ313" s="7" t="s">
        <v>1193</v>
      </c>
      <c r="AK313" s="7" t="s">
        <v>1177</v>
      </c>
      <c r="AL313" s="7" t="s">
        <v>1177</v>
      </c>
      <c r="AM313" s="7" t="s">
        <v>1177</v>
      </c>
      <c r="AN313" s="7" t="s">
        <v>3212</v>
      </c>
      <c r="AO313" s="7" t="s">
        <v>1177</v>
      </c>
      <c r="AP313" s="7" t="s">
        <v>1177</v>
      </c>
      <c r="AQ313" s="7" t="s">
        <v>1177</v>
      </c>
      <c r="AR313" s="29">
        <v>0</v>
      </c>
      <c r="AS313" s="7" t="s">
        <v>1177</v>
      </c>
      <c r="AT313" s="7" t="s">
        <v>1363</v>
      </c>
      <c r="AU313" s="38">
        <v>46275</v>
      </c>
      <c r="AV313" s="39">
        <v>0.60527777777778002</v>
      </c>
    </row>
    <row r="314" spans="1:48" x14ac:dyDescent="0.35">
      <c r="A314" t="str">
        <f t="shared" si="4"/>
        <v>GP004896B864</v>
      </c>
      <c r="B314" s="7" t="s">
        <v>148</v>
      </c>
      <c r="C314" s="7" t="s">
        <v>1010</v>
      </c>
      <c r="D314" s="7" t="s">
        <v>10</v>
      </c>
      <c r="E314" s="7" t="s">
        <v>1177</v>
      </c>
      <c r="F314" s="7" t="s">
        <v>128</v>
      </c>
      <c r="G314" s="7" t="s">
        <v>130</v>
      </c>
      <c r="H314" s="7" t="s">
        <v>129</v>
      </c>
      <c r="I314" s="30">
        <v>4</v>
      </c>
      <c r="J314" s="7" t="s">
        <v>1177</v>
      </c>
      <c r="K314" s="7" t="s">
        <v>1178</v>
      </c>
      <c r="L314" s="7" t="s">
        <v>132</v>
      </c>
      <c r="M314" s="7" t="s">
        <v>133</v>
      </c>
      <c r="N314" s="30">
        <v>0</v>
      </c>
      <c r="O314" s="30">
        <v>0</v>
      </c>
      <c r="P314" s="30">
        <v>0</v>
      </c>
      <c r="Q314" s="30">
        <v>0</v>
      </c>
      <c r="R314" s="29">
        <v>0</v>
      </c>
      <c r="S314" s="36">
        <v>0</v>
      </c>
      <c r="T314" s="7" t="s">
        <v>131</v>
      </c>
      <c r="U314" s="7" t="s">
        <v>1011</v>
      </c>
      <c r="V314" s="7" t="s">
        <v>1011</v>
      </c>
      <c r="W314" s="7" t="s">
        <v>1177</v>
      </c>
      <c r="X314" s="30">
        <v>1</v>
      </c>
      <c r="Y314" s="7" t="s">
        <v>1177</v>
      </c>
      <c r="Z314" s="7" t="s">
        <v>1178</v>
      </c>
      <c r="AA314" s="30">
        <v>0</v>
      </c>
      <c r="AB314" s="36">
        <v>0</v>
      </c>
      <c r="AC314" s="7" t="s">
        <v>1177</v>
      </c>
      <c r="AD314" s="37">
        <v>0</v>
      </c>
      <c r="AE314" s="7" t="s">
        <v>1177</v>
      </c>
      <c r="AF314" s="7" t="s">
        <v>1177</v>
      </c>
      <c r="AG314" s="7" t="s">
        <v>1177</v>
      </c>
      <c r="AH314" s="38"/>
      <c r="AI314" s="36">
        <v>0</v>
      </c>
      <c r="AJ314" s="7" t="s">
        <v>1193</v>
      </c>
      <c r="AK314" s="7" t="s">
        <v>1177</v>
      </c>
      <c r="AL314" s="7" t="s">
        <v>1177</v>
      </c>
      <c r="AM314" s="7" t="s">
        <v>1177</v>
      </c>
      <c r="AN314" s="7" t="s">
        <v>3212</v>
      </c>
      <c r="AO314" s="7" t="s">
        <v>1177</v>
      </c>
      <c r="AP314" s="7" t="s">
        <v>1177</v>
      </c>
      <c r="AQ314" s="7" t="s">
        <v>1177</v>
      </c>
      <c r="AR314" s="29">
        <v>0</v>
      </c>
      <c r="AS314" s="7" t="s">
        <v>1177</v>
      </c>
      <c r="AT314" s="7" t="s">
        <v>1363</v>
      </c>
      <c r="AU314" s="38">
        <v>46275</v>
      </c>
      <c r="AV314" s="39">
        <v>0.60541666666667004</v>
      </c>
    </row>
    <row r="315" spans="1:48" x14ac:dyDescent="0.35">
      <c r="A315" t="str">
        <f t="shared" si="4"/>
        <v>GP004896B865</v>
      </c>
      <c r="B315" s="7" t="s">
        <v>148</v>
      </c>
      <c r="C315" s="7" t="s">
        <v>1039</v>
      </c>
      <c r="D315" s="7" t="s">
        <v>7</v>
      </c>
      <c r="E315" s="7" t="s">
        <v>1177</v>
      </c>
      <c r="F315" s="7" t="s">
        <v>128</v>
      </c>
      <c r="G315" s="7" t="s">
        <v>130</v>
      </c>
      <c r="H315" s="7" t="s">
        <v>129</v>
      </c>
      <c r="I315" s="30">
        <v>4</v>
      </c>
      <c r="J315" s="7" t="s">
        <v>1177</v>
      </c>
      <c r="K315" s="7" t="s">
        <v>1178</v>
      </c>
      <c r="L315" s="7" t="s">
        <v>132</v>
      </c>
      <c r="M315" s="7" t="s">
        <v>133</v>
      </c>
      <c r="N315" s="30">
        <v>0</v>
      </c>
      <c r="O315" s="30">
        <v>0</v>
      </c>
      <c r="P315" s="30">
        <v>0</v>
      </c>
      <c r="Q315" s="30">
        <v>0</v>
      </c>
      <c r="R315" s="29">
        <v>0</v>
      </c>
      <c r="S315" s="36">
        <v>0</v>
      </c>
      <c r="T315" s="7" t="s">
        <v>131</v>
      </c>
      <c r="U315" s="7" t="s">
        <v>1040</v>
      </c>
      <c r="V315" s="7" t="s">
        <v>1040</v>
      </c>
      <c r="W315" s="7" t="s">
        <v>1177</v>
      </c>
      <c r="X315" s="30">
        <v>1</v>
      </c>
      <c r="Y315" s="7" t="s">
        <v>1177</v>
      </c>
      <c r="Z315" s="7" t="s">
        <v>1178</v>
      </c>
      <c r="AA315" s="30">
        <v>0</v>
      </c>
      <c r="AB315" s="36">
        <v>0</v>
      </c>
      <c r="AC315" s="7" t="s">
        <v>1177</v>
      </c>
      <c r="AD315" s="37">
        <v>0</v>
      </c>
      <c r="AE315" s="7" t="s">
        <v>1177</v>
      </c>
      <c r="AF315" s="7" t="s">
        <v>1177</v>
      </c>
      <c r="AG315" s="7" t="s">
        <v>1177</v>
      </c>
      <c r="AH315" s="38"/>
      <c r="AI315" s="36">
        <v>0</v>
      </c>
      <c r="AJ315" s="7" t="s">
        <v>1193</v>
      </c>
      <c r="AK315" s="7" t="s">
        <v>1177</v>
      </c>
      <c r="AL315" s="7" t="s">
        <v>1177</v>
      </c>
      <c r="AM315" s="7" t="s">
        <v>1177</v>
      </c>
      <c r="AN315" s="7" t="s">
        <v>3212</v>
      </c>
      <c r="AO315" s="7" t="s">
        <v>1177</v>
      </c>
      <c r="AP315" s="7" t="s">
        <v>1177</v>
      </c>
      <c r="AQ315" s="7" t="s">
        <v>1177</v>
      </c>
      <c r="AR315" s="29">
        <v>0</v>
      </c>
      <c r="AS315" s="7" t="s">
        <v>1177</v>
      </c>
      <c r="AT315" s="7" t="s">
        <v>1363</v>
      </c>
      <c r="AU315" s="38">
        <v>46275</v>
      </c>
      <c r="AV315" s="39">
        <v>0.60552083333332996</v>
      </c>
    </row>
    <row r="316" spans="1:48" x14ac:dyDescent="0.35">
      <c r="A316" t="str">
        <f t="shared" si="4"/>
        <v>GP004896B867</v>
      </c>
      <c r="B316" s="7" t="s">
        <v>148</v>
      </c>
      <c r="C316" s="7" t="s">
        <v>1059</v>
      </c>
      <c r="D316" s="7" t="s">
        <v>25</v>
      </c>
      <c r="E316" s="7" t="s">
        <v>1177</v>
      </c>
      <c r="F316" s="7" t="s">
        <v>128</v>
      </c>
      <c r="G316" s="7" t="s">
        <v>130</v>
      </c>
      <c r="H316" s="7" t="s">
        <v>129</v>
      </c>
      <c r="I316" s="30">
        <v>2</v>
      </c>
      <c r="J316" s="7" t="s">
        <v>1177</v>
      </c>
      <c r="K316" s="7" t="s">
        <v>1178</v>
      </c>
      <c r="L316" s="7" t="s">
        <v>132</v>
      </c>
      <c r="M316" s="7" t="s">
        <v>133</v>
      </c>
      <c r="N316" s="30">
        <v>0</v>
      </c>
      <c r="O316" s="30">
        <v>0</v>
      </c>
      <c r="P316" s="30">
        <v>0</v>
      </c>
      <c r="Q316" s="30">
        <v>0</v>
      </c>
      <c r="R316" s="29">
        <v>0</v>
      </c>
      <c r="S316" s="36">
        <v>0</v>
      </c>
      <c r="T316" s="7" t="s">
        <v>131</v>
      </c>
      <c r="U316" s="7" t="s">
        <v>1060</v>
      </c>
      <c r="V316" s="7" t="s">
        <v>1060</v>
      </c>
      <c r="W316" s="7" t="s">
        <v>1177</v>
      </c>
      <c r="X316" s="30">
        <v>1</v>
      </c>
      <c r="Y316" s="7" t="s">
        <v>1177</v>
      </c>
      <c r="Z316" s="7" t="s">
        <v>1178</v>
      </c>
      <c r="AA316" s="30">
        <v>0</v>
      </c>
      <c r="AB316" s="36">
        <v>0</v>
      </c>
      <c r="AC316" s="7" t="s">
        <v>1177</v>
      </c>
      <c r="AD316" s="37">
        <v>0</v>
      </c>
      <c r="AE316" s="7" t="s">
        <v>1177</v>
      </c>
      <c r="AF316" s="7" t="s">
        <v>1177</v>
      </c>
      <c r="AG316" s="7" t="s">
        <v>1177</v>
      </c>
      <c r="AH316" s="38"/>
      <c r="AI316" s="36">
        <v>0</v>
      </c>
      <c r="AJ316" s="7" t="s">
        <v>1193</v>
      </c>
      <c r="AK316" s="7" t="s">
        <v>1177</v>
      </c>
      <c r="AL316" s="7" t="s">
        <v>1177</v>
      </c>
      <c r="AM316" s="7" t="s">
        <v>1177</v>
      </c>
      <c r="AN316" s="7" t="s">
        <v>3212</v>
      </c>
      <c r="AO316" s="7" t="s">
        <v>1177</v>
      </c>
      <c r="AP316" s="7" t="s">
        <v>1177</v>
      </c>
      <c r="AQ316" s="7" t="s">
        <v>1177</v>
      </c>
      <c r="AR316" s="29">
        <v>0</v>
      </c>
      <c r="AS316" s="7" t="s">
        <v>1177</v>
      </c>
      <c r="AT316" s="7" t="s">
        <v>1363</v>
      </c>
      <c r="AU316" s="38">
        <v>46275</v>
      </c>
      <c r="AV316" s="39">
        <v>0.60568287037037005</v>
      </c>
    </row>
    <row r="317" spans="1:48" x14ac:dyDescent="0.35">
      <c r="A317" t="str">
        <f t="shared" si="4"/>
        <v>GP004897B825</v>
      </c>
      <c r="B317" s="7" t="s">
        <v>29</v>
      </c>
      <c r="C317" s="7" t="s">
        <v>511</v>
      </c>
      <c r="D317" s="7" t="s">
        <v>16</v>
      </c>
      <c r="E317" s="7" t="s">
        <v>1177</v>
      </c>
      <c r="F317" s="7" t="s">
        <v>128</v>
      </c>
      <c r="G317" s="7" t="s">
        <v>130</v>
      </c>
      <c r="H317" s="7" t="s">
        <v>129</v>
      </c>
      <c r="I317" s="30">
        <v>2</v>
      </c>
      <c r="J317" s="7" t="s">
        <v>1177</v>
      </c>
      <c r="K317" s="7" t="s">
        <v>1178</v>
      </c>
      <c r="L317" s="7" t="s">
        <v>132</v>
      </c>
      <c r="M317" s="7" t="s">
        <v>133</v>
      </c>
      <c r="N317" s="30">
        <v>0</v>
      </c>
      <c r="O317" s="30">
        <v>0</v>
      </c>
      <c r="P317" s="30">
        <v>0</v>
      </c>
      <c r="Q317" s="30">
        <v>0</v>
      </c>
      <c r="R317" s="29">
        <v>0</v>
      </c>
      <c r="S317" s="36">
        <v>0</v>
      </c>
      <c r="T317" s="7" t="s">
        <v>131</v>
      </c>
      <c r="U317" s="7" t="s">
        <v>512</v>
      </c>
      <c r="V317" s="7" t="s">
        <v>512</v>
      </c>
      <c r="W317" s="7" t="s">
        <v>1177</v>
      </c>
      <c r="X317" s="30">
        <v>1</v>
      </c>
      <c r="Y317" s="7" t="s">
        <v>1177</v>
      </c>
      <c r="Z317" s="7" t="s">
        <v>1178</v>
      </c>
      <c r="AA317" s="30">
        <v>0</v>
      </c>
      <c r="AB317" s="36">
        <v>0</v>
      </c>
      <c r="AC317" s="7" t="s">
        <v>1177</v>
      </c>
      <c r="AD317" s="37">
        <v>0</v>
      </c>
      <c r="AE317" s="7" t="s">
        <v>1177</v>
      </c>
      <c r="AF317" s="7" t="s">
        <v>1177</v>
      </c>
      <c r="AG317" s="7" t="s">
        <v>1177</v>
      </c>
      <c r="AH317" s="38"/>
      <c r="AI317" s="36">
        <v>0</v>
      </c>
      <c r="AJ317" s="7" t="s">
        <v>1193</v>
      </c>
      <c r="AK317" s="7" t="s">
        <v>1177</v>
      </c>
      <c r="AL317" s="7" t="s">
        <v>1177</v>
      </c>
      <c r="AM317" s="7" t="s">
        <v>1177</v>
      </c>
      <c r="AN317" s="7" t="s">
        <v>3212</v>
      </c>
      <c r="AO317" s="7" t="s">
        <v>1177</v>
      </c>
      <c r="AP317" s="7" t="s">
        <v>1177</v>
      </c>
      <c r="AQ317" s="7" t="s">
        <v>1177</v>
      </c>
      <c r="AR317" s="29">
        <v>0</v>
      </c>
      <c r="AS317" s="7" t="s">
        <v>1177</v>
      </c>
      <c r="AT317" s="7" t="s">
        <v>1363</v>
      </c>
      <c r="AU317" s="38">
        <v>46275</v>
      </c>
      <c r="AV317" s="39">
        <v>0.60351851851852001</v>
      </c>
    </row>
    <row r="318" spans="1:48" x14ac:dyDescent="0.35">
      <c r="A318" t="str">
        <f t="shared" si="4"/>
        <v>GP004897B832</v>
      </c>
      <c r="B318" s="7" t="s">
        <v>29</v>
      </c>
      <c r="C318" s="7" t="s">
        <v>653</v>
      </c>
      <c r="D318" s="7" t="s">
        <v>19</v>
      </c>
      <c r="E318" s="7" t="s">
        <v>1177</v>
      </c>
      <c r="F318" s="7" t="s">
        <v>128</v>
      </c>
      <c r="G318" s="7" t="s">
        <v>130</v>
      </c>
      <c r="H318" s="7" t="s">
        <v>129</v>
      </c>
      <c r="I318" s="30">
        <v>2</v>
      </c>
      <c r="J318" s="7" t="s">
        <v>1177</v>
      </c>
      <c r="K318" s="7" t="s">
        <v>1178</v>
      </c>
      <c r="L318" s="7" t="s">
        <v>132</v>
      </c>
      <c r="M318" s="7" t="s">
        <v>133</v>
      </c>
      <c r="N318" s="30">
        <v>0</v>
      </c>
      <c r="O318" s="30">
        <v>0</v>
      </c>
      <c r="P318" s="30">
        <v>0</v>
      </c>
      <c r="Q318" s="30">
        <v>0</v>
      </c>
      <c r="R318" s="29">
        <v>0</v>
      </c>
      <c r="S318" s="36">
        <v>0</v>
      </c>
      <c r="T318" s="7" t="s">
        <v>131</v>
      </c>
      <c r="U318" s="7" t="s">
        <v>654</v>
      </c>
      <c r="V318" s="7" t="s">
        <v>654</v>
      </c>
      <c r="W318" s="7" t="s">
        <v>1177</v>
      </c>
      <c r="X318" s="30">
        <v>1</v>
      </c>
      <c r="Y318" s="7" t="s">
        <v>1177</v>
      </c>
      <c r="Z318" s="7" t="s">
        <v>1178</v>
      </c>
      <c r="AA318" s="30">
        <v>0</v>
      </c>
      <c r="AB318" s="36">
        <v>0</v>
      </c>
      <c r="AC318" s="7" t="s">
        <v>1177</v>
      </c>
      <c r="AD318" s="37">
        <v>0</v>
      </c>
      <c r="AE318" s="7" t="s">
        <v>1177</v>
      </c>
      <c r="AF318" s="7" t="s">
        <v>1177</v>
      </c>
      <c r="AG318" s="7" t="s">
        <v>1177</v>
      </c>
      <c r="AH318" s="38"/>
      <c r="AI318" s="36">
        <v>0</v>
      </c>
      <c r="AJ318" s="7" t="s">
        <v>1193</v>
      </c>
      <c r="AK318" s="7" t="s">
        <v>1177</v>
      </c>
      <c r="AL318" s="7" t="s">
        <v>1177</v>
      </c>
      <c r="AM318" s="7" t="s">
        <v>1177</v>
      </c>
      <c r="AN318" s="7" t="s">
        <v>3212</v>
      </c>
      <c r="AO318" s="7" t="s">
        <v>1177</v>
      </c>
      <c r="AP318" s="7" t="s">
        <v>1177</v>
      </c>
      <c r="AQ318" s="7" t="s">
        <v>1177</v>
      </c>
      <c r="AR318" s="29">
        <v>0</v>
      </c>
      <c r="AS318" s="7" t="s">
        <v>1177</v>
      </c>
      <c r="AT318" s="7" t="s">
        <v>1363</v>
      </c>
      <c r="AU318" s="38">
        <v>46275</v>
      </c>
      <c r="AV318" s="39">
        <v>0.60384259259258999</v>
      </c>
    </row>
    <row r="319" spans="1:48" x14ac:dyDescent="0.35">
      <c r="A319" t="str">
        <f t="shared" si="4"/>
        <v>GP004897B833</v>
      </c>
      <c r="B319" s="7" t="s">
        <v>29</v>
      </c>
      <c r="C319" s="7" t="s">
        <v>698</v>
      </c>
      <c r="D319" s="7" t="s">
        <v>697</v>
      </c>
      <c r="E319" s="7" t="s">
        <v>1177</v>
      </c>
      <c r="F319" s="7" t="s">
        <v>128</v>
      </c>
      <c r="G319" s="7" t="s">
        <v>130</v>
      </c>
      <c r="H319" s="7" t="s">
        <v>129</v>
      </c>
      <c r="I319" s="30">
        <v>2</v>
      </c>
      <c r="J319" s="7" t="s">
        <v>1177</v>
      </c>
      <c r="K319" s="7" t="s">
        <v>1178</v>
      </c>
      <c r="L319" s="7" t="s">
        <v>132</v>
      </c>
      <c r="M319" s="7" t="s">
        <v>133</v>
      </c>
      <c r="N319" s="30">
        <v>0</v>
      </c>
      <c r="O319" s="30">
        <v>0</v>
      </c>
      <c r="P319" s="30">
        <v>0</v>
      </c>
      <c r="Q319" s="30">
        <v>0</v>
      </c>
      <c r="R319" s="29">
        <v>0</v>
      </c>
      <c r="S319" s="36">
        <v>0</v>
      </c>
      <c r="T319" s="7" t="s">
        <v>131</v>
      </c>
      <c r="U319" s="7" t="s">
        <v>699</v>
      </c>
      <c r="V319" s="7" t="s">
        <v>699</v>
      </c>
      <c r="W319" s="7" t="s">
        <v>1177</v>
      </c>
      <c r="X319" s="30">
        <v>1</v>
      </c>
      <c r="Y319" s="7" t="s">
        <v>1177</v>
      </c>
      <c r="Z319" s="7" t="s">
        <v>1178</v>
      </c>
      <c r="AA319" s="30">
        <v>0</v>
      </c>
      <c r="AB319" s="36">
        <v>0</v>
      </c>
      <c r="AC319" s="7" t="s">
        <v>1177</v>
      </c>
      <c r="AD319" s="37">
        <v>0</v>
      </c>
      <c r="AE319" s="7" t="s">
        <v>1177</v>
      </c>
      <c r="AF319" s="7" t="s">
        <v>1177</v>
      </c>
      <c r="AG319" s="7" t="s">
        <v>1177</v>
      </c>
      <c r="AH319" s="38"/>
      <c r="AI319" s="36">
        <v>0</v>
      </c>
      <c r="AJ319" s="7" t="s">
        <v>1193</v>
      </c>
      <c r="AK319" s="7" t="s">
        <v>1177</v>
      </c>
      <c r="AL319" s="7" t="s">
        <v>1177</v>
      </c>
      <c r="AM319" s="7" t="s">
        <v>1177</v>
      </c>
      <c r="AN319" s="7" t="s">
        <v>3212</v>
      </c>
      <c r="AO319" s="7" t="s">
        <v>1177</v>
      </c>
      <c r="AP319" s="7" t="s">
        <v>1177</v>
      </c>
      <c r="AQ319" s="7" t="s">
        <v>1177</v>
      </c>
      <c r="AR319" s="29">
        <v>0</v>
      </c>
      <c r="AS319" s="7" t="s">
        <v>1177</v>
      </c>
      <c r="AT319" s="7" t="s">
        <v>1363</v>
      </c>
      <c r="AU319" s="38">
        <v>46275</v>
      </c>
      <c r="AV319" s="39">
        <v>0.60395833333333004</v>
      </c>
    </row>
    <row r="320" spans="1:48" x14ac:dyDescent="0.35">
      <c r="A320" t="str">
        <f t="shared" si="4"/>
        <v>GP004897B856</v>
      </c>
      <c r="B320" s="7" t="s">
        <v>29</v>
      </c>
      <c r="C320" s="7" t="s">
        <v>852</v>
      </c>
      <c r="D320" s="7" t="s">
        <v>21</v>
      </c>
      <c r="E320" s="7" t="s">
        <v>1177</v>
      </c>
      <c r="F320" s="7" t="s">
        <v>128</v>
      </c>
      <c r="G320" s="7" t="s">
        <v>130</v>
      </c>
      <c r="H320" s="7" t="s">
        <v>129</v>
      </c>
      <c r="I320" s="30">
        <v>2</v>
      </c>
      <c r="J320" s="7" t="s">
        <v>1177</v>
      </c>
      <c r="K320" s="7" t="s">
        <v>1178</v>
      </c>
      <c r="L320" s="7" t="s">
        <v>132</v>
      </c>
      <c r="M320" s="7" t="s">
        <v>133</v>
      </c>
      <c r="N320" s="30">
        <v>0</v>
      </c>
      <c r="O320" s="30">
        <v>0</v>
      </c>
      <c r="P320" s="30">
        <v>0</v>
      </c>
      <c r="Q320" s="30">
        <v>0</v>
      </c>
      <c r="R320" s="29">
        <v>0</v>
      </c>
      <c r="S320" s="36">
        <v>0</v>
      </c>
      <c r="T320" s="7" t="s">
        <v>131</v>
      </c>
      <c r="U320" s="7" t="s">
        <v>853</v>
      </c>
      <c r="V320" s="7" t="s">
        <v>853</v>
      </c>
      <c r="W320" s="7" t="s">
        <v>1177</v>
      </c>
      <c r="X320" s="30">
        <v>1</v>
      </c>
      <c r="Y320" s="7" t="s">
        <v>1177</v>
      </c>
      <c r="Z320" s="7" t="s">
        <v>1178</v>
      </c>
      <c r="AA320" s="30">
        <v>0</v>
      </c>
      <c r="AB320" s="36">
        <v>0</v>
      </c>
      <c r="AC320" s="7" t="s">
        <v>1177</v>
      </c>
      <c r="AD320" s="37">
        <v>0</v>
      </c>
      <c r="AE320" s="7" t="s">
        <v>1177</v>
      </c>
      <c r="AF320" s="7" t="s">
        <v>1177</v>
      </c>
      <c r="AG320" s="7" t="s">
        <v>1177</v>
      </c>
      <c r="AH320" s="38"/>
      <c r="AI320" s="36">
        <v>0</v>
      </c>
      <c r="AJ320" s="7" t="s">
        <v>1193</v>
      </c>
      <c r="AK320" s="7" t="s">
        <v>1177</v>
      </c>
      <c r="AL320" s="7" t="s">
        <v>1177</v>
      </c>
      <c r="AM320" s="7" t="s">
        <v>1177</v>
      </c>
      <c r="AN320" s="7" t="s">
        <v>3212</v>
      </c>
      <c r="AO320" s="7" t="s">
        <v>1177</v>
      </c>
      <c r="AP320" s="7" t="s">
        <v>1177</v>
      </c>
      <c r="AQ320" s="7" t="s">
        <v>1177</v>
      </c>
      <c r="AR320" s="29">
        <v>0</v>
      </c>
      <c r="AS320" s="7" t="s">
        <v>1177</v>
      </c>
      <c r="AT320" s="7" t="s">
        <v>1363</v>
      </c>
      <c r="AU320" s="38">
        <v>46275</v>
      </c>
      <c r="AV320" s="39">
        <v>0.60523148148147998</v>
      </c>
    </row>
    <row r="321" spans="1:48" x14ac:dyDescent="0.35">
      <c r="A321" t="str">
        <f t="shared" si="4"/>
        <v>GP004897B857</v>
      </c>
      <c r="B321" s="7" t="s">
        <v>29</v>
      </c>
      <c r="C321" s="7" t="s">
        <v>958</v>
      </c>
      <c r="D321" s="7" t="s">
        <v>23</v>
      </c>
      <c r="E321" s="7" t="s">
        <v>1177</v>
      </c>
      <c r="F321" s="7" t="s">
        <v>128</v>
      </c>
      <c r="G321" s="7" t="s">
        <v>130</v>
      </c>
      <c r="H321" s="7" t="s">
        <v>129</v>
      </c>
      <c r="I321" s="30">
        <v>2</v>
      </c>
      <c r="J321" s="7" t="s">
        <v>1177</v>
      </c>
      <c r="K321" s="7" t="s">
        <v>1178</v>
      </c>
      <c r="L321" s="7" t="s">
        <v>132</v>
      </c>
      <c r="M321" s="7" t="s">
        <v>133</v>
      </c>
      <c r="N321" s="30">
        <v>0</v>
      </c>
      <c r="O321" s="30">
        <v>0</v>
      </c>
      <c r="P321" s="30">
        <v>0</v>
      </c>
      <c r="Q321" s="30">
        <v>0</v>
      </c>
      <c r="R321" s="29">
        <v>0</v>
      </c>
      <c r="S321" s="36">
        <v>0</v>
      </c>
      <c r="T321" s="7" t="s">
        <v>131</v>
      </c>
      <c r="U321" s="7" t="s">
        <v>959</v>
      </c>
      <c r="V321" s="7" t="s">
        <v>959</v>
      </c>
      <c r="W321" s="7" t="s">
        <v>1177</v>
      </c>
      <c r="X321" s="30">
        <v>1</v>
      </c>
      <c r="Y321" s="7" t="s">
        <v>1177</v>
      </c>
      <c r="Z321" s="7" t="s">
        <v>1178</v>
      </c>
      <c r="AA321" s="30">
        <v>0</v>
      </c>
      <c r="AB321" s="36">
        <v>0</v>
      </c>
      <c r="AC321" s="7" t="s">
        <v>1177</v>
      </c>
      <c r="AD321" s="37">
        <v>0</v>
      </c>
      <c r="AE321" s="7" t="s">
        <v>1177</v>
      </c>
      <c r="AF321" s="7" t="s">
        <v>1177</v>
      </c>
      <c r="AG321" s="7" t="s">
        <v>1177</v>
      </c>
      <c r="AH321" s="38"/>
      <c r="AI321" s="36">
        <v>0</v>
      </c>
      <c r="AJ321" s="7" t="s">
        <v>1193</v>
      </c>
      <c r="AK321" s="7" t="s">
        <v>1177</v>
      </c>
      <c r="AL321" s="7" t="s">
        <v>1177</v>
      </c>
      <c r="AM321" s="7" t="s">
        <v>1177</v>
      </c>
      <c r="AN321" s="7" t="s">
        <v>3212</v>
      </c>
      <c r="AO321" s="7" t="s">
        <v>1177</v>
      </c>
      <c r="AP321" s="7" t="s">
        <v>1177</v>
      </c>
      <c r="AQ321" s="7" t="s">
        <v>1177</v>
      </c>
      <c r="AR321" s="29">
        <v>0</v>
      </c>
      <c r="AS321" s="7" t="s">
        <v>1177</v>
      </c>
      <c r="AT321" s="7" t="s">
        <v>1363</v>
      </c>
      <c r="AU321" s="38">
        <v>46275</v>
      </c>
      <c r="AV321" s="39">
        <v>0.60525462962962995</v>
      </c>
    </row>
    <row r="322" spans="1:48" x14ac:dyDescent="0.35">
      <c r="A322" t="str">
        <f t="shared" si="4"/>
        <v>GP004897B864</v>
      </c>
      <c r="B322" s="7" t="s">
        <v>29</v>
      </c>
      <c r="C322" s="7" t="s">
        <v>1010</v>
      </c>
      <c r="D322" s="7" t="s">
        <v>10</v>
      </c>
      <c r="E322" s="7" t="s">
        <v>1177</v>
      </c>
      <c r="F322" s="7" t="s">
        <v>128</v>
      </c>
      <c r="G322" s="7" t="s">
        <v>130</v>
      </c>
      <c r="H322" s="7" t="s">
        <v>129</v>
      </c>
      <c r="I322" s="30">
        <v>5</v>
      </c>
      <c r="J322" s="7" t="s">
        <v>1177</v>
      </c>
      <c r="K322" s="7" t="s">
        <v>1178</v>
      </c>
      <c r="L322" s="7" t="s">
        <v>132</v>
      </c>
      <c r="M322" s="7" t="s">
        <v>133</v>
      </c>
      <c r="N322" s="30">
        <v>0</v>
      </c>
      <c r="O322" s="30">
        <v>0</v>
      </c>
      <c r="P322" s="30">
        <v>0</v>
      </c>
      <c r="Q322" s="30">
        <v>0</v>
      </c>
      <c r="R322" s="29">
        <v>0</v>
      </c>
      <c r="S322" s="36">
        <v>0</v>
      </c>
      <c r="T322" s="7" t="s">
        <v>131</v>
      </c>
      <c r="U322" s="7" t="s">
        <v>1011</v>
      </c>
      <c r="V322" s="7" t="s">
        <v>1011</v>
      </c>
      <c r="W322" s="7" t="s">
        <v>1177</v>
      </c>
      <c r="X322" s="30">
        <v>1</v>
      </c>
      <c r="Y322" s="7" t="s">
        <v>1177</v>
      </c>
      <c r="Z322" s="7" t="s">
        <v>1178</v>
      </c>
      <c r="AA322" s="30">
        <v>0</v>
      </c>
      <c r="AB322" s="36">
        <v>0</v>
      </c>
      <c r="AC322" s="7" t="s">
        <v>1177</v>
      </c>
      <c r="AD322" s="37">
        <v>0</v>
      </c>
      <c r="AE322" s="7" t="s">
        <v>1177</v>
      </c>
      <c r="AF322" s="7" t="s">
        <v>1177</v>
      </c>
      <c r="AG322" s="7" t="s">
        <v>1177</v>
      </c>
      <c r="AH322" s="38"/>
      <c r="AI322" s="36">
        <v>0</v>
      </c>
      <c r="AJ322" s="7" t="s">
        <v>1193</v>
      </c>
      <c r="AK322" s="7" t="s">
        <v>1177</v>
      </c>
      <c r="AL322" s="7" t="s">
        <v>1177</v>
      </c>
      <c r="AM322" s="7" t="s">
        <v>1177</v>
      </c>
      <c r="AN322" s="7" t="s">
        <v>3212</v>
      </c>
      <c r="AO322" s="7" t="s">
        <v>1177</v>
      </c>
      <c r="AP322" s="7" t="s">
        <v>1177</v>
      </c>
      <c r="AQ322" s="7" t="s">
        <v>1177</v>
      </c>
      <c r="AR322" s="29">
        <v>0</v>
      </c>
      <c r="AS322" s="7" t="s">
        <v>1177</v>
      </c>
      <c r="AT322" s="7" t="s">
        <v>1363</v>
      </c>
      <c r="AU322" s="38">
        <v>46275</v>
      </c>
      <c r="AV322" s="39">
        <v>0.60541666666667004</v>
      </c>
    </row>
    <row r="323" spans="1:48" x14ac:dyDescent="0.35">
      <c r="A323" t="str">
        <f t="shared" ref="A323:A386" si="5">_xlfn.CONCAT(B323,D323)</f>
        <v>GP004897B865</v>
      </c>
      <c r="B323" s="7" t="s">
        <v>29</v>
      </c>
      <c r="C323" s="7" t="s">
        <v>1039</v>
      </c>
      <c r="D323" s="7" t="s">
        <v>7</v>
      </c>
      <c r="E323" s="7" t="s">
        <v>1177</v>
      </c>
      <c r="F323" s="7" t="s">
        <v>128</v>
      </c>
      <c r="G323" s="7" t="s">
        <v>130</v>
      </c>
      <c r="H323" s="7" t="s">
        <v>129</v>
      </c>
      <c r="I323" s="30">
        <v>10</v>
      </c>
      <c r="J323" s="7" t="s">
        <v>1177</v>
      </c>
      <c r="K323" s="7" t="s">
        <v>1178</v>
      </c>
      <c r="L323" s="7" t="s">
        <v>132</v>
      </c>
      <c r="M323" s="7" t="s">
        <v>133</v>
      </c>
      <c r="N323" s="30">
        <v>0</v>
      </c>
      <c r="O323" s="30">
        <v>0</v>
      </c>
      <c r="P323" s="30">
        <v>0</v>
      </c>
      <c r="Q323" s="30">
        <v>0</v>
      </c>
      <c r="R323" s="29">
        <v>0</v>
      </c>
      <c r="S323" s="36">
        <v>0</v>
      </c>
      <c r="T323" s="7" t="s">
        <v>131</v>
      </c>
      <c r="U323" s="7" t="s">
        <v>1040</v>
      </c>
      <c r="V323" s="7" t="s">
        <v>1040</v>
      </c>
      <c r="W323" s="7" t="s">
        <v>1177</v>
      </c>
      <c r="X323" s="30">
        <v>3</v>
      </c>
      <c r="Y323" s="7" t="s">
        <v>1177</v>
      </c>
      <c r="Z323" s="7" t="s">
        <v>1178</v>
      </c>
      <c r="AA323" s="30">
        <v>0</v>
      </c>
      <c r="AB323" s="36">
        <v>0</v>
      </c>
      <c r="AC323" s="7" t="s">
        <v>1177</v>
      </c>
      <c r="AD323" s="37">
        <v>0</v>
      </c>
      <c r="AE323" s="7" t="s">
        <v>1177</v>
      </c>
      <c r="AF323" s="7" t="s">
        <v>1177</v>
      </c>
      <c r="AG323" s="7" t="s">
        <v>1177</v>
      </c>
      <c r="AH323" s="38"/>
      <c r="AI323" s="36">
        <v>0</v>
      </c>
      <c r="AJ323" s="7" t="s">
        <v>1193</v>
      </c>
      <c r="AK323" s="7" t="s">
        <v>1177</v>
      </c>
      <c r="AL323" s="7" t="s">
        <v>1177</v>
      </c>
      <c r="AM323" s="7" t="s">
        <v>1177</v>
      </c>
      <c r="AN323" s="7" t="s">
        <v>3212</v>
      </c>
      <c r="AO323" s="7" t="s">
        <v>1177</v>
      </c>
      <c r="AP323" s="7" t="s">
        <v>1177</v>
      </c>
      <c r="AQ323" s="7" t="s">
        <v>1177</v>
      </c>
      <c r="AR323" s="29">
        <v>0</v>
      </c>
      <c r="AS323" s="7" t="s">
        <v>1177</v>
      </c>
      <c r="AT323" s="7" t="s">
        <v>1363</v>
      </c>
      <c r="AU323" s="38">
        <v>46275</v>
      </c>
      <c r="AV323" s="39">
        <v>0.60552083333332996</v>
      </c>
    </row>
    <row r="324" spans="1:48" x14ac:dyDescent="0.35">
      <c r="A324" t="str">
        <f t="shared" si="5"/>
        <v>GP004897B867</v>
      </c>
      <c r="B324" s="7" t="s">
        <v>29</v>
      </c>
      <c r="C324" s="7" t="s">
        <v>1059</v>
      </c>
      <c r="D324" s="7" t="s">
        <v>25</v>
      </c>
      <c r="E324" s="7" t="s">
        <v>1177</v>
      </c>
      <c r="F324" s="7" t="s">
        <v>128</v>
      </c>
      <c r="G324" s="7" t="s">
        <v>130</v>
      </c>
      <c r="H324" s="7" t="s">
        <v>129</v>
      </c>
      <c r="I324" s="30">
        <v>2</v>
      </c>
      <c r="J324" s="7" t="s">
        <v>1177</v>
      </c>
      <c r="K324" s="7" t="s">
        <v>1178</v>
      </c>
      <c r="L324" s="7" t="s">
        <v>132</v>
      </c>
      <c r="M324" s="7" t="s">
        <v>133</v>
      </c>
      <c r="N324" s="30">
        <v>0</v>
      </c>
      <c r="O324" s="30">
        <v>0</v>
      </c>
      <c r="P324" s="30">
        <v>0</v>
      </c>
      <c r="Q324" s="30">
        <v>0</v>
      </c>
      <c r="R324" s="29">
        <v>0</v>
      </c>
      <c r="S324" s="36">
        <v>0</v>
      </c>
      <c r="T324" s="7" t="s">
        <v>131</v>
      </c>
      <c r="U324" s="7" t="s">
        <v>1060</v>
      </c>
      <c r="V324" s="7" t="s">
        <v>1060</v>
      </c>
      <c r="W324" s="7" t="s">
        <v>1177</v>
      </c>
      <c r="X324" s="30">
        <v>1</v>
      </c>
      <c r="Y324" s="7" t="s">
        <v>1177</v>
      </c>
      <c r="Z324" s="7" t="s">
        <v>1178</v>
      </c>
      <c r="AA324" s="30">
        <v>0</v>
      </c>
      <c r="AB324" s="36">
        <v>0</v>
      </c>
      <c r="AC324" s="7" t="s">
        <v>1177</v>
      </c>
      <c r="AD324" s="37">
        <v>0</v>
      </c>
      <c r="AE324" s="7" t="s">
        <v>1177</v>
      </c>
      <c r="AF324" s="7" t="s">
        <v>1177</v>
      </c>
      <c r="AG324" s="7" t="s">
        <v>1177</v>
      </c>
      <c r="AH324" s="38"/>
      <c r="AI324" s="36">
        <v>0</v>
      </c>
      <c r="AJ324" s="7" t="s">
        <v>1193</v>
      </c>
      <c r="AK324" s="7" t="s">
        <v>1177</v>
      </c>
      <c r="AL324" s="7" t="s">
        <v>1177</v>
      </c>
      <c r="AM324" s="7" t="s">
        <v>1177</v>
      </c>
      <c r="AN324" s="7" t="s">
        <v>3212</v>
      </c>
      <c r="AO324" s="7" t="s">
        <v>1177</v>
      </c>
      <c r="AP324" s="7" t="s">
        <v>1177</v>
      </c>
      <c r="AQ324" s="7" t="s">
        <v>1177</v>
      </c>
      <c r="AR324" s="29">
        <v>0</v>
      </c>
      <c r="AS324" s="7" t="s">
        <v>1177</v>
      </c>
      <c r="AT324" s="7" t="s">
        <v>1363</v>
      </c>
      <c r="AU324" s="38">
        <v>46275</v>
      </c>
      <c r="AV324" s="39">
        <v>0.60568287037037005</v>
      </c>
    </row>
    <row r="325" spans="1:48" x14ac:dyDescent="0.35">
      <c r="A325" t="str">
        <f t="shared" si="5"/>
        <v>GP004898B832</v>
      </c>
      <c r="B325" s="7" t="s">
        <v>149</v>
      </c>
      <c r="C325" s="7" t="s">
        <v>653</v>
      </c>
      <c r="D325" s="7" t="s">
        <v>19</v>
      </c>
      <c r="E325" s="7" t="s">
        <v>1177</v>
      </c>
      <c r="F325" s="7" t="s">
        <v>128</v>
      </c>
      <c r="G325" s="7" t="s">
        <v>130</v>
      </c>
      <c r="H325" s="7" t="s">
        <v>129</v>
      </c>
      <c r="I325" s="30">
        <v>2</v>
      </c>
      <c r="J325" s="7" t="s">
        <v>1177</v>
      </c>
      <c r="K325" s="7" t="s">
        <v>1178</v>
      </c>
      <c r="L325" s="7" t="s">
        <v>132</v>
      </c>
      <c r="M325" s="7" t="s">
        <v>133</v>
      </c>
      <c r="N325" s="30">
        <v>0</v>
      </c>
      <c r="O325" s="30">
        <v>0</v>
      </c>
      <c r="P325" s="30">
        <v>0</v>
      </c>
      <c r="Q325" s="30">
        <v>0</v>
      </c>
      <c r="R325" s="29">
        <v>0</v>
      </c>
      <c r="S325" s="36">
        <v>0</v>
      </c>
      <c r="T325" s="7" t="s">
        <v>131</v>
      </c>
      <c r="U325" s="7" t="s">
        <v>654</v>
      </c>
      <c r="V325" s="7" t="s">
        <v>654</v>
      </c>
      <c r="W325" s="7" t="s">
        <v>1177</v>
      </c>
      <c r="X325" s="30">
        <v>1</v>
      </c>
      <c r="Y325" s="7" t="s">
        <v>1177</v>
      </c>
      <c r="Z325" s="7" t="s">
        <v>1178</v>
      </c>
      <c r="AA325" s="30">
        <v>0</v>
      </c>
      <c r="AB325" s="36">
        <v>0</v>
      </c>
      <c r="AC325" s="7" t="s">
        <v>1177</v>
      </c>
      <c r="AD325" s="37">
        <v>0</v>
      </c>
      <c r="AE325" s="7" t="s">
        <v>1177</v>
      </c>
      <c r="AF325" s="7" t="s">
        <v>1177</v>
      </c>
      <c r="AG325" s="7" t="s">
        <v>1177</v>
      </c>
      <c r="AH325" s="38"/>
      <c r="AI325" s="36">
        <v>0</v>
      </c>
      <c r="AJ325" s="7" t="s">
        <v>1193</v>
      </c>
      <c r="AK325" s="7" t="s">
        <v>1177</v>
      </c>
      <c r="AL325" s="7" t="s">
        <v>1177</v>
      </c>
      <c r="AM325" s="7" t="s">
        <v>1177</v>
      </c>
      <c r="AN325" s="7" t="s">
        <v>3212</v>
      </c>
      <c r="AO325" s="7" t="s">
        <v>1177</v>
      </c>
      <c r="AP325" s="7" t="s">
        <v>1177</v>
      </c>
      <c r="AQ325" s="7" t="s">
        <v>1177</v>
      </c>
      <c r="AR325" s="29">
        <v>0</v>
      </c>
      <c r="AS325" s="7" t="s">
        <v>1177</v>
      </c>
      <c r="AT325" s="7" t="s">
        <v>1363</v>
      </c>
      <c r="AU325" s="38">
        <v>46275</v>
      </c>
      <c r="AV325" s="39">
        <v>0.60384259259258999</v>
      </c>
    </row>
    <row r="326" spans="1:48" x14ac:dyDescent="0.35">
      <c r="A326" t="str">
        <f t="shared" si="5"/>
        <v>GP004898B833</v>
      </c>
      <c r="B326" s="7" t="s">
        <v>149</v>
      </c>
      <c r="C326" s="7" t="s">
        <v>698</v>
      </c>
      <c r="D326" s="7" t="s">
        <v>697</v>
      </c>
      <c r="E326" s="7" t="s">
        <v>1177</v>
      </c>
      <c r="F326" s="7" t="s">
        <v>128</v>
      </c>
      <c r="G326" s="7" t="s">
        <v>130</v>
      </c>
      <c r="H326" s="7" t="s">
        <v>129</v>
      </c>
      <c r="I326" s="30">
        <v>2</v>
      </c>
      <c r="J326" s="7" t="s">
        <v>1177</v>
      </c>
      <c r="K326" s="7" t="s">
        <v>1178</v>
      </c>
      <c r="L326" s="7" t="s">
        <v>132</v>
      </c>
      <c r="M326" s="7" t="s">
        <v>133</v>
      </c>
      <c r="N326" s="30">
        <v>0</v>
      </c>
      <c r="O326" s="30">
        <v>0</v>
      </c>
      <c r="P326" s="30">
        <v>0</v>
      </c>
      <c r="Q326" s="30">
        <v>0</v>
      </c>
      <c r="R326" s="29">
        <v>0</v>
      </c>
      <c r="S326" s="36">
        <v>0</v>
      </c>
      <c r="T326" s="7" t="s">
        <v>131</v>
      </c>
      <c r="U326" s="7" t="s">
        <v>699</v>
      </c>
      <c r="V326" s="7" t="s">
        <v>699</v>
      </c>
      <c r="W326" s="7" t="s">
        <v>1177</v>
      </c>
      <c r="X326" s="30">
        <v>1</v>
      </c>
      <c r="Y326" s="7" t="s">
        <v>1177</v>
      </c>
      <c r="Z326" s="7" t="s">
        <v>1178</v>
      </c>
      <c r="AA326" s="30">
        <v>0</v>
      </c>
      <c r="AB326" s="36">
        <v>0</v>
      </c>
      <c r="AC326" s="7" t="s">
        <v>1177</v>
      </c>
      <c r="AD326" s="37">
        <v>0</v>
      </c>
      <c r="AE326" s="7" t="s">
        <v>1177</v>
      </c>
      <c r="AF326" s="7" t="s">
        <v>1177</v>
      </c>
      <c r="AG326" s="7" t="s">
        <v>1177</v>
      </c>
      <c r="AH326" s="38"/>
      <c r="AI326" s="36">
        <v>0</v>
      </c>
      <c r="AJ326" s="7" t="s">
        <v>1193</v>
      </c>
      <c r="AK326" s="7" t="s">
        <v>1177</v>
      </c>
      <c r="AL326" s="7" t="s">
        <v>1177</v>
      </c>
      <c r="AM326" s="7" t="s">
        <v>1177</v>
      </c>
      <c r="AN326" s="7" t="s">
        <v>3212</v>
      </c>
      <c r="AO326" s="7" t="s">
        <v>1177</v>
      </c>
      <c r="AP326" s="7" t="s">
        <v>1177</v>
      </c>
      <c r="AQ326" s="7" t="s">
        <v>1177</v>
      </c>
      <c r="AR326" s="29">
        <v>0</v>
      </c>
      <c r="AS326" s="7" t="s">
        <v>1177</v>
      </c>
      <c r="AT326" s="7" t="s">
        <v>1363</v>
      </c>
      <c r="AU326" s="38">
        <v>46275</v>
      </c>
      <c r="AV326" s="39">
        <v>0.60395833333333004</v>
      </c>
    </row>
    <row r="327" spans="1:48" x14ac:dyDescent="0.35">
      <c r="A327" t="str">
        <f t="shared" si="5"/>
        <v>GP004898B838</v>
      </c>
      <c r="B327" s="7" t="s">
        <v>149</v>
      </c>
      <c r="C327" s="7" t="s">
        <v>744</v>
      </c>
      <c r="D327" s="7" t="s">
        <v>48</v>
      </c>
      <c r="E327" s="7" t="s">
        <v>1177</v>
      </c>
      <c r="F327" s="7" t="s">
        <v>128</v>
      </c>
      <c r="G327" s="7" t="s">
        <v>130</v>
      </c>
      <c r="H327" s="7" t="s">
        <v>129</v>
      </c>
      <c r="I327" s="30">
        <v>2</v>
      </c>
      <c r="J327" s="7" t="s">
        <v>1177</v>
      </c>
      <c r="K327" s="7" t="s">
        <v>1178</v>
      </c>
      <c r="L327" s="7" t="s">
        <v>132</v>
      </c>
      <c r="M327" s="7" t="s">
        <v>133</v>
      </c>
      <c r="N327" s="30">
        <v>0</v>
      </c>
      <c r="O327" s="30">
        <v>0</v>
      </c>
      <c r="P327" s="30">
        <v>0</v>
      </c>
      <c r="Q327" s="30">
        <v>0</v>
      </c>
      <c r="R327" s="29">
        <v>0</v>
      </c>
      <c r="S327" s="36">
        <v>0</v>
      </c>
      <c r="T327" s="7" t="s">
        <v>131</v>
      </c>
      <c r="U327" s="7" t="s">
        <v>745</v>
      </c>
      <c r="V327" s="7" t="s">
        <v>745</v>
      </c>
      <c r="W327" s="7" t="s">
        <v>1177</v>
      </c>
      <c r="X327" s="30">
        <v>1</v>
      </c>
      <c r="Y327" s="7" t="s">
        <v>1177</v>
      </c>
      <c r="Z327" s="7" t="s">
        <v>1178</v>
      </c>
      <c r="AA327" s="30">
        <v>0</v>
      </c>
      <c r="AB327" s="36">
        <v>0</v>
      </c>
      <c r="AC327" s="7" t="s">
        <v>1177</v>
      </c>
      <c r="AD327" s="37">
        <v>0</v>
      </c>
      <c r="AE327" s="7" t="s">
        <v>1177</v>
      </c>
      <c r="AF327" s="7" t="s">
        <v>1177</v>
      </c>
      <c r="AG327" s="7" t="s">
        <v>1177</v>
      </c>
      <c r="AH327" s="38"/>
      <c r="AI327" s="36">
        <v>0</v>
      </c>
      <c r="AJ327" s="7" t="s">
        <v>1193</v>
      </c>
      <c r="AK327" s="7" t="s">
        <v>1177</v>
      </c>
      <c r="AL327" s="7" t="s">
        <v>1177</v>
      </c>
      <c r="AM327" s="7" t="s">
        <v>1177</v>
      </c>
      <c r="AN327" s="7" t="s">
        <v>3212</v>
      </c>
      <c r="AO327" s="7" t="s">
        <v>1177</v>
      </c>
      <c r="AP327" s="7" t="s">
        <v>1177</v>
      </c>
      <c r="AQ327" s="7" t="s">
        <v>1177</v>
      </c>
      <c r="AR327" s="29">
        <v>0</v>
      </c>
      <c r="AS327" s="7" t="s">
        <v>1177</v>
      </c>
      <c r="AT327" s="7" t="s">
        <v>1363</v>
      </c>
      <c r="AU327" s="38">
        <v>46275</v>
      </c>
      <c r="AV327" s="39">
        <v>0.60446759259258998</v>
      </c>
    </row>
    <row r="328" spans="1:48" x14ac:dyDescent="0.35">
      <c r="A328" t="str">
        <f t="shared" si="5"/>
        <v>GP004898B856</v>
      </c>
      <c r="B328" s="7" t="s">
        <v>149</v>
      </c>
      <c r="C328" s="7" t="s">
        <v>852</v>
      </c>
      <c r="D328" s="7" t="s">
        <v>21</v>
      </c>
      <c r="E328" s="7" t="s">
        <v>1177</v>
      </c>
      <c r="F328" s="7" t="s">
        <v>128</v>
      </c>
      <c r="G328" s="7" t="s">
        <v>130</v>
      </c>
      <c r="H328" s="7" t="s">
        <v>129</v>
      </c>
      <c r="I328" s="30">
        <v>2</v>
      </c>
      <c r="J328" s="7" t="s">
        <v>1177</v>
      </c>
      <c r="K328" s="7" t="s">
        <v>1178</v>
      </c>
      <c r="L328" s="7" t="s">
        <v>132</v>
      </c>
      <c r="M328" s="7" t="s">
        <v>133</v>
      </c>
      <c r="N328" s="30">
        <v>0</v>
      </c>
      <c r="O328" s="30">
        <v>0</v>
      </c>
      <c r="P328" s="30">
        <v>0</v>
      </c>
      <c r="Q328" s="30">
        <v>0</v>
      </c>
      <c r="R328" s="29">
        <v>0</v>
      </c>
      <c r="S328" s="36">
        <v>0</v>
      </c>
      <c r="T328" s="7" t="s">
        <v>131</v>
      </c>
      <c r="U328" s="7" t="s">
        <v>853</v>
      </c>
      <c r="V328" s="7" t="s">
        <v>853</v>
      </c>
      <c r="W328" s="7" t="s">
        <v>1177</v>
      </c>
      <c r="X328" s="30">
        <v>1</v>
      </c>
      <c r="Y328" s="7" t="s">
        <v>1177</v>
      </c>
      <c r="Z328" s="7" t="s">
        <v>1178</v>
      </c>
      <c r="AA328" s="30">
        <v>0</v>
      </c>
      <c r="AB328" s="36">
        <v>0</v>
      </c>
      <c r="AC328" s="7" t="s">
        <v>1177</v>
      </c>
      <c r="AD328" s="37">
        <v>0</v>
      </c>
      <c r="AE328" s="7" t="s">
        <v>1177</v>
      </c>
      <c r="AF328" s="7" t="s">
        <v>1177</v>
      </c>
      <c r="AG328" s="7" t="s">
        <v>1177</v>
      </c>
      <c r="AH328" s="38"/>
      <c r="AI328" s="36">
        <v>0</v>
      </c>
      <c r="AJ328" s="7" t="s">
        <v>1193</v>
      </c>
      <c r="AK328" s="7" t="s">
        <v>1177</v>
      </c>
      <c r="AL328" s="7" t="s">
        <v>1177</v>
      </c>
      <c r="AM328" s="7" t="s">
        <v>1177</v>
      </c>
      <c r="AN328" s="7" t="s">
        <v>3212</v>
      </c>
      <c r="AO328" s="7" t="s">
        <v>1177</v>
      </c>
      <c r="AP328" s="7" t="s">
        <v>1177</v>
      </c>
      <c r="AQ328" s="7" t="s">
        <v>1177</v>
      </c>
      <c r="AR328" s="29">
        <v>0</v>
      </c>
      <c r="AS328" s="7" t="s">
        <v>1177</v>
      </c>
      <c r="AT328" s="7" t="s">
        <v>1363</v>
      </c>
      <c r="AU328" s="38">
        <v>46275</v>
      </c>
      <c r="AV328" s="39">
        <v>0.60523148148147998</v>
      </c>
    </row>
    <row r="329" spans="1:48" x14ac:dyDescent="0.35">
      <c r="A329" t="str">
        <f t="shared" si="5"/>
        <v>GP004898B857</v>
      </c>
      <c r="B329" s="7" t="s">
        <v>149</v>
      </c>
      <c r="C329" s="7" t="s">
        <v>958</v>
      </c>
      <c r="D329" s="7" t="s">
        <v>23</v>
      </c>
      <c r="E329" s="7" t="s">
        <v>1177</v>
      </c>
      <c r="F329" s="7" t="s">
        <v>128</v>
      </c>
      <c r="G329" s="7" t="s">
        <v>130</v>
      </c>
      <c r="H329" s="7" t="s">
        <v>129</v>
      </c>
      <c r="I329" s="30">
        <v>1</v>
      </c>
      <c r="J329" s="7" t="s">
        <v>1177</v>
      </c>
      <c r="K329" s="7" t="s">
        <v>1178</v>
      </c>
      <c r="L329" s="7" t="s">
        <v>132</v>
      </c>
      <c r="M329" s="7" t="s">
        <v>133</v>
      </c>
      <c r="N329" s="30">
        <v>0</v>
      </c>
      <c r="O329" s="30">
        <v>0</v>
      </c>
      <c r="P329" s="30">
        <v>0</v>
      </c>
      <c r="Q329" s="30">
        <v>0</v>
      </c>
      <c r="R329" s="29">
        <v>0</v>
      </c>
      <c r="S329" s="36">
        <v>0</v>
      </c>
      <c r="T329" s="7" t="s">
        <v>131</v>
      </c>
      <c r="U329" s="7" t="s">
        <v>959</v>
      </c>
      <c r="V329" s="7" t="s">
        <v>959</v>
      </c>
      <c r="W329" s="7" t="s">
        <v>1177</v>
      </c>
      <c r="X329" s="30">
        <v>1</v>
      </c>
      <c r="Y329" s="7" t="s">
        <v>1177</v>
      </c>
      <c r="Z329" s="7" t="s">
        <v>1178</v>
      </c>
      <c r="AA329" s="30">
        <v>0</v>
      </c>
      <c r="AB329" s="36">
        <v>0</v>
      </c>
      <c r="AC329" s="7" t="s">
        <v>1177</v>
      </c>
      <c r="AD329" s="37">
        <v>0</v>
      </c>
      <c r="AE329" s="7" t="s">
        <v>1177</v>
      </c>
      <c r="AF329" s="7" t="s">
        <v>1177</v>
      </c>
      <c r="AG329" s="7" t="s">
        <v>1177</v>
      </c>
      <c r="AH329" s="38"/>
      <c r="AI329" s="36">
        <v>0</v>
      </c>
      <c r="AJ329" s="7" t="s">
        <v>1193</v>
      </c>
      <c r="AK329" s="7" t="s">
        <v>1177</v>
      </c>
      <c r="AL329" s="7" t="s">
        <v>1177</v>
      </c>
      <c r="AM329" s="7" t="s">
        <v>1177</v>
      </c>
      <c r="AN329" s="7" t="s">
        <v>3212</v>
      </c>
      <c r="AO329" s="7" t="s">
        <v>1177</v>
      </c>
      <c r="AP329" s="7" t="s">
        <v>1177</v>
      </c>
      <c r="AQ329" s="7" t="s">
        <v>1177</v>
      </c>
      <c r="AR329" s="29">
        <v>0</v>
      </c>
      <c r="AS329" s="7" t="s">
        <v>1177</v>
      </c>
      <c r="AT329" s="7" t="s">
        <v>1363</v>
      </c>
      <c r="AU329" s="38">
        <v>46275</v>
      </c>
      <c r="AV329" s="39">
        <v>0.60526620370369999</v>
      </c>
    </row>
    <row r="330" spans="1:48" x14ac:dyDescent="0.35">
      <c r="A330" t="str">
        <f t="shared" si="5"/>
        <v>GP004898B867</v>
      </c>
      <c r="B330" s="7" t="s">
        <v>149</v>
      </c>
      <c r="C330" s="7" t="s">
        <v>1059</v>
      </c>
      <c r="D330" s="7" t="s">
        <v>25</v>
      </c>
      <c r="E330" s="7" t="s">
        <v>1177</v>
      </c>
      <c r="F330" s="7" t="s">
        <v>128</v>
      </c>
      <c r="G330" s="7" t="s">
        <v>130</v>
      </c>
      <c r="H330" s="7" t="s">
        <v>129</v>
      </c>
      <c r="I330" s="30">
        <v>2</v>
      </c>
      <c r="J330" s="7" t="s">
        <v>1177</v>
      </c>
      <c r="K330" s="7" t="s">
        <v>1178</v>
      </c>
      <c r="L330" s="7" t="s">
        <v>132</v>
      </c>
      <c r="M330" s="7" t="s">
        <v>133</v>
      </c>
      <c r="N330" s="30">
        <v>0</v>
      </c>
      <c r="O330" s="30">
        <v>0</v>
      </c>
      <c r="P330" s="30">
        <v>0</v>
      </c>
      <c r="Q330" s="30">
        <v>0</v>
      </c>
      <c r="R330" s="29">
        <v>0</v>
      </c>
      <c r="S330" s="36">
        <v>0</v>
      </c>
      <c r="T330" s="7" t="s">
        <v>131</v>
      </c>
      <c r="U330" s="7" t="s">
        <v>1060</v>
      </c>
      <c r="V330" s="7" t="s">
        <v>1060</v>
      </c>
      <c r="W330" s="7" t="s">
        <v>1177</v>
      </c>
      <c r="X330" s="30">
        <v>1</v>
      </c>
      <c r="Y330" s="7" t="s">
        <v>1177</v>
      </c>
      <c r="Z330" s="7" t="s">
        <v>1178</v>
      </c>
      <c r="AA330" s="30">
        <v>0</v>
      </c>
      <c r="AB330" s="36">
        <v>0</v>
      </c>
      <c r="AC330" s="7" t="s">
        <v>1177</v>
      </c>
      <c r="AD330" s="37">
        <v>0</v>
      </c>
      <c r="AE330" s="7" t="s">
        <v>1177</v>
      </c>
      <c r="AF330" s="7" t="s">
        <v>1177</v>
      </c>
      <c r="AG330" s="7" t="s">
        <v>1177</v>
      </c>
      <c r="AH330" s="38"/>
      <c r="AI330" s="36">
        <v>0</v>
      </c>
      <c r="AJ330" s="7" t="s">
        <v>1193</v>
      </c>
      <c r="AK330" s="7" t="s">
        <v>1177</v>
      </c>
      <c r="AL330" s="7" t="s">
        <v>1177</v>
      </c>
      <c r="AM330" s="7" t="s">
        <v>1177</v>
      </c>
      <c r="AN330" s="7" t="s">
        <v>3212</v>
      </c>
      <c r="AO330" s="7" t="s">
        <v>1177</v>
      </c>
      <c r="AP330" s="7" t="s">
        <v>1177</v>
      </c>
      <c r="AQ330" s="7" t="s">
        <v>1177</v>
      </c>
      <c r="AR330" s="29">
        <v>0</v>
      </c>
      <c r="AS330" s="7" t="s">
        <v>1177</v>
      </c>
      <c r="AT330" s="7" t="s">
        <v>1363</v>
      </c>
      <c r="AU330" s="38">
        <v>46275</v>
      </c>
      <c r="AV330" s="39">
        <v>0.60568287037037005</v>
      </c>
    </row>
    <row r="331" spans="1:48" x14ac:dyDescent="0.35">
      <c r="A331" t="str">
        <f t="shared" si="5"/>
        <v>GP004913B857</v>
      </c>
      <c r="B331" s="7" t="s">
        <v>788</v>
      </c>
      <c r="C331" s="7" t="s">
        <v>958</v>
      </c>
      <c r="D331" s="7" t="s">
        <v>23</v>
      </c>
      <c r="E331" s="7" t="s">
        <v>1177</v>
      </c>
      <c r="F331" s="7" t="s">
        <v>128</v>
      </c>
      <c r="G331" s="7" t="s">
        <v>130</v>
      </c>
      <c r="H331" s="7" t="s">
        <v>129</v>
      </c>
      <c r="I331" s="30">
        <v>1</v>
      </c>
      <c r="J331" s="7" t="s">
        <v>1177</v>
      </c>
      <c r="K331" s="7" t="s">
        <v>1178</v>
      </c>
      <c r="L331" s="7" t="s">
        <v>132</v>
      </c>
      <c r="M331" s="7" t="s">
        <v>133</v>
      </c>
      <c r="N331" s="30">
        <v>0</v>
      </c>
      <c r="O331" s="30">
        <v>0</v>
      </c>
      <c r="P331" s="30">
        <v>0</v>
      </c>
      <c r="Q331" s="30">
        <v>0</v>
      </c>
      <c r="R331" s="29">
        <v>0</v>
      </c>
      <c r="S331" s="36">
        <v>0</v>
      </c>
      <c r="T331" s="7" t="s">
        <v>131</v>
      </c>
      <c r="U331" s="7" t="s">
        <v>959</v>
      </c>
      <c r="V331" s="7" t="s">
        <v>959</v>
      </c>
      <c r="W331" s="7" t="s">
        <v>1177</v>
      </c>
      <c r="X331" s="30">
        <v>1</v>
      </c>
      <c r="Y331" s="7" t="s">
        <v>1177</v>
      </c>
      <c r="Z331" s="7" t="s">
        <v>1178</v>
      </c>
      <c r="AA331" s="30">
        <v>0</v>
      </c>
      <c r="AB331" s="36">
        <v>0</v>
      </c>
      <c r="AC331" s="7" t="s">
        <v>1177</v>
      </c>
      <c r="AD331" s="37">
        <v>0</v>
      </c>
      <c r="AE331" s="7" t="s">
        <v>1177</v>
      </c>
      <c r="AF331" s="7" t="s">
        <v>1177</v>
      </c>
      <c r="AG331" s="7" t="s">
        <v>1177</v>
      </c>
      <c r="AH331" s="38"/>
      <c r="AI331" s="36">
        <v>0</v>
      </c>
      <c r="AJ331" s="7" t="s">
        <v>1193</v>
      </c>
      <c r="AK331" s="7" t="s">
        <v>1177</v>
      </c>
      <c r="AL331" s="7" t="s">
        <v>1177</v>
      </c>
      <c r="AM331" s="7" t="s">
        <v>1177</v>
      </c>
      <c r="AN331" s="7" t="s">
        <v>3212</v>
      </c>
      <c r="AO331" s="7" t="s">
        <v>1177</v>
      </c>
      <c r="AP331" s="7" t="s">
        <v>1177</v>
      </c>
      <c r="AQ331" s="7" t="s">
        <v>1177</v>
      </c>
      <c r="AR331" s="29">
        <v>0</v>
      </c>
      <c r="AS331" s="7" t="s">
        <v>1177</v>
      </c>
      <c r="AT331" s="7" t="s">
        <v>1363</v>
      </c>
      <c r="AU331" s="38">
        <v>46275</v>
      </c>
      <c r="AV331" s="39">
        <v>0.62495370370369996</v>
      </c>
    </row>
    <row r="332" spans="1:48" x14ac:dyDescent="0.35">
      <c r="A332" t="str">
        <f t="shared" si="5"/>
        <v>GP004913B867</v>
      </c>
      <c r="B332" s="7" t="s">
        <v>788</v>
      </c>
      <c r="C332" s="7" t="s">
        <v>1059</v>
      </c>
      <c r="D332" s="7" t="s">
        <v>25</v>
      </c>
      <c r="E332" s="7" t="s">
        <v>1177</v>
      </c>
      <c r="F332" s="7" t="s">
        <v>128</v>
      </c>
      <c r="G332" s="7" t="s">
        <v>130</v>
      </c>
      <c r="H332" s="7" t="s">
        <v>129</v>
      </c>
      <c r="I332" s="30">
        <v>2</v>
      </c>
      <c r="J332" s="7" t="s">
        <v>1177</v>
      </c>
      <c r="K332" s="7" t="s">
        <v>1178</v>
      </c>
      <c r="L332" s="7" t="s">
        <v>132</v>
      </c>
      <c r="M332" s="7" t="s">
        <v>133</v>
      </c>
      <c r="N332" s="30">
        <v>0</v>
      </c>
      <c r="O332" s="30">
        <v>0</v>
      </c>
      <c r="P332" s="30">
        <v>0</v>
      </c>
      <c r="Q332" s="30">
        <v>0</v>
      </c>
      <c r="R332" s="29">
        <v>0</v>
      </c>
      <c r="S332" s="36">
        <v>0</v>
      </c>
      <c r="T332" s="7" t="s">
        <v>131</v>
      </c>
      <c r="U332" s="7" t="s">
        <v>1060</v>
      </c>
      <c r="V332" s="7" t="s">
        <v>1060</v>
      </c>
      <c r="W332" s="7" t="s">
        <v>1177</v>
      </c>
      <c r="X332" s="30">
        <v>1</v>
      </c>
      <c r="Y332" s="7" t="s">
        <v>1177</v>
      </c>
      <c r="Z332" s="7" t="s">
        <v>1178</v>
      </c>
      <c r="AA332" s="30">
        <v>0</v>
      </c>
      <c r="AB332" s="36">
        <v>0</v>
      </c>
      <c r="AC332" s="7" t="s">
        <v>1177</v>
      </c>
      <c r="AD332" s="37">
        <v>0</v>
      </c>
      <c r="AE332" s="7" t="s">
        <v>1177</v>
      </c>
      <c r="AF332" s="7" t="s">
        <v>1177</v>
      </c>
      <c r="AG332" s="7" t="s">
        <v>1177</v>
      </c>
      <c r="AH332" s="38"/>
      <c r="AI332" s="36">
        <v>0</v>
      </c>
      <c r="AJ332" s="7" t="s">
        <v>1193</v>
      </c>
      <c r="AK332" s="7" t="s">
        <v>1177</v>
      </c>
      <c r="AL332" s="7" t="s">
        <v>1177</v>
      </c>
      <c r="AM332" s="7" t="s">
        <v>1177</v>
      </c>
      <c r="AN332" s="7" t="s">
        <v>3212</v>
      </c>
      <c r="AO332" s="7" t="s">
        <v>1177</v>
      </c>
      <c r="AP332" s="7" t="s">
        <v>1177</v>
      </c>
      <c r="AQ332" s="7" t="s">
        <v>1177</v>
      </c>
      <c r="AR332" s="29">
        <v>0</v>
      </c>
      <c r="AS332" s="7" t="s">
        <v>1177</v>
      </c>
      <c r="AT332" s="7" t="s">
        <v>1363</v>
      </c>
      <c r="AU332" s="38">
        <v>46275</v>
      </c>
      <c r="AV332" s="39">
        <v>0.62730324074073995</v>
      </c>
    </row>
    <row r="333" spans="1:48" x14ac:dyDescent="0.35">
      <c r="A333" t="str">
        <f t="shared" si="5"/>
        <v>GP004970B832</v>
      </c>
      <c r="B333" s="7" t="s">
        <v>216</v>
      </c>
      <c r="C333" s="7" t="s">
        <v>653</v>
      </c>
      <c r="D333" s="7" t="s">
        <v>19</v>
      </c>
      <c r="E333" s="7" t="s">
        <v>1177</v>
      </c>
      <c r="F333" s="7" t="s">
        <v>128</v>
      </c>
      <c r="G333" s="7" t="s">
        <v>130</v>
      </c>
      <c r="H333" s="7" t="s">
        <v>129</v>
      </c>
      <c r="I333" s="30">
        <v>2</v>
      </c>
      <c r="J333" s="7" t="s">
        <v>1177</v>
      </c>
      <c r="K333" s="7" t="s">
        <v>1178</v>
      </c>
      <c r="L333" s="7" t="s">
        <v>132</v>
      </c>
      <c r="M333" s="7" t="s">
        <v>133</v>
      </c>
      <c r="N333" s="30">
        <v>0</v>
      </c>
      <c r="O333" s="30">
        <v>0</v>
      </c>
      <c r="P333" s="30">
        <v>0</v>
      </c>
      <c r="Q333" s="30">
        <v>0</v>
      </c>
      <c r="R333" s="29">
        <v>0</v>
      </c>
      <c r="S333" s="36">
        <v>0</v>
      </c>
      <c r="T333" s="7" t="s">
        <v>131</v>
      </c>
      <c r="U333" s="7" t="s">
        <v>654</v>
      </c>
      <c r="V333" s="7" t="s">
        <v>654</v>
      </c>
      <c r="W333" s="7" t="s">
        <v>1177</v>
      </c>
      <c r="X333" s="30">
        <v>1</v>
      </c>
      <c r="Y333" s="7" t="s">
        <v>1177</v>
      </c>
      <c r="Z333" s="7" t="s">
        <v>1178</v>
      </c>
      <c r="AA333" s="30">
        <v>0</v>
      </c>
      <c r="AB333" s="36">
        <v>0</v>
      </c>
      <c r="AC333" s="7" t="s">
        <v>1177</v>
      </c>
      <c r="AD333" s="37">
        <v>0</v>
      </c>
      <c r="AE333" s="7" t="s">
        <v>1177</v>
      </c>
      <c r="AF333" s="7" t="s">
        <v>1177</v>
      </c>
      <c r="AG333" s="7" t="s">
        <v>1177</v>
      </c>
      <c r="AH333" s="38"/>
      <c r="AI333" s="36">
        <v>0</v>
      </c>
      <c r="AJ333" s="7" t="s">
        <v>1193</v>
      </c>
      <c r="AK333" s="7" t="s">
        <v>1177</v>
      </c>
      <c r="AL333" s="7" t="s">
        <v>1177</v>
      </c>
      <c r="AM333" s="7" t="s">
        <v>1177</v>
      </c>
      <c r="AN333" s="7" t="s">
        <v>3212</v>
      </c>
      <c r="AO333" s="7" t="s">
        <v>1177</v>
      </c>
      <c r="AP333" s="7" t="s">
        <v>1177</v>
      </c>
      <c r="AQ333" s="7" t="s">
        <v>1177</v>
      </c>
      <c r="AR333" s="29">
        <v>0</v>
      </c>
      <c r="AS333" s="7" t="s">
        <v>1177</v>
      </c>
      <c r="AT333" s="7" t="s">
        <v>1363</v>
      </c>
      <c r="AU333" s="38">
        <v>46275</v>
      </c>
      <c r="AV333" s="39">
        <v>0.60384259259258999</v>
      </c>
    </row>
    <row r="334" spans="1:48" x14ac:dyDescent="0.35">
      <c r="A334" t="str">
        <f t="shared" si="5"/>
        <v>GP004970B838</v>
      </c>
      <c r="B334" s="7" t="s">
        <v>216</v>
      </c>
      <c r="C334" s="7" t="s">
        <v>744</v>
      </c>
      <c r="D334" s="7" t="s">
        <v>48</v>
      </c>
      <c r="E334" s="7" t="s">
        <v>1177</v>
      </c>
      <c r="F334" s="7" t="s">
        <v>128</v>
      </c>
      <c r="G334" s="7" t="s">
        <v>130</v>
      </c>
      <c r="H334" s="7" t="s">
        <v>129</v>
      </c>
      <c r="I334" s="30">
        <v>2</v>
      </c>
      <c r="J334" s="7" t="s">
        <v>1177</v>
      </c>
      <c r="K334" s="7" t="s">
        <v>1178</v>
      </c>
      <c r="L334" s="7" t="s">
        <v>132</v>
      </c>
      <c r="M334" s="7" t="s">
        <v>133</v>
      </c>
      <c r="N334" s="30">
        <v>0</v>
      </c>
      <c r="O334" s="30">
        <v>0</v>
      </c>
      <c r="P334" s="30">
        <v>0</v>
      </c>
      <c r="Q334" s="30">
        <v>0</v>
      </c>
      <c r="R334" s="29">
        <v>0</v>
      </c>
      <c r="S334" s="36">
        <v>0</v>
      </c>
      <c r="T334" s="7" t="s">
        <v>131</v>
      </c>
      <c r="U334" s="7" t="s">
        <v>745</v>
      </c>
      <c r="V334" s="7" t="s">
        <v>745</v>
      </c>
      <c r="W334" s="7" t="s">
        <v>1177</v>
      </c>
      <c r="X334" s="30">
        <v>1</v>
      </c>
      <c r="Y334" s="7" t="s">
        <v>1177</v>
      </c>
      <c r="Z334" s="7" t="s">
        <v>1178</v>
      </c>
      <c r="AA334" s="30">
        <v>0</v>
      </c>
      <c r="AB334" s="36">
        <v>0</v>
      </c>
      <c r="AC334" s="7" t="s">
        <v>1177</v>
      </c>
      <c r="AD334" s="37">
        <v>0</v>
      </c>
      <c r="AE334" s="7" t="s">
        <v>1177</v>
      </c>
      <c r="AF334" s="7" t="s">
        <v>1177</v>
      </c>
      <c r="AG334" s="7" t="s">
        <v>1177</v>
      </c>
      <c r="AH334" s="38"/>
      <c r="AI334" s="36">
        <v>0</v>
      </c>
      <c r="AJ334" s="7" t="s">
        <v>1193</v>
      </c>
      <c r="AK334" s="7" t="s">
        <v>1177</v>
      </c>
      <c r="AL334" s="7" t="s">
        <v>1177</v>
      </c>
      <c r="AM334" s="7" t="s">
        <v>1177</v>
      </c>
      <c r="AN334" s="7" t="s">
        <v>3212</v>
      </c>
      <c r="AO334" s="7" t="s">
        <v>1177</v>
      </c>
      <c r="AP334" s="7" t="s">
        <v>1177</v>
      </c>
      <c r="AQ334" s="7" t="s">
        <v>1177</v>
      </c>
      <c r="AR334" s="29">
        <v>0</v>
      </c>
      <c r="AS334" s="7" t="s">
        <v>1177</v>
      </c>
      <c r="AT334" s="7" t="s">
        <v>1363</v>
      </c>
      <c r="AU334" s="38">
        <v>46275</v>
      </c>
      <c r="AV334" s="39">
        <v>0.60444444444444001</v>
      </c>
    </row>
    <row r="335" spans="1:48" x14ac:dyDescent="0.35">
      <c r="A335" t="str">
        <f t="shared" si="5"/>
        <v>GP004975B825</v>
      </c>
      <c r="B335" s="7" t="s">
        <v>32</v>
      </c>
      <c r="C335" s="7" t="s">
        <v>511</v>
      </c>
      <c r="D335" s="7" t="s">
        <v>16</v>
      </c>
      <c r="E335" s="7" t="s">
        <v>1177</v>
      </c>
      <c r="F335" s="7" t="s">
        <v>128</v>
      </c>
      <c r="G335" s="7" t="s">
        <v>130</v>
      </c>
      <c r="H335" s="7" t="s">
        <v>129</v>
      </c>
      <c r="I335" s="30">
        <v>3</v>
      </c>
      <c r="J335" s="7" t="s">
        <v>1177</v>
      </c>
      <c r="K335" s="7" t="s">
        <v>1178</v>
      </c>
      <c r="L335" s="7" t="s">
        <v>132</v>
      </c>
      <c r="M335" s="7" t="s">
        <v>133</v>
      </c>
      <c r="N335" s="30">
        <v>0</v>
      </c>
      <c r="O335" s="30">
        <v>0</v>
      </c>
      <c r="P335" s="30">
        <v>0</v>
      </c>
      <c r="Q335" s="30">
        <v>0</v>
      </c>
      <c r="R335" s="29">
        <v>0</v>
      </c>
      <c r="S335" s="36">
        <v>0</v>
      </c>
      <c r="T335" s="7" t="s">
        <v>131</v>
      </c>
      <c r="U335" s="7" t="s">
        <v>512</v>
      </c>
      <c r="V335" s="7" t="s">
        <v>512</v>
      </c>
      <c r="W335" s="7" t="s">
        <v>1177</v>
      </c>
      <c r="X335" s="30">
        <v>1</v>
      </c>
      <c r="Y335" s="7" t="s">
        <v>1177</v>
      </c>
      <c r="Z335" s="7" t="s">
        <v>1178</v>
      </c>
      <c r="AA335" s="30">
        <v>0</v>
      </c>
      <c r="AB335" s="36">
        <v>0</v>
      </c>
      <c r="AC335" s="7" t="s">
        <v>1177</v>
      </c>
      <c r="AD335" s="37">
        <v>0</v>
      </c>
      <c r="AE335" s="7" t="s">
        <v>1177</v>
      </c>
      <c r="AF335" s="7" t="s">
        <v>1177</v>
      </c>
      <c r="AG335" s="7" t="s">
        <v>1177</v>
      </c>
      <c r="AH335" s="38"/>
      <c r="AI335" s="36">
        <v>0</v>
      </c>
      <c r="AJ335" s="7" t="s">
        <v>1193</v>
      </c>
      <c r="AK335" s="7" t="s">
        <v>1177</v>
      </c>
      <c r="AL335" s="7" t="s">
        <v>1177</v>
      </c>
      <c r="AM335" s="7" t="s">
        <v>1177</v>
      </c>
      <c r="AN335" s="7" t="s">
        <v>3212</v>
      </c>
      <c r="AO335" s="7" t="s">
        <v>1177</v>
      </c>
      <c r="AP335" s="7" t="s">
        <v>1177</v>
      </c>
      <c r="AQ335" s="7" t="s">
        <v>1177</v>
      </c>
      <c r="AR335" s="29">
        <v>0</v>
      </c>
      <c r="AS335" s="7" t="s">
        <v>1177</v>
      </c>
      <c r="AT335" s="7" t="s">
        <v>1363</v>
      </c>
      <c r="AU335" s="38">
        <v>46275</v>
      </c>
      <c r="AV335" s="39">
        <v>0.60351851851852001</v>
      </c>
    </row>
    <row r="336" spans="1:48" x14ac:dyDescent="0.35">
      <c r="A336" t="str">
        <f t="shared" si="5"/>
        <v>GP004975B832</v>
      </c>
      <c r="B336" s="7" t="s">
        <v>32</v>
      </c>
      <c r="C336" s="7" t="s">
        <v>653</v>
      </c>
      <c r="D336" s="7" t="s">
        <v>19</v>
      </c>
      <c r="E336" s="7" t="s">
        <v>1177</v>
      </c>
      <c r="F336" s="7" t="s">
        <v>128</v>
      </c>
      <c r="G336" s="7" t="s">
        <v>130</v>
      </c>
      <c r="H336" s="7" t="s">
        <v>129</v>
      </c>
      <c r="I336" s="30">
        <v>2</v>
      </c>
      <c r="J336" s="7" t="s">
        <v>1177</v>
      </c>
      <c r="K336" s="7" t="s">
        <v>1178</v>
      </c>
      <c r="L336" s="7" t="s">
        <v>132</v>
      </c>
      <c r="M336" s="7" t="s">
        <v>133</v>
      </c>
      <c r="N336" s="30">
        <v>0</v>
      </c>
      <c r="O336" s="30">
        <v>0</v>
      </c>
      <c r="P336" s="30">
        <v>0</v>
      </c>
      <c r="Q336" s="30">
        <v>0</v>
      </c>
      <c r="R336" s="29">
        <v>0</v>
      </c>
      <c r="S336" s="36">
        <v>0</v>
      </c>
      <c r="T336" s="7" t="s">
        <v>131</v>
      </c>
      <c r="U336" s="7" t="s">
        <v>654</v>
      </c>
      <c r="V336" s="7" t="s">
        <v>654</v>
      </c>
      <c r="W336" s="7" t="s">
        <v>1177</v>
      </c>
      <c r="X336" s="30">
        <v>1</v>
      </c>
      <c r="Y336" s="7" t="s">
        <v>1177</v>
      </c>
      <c r="Z336" s="7" t="s">
        <v>1178</v>
      </c>
      <c r="AA336" s="30">
        <v>0</v>
      </c>
      <c r="AB336" s="36">
        <v>0</v>
      </c>
      <c r="AC336" s="7" t="s">
        <v>1177</v>
      </c>
      <c r="AD336" s="37">
        <v>0</v>
      </c>
      <c r="AE336" s="7" t="s">
        <v>1177</v>
      </c>
      <c r="AF336" s="7" t="s">
        <v>1177</v>
      </c>
      <c r="AG336" s="7" t="s">
        <v>1177</v>
      </c>
      <c r="AH336" s="38"/>
      <c r="AI336" s="36">
        <v>0</v>
      </c>
      <c r="AJ336" s="7" t="s">
        <v>1193</v>
      </c>
      <c r="AK336" s="7" t="s">
        <v>1177</v>
      </c>
      <c r="AL336" s="7" t="s">
        <v>1177</v>
      </c>
      <c r="AM336" s="7" t="s">
        <v>1177</v>
      </c>
      <c r="AN336" s="7" t="s">
        <v>3212</v>
      </c>
      <c r="AO336" s="7" t="s">
        <v>1177</v>
      </c>
      <c r="AP336" s="7" t="s">
        <v>1177</v>
      </c>
      <c r="AQ336" s="7" t="s">
        <v>1177</v>
      </c>
      <c r="AR336" s="29">
        <v>0</v>
      </c>
      <c r="AS336" s="7" t="s">
        <v>1177</v>
      </c>
      <c r="AT336" s="7" t="s">
        <v>1363</v>
      </c>
      <c r="AU336" s="38">
        <v>46275</v>
      </c>
      <c r="AV336" s="39">
        <v>0.60383101851851995</v>
      </c>
    </row>
    <row r="337" spans="1:48" x14ac:dyDescent="0.35">
      <c r="A337" t="str">
        <f t="shared" si="5"/>
        <v>GP004975B833</v>
      </c>
      <c r="B337" s="7" t="s">
        <v>32</v>
      </c>
      <c r="C337" s="7" t="s">
        <v>698</v>
      </c>
      <c r="D337" s="7" t="s">
        <v>697</v>
      </c>
      <c r="E337" s="7" t="s">
        <v>1177</v>
      </c>
      <c r="F337" s="7" t="s">
        <v>128</v>
      </c>
      <c r="G337" s="7" t="s">
        <v>130</v>
      </c>
      <c r="H337" s="7" t="s">
        <v>129</v>
      </c>
      <c r="I337" s="30">
        <v>2</v>
      </c>
      <c r="J337" s="7" t="s">
        <v>1177</v>
      </c>
      <c r="K337" s="7" t="s">
        <v>1178</v>
      </c>
      <c r="L337" s="7" t="s">
        <v>132</v>
      </c>
      <c r="M337" s="7" t="s">
        <v>133</v>
      </c>
      <c r="N337" s="30">
        <v>0</v>
      </c>
      <c r="O337" s="30">
        <v>0</v>
      </c>
      <c r="P337" s="30">
        <v>0</v>
      </c>
      <c r="Q337" s="30">
        <v>0</v>
      </c>
      <c r="R337" s="29">
        <v>0</v>
      </c>
      <c r="S337" s="36">
        <v>0</v>
      </c>
      <c r="T337" s="7" t="s">
        <v>131</v>
      </c>
      <c r="U337" s="7" t="s">
        <v>699</v>
      </c>
      <c r="V337" s="7" t="s">
        <v>699</v>
      </c>
      <c r="W337" s="7" t="s">
        <v>1177</v>
      </c>
      <c r="X337" s="30">
        <v>1</v>
      </c>
      <c r="Y337" s="7" t="s">
        <v>1177</v>
      </c>
      <c r="Z337" s="7" t="s">
        <v>1178</v>
      </c>
      <c r="AA337" s="30">
        <v>0</v>
      </c>
      <c r="AB337" s="36">
        <v>0</v>
      </c>
      <c r="AC337" s="7" t="s">
        <v>1177</v>
      </c>
      <c r="AD337" s="37">
        <v>0</v>
      </c>
      <c r="AE337" s="7" t="s">
        <v>1177</v>
      </c>
      <c r="AF337" s="7" t="s">
        <v>1177</v>
      </c>
      <c r="AG337" s="7" t="s">
        <v>1177</v>
      </c>
      <c r="AH337" s="38"/>
      <c r="AI337" s="36">
        <v>0</v>
      </c>
      <c r="AJ337" s="7" t="s">
        <v>1193</v>
      </c>
      <c r="AK337" s="7" t="s">
        <v>1177</v>
      </c>
      <c r="AL337" s="7" t="s">
        <v>1177</v>
      </c>
      <c r="AM337" s="7" t="s">
        <v>1177</v>
      </c>
      <c r="AN337" s="7" t="s">
        <v>3212</v>
      </c>
      <c r="AO337" s="7" t="s">
        <v>1177</v>
      </c>
      <c r="AP337" s="7" t="s">
        <v>1177</v>
      </c>
      <c r="AQ337" s="7" t="s">
        <v>1177</v>
      </c>
      <c r="AR337" s="29">
        <v>0</v>
      </c>
      <c r="AS337" s="7" t="s">
        <v>1177</v>
      </c>
      <c r="AT337" s="7" t="s">
        <v>1363</v>
      </c>
      <c r="AU337" s="38">
        <v>46275</v>
      </c>
      <c r="AV337" s="39">
        <v>0.60396990740740997</v>
      </c>
    </row>
    <row r="338" spans="1:48" x14ac:dyDescent="0.35">
      <c r="A338" t="str">
        <f t="shared" si="5"/>
        <v>GP004975B838</v>
      </c>
      <c r="B338" s="7" t="s">
        <v>32</v>
      </c>
      <c r="C338" s="7" t="s">
        <v>744</v>
      </c>
      <c r="D338" s="7" t="s">
        <v>48</v>
      </c>
      <c r="E338" s="7" t="s">
        <v>1177</v>
      </c>
      <c r="F338" s="7" t="s">
        <v>128</v>
      </c>
      <c r="G338" s="7" t="s">
        <v>130</v>
      </c>
      <c r="H338" s="7" t="s">
        <v>129</v>
      </c>
      <c r="I338" s="30">
        <v>2</v>
      </c>
      <c r="J338" s="7" t="s">
        <v>1177</v>
      </c>
      <c r="K338" s="7" t="s">
        <v>1178</v>
      </c>
      <c r="L338" s="7" t="s">
        <v>132</v>
      </c>
      <c r="M338" s="7" t="s">
        <v>133</v>
      </c>
      <c r="N338" s="30">
        <v>0</v>
      </c>
      <c r="O338" s="30">
        <v>0</v>
      </c>
      <c r="P338" s="30">
        <v>0</v>
      </c>
      <c r="Q338" s="30">
        <v>0</v>
      </c>
      <c r="R338" s="29">
        <v>0</v>
      </c>
      <c r="S338" s="36">
        <v>0</v>
      </c>
      <c r="T338" s="7" t="s">
        <v>131</v>
      </c>
      <c r="U338" s="7" t="s">
        <v>745</v>
      </c>
      <c r="V338" s="7" t="s">
        <v>745</v>
      </c>
      <c r="W338" s="7" t="s">
        <v>1177</v>
      </c>
      <c r="X338" s="30">
        <v>1</v>
      </c>
      <c r="Y338" s="7" t="s">
        <v>1177</v>
      </c>
      <c r="Z338" s="7" t="s">
        <v>1178</v>
      </c>
      <c r="AA338" s="30">
        <v>0</v>
      </c>
      <c r="AB338" s="36">
        <v>0</v>
      </c>
      <c r="AC338" s="7" t="s">
        <v>1177</v>
      </c>
      <c r="AD338" s="37">
        <v>0</v>
      </c>
      <c r="AE338" s="7" t="s">
        <v>1177</v>
      </c>
      <c r="AF338" s="7" t="s">
        <v>1177</v>
      </c>
      <c r="AG338" s="7" t="s">
        <v>1177</v>
      </c>
      <c r="AH338" s="38"/>
      <c r="AI338" s="36">
        <v>0</v>
      </c>
      <c r="AJ338" s="7" t="s">
        <v>1193</v>
      </c>
      <c r="AK338" s="7" t="s">
        <v>1177</v>
      </c>
      <c r="AL338" s="7" t="s">
        <v>1177</v>
      </c>
      <c r="AM338" s="7" t="s">
        <v>1177</v>
      </c>
      <c r="AN338" s="7" t="s">
        <v>3212</v>
      </c>
      <c r="AO338" s="7" t="s">
        <v>1177</v>
      </c>
      <c r="AP338" s="7" t="s">
        <v>1177</v>
      </c>
      <c r="AQ338" s="7" t="s">
        <v>1177</v>
      </c>
      <c r="AR338" s="29">
        <v>0</v>
      </c>
      <c r="AS338" s="7" t="s">
        <v>1177</v>
      </c>
      <c r="AT338" s="7" t="s">
        <v>1363</v>
      </c>
      <c r="AU338" s="38">
        <v>46275</v>
      </c>
      <c r="AV338" s="39">
        <v>0.60443287037036997</v>
      </c>
    </row>
    <row r="339" spans="1:48" x14ac:dyDescent="0.35">
      <c r="A339" t="str">
        <f t="shared" si="5"/>
        <v>GP004976B825</v>
      </c>
      <c r="B339" s="7" t="s">
        <v>217</v>
      </c>
      <c r="C339" s="7" t="s">
        <v>511</v>
      </c>
      <c r="D339" s="7" t="s">
        <v>16</v>
      </c>
      <c r="E339" s="7" t="s">
        <v>1177</v>
      </c>
      <c r="F339" s="7" t="s">
        <v>128</v>
      </c>
      <c r="G339" s="7" t="s">
        <v>130</v>
      </c>
      <c r="H339" s="7" t="s">
        <v>129</v>
      </c>
      <c r="I339" s="30">
        <v>2</v>
      </c>
      <c r="J339" s="7" t="s">
        <v>1177</v>
      </c>
      <c r="K339" s="7" t="s">
        <v>1178</v>
      </c>
      <c r="L339" s="7" t="s">
        <v>132</v>
      </c>
      <c r="M339" s="7" t="s">
        <v>133</v>
      </c>
      <c r="N339" s="30">
        <v>0</v>
      </c>
      <c r="O339" s="30">
        <v>0</v>
      </c>
      <c r="P339" s="30">
        <v>0</v>
      </c>
      <c r="Q339" s="30">
        <v>0</v>
      </c>
      <c r="R339" s="29">
        <v>0</v>
      </c>
      <c r="S339" s="36">
        <v>0</v>
      </c>
      <c r="T339" s="7" t="s">
        <v>131</v>
      </c>
      <c r="U339" s="7" t="s">
        <v>512</v>
      </c>
      <c r="V339" s="7" t="s">
        <v>512</v>
      </c>
      <c r="W339" s="7" t="s">
        <v>1177</v>
      </c>
      <c r="X339" s="30">
        <v>1</v>
      </c>
      <c r="Y339" s="7" t="s">
        <v>1177</v>
      </c>
      <c r="Z339" s="7" t="s">
        <v>1178</v>
      </c>
      <c r="AA339" s="30">
        <v>0</v>
      </c>
      <c r="AB339" s="36">
        <v>0</v>
      </c>
      <c r="AC339" s="7" t="s">
        <v>1177</v>
      </c>
      <c r="AD339" s="37">
        <v>0</v>
      </c>
      <c r="AE339" s="7" t="s">
        <v>1177</v>
      </c>
      <c r="AF339" s="7" t="s">
        <v>1177</v>
      </c>
      <c r="AG339" s="7" t="s">
        <v>1177</v>
      </c>
      <c r="AH339" s="38"/>
      <c r="AI339" s="36">
        <v>0</v>
      </c>
      <c r="AJ339" s="7" t="s">
        <v>1193</v>
      </c>
      <c r="AK339" s="7" t="s">
        <v>1177</v>
      </c>
      <c r="AL339" s="7" t="s">
        <v>1177</v>
      </c>
      <c r="AM339" s="7" t="s">
        <v>1177</v>
      </c>
      <c r="AN339" s="7" t="s">
        <v>3212</v>
      </c>
      <c r="AO339" s="7" t="s">
        <v>1177</v>
      </c>
      <c r="AP339" s="7" t="s">
        <v>1177</v>
      </c>
      <c r="AQ339" s="7" t="s">
        <v>1177</v>
      </c>
      <c r="AR339" s="29">
        <v>0</v>
      </c>
      <c r="AS339" s="7" t="s">
        <v>1177</v>
      </c>
      <c r="AT339" s="7" t="s">
        <v>1363</v>
      </c>
      <c r="AU339" s="38">
        <v>46275</v>
      </c>
      <c r="AV339" s="39">
        <v>0.60351851851852001</v>
      </c>
    </row>
    <row r="340" spans="1:48" x14ac:dyDescent="0.35">
      <c r="A340" t="str">
        <f t="shared" si="5"/>
        <v>GP004976B832</v>
      </c>
      <c r="B340" s="7" t="s">
        <v>217</v>
      </c>
      <c r="C340" s="7" t="s">
        <v>653</v>
      </c>
      <c r="D340" s="7" t="s">
        <v>19</v>
      </c>
      <c r="E340" s="7" t="s">
        <v>1177</v>
      </c>
      <c r="F340" s="7" t="s">
        <v>128</v>
      </c>
      <c r="G340" s="7" t="s">
        <v>130</v>
      </c>
      <c r="H340" s="7" t="s">
        <v>129</v>
      </c>
      <c r="I340" s="30">
        <v>2</v>
      </c>
      <c r="J340" s="7" t="s">
        <v>1177</v>
      </c>
      <c r="K340" s="7" t="s">
        <v>1178</v>
      </c>
      <c r="L340" s="7" t="s">
        <v>132</v>
      </c>
      <c r="M340" s="7" t="s">
        <v>133</v>
      </c>
      <c r="N340" s="30">
        <v>0</v>
      </c>
      <c r="O340" s="30">
        <v>0</v>
      </c>
      <c r="P340" s="30">
        <v>0</v>
      </c>
      <c r="Q340" s="30">
        <v>0</v>
      </c>
      <c r="R340" s="29">
        <v>0</v>
      </c>
      <c r="S340" s="36">
        <v>0</v>
      </c>
      <c r="T340" s="7" t="s">
        <v>131</v>
      </c>
      <c r="U340" s="7" t="s">
        <v>654</v>
      </c>
      <c r="V340" s="7" t="s">
        <v>654</v>
      </c>
      <c r="W340" s="7" t="s">
        <v>1177</v>
      </c>
      <c r="X340" s="30">
        <v>1</v>
      </c>
      <c r="Y340" s="7" t="s">
        <v>1177</v>
      </c>
      <c r="Z340" s="7" t="s">
        <v>1178</v>
      </c>
      <c r="AA340" s="30">
        <v>0</v>
      </c>
      <c r="AB340" s="36">
        <v>0</v>
      </c>
      <c r="AC340" s="7" t="s">
        <v>1177</v>
      </c>
      <c r="AD340" s="37">
        <v>0</v>
      </c>
      <c r="AE340" s="7" t="s">
        <v>1177</v>
      </c>
      <c r="AF340" s="7" t="s">
        <v>1177</v>
      </c>
      <c r="AG340" s="7" t="s">
        <v>1177</v>
      </c>
      <c r="AH340" s="38"/>
      <c r="AI340" s="36">
        <v>0</v>
      </c>
      <c r="AJ340" s="7" t="s">
        <v>1193</v>
      </c>
      <c r="AK340" s="7" t="s">
        <v>1177</v>
      </c>
      <c r="AL340" s="7" t="s">
        <v>1177</v>
      </c>
      <c r="AM340" s="7" t="s">
        <v>1177</v>
      </c>
      <c r="AN340" s="7" t="s">
        <v>3212</v>
      </c>
      <c r="AO340" s="7" t="s">
        <v>1177</v>
      </c>
      <c r="AP340" s="7" t="s">
        <v>1177</v>
      </c>
      <c r="AQ340" s="7" t="s">
        <v>1177</v>
      </c>
      <c r="AR340" s="29">
        <v>0</v>
      </c>
      <c r="AS340" s="7" t="s">
        <v>1177</v>
      </c>
      <c r="AT340" s="7" t="s">
        <v>1363</v>
      </c>
      <c r="AU340" s="38">
        <v>46275</v>
      </c>
      <c r="AV340" s="39">
        <v>0.60383101851851995</v>
      </c>
    </row>
    <row r="341" spans="1:48" x14ac:dyDescent="0.35">
      <c r="A341" t="str">
        <f t="shared" si="5"/>
        <v>GP004976B856</v>
      </c>
      <c r="B341" s="7" t="s">
        <v>217</v>
      </c>
      <c r="C341" s="7" t="s">
        <v>852</v>
      </c>
      <c r="D341" s="7" t="s">
        <v>21</v>
      </c>
      <c r="E341" s="7" t="s">
        <v>1177</v>
      </c>
      <c r="F341" s="7" t="s">
        <v>128</v>
      </c>
      <c r="G341" s="7" t="s">
        <v>130</v>
      </c>
      <c r="H341" s="7" t="s">
        <v>129</v>
      </c>
      <c r="I341" s="30">
        <v>1</v>
      </c>
      <c r="J341" s="7" t="s">
        <v>1177</v>
      </c>
      <c r="K341" s="7" t="s">
        <v>1178</v>
      </c>
      <c r="L341" s="7" t="s">
        <v>132</v>
      </c>
      <c r="M341" s="7" t="s">
        <v>133</v>
      </c>
      <c r="N341" s="30">
        <v>0</v>
      </c>
      <c r="O341" s="30">
        <v>0</v>
      </c>
      <c r="P341" s="30">
        <v>0</v>
      </c>
      <c r="Q341" s="30">
        <v>0</v>
      </c>
      <c r="R341" s="29">
        <v>0</v>
      </c>
      <c r="S341" s="36">
        <v>0</v>
      </c>
      <c r="T341" s="7" t="s">
        <v>131</v>
      </c>
      <c r="U341" s="7" t="s">
        <v>853</v>
      </c>
      <c r="V341" s="7" t="s">
        <v>853</v>
      </c>
      <c r="W341" s="7" t="s">
        <v>1177</v>
      </c>
      <c r="X341" s="30">
        <v>1</v>
      </c>
      <c r="Y341" s="7" t="s">
        <v>1177</v>
      </c>
      <c r="Z341" s="7" t="s">
        <v>1178</v>
      </c>
      <c r="AA341" s="30">
        <v>0</v>
      </c>
      <c r="AB341" s="36">
        <v>0</v>
      </c>
      <c r="AC341" s="7" t="s">
        <v>1177</v>
      </c>
      <c r="AD341" s="37">
        <v>0</v>
      </c>
      <c r="AE341" s="7" t="s">
        <v>1177</v>
      </c>
      <c r="AF341" s="7" t="s">
        <v>1177</v>
      </c>
      <c r="AG341" s="7" t="s">
        <v>1177</v>
      </c>
      <c r="AH341" s="38"/>
      <c r="AI341" s="36">
        <v>0</v>
      </c>
      <c r="AJ341" s="7" t="s">
        <v>1193</v>
      </c>
      <c r="AK341" s="7" t="s">
        <v>1177</v>
      </c>
      <c r="AL341" s="7" t="s">
        <v>1177</v>
      </c>
      <c r="AM341" s="7" t="s">
        <v>1177</v>
      </c>
      <c r="AN341" s="7" t="s">
        <v>3212</v>
      </c>
      <c r="AO341" s="7" t="s">
        <v>1177</v>
      </c>
      <c r="AP341" s="7" t="s">
        <v>1177</v>
      </c>
      <c r="AQ341" s="7" t="s">
        <v>1177</v>
      </c>
      <c r="AR341" s="29">
        <v>0</v>
      </c>
      <c r="AS341" s="7" t="s">
        <v>1177</v>
      </c>
      <c r="AT341" s="7" t="s">
        <v>1363</v>
      </c>
      <c r="AU341" s="38">
        <v>46275</v>
      </c>
      <c r="AV341" s="39">
        <v>0.60523148148147998</v>
      </c>
    </row>
    <row r="342" spans="1:48" x14ac:dyDescent="0.35">
      <c r="A342" t="str">
        <f t="shared" si="5"/>
        <v>GP004976B867</v>
      </c>
      <c r="B342" s="7" t="s">
        <v>217</v>
      </c>
      <c r="C342" s="7" t="s">
        <v>1059</v>
      </c>
      <c r="D342" s="7" t="s">
        <v>25</v>
      </c>
      <c r="E342" s="7" t="s">
        <v>1177</v>
      </c>
      <c r="F342" s="7" t="s">
        <v>128</v>
      </c>
      <c r="G342" s="7" t="s">
        <v>130</v>
      </c>
      <c r="H342" s="7" t="s">
        <v>129</v>
      </c>
      <c r="I342" s="30">
        <v>2</v>
      </c>
      <c r="J342" s="7" t="s">
        <v>1177</v>
      </c>
      <c r="K342" s="7" t="s">
        <v>1178</v>
      </c>
      <c r="L342" s="7" t="s">
        <v>132</v>
      </c>
      <c r="M342" s="7" t="s">
        <v>133</v>
      </c>
      <c r="N342" s="30">
        <v>0</v>
      </c>
      <c r="O342" s="30">
        <v>0</v>
      </c>
      <c r="P342" s="30">
        <v>0</v>
      </c>
      <c r="Q342" s="30">
        <v>0</v>
      </c>
      <c r="R342" s="29">
        <v>0</v>
      </c>
      <c r="S342" s="36">
        <v>0</v>
      </c>
      <c r="T342" s="7" t="s">
        <v>131</v>
      </c>
      <c r="U342" s="7" t="s">
        <v>1060</v>
      </c>
      <c r="V342" s="7" t="s">
        <v>1060</v>
      </c>
      <c r="W342" s="7" t="s">
        <v>1177</v>
      </c>
      <c r="X342" s="30">
        <v>1</v>
      </c>
      <c r="Y342" s="7" t="s">
        <v>1177</v>
      </c>
      <c r="Z342" s="7" t="s">
        <v>1178</v>
      </c>
      <c r="AA342" s="30">
        <v>0</v>
      </c>
      <c r="AB342" s="36">
        <v>0</v>
      </c>
      <c r="AC342" s="7" t="s">
        <v>1177</v>
      </c>
      <c r="AD342" s="37">
        <v>0</v>
      </c>
      <c r="AE342" s="7" t="s">
        <v>1177</v>
      </c>
      <c r="AF342" s="7" t="s">
        <v>1177</v>
      </c>
      <c r="AG342" s="7" t="s">
        <v>1177</v>
      </c>
      <c r="AH342" s="38"/>
      <c r="AI342" s="36">
        <v>0</v>
      </c>
      <c r="AJ342" s="7" t="s">
        <v>1193</v>
      </c>
      <c r="AK342" s="7" t="s">
        <v>1177</v>
      </c>
      <c r="AL342" s="7" t="s">
        <v>1177</v>
      </c>
      <c r="AM342" s="7" t="s">
        <v>1177</v>
      </c>
      <c r="AN342" s="7" t="s">
        <v>3212</v>
      </c>
      <c r="AO342" s="7" t="s">
        <v>1177</v>
      </c>
      <c r="AP342" s="7" t="s">
        <v>1177</v>
      </c>
      <c r="AQ342" s="7" t="s">
        <v>1177</v>
      </c>
      <c r="AR342" s="29">
        <v>0</v>
      </c>
      <c r="AS342" s="7" t="s">
        <v>1177</v>
      </c>
      <c r="AT342" s="7" t="s">
        <v>1363</v>
      </c>
      <c r="AU342" s="38">
        <v>46275</v>
      </c>
      <c r="AV342" s="39">
        <v>0.60568287037037005</v>
      </c>
    </row>
    <row r="343" spans="1:48" x14ac:dyDescent="0.35">
      <c r="A343" t="str">
        <f t="shared" si="5"/>
        <v>GP005208B825</v>
      </c>
      <c r="B343" s="7" t="s">
        <v>519</v>
      </c>
      <c r="C343" s="7" t="s">
        <v>511</v>
      </c>
      <c r="D343" s="7" t="s">
        <v>16</v>
      </c>
      <c r="E343" s="7" t="s">
        <v>1177</v>
      </c>
      <c r="F343" s="7" t="s">
        <v>128</v>
      </c>
      <c r="G343" s="7" t="s">
        <v>130</v>
      </c>
      <c r="H343" s="7" t="s">
        <v>129</v>
      </c>
      <c r="I343" s="30">
        <v>2</v>
      </c>
      <c r="J343" s="7" t="s">
        <v>1177</v>
      </c>
      <c r="K343" s="7" t="s">
        <v>1178</v>
      </c>
      <c r="L343" s="7" t="s">
        <v>132</v>
      </c>
      <c r="M343" s="7" t="s">
        <v>133</v>
      </c>
      <c r="N343" s="30">
        <v>0</v>
      </c>
      <c r="O343" s="30">
        <v>0</v>
      </c>
      <c r="P343" s="30">
        <v>0</v>
      </c>
      <c r="Q343" s="30">
        <v>0</v>
      </c>
      <c r="R343" s="29">
        <v>0</v>
      </c>
      <c r="S343" s="36">
        <v>0</v>
      </c>
      <c r="T343" s="7" t="s">
        <v>131</v>
      </c>
      <c r="U343" s="7" t="s">
        <v>512</v>
      </c>
      <c r="V343" s="7" t="s">
        <v>512</v>
      </c>
      <c r="W343" s="7" t="s">
        <v>1177</v>
      </c>
      <c r="X343" s="30">
        <v>1</v>
      </c>
      <c r="Y343" s="7" t="s">
        <v>1177</v>
      </c>
      <c r="Z343" s="7" t="s">
        <v>1178</v>
      </c>
      <c r="AA343" s="30">
        <v>0</v>
      </c>
      <c r="AB343" s="36">
        <v>0</v>
      </c>
      <c r="AC343" s="7" t="s">
        <v>1177</v>
      </c>
      <c r="AD343" s="37">
        <v>0</v>
      </c>
      <c r="AE343" s="7" t="s">
        <v>1177</v>
      </c>
      <c r="AF343" s="7" t="s">
        <v>1177</v>
      </c>
      <c r="AG343" s="7" t="s">
        <v>1177</v>
      </c>
      <c r="AH343" s="38"/>
      <c r="AI343" s="36">
        <v>0</v>
      </c>
      <c r="AJ343" s="7" t="s">
        <v>1193</v>
      </c>
      <c r="AK343" s="7" t="s">
        <v>1177</v>
      </c>
      <c r="AL343" s="7" t="s">
        <v>1177</v>
      </c>
      <c r="AM343" s="7" t="s">
        <v>1177</v>
      </c>
      <c r="AN343" s="7" t="s">
        <v>3212</v>
      </c>
      <c r="AO343" s="7" t="s">
        <v>1177</v>
      </c>
      <c r="AP343" s="7" t="s">
        <v>1177</v>
      </c>
      <c r="AQ343" s="7" t="s">
        <v>1177</v>
      </c>
      <c r="AR343" s="29">
        <v>0</v>
      </c>
      <c r="AS343" s="7" t="s">
        <v>1177</v>
      </c>
      <c r="AT343" s="7" t="s">
        <v>1363</v>
      </c>
      <c r="AU343" s="38">
        <v>46275</v>
      </c>
      <c r="AV343" s="39">
        <v>0.62302083333333003</v>
      </c>
    </row>
    <row r="344" spans="1:48" x14ac:dyDescent="0.35">
      <c r="A344" t="str">
        <f t="shared" si="5"/>
        <v>GP005798B832</v>
      </c>
      <c r="B344" s="7" t="s">
        <v>150</v>
      </c>
      <c r="C344" s="7" t="s">
        <v>653</v>
      </c>
      <c r="D344" s="7" t="s">
        <v>19</v>
      </c>
      <c r="E344" s="7" t="s">
        <v>1177</v>
      </c>
      <c r="F344" s="7" t="s">
        <v>128</v>
      </c>
      <c r="G344" s="7" t="s">
        <v>130</v>
      </c>
      <c r="H344" s="7" t="s">
        <v>129</v>
      </c>
      <c r="I344" s="30">
        <v>2</v>
      </c>
      <c r="J344" s="7" t="s">
        <v>1177</v>
      </c>
      <c r="K344" s="7" t="s">
        <v>1178</v>
      </c>
      <c r="L344" s="7" t="s">
        <v>132</v>
      </c>
      <c r="M344" s="7" t="s">
        <v>133</v>
      </c>
      <c r="N344" s="30">
        <v>0</v>
      </c>
      <c r="O344" s="30">
        <v>0</v>
      </c>
      <c r="P344" s="30">
        <v>0</v>
      </c>
      <c r="Q344" s="30">
        <v>0</v>
      </c>
      <c r="R344" s="29">
        <v>0</v>
      </c>
      <c r="S344" s="36">
        <v>0</v>
      </c>
      <c r="T344" s="7" t="s">
        <v>131</v>
      </c>
      <c r="U344" s="7" t="s">
        <v>654</v>
      </c>
      <c r="V344" s="7" t="s">
        <v>654</v>
      </c>
      <c r="W344" s="7" t="s">
        <v>1177</v>
      </c>
      <c r="X344" s="30">
        <v>1</v>
      </c>
      <c r="Y344" s="7" t="s">
        <v>1177</v>
      </c>
      <c r="Z344" s="7" t="s">
        <v>1178</v>
      </c>
      <c r="AA344" s="30">
        <v>0</v>
      </c>
      <c r="AB344" s="36">
        <v>0</v>
      </c>
      <c r="AC344" s="7" t="s">
        <v>1177</v>
      </c>
      <c r="AD344" s="37">
        <v>0</v>
      </c>
      <c r="AE344" s="7" t="s">
        <v>1177</v>
      </c>
      <c r="AF344" s="7" t="s">
        <v>1177</v>
      </c>
      <c r="AG344" s="7" t="s">
        <v>1177</v>
      </c>
      <c r="AH344" s="38"/>
      <c r="AI344" s="36">
        <v>0</v>
      </c>
      <c r="AJ344" s="7" t="s">
        <v>1193</v>
      </c>
      <c r="AK344" s="7" t="s">
        <v>1177</v>
      </c>
      <c r="AL344" s="7" t="s">
        <v>1177</v>
      </c>
      <c r="AM344" s="7" t="s">
        <v>1177</v>
      </c>
      <c r="AN344" s="7" t="s">
        <v>3212</v>
      </c>
      <c r="AO344" s="7" t="s">
        <v>1177</v>
      </c>
      <c r="AP344" s="7" t="s">
        <v>1177</v>
      </c>
      <c r="AQ344" s="7" t="s">
        <v>1177</v>
      </c>
      <c r="AR344" s="29">
        <v>0</v>
      </c>
      <c r="AS344" s="7" t="s">
        <v>1177</v>
      </c>
      <c r="AT344" s="7" t="s">
        <v>1363</v>
      </c>
      <c r="AU344" s="38">
        <v>46275</v>
      </c>
      <c r="AV344" s="39">
        <v>0.60383101851851995</v>
      </c>
    </row>
    <row r="345" spans="1:48" x14ac:dyDescent="0.35">
      <c r="A345" t="str">
        <f t="shared" si="5"/>
        <v>GP005798B833</v>
      </c>
      <c r="B345" s="7" t="s">
        <v>150</v>
      </c>
      <c r="C345" s="7" t="s">
        <v>698</v>
      </c>
      <c r="D345" s="7" t="s">
        <v>697</v>
      </c>
      <c r="E345" s="7" t="s">
        <v>1177</v>
      </c>
      <c r="F345" s="7" t="s">
        <v>128</v>
      </c>
      <c r="G345" s="7" t="s">
        <v>130</v>
      </c>
      <c r="H345" s="7" t="s">
        <v>129</v>
      </c>
      <c r="I345" s="30">
        <v>1</v>
      </c>
      <c r="J345" s="7" t="s">
        <v>1177</v>
      </c>
      <c r="K345" s="7" t="s">
        <v>1178</v>
      </c>
      <c r="L345" s="7" t="s">
        <v>132</v>
      </c>
      <c r="M345" s="7" t="s">
        <v>133</v>
      </c>
      <c r="N345" s="30">
        <v>0</v>
      </c>
      <c r="O345" s="30">
        <v>0</v>
      </c>
      <c r="P345" s="30">
        <v>0</v>
      </c>
      <c r="Q345" s="30">
        <v>0</v>
      </c>
      <c r="R345" s="29">
        <v>0</v>
      </c>
      <c r="S345" s="36">
        <v>0</v>
      </c>
      <c r="T345" s="7" t="s">
        <v>131</v>
      </c>
      <c r="U345" s="7" t="s">
        <v>699</v>
      </c>
      <c r="V345" s="7" t="s">
        <v>699</v>
      </c>
      <c r="W345" s="7" t="s">
        <v>1177</v>
      </c>
      <c r="X345" s="30">
        <v>1</v>
      </c>
      <c r="Y345" s="7" t="s">
        <v>1177</v>
      </c>
      <c r="Z345" s="7" t="s">
        <v>1178</v>
      </c>
      <c r="AA345" s="30">
        <v>0</v>
      </c>
      <c r="AB345" s="36">
        <v>0</v>
      </c>
      <c r="AC345" s="7" t="s">
        <v>1177</v>
      </c>
      <c r="AD345" s="37">
        <v>0</v>
      </c>
      <c r="AE345" s="7" t="s">
        <v>1177</v>
      </c>
      <c r="AF345" s="7" t="s">
        <v>1177</v>
      </c>
      <c r="AG345" s="7" t="s">
        <v>1177</v>
      </c>
      <c r="AH345" s="38"/>
      <c r="AI345" s="36">
        <v>0</v>
      </c>
      <c r="AJ345" s="7" t="s">
        <v>1193</v>
      </c>
      <c r="AK345" s="7" t="s">
        <v>1177</v>
      </c>
      <c r="AL345" s="7" t="s">
        <v>1177</v>
      </c>
      <c r="AM345" s="7" t="s">
        <v>1177</v>
      </c>
      <c r="AN345" s="7" t="s">
        <v>3212</v>
      </c>
      <c r="AO345" s="7" t="s">
        <v>1177</v>
      </c>
      <c r="AP345" s="7" t="s">
        <v>1177</v>
      </c>
      <c r="AQ345" s="7" t="s">
        <v>1177</v>
      </c>
      <c r="AR345" s="29">
        <v>0</v>
      </c>
      <c r="AS345" s="7" t="s">
        <v>1177</v>
      </c>
      <c r="AT345" s="7" t="s">
        <v>1363</v>
      </c>
      <c r="AU345" s="38">
        <v>46275</v>
      </c>
      <c r="AV345" s="39">
        <v>0.60395833333333004</v>
      </c>
    </row>
    <row r="346" spans="1:48" x14ac:dyDescent="0.35">
      <c r="A346" t="str">
        <f t="shared" si="5"/>
        <v>GP005798B856</v>
      </c>
      <c r="B346" s="7" t="s">
        <v>150</v>
      </c>
      <c r="C346" s="7" t="s">
        <v>852</v>
      </c>
      <c r="D346" s="7" t="s">
        <v>21</v>
      </c>
      <c r="E346" s="7" t="s">
        <v>1177</v>
      </c>
      <c r="F346" s="7" t="s">
        <v>128</v>
      </c>
      <c r="G346" s="7" t="s">
        <v>130</v>
      </c>
      <c r="H346" s="7" t="s">
        <v>129</v>
      </c>
      <c r="I346" s="30">
        <v>2</v>
      </c>
      <c r="J346" s="7" t="s">
        <v>1177</v>
      </c>
      <c r="K346" s="7" t="s">
        <v>1178</v>
      </c>
      <c r="L346" s="7" t="s">
        <v>132</v>
      </c>
      <c r="M346" s="7" t="s">
        <v>133</v>
      </c>
      <c r="N346" s="30">
        <v>0</v>
      </c>
      <c r="O346" s="30">
        <v>0</v>
      </c>
      <c r="P346" s="30">
        <v>0</v>
      </c>
      <c r="Q346" s="30">
        <v>0</v>
      </c>
      <c r="R346" s="29">
        <v>0</v>
      </c>
      <c r="S346" s="36">
        <v>0</v>
      </c>
      <c r="T346" s="7" t="s">
        <v>131</v>
      </c>
      <c r="U346" s="7" t="s">
        <v>853</v>
      </c>
      <c r="V346" s="7" t="s">
        <v>853</v>
      </c>
      <c r="W346" s="7" t="s">
        <v>1177</v>
      </c>
      <c r="X346" s="30">
        <v>1</v>
      </c>
      <c r="Y346" s="7" t="s">
        <v>1177</v>
      </c>
      <c r="Z346" s="7" t="s">
        <v>1178</v>
      </c>
      <c r="AA346" s="30">
        <v>0</v>
      </c>
      <c r="AB346" s="36">
        <v>0</v>
      </c>
      <c r="AC346" s="7" t="s">
        <v>1177</v>
      </c>
      <c r="AD346" s="37">
        <v>0</v>
      </c>
      <c r="AE346" s="7" t="s">
        <v>1177</v>
      </c>
      <c r="AF346" s="7" t="s">
        <v>1177</v>
      </c>
      <c r="AG346" s="7" t="s">
        <v>1177</v>
      </c>
      <c r="AH346" s="38"/>
      <c r="AI346" s="36">
        <v>0</v>
      </c>
      <c r="AJ346" s="7" t="s">
        <v>1193</v>
      </c>
      <c r="AK346" s="7" t="s">
        <v>1177</v>
      </c>
      <c r="AL346" s="7" t="s">
        <v>1177</v>
      </c>
      <c r="AM346" s="7" t="s">
        <v>1177</v>
      </c>
      <c r="AN346" s="7" t="s">
        <v>3212</v>
      </c>
      <c r="AO346" s="7" t="s">
        <v>1177</v>
      </c>
      <c r="AP346" s="7" t="s">
        <v>1177</v>
      </c>
      <c r="AQ346" s="7" t="s">
        <v>1177</v>
      </c>
      <c r="AR346" s="29">
        <v>0</v>
      </c>
      <c r="AS346" s="7" t="s">
        <v>1177</v>
      </c>
      <c r="AT346" s="7" t="s">
        <v>1363</v>
      </c>
      <c r="AU346" s="38">
        <v>46275</v>
      </c>
      <c r="AV346" s="39">
        <v>0.60523148148147998</v>
      </c>
    </row>
    <row r="347" spans="1:48" x14ac:dyDescent="0.35">
      <c r="A347" t="str">
        <f t="shared" si="5"/>
        <v>GP005798B864</v>
      </c>
      <c r="B347" s="7" t="s">
        <v>150</v>
      </c>
      <c r="C347" s="7" t="s">
        <v>1010</v>
      </c>
      <c r="D347" s="7" t="s">
        <v>10</v>
      </c>
      <c r="E347" s="7" t="s">
        <v>1177</v>
      </c>
      <c r="F347" s="7" t="s">
        <v>128</v>
      </c>
      <c r="G347" s="7" t="s">
        <v>130</v>
      </c>
      <c r="H347" s="7" t="s">
        <v>129</v>
      </c>
      <c r="I347" s="30">
        <v>2</v>
      </c>
      <c r="J347" s="7" t="s">
        <v>1177</v>
      </c>
      <c r="K347" s="7" t="s">
        <v>1178</v>
      </c>
      <c r="L347" s="7" t="s">
        <v>132</v>
      </c>
      <c r="M347" s="7" t="s">
        <v>133</v>
      </c>
      <c r="N347" s="30">
        <v>0</v>
      </c>
      <c r="O347" s="30">
        <v>0</v>
      </c>
      <c r="P347" s="30">
        <v>0</v>
      </c>
      <c r="Q347" s="30">
        <v>0</v>
      </c>
      <c r="R347" s="29">
        <v>0</v>
      </c>
      <c r="S347" s="36">
        <v>0</v>
      </c>
      <c r="T347" s="7" t="s">
        <v>131</v>
      </c>
      <c r="U347" s="7" t="s">
        <v>1011</v>
      </c>
      <c r="V347" s="7" t="s">
        <v>1011</v>
      </c>
      <c r="W347" s="7" t="s">
        <v>1177</v>
      </c>
      <c r="X347" s="30">
        <v>1</v>
      </c>
      <c r="Y347" s="7" t="s">
        <v>1177</v>
      </c>
      <c r="Z347" s="7" t="s">
        <v>1178</v>
      </c>
      <c r="AA347" s="30">
        <v>0</v>
      </c>
      <c r="AB347" s="36">
        <v>0</v>
      </c>
      <c r="AC347" s="7" t="s">
        <v>1177</v>
      </c>
      <c r="AD347" s="37">
        <v>0</v>
      </c>
      <c r="AE347" s="7" t="s">
        <v>1177</v>
      </c>
      <c r="AF347" s="7" t="s">
        <v>1177</v>
      </c>
      <c r="AG347" s="7" t="s">
        <v>1177</v>
      </c>
      <c r="AH347" s="38"/>
      <c r="AI347" s="36">
        <v>0</v>
      </c>
      <c r="AJ347" s="7" t="s">
        <v>1193</v>
      </c>
      <c r="AK347" s="7" t="s">
        <v>1177</v>
      </c>
      <c r="AL347" s="7" t="s">
        <v>1177</v>
      </c>
      <c r="AM347" s="7" t="s">
        <v>1177</v>
      </c>
      <c r="AN347" s="7" t="s">
        <v>3212</v>
      </c>
      <c r="AO347" s="7" t="s">
        <v>1177</v>
      </c>
      <c r="AP347" s="7" t="s">
        <v>1177</v>
      </c>
      <c r="AQ347" s="7" t="s">
        <v>1177</v>
      </c>
      <c r="AR347" s="29">
        <v>0</v>
      </c>
      <c r="AS347" s="7" t="s">
        <v>1177</v>
      </c>
      <c r="AT347" s="7" t="s">
        <v>1363</v>
      </c>
      <c r="AU347" s="38">
        <v>46275</v>
      </c>
      <c r="AV347" s="39">
        <v>0.60541666666667004</v>
      </c>
    </row>
    <row r="348" spans="1:48" x14ac:dyDescent="0.35">
      <c r="A348" t="str">
        <f t="shared" si="5"/>
        <v>GP005798B865</v>
      </c>
      <c r="B348" s="7" t="s">
        <v>150</v>
      </c>
      <c r="C348" s="7" t="s">
        <v>1039</v>
      </c>
      <c r="D348" s="7" t="s">
        <v>7</v>
      </c>
      <c r="E348" s="7" t="s">
        <v>1177</v>
      </c>
      <c r="F348" s="7" t="s">
        <v>128</v>
      </c>
      <c r="G348" s="7" t="s">
        <v>130</v>
      </c>
      <c r="H348" s="7" t="s">
        <v>129</v>
      </c>
      <c r="I348" s="30">
        <v>2</v>
      </c>
      <c r="J348" s="7" t="s">
        <v>1177</v>
      </c>
      <c r="K348" s="7" t="s">
        <v>1178</v>
      </c>
      <c r="L348" s="7" t="s">
        <v>132</v>
      </c>
      <c r="M348" s="7" t="s">
        <v>133</v>
      </c>
      <c r="N348" s="30">
        <v>0</v>
      </c>
      <c r="O348" s="30">
        <v>0</v>
      </c>
      <c r="P348" s="30">
        <v>0</v>
      </c>
      <c r="Q348" s="30">
        <v>0</v>
      </c>
      <c r="R348" s="29">
        <v>0</v>
      </c>
      <c r="S348" s="36">
        <v>0</v>
      </c>
      <c r="T348" s="7" t="s">
        <v>131</v>
      </c>
      <c r="U348" s="7" t="s">
        <v>1040</v>
      </c>
      <c r="V348" s="7" t="s">
        <v>1040</v>
      </c>
      <c r="W348" s="7" t="s">
        <v>1177</v>
      </c>
      <c r="X348" s="30">
        <v>1</v>
      </c>
      <c r="Y348" s="7" t="s">
        <v>1177</v>
      </c>
      <c r="Z348" s="7" t="s">
        <v>1178</v>
      </c>
      <c r="AA348" s="30">
        <v>0</v>
      </c>
      <c r="AB348" s="36">
        <v>0</v>
      </c>
      <c r="AC348" s="7" t="s">
        <v>1177</v>
      </c>
      <c r="AD348" s="37">
        <v>0</v>
      </c>
      <c r="AE348" s="7" t="s">
        <v>1177</v>
      </c>
      <c r="AF348" s="7" t="s">
        <v>1177</v>
      </c>
      <c r="AG348" s="7" t="s">
        <v>1177</v>
      </c>
      <c r="AH348" s="38"/>
      <c r="AI348" s="36">
        <v>0</v>
      </c>
      <c r="AJ348" s="7" t="s">
        <v>1193</v>
      </c>
      <c r="AK348" s="7" t="s">
        <v>1177</v>
      </c>
      <c r="AL348" s="7" t="s">
        <v>1177</v>
      </c>
      <c r="AM348" s="7" t="s">
        <v>1177</v>
      </c>
      <c r="AN348" s="7" t="s">
        <v>3212</v>
      </c>
      <c r="AO348" s="7" t="s">
        <v>1177</v>
      </c>
      <c r="AP348" s="7" t="s">
        <v>1177</v>
      </c>
      <c r="AQ348" s="7" t="s">
        <v>1177</v>
      </c>
      <c r="AR348" s="29">
        <v>0</v>
      </c>
      <c r="AS348" s="7" t="s">
        <v>1177</v>
      </c>
      <c r="AT348" s="7" t="s">
        <v>1363</v>
      </c>
      <c r="AU348" s="38">
        <v>46275</v>
      </c>
      <c r="AV348" s="39">
        <v>0.60552083333332996</v>
      </c>
    </row>
    <row r="349" spans="1:48" x14ac:dyDescent="0.35">
      <c r="A349" t="str">
        <f t="shared" si="5"/>
        <v>GP005890B825</v>
      </c>
      <c r="B349" s="7" t="s">
        <v>151</v>
      </c>
      <c r="C349" s="7" t="s">
        <v>511</v>
      </c>
      <c r="D349" s="7" t="s">
        <v>16</v>
      </c>
      <c r="E349" s="7" t="s">
        <v>1177</v>
      </c>
      <c r="F349" s="7" t="s">
        <v>128</v>
      </c>
      <c r="G349" s="7" t="s">
        <v>130</v>
      </c>
      <c r="H349" s="7" t="s">
        <v>129</v>
      </c>
      <c r="I349" s="30">
        <v>1</v>
      </c>
      <c r="J349" s="7" t="s">
        <v>1177</v>
      </c>
      <c r="K349" s="7" t="s">
        <v>1178</v>
      </c>
      <c r="L349" s="7" t="s">
        <v>132</v>
      </c>
      <c r="M349" s="7" t="s">
        <v>133</v>
      </c>
      <c r="N349" s="30">
        <v>0</v>
      </c>
      <c r="O349" s="30">
        <v>0</v>
      </c>
      <c r="P349" s="30">
        <v>0</v>
      </c>
      <c r="Q349" s="30">
        <v>0</v>
      </c>
      <c r="R349" s="29">
        <v>0</v>
      </c>
      <c r="S349" s="36">
        <v>0</v>
      </c>
      <c r="T349" s="7" t="s">
        <v>131</v>
      </c>
      <c r="U349" s="7" t="s">
        <v>512</v>
      </c>
      <c r="V349" s="7" t="s">
        <v>512</v>
      </c>
      <c r="W349" s="7" t="s">
        <v>1177</v>
      </c>
      <c r="X349" s="30">
        <v>1</v>
      </c>
      <c r="Y349" s="7" t="s">
        <v>1177</v>
      </c>
      <c r="Z349" s="7" t="s">
        <v>1178</v>
      </c>
      <c r="AA349" s="30">
        <v>0</v>
      </c>
      <c r="AB349" s="36">
        <v>0</v>
      </c>
      <c r="AC349" s="7" t="s">
        <v>1177</v>
      </c>
      <c r="AD349" s="37">
        <v>0</v>
      </c>
      <c r="AE349" s="7" t="s">
        <v>1177</v>
      </c>
      <c r="AF349" s="7" t="s">
        <v>1177</v>
      </c>
      <c r="AG349" s="7" t="s">
        <v>1177</v>
      </c>
      <c r="AH349" s="38"/>
      <c r="AI349" s="36">
        <v>0</v>
      </c>
      <c r="AJ349" s="7" t="s">
        <v>1193</v>
      </c>
      <c r="AK349" s="7" t="s">
        <v>1177</v>
      </c>
      <c r="AL349" s="7" t="s">
        <v>1177</v>
      </c>
      <c r="AM349" s="7" t="s">
        <v>1177</v>
      </c>
      <c r="AN349" s="7" t="s">
        <v>3212</v>
      </c>
      <c r="AO349" s="7" t="s">
        <v>1177</v>
      </c>
      <c r="AP349" s="7" t="s">
        <v>1177</v>
      </c>
      <c r="AQ349" s="7" t="s">
        <v>1177</v>
      </c>
      <c r="AR349" s="29">
        <v>0</v>
      </c>
      <c r="AS349" s="7" t="s">
        <v>1177</v>
      </c>
      <c r="AT349" s="7" t="s">
        <v>1363</v>
      </c>
      <c r="AU349" s="38">
        <v>46275</v>
      </c>
      <c r="AV349" s="39">
        <v>0.60353009259259005</v>
      </c>
    </row>
    <row r="350" spans="1:48" x14ac:dyDescent="0.35">
      <c r="A350" t="str">
        <f t="shared" si="5"/>
        <v>GP005890B838</v>
      </c>
      <c r="B350" s="7" t="s">
        <v>151</v>
      </c>
      <c r="C350" s="7" t="s">
        <v>744</v>
      </c>
      <c r="D350" s="7" t="s">
        <v>48</v>
      </c>
      <c r="E350" s="7" t="s">
        <v>1177</v>
      </c>
      <c r="F350" s="7" t="s">
        <v>128</v>
      </c>
      <c r="G350" s="7" t="s">
        <v>130</v>
      </c>
      <c r="H350" s="7" t="s">
        <v>129</v>
      </c>
      <c r="I350" s="30">
        <v>2</v>
      </c>
      <c r="J350" s="7" t="s">
        <v>1177</v>
      </c>
      <c r="K350" s="7" t="s">
        <v>1178</v>
      </c>
      <c r="L350" s="7" t="s">
        <v>132</v>
      </c>
      <c r="M350" s="7" t="s">
        <v>133</v>
      </c>
      <c r="N350" s="30">
        <v>0</v>
      </c>
      <c r="O350" s="30">
        <v>0</v>
      </c>
      <c r="P350" s="30">
        <v>0</v>
      </c>
      <c r="Q350" s="30">
        <v>0</v>
      </c>
      <c r="R350" s="29">
        <v>0</v>
      </c>
      <c r="S350" s="36">
        <v>0</v>
      </c>
      <c r="T350" s="7" t="s">
        <v>131</v>
      </c>
      <c r="U350" s="7" t="s">
        <v>745</v>
      </c>
      <c r="V350" s="7" t="s">
        <v>745</v>
      </c>
      <c r="W350" s="7" t="s">
        <v>1177</v>
      </c>
      <c r="X350" s="30">
        <v>1</v>
      </c>
      <c r="Y350" s="7" t="s">
        <v>1177</v>
      </c>
      <c r="Z350" s="7" t="s">
        <v>1178</v>
      </c>
      <c r="AA350" s="30">
        <v>0</v>
      </c>
      <c r="AB350" s="36">
        <v>0</v>
      </c>
      <c r="AC350" s="7" t="s">
        <v>1177</v>
      </c>
      <c r="AD350" s="37">
        <v>0</v>
      </c>
      <c r="AE350" s="7" t="s">
        <v>1177</v>
      </c>
      <c r="AF350" s="7" t="s">
        <v>1177</v>
      </c>
      <c r="AG350" s="7" t="s">
        <v>1177</v>
      </c>
      <c r="AH350" s="38"/>
      <c r="AI350" s="36">
        <v>0</v>
      </c>
      <c r="AJ350" s="7" t="s">
        <v>1193</v>
      </c>
      <c r="AK350" s="7" t="s">
        <v>1177</v>
      </c>
      <c r="AL350" s="7" t="s">
        <v>1177</v>
      </c>
      <c r="AM350" s="7" t="s">
        <v>1177</v>
      </c>
      <c r="AN350" s="7" t="s">
        <v>3212</v>
      </c>
      <c r="AO350" s="7" t="s">
        <v>1177</v>
      </c>
      <c r="AP350" s="7" t="s">
        <v>1177</v>
      </c>
      <c r="AQ350" s="7" t="s">
        <v>1177</v>
      </c>
      <c r="AR350" s="29">
        <v>0</v>
      </c>
      <c r="AS350" s="7" t="s">
        <v>1177</v>
      </c>
      <c r="AT350" s="7" t="s">
        <v>1363</v>
      </c>
      <c r="AU350" s="38">
        <v>46275</v>
      </c>
      <c r="AV350" s="39">
        <v>0.60443287037036997</v>
      </c>
    </row>
    <row r="351" spans="1:48" x14ac:dyDescent="0.35">
      <c r="A351" t="str">
        <f t="shared" si="5"/>
        <v>GP006031B825</v>
      </c>
      <c r="B351" s="7" t="s">
        <v>218</v>
      </c>
      <c r="C351" s="7" t="s">
        <v>511</v>
      </c>
      <c r="D351" s="7" t="s">
        <v>16</v>
      </c>
      <c r="E351" s="7" t="s">
        <v>1177</v>
      </c>
      <c r="F351" s="7" t="s">
        <v>128</v>
      </c>
      <c r="G351" s="7" t="s">
        <v>130</v>
      </c>
      <c r="H351" s="7" t="s">
        <v>129</v>
      </c>
      <c r="I351" s="30">
        <v>2</v>
      </c>
      <c r="J351" s="7" t="s">
        <v>1177</v>
      </c>
      <c r="K351" s="7" t="s">
        <v>1178</v>
      </c>
      <c r="L351" s="7" t="s">
        <v>132</v>
      </c>
      <c r="M351" s="7" t="s">
        <v>133</v>
      </c>
      <c r="N351" s="30">
        <v>0</v>
      </c>
      <c r="O351" s="30">
        <v>0</v>
      </c>
      <c r="P351" s="30">
        <v>0</v>
      </c>
      <c r="Q351" s="30">
        <v>0</v>
      </c>
      <c r="R351" s="29">
        <v>0</v>
      </c>
      <c r="S351" s="36">
        <v>0</v>
      </c>
      <c r="T351" s="7" t="s">
        <v>131</v>
      </c>
      <c r="U351" s="7" t="s">
        <v>512</v>
      </c>
      <c r="V351" s="7" t="s">
        <v>512</v>
      </c>
      <c r="W351" s="7" t="s">
        <v>1177</v>
      </c>
      <c r="X351" s="30">
        <v>1</v>
      </c>
      <c r="Y351" s="7" t="s">
        <v>1177</v>
      </c>
      <c r="Z351" s="7" t="s">
        <v>1178</v>
      </c>
      <c r="AA351" s="30">
        <v>0</v>
      </c>
      <c r="AB351" s="36">
        <v>0</v>
      </c>
      <c r="AC351" s="7" t="s">
        <v>1177</v>
      </c>
      <c r="AD351" s="37">
        <v>0</v>
      </c>
      <c r="AE351" s="7" t="s">
        <v>1177</v>
      </c>
      <c r="AF351" s="7" t="s">
        <v>1177</v>
      </c>
      <c r="AG351" s="7" t="s">
        <v>1177</v>
      </c>
      <c r="AH351" s="38"/>
      <c r="AI351" s="36">
        <v>0</v>
      </c>
      <c r="AJ351" s="7" t="s">
        <v>1193</v>
      </c>
      <c r="AK351" s="7" t="s">
        <v>1177</v>
      </c>
      <c r="AL351" s="7" t="s">
        <v>1177</v>
      </c>
      <c r="AM351" s="7" t="s">
        <v>1177</v>
      </c>
      <c r="AN351" s="7" t="s">
        <v>3212</v>
      </c>
      <c r="AO351" s="7" t="s">
        <v>1177</v>
      </c>
      <c r="AP351" s="7" t="s">
        <v>1177</v>
      </c>
      <c r="AQ351" s="7" t="s">
        <v>1177</v>
      </c>
      <c r="AR351" s="29">
        <v>0</v>
      </c>
      <c r="AS351" s="7" t="s">
        <v>1177</v>
      </c>
      <c r="AT351" s="7" t="s">
        <v>1363</v>
      </c>
      <c r="AU351" s="38">
        <v>46275</v>
      </c>
      <c r="AV351" s="39">
        <v>0.62302083333333003</v>
      </c>
    </row>
    <row r="352" spans="1:48" x14ac:dyDescent="0.35">
      <c r="A352" t="str">
        <f t="shared" si="5"/>
        <v>GP006031B857</v>
      </c>
      <c r="B352" s="7" t="s">
        <v>218</v>
      </c>
      <c r="C352" s="7" t="s">
        <v>958</v>
      </c>
      <c r="D352" s="7" t="s">
        <v>23</v>
      </c>
      <c r="E352" s="7" t="s">
        <v>1177</v>
      </c>
      <c r="F352" s="7" t="s">
        <v>128</v>
      </c>
      <c r="G352" s="7" t="s">
        <v>130</v>
      </c>
      <c r="H352" s="7" t="s">
        <v>129</v>
      </c>
      <c r="I352" s="30">
        <v>1</v>
      </c>
      <c r="J352" s="7" t="s">
        <v>1177</v>
      </c>
      <c r="K352" s="7" t="s">
        <v>1178</v>
      </c>
      <c r="L352" s="7" t="s">
        <v>132</v>
      </c>
      <c r="M352" s="7" t="s">
        <v>133</v>
      </c>
      <c r="N352" s="30">
        <v>0</v>
      </c>
      <c r="O352" s="30">
        <v>0</v>
      </c>
      <c r="P352" s="30">
        <v>0</v>
      </c>
      <c r="Q352" s="30">
        <v>0</v>
      </c>
      <c r="R352" s="29">
        <v>0</v>
      </c>
      <c r="S352" s="36">
        <v>0</v>
      </c>
      <c r="T352" s="7" t="s">
        <v>131</v>
      </c>
      <c r="U352" s="7" t="s">
        <v>959</v>
      </c>
      <c r="V352" s="7" t="s">
        <v>959</v>
      </c>
      <c r="W352" s="7" t="s">
        <v>1177</v>
      </c>
      <c r="X352" s="30">
        <v>1</v>
      </c>
      <c r="Y352" s="7" t="s">
        <v>1177</v>
      </c>
      <c r="Z352" s="7" t="s">
        <v>1178</v>
      </c>
      <c r="AA352" s="30">
        <v>0</v>
      </c>
      <c r="AB352" s="36">
        <v>0</v>
      </c>
      <c r="AC352" s="7" t="s">
        <v>1177</v>
      </c>
      <c r="AD352" s="37">
        <v>0</v>
      </c>
      <c r="AE352" s="7" t="s">
        <v>1177</v>
      </c>
      <c r="AF352" s="7" t="s">
        <v>1177</v>
      </c>
      <c r="AG352" s="7" t="s">
        <v>1177</v>
      </c>
      <c r="AH352" s="38"/>
      <c r="AI352" s="36">
        <v>0</v>
      </c>
      <c r="AJ352" s="7" t="s">
        <v>1193</v>
      </c>
      <c r="AK352" s="7" t="s">
        <v>1177</v>
      </c>
      <c r="AL352" s="7" t="s">
        <v>1177</v>
      </c>
      <c r="AM352" s="7" t="s">
        <v>1177</v>
      </c>
      <c r="AN352" s="7" t="s">
        <v>3212</v>
      </c>
      <c r="AO352" s="7" t="s">
        <v>1177</v>
      </c>
      <c r="AP352" s="7" t="s">
        <v>1177</v>
      </c>
      <c r="AQ352" s="7" t="s">
        <v>1177</v>
      </c>
      <c r="AR352" s="29">
        <v>0</v>
      </c>
      <c r="AS352" s="7" t="s">
        <v>1177</v>
      </c>
      <c r="AT352" s="7" t="s">
        <v>1363</v>
      </c>
      <c r="AU352" s="38">
        <v>46275</v>
      </c>
      <c r="AV352" s="39">
        <v>0.62495370370369996</v>
      </c>
    </row>
    <row r="353" spans="1:48" x14ac:dyDescent="0.35">
      <c r="A353" t="str">
        <f t="shared" si="5"/>
        <v>GP006039B825</v>
      </c>
      <c r="B353" s="7" t="s">
        <v>219</v>
      </c>
      <c r="C353" s="7" t="s">
        <v>511</v>
      </c>
      <c r="D353" s="7" t="s">
        <v>16</v>
      </c>
      <c r="E353" s="7" t="s">
        <v>1177</v>
      </c>
      <c r="F353" s="7" t="s">
        <v>128</v>
      </c>
      <c r="G353" s="7" t="s">
        <v>130</v>
      </c>
      <c r="H353" s="7" t="s">
        <v>129</v>
      </c>
      <c r="I353" s="30">
        <v>2</v>
      </c>
      <c r="J353" s="7" t="s">
        <v>1177</v>
      </c>
      <c r="K353" s="7" t="s">
        <v>1178</v>
      </c>
      <c r="L353" s="7" t="s">
        <v>132</v>
      </c>
      <c r="M353" s="7" t="s">
        <v>133</v>
      </c>
      <c r="N353" s="30">
        <v>0</v>
      </c>
      <c r="O353" s="30">
        <v>0</v>
      </c>
      <c r="P353" s="30">
        <v>0</v>
      </c>
      <c r="Q353" s="30">
        <v>0</v>
      </c>
      <c r="R353" s="29">
        <v>0</v>
      </c>
      <c r="S353" s="36">
        <v>0</v>
      </c>
      <c r="T353" s="7" t="s">
        <v>131</v>
      </c>
      <c r="U353" s="7" t="s">
        <v>512</v>
      </c>
      <c r="V353" s="7" t="s">
        <v>512</v>
      </c>
      <c r="W353" s="7" t="s">
        <v>1177</v>
      </c>
      <c r="X353" s="30">
        <v>1</v>
      </c>
      <c r="Y353" s="7" t="s">
        <v>1177</v>
      </c>
      <c r="Z353" s="7" t="s">
        <v>1178</v>
      </c>
      <c r="AA353" s="30">
        <v>0</v>
      </c>
      <c r="AB353" s="36">
        <v>0</v>
      </c>
      <c r="AC353" s="7" t="s">
        <v>1177</v>
      </c>
      <c r="AD353" s="37">
        <v>0</v>
      </c>
      <c r="AE353" s="7" t="s">
        <v>1177</v>
      </c>
      <c r="AF353" s="7" t="s">
        <v>1177</v>
      </c>
      <c r="AG353" s="7" t="s">
        <v>1177</v>
      </c>
      <c r="AH353" s="38"/>
      <c r="AI353" s="36">
        <v>0</v>
      </c>
      <c r="AJ353" s="7" t="s">
        <v>1193</v>
      </c>
      <c r="AK353" s="7" t="s">
        <v>1177</v>
      </c>
      <c r="AL353" s="7" t="s">
        <v>1177</v>
      </c>
      <c r="AM353" s="7" t="s">
        <v>1177</v>
      </c>
      <c r="AN353" s="7" t="s">
        <v>3212</v>
      </c>
      <c r="AO353" s="7" t="s">
        <v>1177</v>
      </c>
      <c r="AP353" s="7" t="s">
        <v>1177</v>
      </c>
      <c r="AQ353" s="7" t="s">
        <v>1177</v>
      </c>
      <c r="AR353" s="29">
        <v>0</v>
      </c>
      <c r="AS353" s="7" t="s">
        <v>1177</v>
      </c>
      <c r="AT353" s="7" t="s">
        <v>1363</v>
      </c>
      <c r="AU353" s="38">
        <v>46275</v>
      </c>
      <c r="AV353" s="39">
        <v>0.60353009259259005</v>
      </c>
    </row>
    <row r="354" spans="1:48" x14ac:dyDescent="0.35">
      <c r="A354" t="str">
        <f t="shared" si="5"/>
        <v>GP006039B838</v>
      </c>
      <c r="B354" s="7" t="s">
        <v>219</v>
      </c>
      <c r="C354" s="7" t="s">
        <v>744</v>
      </c>
      <c r="D354" s="7" t="s">
        <v>48</v>
      </c>
      <c r="E354" s="7" t="s">
        <v>1177</v>
      </c>
      <c r="F354" s="7" t="s">
        <v>128</v>
      </c>
      <c r="G354" s="7" t="s">
        <v>130</v>
      </c>
      <c r="H354" s="7" t="s">
        <v>129</v>
      </c>
      <c r="I354" s="30">
        <v>2</v>
      </c>
      <c r="J354" s="7" t="s">
        <v>1177</v>
      </c>
      <c r="K354" s="7" t="s">
        <v>1178</v>
      </c>
      <c r="L354" s="7" t="s">
        <v>132</v>
      </c>
      <c r="M354" s="7" t="s">
        <v>133</v>
      </c>
      <c r="N354" s="30">
        <v>0</v>
      </c>
      <c r="O354" s="30">
        <v>0</v>
      </c>
      <c r="P354" s="30">
        <v>0</v>
      </c>
      <c r="Q354" s="30">
        <v>0</v>
      </c>
      <c r="R354" s="29">
        <v>0</v>
      </c>
      <c r="S354" s="36">
        <v>0</v>
      </c>
      <c r="T354" s="7" t="s">
        <v>131</v>
      </c>
      <c r="U354" s="7" t="s">
        <v>745</v>
      </c>
      <c r="V354" s="7" t="s">
        <v>745</v>
      </c>
      <c r="W354" s="7" t="s">
        <v>1177</v>
      </c>
      <c r="X354" s="30">
        <v>1</v>
      </c>
      <c r="Y354" s="7" t="s">
        <v>1177</v>
      </c>
      <c r="Z354" s="7" t="s">
        <v>1178</v>
      </c>
      <c r="AA354" s="30">
        <v>0</v>
      </c>
      <c r="AB354" s="36">
        <v>0</v>
      </c>
      <c r="AC354" s="7" t="s">
        <v>1177</v>
      </c>
      <c r="AD354" s="37">
        <v>0</v>
      </c>
      <c r="AE354" s="7" t="s">
        <v>1177</v>
      </c>
      <c r="AF354" s="7" t="s">
        <v>1177</v>
      </c>
      <c r="AG354" s="7" t="s">
        <v>1177</v>
      </c>
      <c r="AH354" s="38"/>
      <c r="AI354" s="36">
        <v>0</v>
      </c>
      <c r="AJ354" s="7" t="s">
        <v>1193</v>
      </c>
      <c r="AK354" s="7" t="s">
        <v>1177</v>
      </c>
      <c r="AL354" s="7" t="s">
        <v>1177</v>
      </c>
      <c r="AM354" s="7" t="s">
        <v>1177</v>
      </c>
      <c r="AN354" s="7" t="s">
        <v>3212</v>
      </c>
      <c r="AO354" s="7" t="s">
        <v>1177</v>
      </c>
      <c r="AP354" s="7" t="s">
        <v>1177</v>
      </c>
      <c r="AQ354" s="7" t="s">
        <v>1177</v>
      </c>
      <c r="AR354" s="29">
        <v>0</v>
      </c>
      <c r="AS354" s="7" t="s">
        <v>1177</v>
      </c>
      <c r="AT354" s="7" t="s">
        <v>1363</v>
      </c>
      <c r="AU354" s="38">
        <v>46275</v>
      </c>
      <c r="AV354" s="39">
        <v>0.60443287037036997</v>
      </c>
    </row>
    <row r="355" spans="1:48" x14ac:dyDescent="0.35">
      <c r="A355" t="str">
        <f t="shared" si="5"/>
        <v>GP006115B825</v>
      </c>
      <c r="B355" s="7" t="s">
        <v>220</v>
      </c>
      <c r="C355" s="7" t="s">
        <v>511</v>
      </c>
      <c r="D355" s="7" t="s">
        <v>16</v>
      </c>
      <c r="E355" s="7" t="s">
        <v>1177</v>
      </c>
      <c r="F355" s="7" t="s">
        <v>128</v>
      </c>
      <c r="G355" s="7" t="s">
        <v>130</v>
      </c>
      <c r="H355" s="7" t="s">
        <v>129</v>
      </c>
      <c r="I355" s="30">
        <v>1</v>
      </c>
      <c r="J355" s="7" t="s">
        <v>1177</v>
      </c>
      <c r="K355" s="7" t="s">
        <v>1178</v>
      </c>
      <c r="L355" s="7" t="s">
        <v>132</v>
      </c>
      <c r="M355" s="7" t="s">
        <v>133</v>
      </c>
      <c r="N355" s="30">
        <v>0</v>
      </c>
      <c r="O355" s="30">
        <v>0</v>
      </c>
      <c r="P355" s="30">
        <v>0</v>
      </c>
      <c r="Q355" s="30">
        <v>0</v>
      </c>
      <c r="R355" s="29">
        <v>0</v>
      </c>
      <c r="S355" s="36">
        <v>0</v>
      </c>
      <c r="T355" s="7" t="s">
        <v>131</v>
      </c>
      <c r="U355" s="7" t="s">
        <v>512</v>
      </c>
      <c r="V355" s="7" t="s">
        <v>512</v>
      </c>
      <c r="W355" s="7" t="s">
        <v>1177</v>
      </c>
      <c r="X355" s="30">
        <v>1</v>
      </c>
      <c r="Y355" s="7" t="s">
        <v>1177</v>
      </c>
      <c r="Z355" s="7" t="s">
        <v>1178</v>
      </c>
      <c r="AA355" s="30">
        <v>0</v>
      </c>
      <c r="AB355" s="36">
        <v>0</v>
      </c>
      <c r="AC355" s="7" t="s">
        <v>1177</v>
      </c>
      <c r="AD355" s="37">
        <v>0</v>
      </c>
      <c r="AE355" s="7" t="s">
        <v>1177</v>
      </c>
      <c r="AF355" s="7" t="s">
        <v>1177</v>
      </c>
      <c r="AG355" s="7" t="s">
        <v>1177</v>
      </c>
      <c r="AH355" s="38"/>
      <c r="AI355" s="36">
        <v>0</v>
      </c>
      <c r="AJ355" s="7" t="s">
        <v>1193</v>
      </c>
      <c r="AK355" s="7" t="s">
        <v>1177</v>
      </c>
      <c r="AL355" s="7" t="s">
        <v>1177</v>
      </c>
      <c r="AM355" s="7" t="s">
        <v>1177</v>
      </c>
      <c r="AN355" s="7" t="s">
        <v>3212</v>
      </c>
      <c r="AO355" s="7" t="s">
        <v>1177</v>
      </c>
      <c r="AP355" s="7" t="s">
        <v>1177</v>
      </c>
      <c r="AQ355" s="7" t="s">
        <v>1177</v>
      </c>
      <c r="AR355" s="29">
        <v>0</v>
      </c>
      <c r="AS355" s="7" t="s">
        <v>1177</v>
      </c>
      <c r="AT355" s="7" t="s">
        <v>1363</v>
      </c>
      <c r="AU355" s="38">
        <v>46275</v>
      </c>
      <c r="AV355" s="39">
        <v>0.60350694444443997</v>
      </c>
    </row>
    <row r="356" spans="1:48" x14ac:dyDescent="0.35">
      <c r="A356" t="str">
        <f t="shared" si="5"/>
        <v>GP006115B838</v>
      </c>
      <c r="B356" s="7" t="s">
        <v>220</v>
      </c>
      <c r="C356" s="7" t="s">
        <v>744</v>
      </c>
      <c r="D356" s="7" t="s">
        <v>48</v>
      </c>
      <c r="E356" s="7" t="s">
        <v>1177</v>
      </c>
      <c r="F356" s="7" t="s">
        <v>128</v>
      </c>
      <c r="G356" s="7" t="s">
        <v>130</v>
      </c>
      <c r="H356" s="7" t="s">
        <v>129</v>
      </c>
      <c r="I356" s="30">
        <v>1</v>
      </c>
      <c r="J356" s="7" t="s">
        <v>1177</v>
      </c>
      <c r="K356" s="7" t="s">
        <v>1178</v>
      </c>
      <c r="L356" s="7" t="s">
        <v>132</v>
      </c>
      <c r="M356" s="7" t="s">
        <v>133</v>
      </c>
      <c r="N356" s="30">
        <v>0</v>
      </c>
      <c r="O356" s="30">
        <v>0</v>
      </c>
      <c r="P356" s="30">
        <v>0</v>
      </c>
      <c r="Q356" s="30">
        <v>0</v>
      </c>
      <c r="R356" s="29">
        <v>0</v>
      </c>
      <c r="S356" s="36">
        <v>0</v>
      </c>
      <c r="T356" s="7" t="s">
        <v>131</v>
      </c>
      <c r="U356" s="7" t="s">
        <v>745</v>
      </c>
      <c r="V356" s="7" t="s">
        <v>745</v>
      </c>
      <c r="W356" s="7" t="s">
        <v>1177</v>
      </c>
      <c r="X356" s="30">
        <v>1</v>
      </c>
      <c r="Y356" s="7" t="s">
        <v>1177</v>
      </c>
      <c r="Z356" s="7" t="s">
        <v>1178</v>
      </c>
      <c r="AA356" s="30">
        <v>0</v>
      </c>
      <c r="AB356" s="36">
        <v>0</v>
      </c>
      <c r="AC356" s="7" t="s">
        <v>1177</v>
      </c>
      <c r="AD356" s="37">
        <v>0</v>
      </c>
      <c r="AE356" s="7" t="s">
        <v>1177</v>
      </c>
      <c r="AF356" s="7" t="s">
        <v>1177</v>
      </c>
      <c r="AG356" s="7" t="s">
        <v>1177</v>
      </c>
      <c r="AH356" s="38"/>
      <c r="AI356" s="36">
        <v>0</v>
      </c>
      <c r="AJ356" s="7" t="s">
        <v>1193</v>
      </c>
      <c r="AK356" s="7" t="s">
        <v>1177</v>
      </c>
      <c r="AL356" s="7" t="s">
        <v>1177</v>
      </c>
      <c r="AM356" s="7" t="s">
        <v>1177</v>
      </c>
      <c r="AN356" s="7" t="s">
        <v>3212</v>
      </c>
      <c r="AO356" s="7" t="s">
        <v>1177</v>
      </c>
      <c r="AP356" s="7" t="s">
        <v>1177</v>
      </c>
      <c r="AQ356" s="7" t="s">
        <v>1177</v>
      </c>
      <c r="AR356" s="29">
        <v>0</v>
      </c>
      <c r="AS356" s="7" t="s">
        <v>1177</v>
      </c>
      <c r="AT356" s="7" t="s">
        <v>1363</v>
      </c>
      <c r="AU356" s="38">
        <v>46275</v>
      </c>
      <c r="AV356" s="39">
        <v>0.60446759259258998</v>
      </c>
    </row>
    <row r="357" spans="1:48" x14ac:dyDescent="0.35">
      <c r="A357" t="str">
        <f t="shared" si="5"/>
        <v>GP006557B825</v>
      </c>
      <c r="B357" s="7" t="s">
        <v>351</v>
      </c>
      <c r="C357" s="7" t="s">
        <v>511</v>
      </c>
      <c r="D357" s="7" t="s">
        <v>16</v>
      </c>
      <c r="E357" s="7" t="s">
        <v>1177</v>
      </c>
      <c r="F357" s="7" t="s">
        <v>128</v>
      </c>
      <c r="G357" s="7" t="s">
        <v>130</v>
      </c>
      <c r="H357" s="7" t="s">
        <v>129</v>
      </c>
      <c r="I357" s="30">
        <v>2</v>
      </c>
      <c r="J357" s="7" t="s">
        <v>1177</v>
      </c>
      <c r="K357" s="7" t="s">
        <v>1178</v>
      </c>
      <c r="L357" s="7" t="s">
        <v>132</v>
      </c>
      <c r="M357" s="7" t="s">
        <v>133</v>
      </c>
      <c r="N357" s="30">
        <v>0</v>
      </c>
      <c r="O357" s="30">
        <v>0</v>
      </c>
      <c r="P357" s="30">
        <v>0</v>
      </c>
      <c r="Q357" s="30">
        <v>0</v>
      </c>
      <c r="R357" s="29">
        <v>0</v>
      </c>
      <c r="S357" s="36">
        <v>0</v>
      </c>
      <c r="T357" s="7" t="s">
        <v>131</v>
      </c>
      <c r="U357" s="7" t="s">
        <v>512</v>
      </c>
      <c r="V357" s="7" t="s">
        <v>512</v>
      </c>
      <c r="W357" s="7" t="s">
        <v>1177</v>
      </c>
      <c r="X357" s="30">
        <v>1</v>
      </c>
      <c r="Y357" s="7" t="s">
        <v>1177</v>
      </c>
      <c r="Z357" s="7" t="s">
        <v>1178</v>
      </c>
      <c r="AA357" s="30">
        <v>0</v>
      </c>
      <c r="AB357" s="36">
        <v>0</v>
      </c>
      <c r="AC357" s="7" t="s">
        <v>1177</v>
      </c>
      <c r="AD357" s="37">
        <v>0</v>
      </c>
      <c r="AE357" s="7" t="s">
        <v>1177</v>
      </c>
      <c r="AF357" s="7" t="s">
        <v>1177</v>
      </c>
      <c r="AG357" s="7" t="s">
        <v>1177</v>
      </c>
      <c r="AH357" s="38"/>
      <c r="AI357" s="36">
        <v>0</v>
      </c>
      <c r="AJ357" s="7" t="s">
        <v>1193</v>
      </c>
      <c r="AK357" s="7" t="s">
        <v>1177</v>
      </c>
      <c r="AL357" s="7" t="s">
        <v>1177</v>
      </c>
      <c r="AM357" s="7" t="s">
        <v>1177</v>
      </c>
      <c r="AN357" s="7" t="s">
        <v>3212</v>
      </c>
      <c r="AO357" s="7" t="s">
        <v>1177</v>
      </c>
      <c r="AP357" s="7" t="s">
        <v>1177</v>
      </c>
      <c r="AQ357" s="7" t="s">
        <v>1177</v>
      </c>
      <c r="AR357" s="29">
        <v>0</v>
      </c>
      <c r="AS357" s="7" t="s">
        <v>1177</v>
      </c>
      <c r="AT357" s="7" t="s">
        <v>1363</v>
      </c>
      <c r="AU357" s="38">
        <v>46275</v>
      </c>
      <c r="AV357" s="39">
        <v>0.60350694444443997</v>
      </c>
    </row>
    <row r="358" spans="1:48" x14ac:dyDescent="0.35">
      <c r="A358" t="str">
        <f t="shared" si="5"/>
        <v>GP006558B825</v>
      </c>
      <c r="B358" s="7" t="s">
        <v>352</v>
      </c>
      <c r="C358" s="7" t="s">
        <v>511</v>
      </c>
      <c r="D358" s="7" t="s">
        <v>16</v>
      </c>
      <c r="E358" s="7" t="s">
        <v>1177</v>
      </c>
      <c r="F358" s="7" t="s">
        <v>128</v>
      </c>
      <c r="G358" s="7" t="s">
        <v>130</v>
      </c>
      <c r="H358" s="7" t="s">
        <v>129</v>
      </c>
      <c r="I358" s="30">
        <v>2</v>
      </c>
      <c r="J358" s="7" t="s">
        <v>1177</v>
      </c>
      <c r="K358" s="7" t="s">
        <v>1178</v>
      </c>
      <c r="L358" s="7" t="s">
        <v>132</v>
      </c>
      <c r="M358" s="7" t="s">
        <v>133</v>
      </c>
      <c r="N358" s="30">
        <v>0</v>
      </c>
      <c r="O358" s="30">
        <v>0</v>
      </c>
      <c r="P358" s="30">
        <v>0</v>
      </c>
      <c r="Q358" s="30">
        <v>0</v>
      </c>
      <c r="R358" s="29">
        <v>0</v>
      </c>
      <c r="S358" s="36">
        <v>0</v>
      </c>
      <c r="T358" s="7" t="s">
        <v>131</v>
      </c>
      <c r="U358" s="7" t="s">
        <v>512</v>
      </c>
      <c r="V358" s="7" t="s">
        <v>512</v>
      </c>
      <c r="W358" s="7" t="s">
        <v>1177</v>
      </c>
      <c r="X358" s="30">
        <v>1</v>
      </c>
      <c r="Y358" s="7" t="s">
        <v>1177</v>
      </c>
      <c r="Z358" s="7" t="s">
        <v>1178</v>
      </c>
      <c r="AA358" s="30">
        <v>0</v>
      </c>
      <c r="AB358" s="36">
        <v>0</v>
      </c>
      <c r="AC358" s="7" t="s">
        <v>1177</v>
      </c>
      <c r="AD358" s="37">
        <v>0</v>
      </c>
      <c r="AE358" s="7" t="s">
        <v>1177</v>
      </c>
      <c r="AF358" s="7" t="s">
        <v>1177</v>
      </c>
      <c r="AG358" s="7" t="s">
        <v>1177</v>
      </c>
      <c r="AH358" s="38"/>
      <c r="AI358" s="36">
        <v>0</v>
      </c>
      <c r="AJ358" s="7" t="s">
        <v>1193</v>
      </c>
      <c r="AK358" s="7" t="s">
        <v>1177</v>
      </c>
      <c r="AL358" s="7" t="s">
        <v>1177</v>
      </c>
      <c r="AM358" s="7" t="s">
        <v>1177</v>
      </c>
      <c r="AN358" s="7" t="s">
        <v>3212</v>
      </c>
      <c r="AO358" s="7" t="s">
        <v>1177</v>
      </c>
      <c r="AP358" s="7" t="s">
        <v>1177</v>
      </c>
      <c r="AQ358" s="7" t="s">
        <v>1177</v>
      </c>
      <c r="AR358" s="29">
        <v>0</v>
      </c>
      <c r="AS358" s="7" t="s">
        <v>1177</v>
      </c>
      <c r="AT358" s="7" t="s">
        <v>1363</v>
      </c>
      <c r="AU358" s="38">
        <v>46275</v>
      </c>
      <c r="AV358" s="39">
        <v>0.62302083333333003</v>
      </c>
    </row>
    <row r="359" spans="1:48" x14ac:dyDescent="0.35">
      <c r="A359" t="str">
        <f t="shared" si="5"/>
        <v>GP007073B864</v>
      </c>
      <c r="B359" s="7" t="s">
        <v>353</v>
      </c>
      <c r="C359" s="7" t="s">
        <v>1010</v>
      </c>
      <c r="D359" s="7" t="s">
        <v>10</v>
      </c>
      <c r="E359" s="7" t="s">
        <v>1177</v>
      </c>
      <c r="F359" s="7" t="s">
        <v>128</v>
      </c>
      <c r="G359" s="7" t="s">
        <v>130</v>
      </c>
      <c r="H359" s="7" t="s">
        <v>129</v>
      </c>
      <c r="I359" s="30">
        <v>2</v>
      </c>
      <c r="J359" s="7" t="s">
        <v>1177</v>
      </c>
      <c r="K359" s="7" t="s">
        <v>1178</v>
      </c>
      <c r="L359" s="7" t="s">
        <v>132</v>
      </c>
      <c r="M359" s="7" t="s">
        <v>133</v>
      </c>
      <c r="N359" s="30">
        <v>0</v>
      </c>
      <c r="O359" s="30">
        <v>0</v>
      </c>
      <c r="P359" s="30">
        <v>0</v>
      </c>
      <c r="Q359" s="30">
        <v>0</v>
      </c>
      <c r="R359" s="29">
        <v>0</v>
      </c>
      <c r="S359" s="36">
        <v>0</v>
      </c>
      <c r="T359" s="7" t="s">
        <v>131</v>
      </c>
      <c r="U359" s="7" t="s">
        <v>1011</v>
      </c>
      <c r="V359" s="7" t="s">
        <v>1011</v>
      </c>
      <c r="W359" s="7" t="s">
        <v>1177</v>
      </c>
      <c r="X359" s="30">
        <v>1</v>
      </c>
      <c r="Y359" s="7" t="s">
        <v>1177</v>
      </c>
      <c r="Z359" s="7" t="s">
        <v>1178</v>
      </c>
      <c r="AA359" s="30">
        <v>0</v>
      </c>
      <c r="AB359" s="36">
        <v>0</v>
      </c>
      <c r="AC359" s="7" t="s">
        <v>1177</v>
      </c>
      <c r="AD359" s="37">
        <v>0</v>
      </c>
      <c r="AE359" s="7" t="s">
        <v>1177</v>
      </c>
      <c r="AF359" s="7" t="s">
        <v>1177</v>
      </c>
      <c r="AG359" s="7" t="s">
        <v>1177</v>
      </c>
      <c r="AH359" s="38"/>
      <c r="AI359" s="36">
        <v>0</v>
      </c>
      <c r="AJ359" s="7" t="s">
        <v>1193</v>
      </c>
      <c r="AK359" s="7" t="s">
        <v>1177</v>
      </c>
      <c r="AL359" s="7" t="s">
        <v>1177</v>
      </c>
      <c r="AM359" s="7" t="s">
        <v>1177</v>
      </c>
      <c r="AN359" s="7" t="s">
        <v>3212</v>
      </c>
      <c r="AO359" s="7" t="s">
        <v>1177</v>
      </c>
      <c r="AP359" s="7" t="s">
        <v>1177</v>
      </c>
      <c r="AQ359" s="7" t="s">
        <v>1177</v>
      </c>
      <c r="AR359" s="29">
        <v>0</v>
      </c>
      <c r="AS359" s="7" t="s">
        <v>1177</v>
      </c>
      <c r="AT359" s="7" t="s">
        <v>1363</v>
      </c>
      <c r="AU359" s="38">
        <v>46275</v>
      </c>
      <c r="AV359" s="39">
        <v>0.60541666666667004</v>
      </c>
    </row>
    <row r="360" spans="1:48" x14ac:dyDescent="0.35">
      <c r="A360" t="str">
        <f t="shared" si="5"/>
        <v>GP007073B865</v>
      </c>
      <c r="B360" s="7" t="s">
        <v>353</v>
      </c>
      <c r="C360" s="7" t="s">
        <v>1039</v>
      </c>
      <c r="D360" s="7" t="s">
        <v>7</v>
      </c>
      <c r="E360" s="7" t="s">
        <v>1177</v>
      </c>
      <c r="F360" s="7" t="s">
        <v>128</v>
      </c>
      <c r="G360" s="7" t="s">
        <v>130</v>
      </c>
      <c r="H360" s="7" t="s">
        <v>129</v>
      </c>
      <c r="I360" s="30">
        <v>2</v>
      </c>
      <c r="J360" s="7" t="s">
        <v>1177</v>
      </c>
      <c r="K360" s="7" t="s">
        <v>1178</v>
      </c>
      <c r="L360" s="7" t="s">
        <v>132</v>
      </c>
      <c r="M360" s="7" t="s">
        <v>133</v>
      </c>
      <c r="N360" s="30">
        <v>0</v>
      </c>
      <c r="O360" s="30">
        <v>0</v>
      </c>
      <c r="P360" s="30">
        <v>0</v>
      </c>
      <c r="Q360" s="30">
        <v>0</v>
      </c>
      <c r="R360" s="29">
        <v>0</v>
      </c>
      <c r="S360" s="36">
        <v>0</v>
      </c>
      <c r="T360" s="7" t="s">
        <v>131</v>
      </c>
      <c r="U360" s="7" t="s">
        <v>1040</v>
      </c>
      <c r="V360" s="7" t="s">
        <v>1040</v>
      </c>
      <c r="W360" s="7" t="s">
        <v>1177</v>
      </c>
      <c r="X360" s="30">
        <v>1</v>
      </c>
      <c r="Y360" s="7" t="s">
        <v>1177</v>
      </c>
      <c r="Z360" s="7" t="s">
        <v>1178</v>
      </c>
      <c r="AA360" s="30">
        <v>0</v>
      </c>
      <c r="AB360" s="36">
        <v>0</v>
      </c>
      <c r="AC360" s="7" t="s">
        <v>1177</v>
      </c>
      <c r="AD360" s="37">
        <v>0</v>
      </c>
      <c r="AE360" s="7" t="s">
        <v>1177</v>
      </c>
      <c r="AF360" s="7" t="s">
        <v>1177</v>
      </c>
      <c r="AG360" s="7" t="s">
        <v>1177</v>
      </c>
      <c r="AH360" s="38"/>
      <c r="AI360" s="36">
        <v>0</v>
      </c>
      <c r="AJ360" s="7" t="s">
        <v>1193</v>
      </c>
      <c r="AK360" s="7" t="s">
        <v>1177</v>
      </c>
      <c r="AL360" s="7" t="s">
        <v>1177</v>
      </c>
      <c r="AM360" s="7" t="s">
        <v>1177</v>
      </c>
      <c r="AN360" s="7" t="s">
        <v>3212</v>
      </c>
      <c r="AO360" s="7" t="s">
        <v>1177</v>
      </c>
      <c r="AP360" s="7" t="s">
        <v>1177</v>
      </c>
      <c r="AQ360" s="7" t="s">
        <v>1177</v>
      </c>
      <c r="AR360" s="29">
        <v>0</v>
      </c>
      <c r="AS360" s="7" t="s">
        <v>1177</v>
      </c>
      <c r="AT360" s="7" t="s">
        <v>1363</v>
      </c>
      <c r="AU360" s="38">
        <v>46275</v>
      </c>
      <c r="AV360" s="39">
        <v>0.60552083333332996</v>
      </c>
    </row>
    <row r="361" spans="1:48" x14ac:dyDescent="0.35">
      <c r="A361" t="str">
        <f t="shared" si="5"/>
        <v>GP007157B825</v>
      </c>
      <c r="B361" s="7" t="s">
        <v>152</v>
      </c>
      <c r="C361" s="7" t="s">
        <v>511</v>
      </c>
      <c r="D361" s="7" t="s">
        <v>16</v>
      </c>
      <c r="E361" s="7" t="s">
        <v>1177</v>
      </c>
      <c r="F361" s="7" t="s">
        <v>128</v>
      </c>
      <c r="G361" s="7" t="s">
        <v>130</v>
      </c>
      <c r="H361" s="7" t="s">
        <v>129</v>
      </c>
      <c r="I361" s="30">
        <v>2</v>
      </c>
      <c r="J361" s="7" t="s">
        <v>1177</v>
      </c>
      <c r="K361" s="7" t="s">
        <v>1178</v>
      </c>
      <c r="L361" s="7" t="s">
        <v>132</v>
      </c>
      <c r="M361" s="7" t="s">
        <v>133</v>
      </c>
      <c r="N361" s="30">
        <v>0</v>
      </c>
      <c r="O361" s="30">
        <v>0</v>
      </c>
      <c r="P361" s="30">
        <v>0</v>
      </c>
      <c r="Q361" s="30">
        <v>0</v>
      </c>
      <c r="R361" s="29">
        <v>0</v>
      </c>
      <c r="S361" s="36">
        <v>0</v>
      </c>
      <c r="T361" s="7" t="s">
        <v>131</v>
      </c>
      <c r="U361" s="7" t="s">
        <v>512</v>
      </c>
      <c r="V361" s="7" t="s">
        <v>512</v>
      </c>
      <c r="W361" s="7" t="s">
        <v>1177</v>
      </c>
      <c r="X361" s="30">
        <v>1</v>
      </c>
      <c r="Y361" s="7" t="s">
        <v>1177</v>
      </c>
      <c r="Z361" s="7" t="s">
        <v>1178</v>
      </c>
      <c r="AA361" s="30">
        <v>0</v>
      </c>
      <c r="AB361" s="36">
        <v>0</v>
      </c>
      <c r="AC361" s="7" t="s">
        <v>1177</v>
      </c>
      <c r="AD361" s="37">
        <v>0</v>
      </c>
      <c r="AE361" s="7" t="s">
        <v>1177</v>
      </c>
      <c r="AF361" s="7" t="s">
        <v>1177</v>
      </c>
      <c r="AG361" s="7" t="s">
        <v>1177</v>
      </c>
      <c r="AH361" s="38"/>
      <c r="AI361" s="36">
        <v>0</v>
      </c>
      <c r="AJ361" s="7" t="s">
        <v>1193</v>
      </c>
      <c r="AK361" s="7" t="s">
        <v>1177</v>
      </c>
      <c r="AL361" s="7" t="s">
        <v>1177</v>
      </c>
      <c r="AM361" s="7" t="s">
        <v>1177</v>
      </c>
      <c r="AN361" s="7" t="s">
        <v>3212</v>
      </c>
      <c r="AO361" s="7" t="s">
        <v>1177</v>
      </c>
      <c r="AP361" s="7" t="s">
        <v>1177</v>
      </c>
      <c r="AQ361" s="7" t="s">
        <v>1177</v>
      </c>
      <c r="AR361" s="29">
        <v>0</v>
      </c>
      <c r="AS361" s="7" t="s">
        <v>1177</v>
      </c>
      <c r="AT361" s="7" t="s">
        <v>1363</v>
      </c>
      <c r="AU361" s="38">
        <v>46275</v>
      </c>
      <c r="AV361" s="39">
        <v>0.60350694444443997</v>
      </c>
    </row>
    <row r="362" spans="1:48" x14ac:dyDescent="0.35">
      <c r="A362" t="str">
        <f t="shared" si="5"/>
        <v>GP007157B832</v>
      </c>
      <c r="B362" s="7" t="s">
        <v>152</v>
      </c>
      <c r="C362" s="7" t="s">
        <v>653</v>
      </c>
      <c r="D362" s="7" t="s">
        <v>19</v>
      </c>
      <c r="E362" s="7" t="s">
        <v>1177</v>
      </c>
      <c r="F362" s="7" t="s">
        <v>128</v>
      </c>
      <c r="G362" s="7" t="s">
        <v>130</v>
      </c>
      <c r="H362" s="7" t="s">
        <v>129</v>
      </c>
      <c r="I362" s="30">
        <v>4</v>
      </c>
      <c r="J362" s="7" t="s">
        <v>1177</v>
      </c>
      <c r="K362" s="7" t="s">
        <v>1178</v>
      </c>
      <c r="L362" s="7" t="s">
        <v>132</v>
      </c>
      <c r="M362" s="7" t="s">
        <v>133</v>
      </c>
      <c r="N362" s="30">
        <v>0</v>
      </c>
      <c r="O362" s="30">
        <v>0</v>
      </c>
      <c r="P362" s="30">
        <v>0</v>
      </c>
      <c r="Q362" s="30">
        <v>0</v>
      </c>
      <c r="R362" s="29">
        <v>0</v>
      </c>
      <c r="S362" s="36">
        <v>0</v>
      </c>
      <c r="T362" s="7" t="s">
        <v>131</v>
      </c>
      <c r="U362" s="7" t="s">
        <v>654</v>
      </c>
      <c r="V362" s="7" t="s">
        <v>654</v>
      </c>
      <c r="W362" s="7" t="s">
        <v>1177</v>
      </c>
      <c r="X362" s="30">
        <v>1</v>
      </c>
      <c r="Y362" s="7" t="s">
        <v>1177</v>
      </c>
      <c r="Z362" s="7" t="s">
        <v>1178</v>
      </c>
      <c r="AA362" s="30">
        <v>0</v>
      </c>
      <c r="AB362" s="36">
        <v>0</v>
      </c>
      <c r="AC362" s="7" t="s">
        <v>1177</v>
      </c>
      <c r="AD362" s="37">
        <v>0</v>
      </c>
      <c r="AE362" s="7" t="s">
        <v>1177</v>
      </c>
      <c r="AF362" s="7" t="s">
        <v>1177</v>
      </c>
      <c r="AG362" s="7" t="s">
        <v>1177</v>
      </c>
      <c r="AH362" s="38"/>
      <c r="AI362" s="36">
        <v>0</v>
      </c>
      <c r="AJ362" s="7" t="s">
        <v>1193</v>
      </c>
      <c r="AK362" s="7" t="s">
        <v>1177</v>
      </c>
      <c r="AL362" s="7" t="s">
        <v>1177</v>
      </c>
      <c r="AM362" s="7" t="s">
        <v>1177</v>
      </c>
      <c r="AN362" s="7" t="s">
        <v>3212</v>
      </c>
      <c r="AO362" s="7" t="s">
        <v>1177</v>
      </c>
      <c r="AP362" s="7" t="s">
        <v>1177</v>
      </c>
      <c r="AQ362" s="7" t="s">
        <v>1177</v>
      </c>
      <c r="AR362" s="29">
        <v>0</v>
      </c>
      <c r="AS362" s="7" t="s">
        <v>1177</v>
      </c>
      <c r="AT362" s="7" t="s">
        <v>1363</v>
      </c>
      <c r="AU362" s="38">
        <v>46275</v>
      </c>
      <c r="AV362" s="39">
        <v>0.60392361111111004</v>
      </c>
    </row>
    <row r="363" spans="1:48" x14ac:dyDescent="0.35">
      <c r="A363" t="str">
        <f t="shared" si="5"/>
        <v>GP007157B838</v>
      </c>
      <c r="B363" s="7" t="s">
        <v>152</v>
      </c>
      <c r="C363" s="7" t="s">
        <v>744</v>
      </c>
      <c r="D363" s="7" t="s">
        <v>48</v>
      </c>
      <c r="E363" s="7" t="s">
        <v>1177</v>
      </c>
      <c r="F363" s="7" t="s">
        <v>128</v>
      </c>
      <c r="G363" s="7" t="s">
        <v>130</v>
      </c>
      <c r="H363" s="7" t="s">
        <v>129</v>
      </c>
      <c r="I363" s="30">
        <v>2</v>
      </c>
      <c r="J363" s="7" t="s">
        <v>1177</v>
      </c>
      <c r="K363" s="7" t="s">
        <v>1178</v>
      </c>
      <c r="L363" s="7" t="s">
        <v>132</v>
      </c>
      <c r="M363" s="7" t="s">
        <v>133</v>
      </c>
      <c r="N363" s="30">
        <v>0</v>
      </c>
      <c r="O363" s="30">
        <v>0</v>
      </c>
      <c r="P363" s="30">
        <v>0</v>
      </c>
      <c r="Q363" s="30">
        <v>0</v>
      </c>
      <c r="R363" s="29">
        <v>0</v>
      </c>
      <c r="S363" s="36">
        <v>0</v>
      </c>
      <c r="T363" s="7" t="s">
        <v>131</v>
      </c>
      <c r="U363" s="7" t="s">
        <v>745</v>
      </c>
      <c r="V363" s="7" t="s">
        <v>745</v>
      </c>
      <c r="W363" s="7" t="s">
        <v>1177</v>
      </c>
      <c r="X363" s="30">
        <v>1</v>
      </c>
      <c r="Y363" s="7" t="s">
        <v>1177</v>
      </c>
      <c r="Z363" s="7" t="s">
        <v>1178</v>
      </c>
      <c r="AA363" s="30">
        <v>0</v>
      </c>
      <c r="AB363" s="36">
        <v>0</v>
      </c>
      <c r="AC363" s="7" t="s">
        <v>1177</v>
      </c>
      <c r="AD363" s="37">
        <v>0</v>
      </c>
      <c r="AE363" s="7" t="s">
        <v>1177</v>
      </c>
      <c r="AF363" s="7" t="s">
        <v>1177</v>
      </c>
      <c r="AG363" s="7" t="s">
        <v>1177</v>
      </c>
      <c r="AH363" s="38"/>
      <c r="AI363" s="36">
        <v>0</v>
      </c>
      <c r="AJ363" s="7" t="s">
        <v>1193</v>
      </c>
      <c r="AK363" s="7" t="s">
        <v>1177</v>
      </c>
      <c r="AL363" s="7" t="s">
        <v>1177</v>
      </c>
      <c r="AM363" s="7" t="s">
        <v>1177</v>
      </c>
      <c r="AN363" s="7" t="s">
        <v>3212</v>
      </c>
      <c r="AO363" s="7" t="s">
        <v>1177</v>
      </c>
      <c r="AP363" s="7" t="s">
        <v>1177</v>
      </c>
      <c r="AQ363" s="7" t="s">
        <v>1177</v>
      </c>
      <c r="AR363" s="29">
        <v>0</v>
      </c>
      <c r="AS363" s="7" t="s">
        <v>1177</v>
      </c>
      <c r="AT363" s="7" t="s">
        <v>1363</v>
      </c>
      <c r="AU363" s="38">
        <v>46275</v>
      </c>
      <c r="AV363" s="39">
        <v>0.60446759259258998</v>
      </c>
    </row>
    <row r="364" spans="1:48" x14ac:dyDescent="0.35">
      <c r="A364" t="str">
        <f t="shared" si="5"/>
        <v>GP007157B864</v>
      </c>
      <c r="B364" s="7" t="s">
        <v>152</v>
      </c>
      <c r="C364" s="7" t="s">
        <v>1010</v>
      </c>
      <c r="D364" s="7" t="s">
        <v>10</v>
      </c>
      <c r="E364" s="7" t="s">
        <v>1177</v>
      </c>
      <c r="F364" s="7" t="s">
        <v>128</v>
      </c>
      <c r="G364" s="7" t="s">
        <v>130</v>
      </c>
      <c r="H364" s="7" t="s">
        <v>129</v>
      </c>
      <c r="I364" s="30">
        <v>2</v>
      </c>
      <c r="J364" s="7" t="s">
        <v>1177</v>
      </c>
      <c r="K364" s="7" t="s">
        <v>1178</v>
      </c>
      <c r="L364" s="7" t="s">
        <v>132</v>
      </c>
      <c r="M364" s="7" t="s">
        <v>133</v>
      </c>
      <c r="N364" s="30">
        <v>0</v>
      </c>
      <c r="O364" s="30">
        <v>0</v>
      </c>
      <c r="P364" s="30">
        <v>0</v>
      </c>
      <c r="Q364" s="30">
        <v>0</v>
      </c>
      <c r="R364" s="29">
        <v>0</v>
      </c>
      <c r="S364" s="36">
        <v>0</v>
      </c>
      <c r="T364" s="7" t="s">
        <v>131</v>
      </c>
      <c r="U364" s="7" t="s">
        <v>1011</v>
      </c>
      <c r="V364" s="7" t="s">
        <v>1011</v>
      </c>
      <c r="W364" s="7" t="s">
        <v>1177</v>
      </c>
      <c r="X364" s="30">
        <v>1</v>
      </c>
      <c r="Y364" s="7" t="s">
        <v>1177</v>
      </c>
      <c r="Z364" s="7" t="s">
        <v>1178</v>
      </c>
      <c r="AA364" s="30">
        <v>0</v>
      </c>
      <c r="AB364" s="36">
        <v>0</v>
      </c>
      <c r="AC364" s="7" t="s">
        <v>1177</v>
      </c>
      <c r="AD364" s="37">
        <v>0</v>
      </c>
      <c r="AE364" s="7" t="s">
        <v>1177</v>
      </c>
      <c r="AF364" s="7" t="s">
        <v>1177</v>
      </c>
      <c r="AG364" s="7" t="s">
        <v>1177</v>
      </c>
      <c r="AH364" s="38"/>
      <c r="AI364" s="36">
        <v>0</v>
      </c>
      <c r="AJ364" s="7" t="s">
        <v>1193</v>
      </c>
      <c r="AK364" s="7" t="s">
        <v>1177</v>
      </c>
      <c r="AL364" s="7" t="s">
        <v>1177</v>
      </c>
      <c r="AM364" s="7" t="s">
        <v>1177</v>
      </c>
      <c r="AN364" s="7" t="s">
        <v>3212</v>
      </c>
      <c r="AO364" s="7" t="s">
        <v>1177</v>
      </c>
      <c r="AP364" s="7" t="s">
        <v>1177</v>
      </c>
      <c r="AQ364" s="7" t="s">
        <v>1177</v>
      </c>
      <c r="AR364" s="29">
        <v>0</v>
      </c>
      <c r="AS364" s="7" t="s">
        <v>1177</v>
      </c>
      <c r="AT364" s="7" t="s">
        <v>1363</v>
      </c>
      <c r="AU364" s="38">
        <v>46275</v>
      </c>
      <c r="AV364" s="39">
        <v>0.60541666666667004</v>
      </c>
    </row>
    <row r="365" spans="1:48" x14ac:dyDescent="0.35">
      <c r="A365" t="str">
        <f t="shared" si="5"/>
        <v>GP007157B865</v>
      </c>
      <c r="B365" s="7" t="s">
        <v>152</v>
      </c>
      <c r="C365" s="7" t="s">
        <v>1039</v>
      </c>
      <c r="D365" s="7" t="s">
        <v>7</v>
      </c>
      <c r="E365" s="7" t="s">
        <v>1177</v>
      </c>
      <c r="F365" s="7" t="s">
        <v>128</v>
      </c>
      <c r="G365" s="7" t="s">
        <v>130</v>
      </c>
      <c r="H365" s="7" t="s">
        <v>129</v>
      </c>
      <c r="I365" s="30">
        <v>2</v>
      </c>
      <c r="J365" s="7" t="s">
        <v>1177</v>
      </c>
      <c r="K365" s="7" t="s">
        <v>1178</v>
      </c>
      <c r="L365" s="7" t="s">
        <v>132</v>
      </c>
      <c r="M365" s="7" t="s">
        <v>133</v>
      </c>
      <c r="N365" s="30">
        <v>0</v>
      </c>
      <c r="O365" s="30">
        <v>0</v>
      </c>
      <c r="P365" s="30">
        <v>0</v>
      </c>
      <c r="Q365" s="30">
        <v>0</v>
      </c>
      <c r="R365" s="29">
        <v>0</v>
      </c>
      <c r="S365" s="36">
        <v>0</v>
      </c>
      <c r="T365" s="7" t="s">
        <v>131</v>
      </c>
      <c r="U365" s="7" t="s">
        <v>1040</v>
      </c>
      <c r="V365" s="7" t="s">
        <v>1040</v>
      </c>
      <c r="W365" s="7" t="s">
        <v>1177</v>
      </c>
      <c r="X365" s="30">
        <v>1</v>
      </c>
      <c r="Y365" s="7" t="s">
        <v>1177</v>
      </c>
      <c r="Z365" s="7" t="s">
        <v>1178</v>
      </c>
      <c r="AA365" s="30">
        <v>0</v>
      </c>
      <c r="AB365" s="36">
        <v>0</v>
      </c>
      <c r="AC365" s="7" t="s">
        <v>1177</v>
      </c>
      <c r="AD365" s="37">
        <v>0</v>
      </c>
      <c r="AE365" s="7" t="s">
        <v>1177</v>
      </c>
      <c r="AF365" s="7" t="s">
        <v>1177</v>
      </c>
      <c r="AG365" s="7" t="s">
        <v>1177</v>
      </c>
      <c r="AH365" s="38"/>
      <c r="AI365" s="36">
        <v>0</v>
      </c>
      <c r="AJ365" s="7" t="s">
        <v>1193</v>
      </c>
      <c r="AK365" s="7" t="s">
        <v>1177</v>
      </c>
      <c r="AL365" s="7" t="s">
        <v>1177</v>
      </c>
      <c r="AM365" s="7" t="s">
        <v>1177</v>
      </c>
      <c r="AN365" s="7" t="s">
        <v>3212</v>
      </c>
      <c r="AO365" s="7" t="s">
        <v>1177</v>
      </c>
      <c r="AP365" s="7" t="s">
        <v>1177</v>
      </c>
      <c r="AQ365" s="7" t="s">
        <v>1177</v>
      </c>
      <c r="AR365" s="29">
        <v>0</v>
      </c>
      <c r="AS365" s="7" t="s">
        <v>1177</v>
      </c>
      <c r="AT365" s="7" t="s">
        <v>1363</v>
      </c>
      <c r="AU365" s="38">
        <v>46275</v>
      </c>
      <c r="AV365" s="39">
        <v>0.60552083333332996</v>
      </c>
    </row>
    <row r="366" spans="1:48" x14ac:dyDescent="0.35">
      <c r="A366" t="str">
        <f t="shared" si="5"/>
        <v>GP007157B867</v>
      </c>
      <c r="B366" s="7" t="s">
        <v>152</v>
      </c>
      <c r="C366" s="7" t="s">
        <v>1059</v>
      </c>
      <c r="D366" s="7" t="s">
        <v>25</v>
      </c>
      <c r="E366" s="7" t="s">
        <v>1177</v>
      </c>
      <c r="F366" s="7" t="s">
        <v>128</v>
      </c>
      <c r="G366" s="7" t="s">
        <v>130</v>
      </c>
      <c r="H366" s="7" t="s">
        <v>129</v>
      </c>
      <c r="I366" s="30">
        <v>2</v>
      </c>
      <c r="J366" s="7" t="s">
        <v>1177</v>
      </c>
      <c r="K366" s="7" t="s">
        <v>1178</v>
      </c>
      <c r="L366" s="7" t="s">
        <v>132</v>
      </c>
      <c r="M366" s="7" t="s">
        <v>133</v>
      </c>
      <c r="N366" s="30">
        <v>0</v>
      </c>
      <c r="O366" s="30">
        <v>0</v>
      </c>
      <c r="P366" s="30">
        <v>0</v>
      </c>
      <c r="Q366" s="30">
        <v>0</v>
      </c>
      <c r="R366" s="29">
        <v>0</v>
      </c>
      <c r="S366" s="36">
        <v>0</v>
      </c>
      <c r="T366" s="7" t="s">
        <v>131</v>
      </c>
      <c r="U366" s="7" t="s">
        <v>1060</v>
      </c>
      <c r="V366" s="7" t="s">
        <v>1060</v>
      </c>
      <c r="W366" s="7" t="s">
        <v>1177</v>
      </c>
      <c r="X366" s="30">
        <v>1</v>
      </c>
      <c r="Y366" s="7" t="s">
        <v>1177</v>
      </c>
      <c r="Z366" s="7" t="s">
        <v>1178</v>
      </c>
      <c r="AA366" s="30">
        <v>0</v>
      </c>
      <c r="AB366" s="36">
        <v>0</v>
      </c>
      <c r="AC366" s="7" t="s">
        <v>1177</v>
      </c>
      <c r="AD366" s="37">
        <v>0</v>
      </c>
      <c r="AE366" s="7" t="s">
        <v>1177</v>
      </c>
      <c r="AF366" s="7" t="s">
        <v>1177</v>
      </c>
      <c r="AG366" s="7" t="s">
        <v>1177</v>
      </c>
      <c r="AH366" s="38"/>
      <c r="AI366" s="36">
        <v>0</v>
      </c>
      <c r="AJ366" s="7" t="s">
        <v>1193</v>
      </c>
      <c r="AK366" s="7" t="s">
        <v>1177</v>
      </c>
      <c r="AL366" s="7" t="s">
        <v>1177</v>
      </c>
      <c r="AM366" s="7" t="s">
        <v>1177</v>
      </c>
      <c r="AN366" s="7" t="s">
        <v>3212</v>
      </c>
      <c r="AO366" s="7" t="s">
        <v>1177</v>
      </c>
      <c r="AP366" s="7" t="s">
        <v>1177</v>
      </c>
      <c r="AQ366" s="7" t="s">
        <v>1177</v>
      </c>
      <c r="AR366" s="29">
        <v>0</v>
      </c>
      <c r="AS366" s="7" t="s">
        <v>1177</v>
      </c>
      <c r="AT366" s="7" t="s">
        <v>1363</v>
      </c>
      <c r="AU366" s="38">
        <v>46275</v>
      </c>
      <c r="AV366" s="39">
        <v>0.60568287037037005</v>
      </c>
    </row>
    <row r="367" spans="1:48" x14ac:dyDescent="0.35">
      <c r="A367" t="str">
        <f t="shared" si="5"/>
        <v>GP007339B833</v>
      </c>
      <c r="B367" s="7" t="s">
        <v>221</v>
      </c>
      <c r="C367" s="7" t="s">
        <v>698</v>
      </c>
      <c r="D367" s="7" t="s">
        <v>697</v>
      </c>
      <c r="E367" s="7" t="s">
        <v>1177</v>
      </c>
      <c r="F367" s="7" t="s">
        <v>134</v>
      </c>
      <c r="G367" s="7" t="s">
        <v>130</v>
      </c>
      <c r="H367" s="7" t="s">
        <v>129</v>
      </c>
      <c r="I367" s="30">
        <v>2</v>
      </c>
      <c r="J367" s="7" t="s">
        <v>1177</v>
      </c>
      <c r="K367" s="7" t="s">
        <v>1178</v>
      </c>
      <c r="L367" s="7" t="s">
        <v>132</v>
      </c>
      <c r="M367" s="7" t="s">
        <v>133</v>
      </c>
      <c r="N367" s="30">
        <v>0</v>
      </c>
      <c r="O367" s="30">
        <v>0</v>
      </c>
      <c r="P367" s="30">
        <v>0</v>
      </c>
      <c r="Q367" s="30">
        <v>0</v>
      </c>
      <c r="R367" s="29">
        <v>0</v>
      </c>
      <c r="S367" s="36">
        <v>0</v>
      </c>
      <c r="T367" s="7" t="s">
        <v>131</v>
      </c>
      <c r="U367" s="7" t="s">
        <v>699</v>
      </c>
      <c r="V367" s="7" t="s">
        <v>699</v>
      </c>
      <c r="W367" s="7" t="s">
        <v>1177</v>
      </c>
      <c r="X367" s="30">
        <v>2</v>
      </c>
      <c r="Y367" s="7" t="s">
        <v>1177</v>
      </c>
      <c r="Z367" s="7" t="s">
        <v>1178</v>
      </c>
      <c r="AA367" s="30">
        <v>0</v>
      </c>
      <c r="AB367" s="36">
        <v>0</v>
      </c>
      <c r="AC367" s="7" t="s">
        <v>1177</v>
      </c>
      <c r="AD367" s="37">
        <v>0</v>
      </c>
      <c r="AE367" s="7" t="s">
        <v>1177</v>
      </c>
      <c r="AF367" s="7" t="s">
        <v>1177</v>
      </c>
      <c r="AG367" s="7" t="s">
        <v>1177</v>
      </c>
      <c r="AH367" s="38"/>
      <c r="AI367" s="36">
        <v>0</v>
      </c>
      <c r="AJ367" s="7" t="s">
        <v>1193</v>
      </c>
      <c r="AK367" s="7" t="s">
        <v>1177</v>
      </c>
      <c r="AL367" s="7" t="s">
        <v>1177</v>
      </c>
      <c r="AM367" s="7" t="s">
        <v>1177</v>
      </c>
      <c r="AN367" s="7" t="s">
        <v>3212</v>
      </c>
      <c r="AO367" s="7" t="s">
        <v>1177</v>
      </c>
      <c r="AP367" s="7" t="s">
        <v>1177</v>
      </c>
      <c r="AQ367" s="7" t="s">
        <v>1177</v>
      </c>
      <c r="AR367" s="29">
        <v>0</v>
      </c>
      <c r="AS367" s="7" t="s">
        <v>1177</v>
      </c>
      <c r="AT367" s="7" t="s">
        <v>1363</v>
      </c>
      <c r="AU367" s="38">
        <v>46275</v>
      </c>
      <c r="AV367" s="39">
        <v>0.60395833333333004</v>
      </c>
    </row>
    <row r="368" spans="1:48" x14ac:dyDescent="0.35">
      <c r="A368" t="str">
        <f t="shared" si="5"/>
        <v>GP007339B838</v>
      </c>
      <c r="B368" s="7" t="s">
        <v>221</v>
      </c>
      <c r="C368" s="7" t="s">
        <v>744</v>
      </c>
      <c r="D368" s="7" t="s">
        <v>48</v>
      </c>
      <c r="E368" s="7" t="s">
        <v>1177</v>
      </c>
      <c r="F368" s="7" t="s">
        <v>134</v>
      </c>
      <c r="G368" s="7" t="s">
        <v>130</v>
      </c>
      <c r="H368" s="7" t="s">
        <v>129</v>
      </c>
      <c r="I368" s="30">
        <v>3</v>
      </c>
      <c r="J368" s="7" t="s">
        <v>1177</v>
      </c>
      <c r="K368" s="7" t="s">
        <v>1178</v>
      </c>
      <c r="L368" s="7" t="s">
        <v>132</v>
      </c>
      <c r="M368" s="7" t="s">
        <v>133</v>
      </c>
      <c r="N368" s="30">
        <v>0</v>
      </c>
      <c r="O368" s="30">
        <v>0</v>
      </c>
      <c r="P368" s="30">
        <v>0</v>
      </c>
      <c r="Q368" s="30">
        <v>0</v>
      </c>
      <c r="R368" s="29">
        <v>0</v>
      </c>
      <c r="S368" s="36">
        <v>0</v>
      </c>
      <c r="T368" s="7" t="s">
        <v>131</v>
      </c>
      <c r="U368" s="7" t="s">
        <v>745</v>
      </c>
      <c r="V368" s="7" t="s">
        <v>745</v>
      </c>
      <c r="W368" s="7" t="s">
        <v>1177</v>
      </c>
      <c r="X368" s="30">
        <v>3</v>
      </c>
      <c r="Y368" s="7" t="s">
        <v>1177</v>
      </c>
      <c r="Z368" s="7" t="s">
        <v>1178</v>
      </c>
      <c r="AA368" s="30">
        <v>0</v>
      </c>
      <c r="AB368" s="36">
        <v>0</v>
      </c>
      <c r="AC368" s="7" t="s">
        <v>1177</v>
      </c>
      <c r="AD368" s="37">
        <v>0</v>
      </c>
      <c r="AE368" s="7" t="s">
        <v>1177</v>
      </c>
      <c r="AF368" s="7" t="s">
        <v>1177</v>
      </c>
      <c r="AG368" s="7" t="s">
        <v>1177</v>
      </c>
      <c r="AH368" s="38"/>
      <c r="AI368" s="36">
        <v>0</v>
      </c>
      <c r="AJ368" s="7" t="s">
        <v>1193</v>
      </c>
      <c r="AK368" s="7" t="s">
        <v>1177</v>
      </c>
      <c r="AL368" s="7" t="s">
        <v>1177</v>
      </c>
      <c r="AM368" s="7" t="s">
        <v>1177</v>
      </c>
      <c r="AN368" s="7" t="s">
        <v>3212</v>
      </c>
      <c r="AO368" s="7" t="s">
        <v>1177</v>
      </c>
      <c r="AP368" s="7" t="s">
        <v>1177</v>
      </c>
      <c r="AQ368" s="7" t="s">
        <v>1177</v>
      </c>
      <c r="AR368" s="29">
        <v>0</v>
      </c>
      <c r="AS368" s="7" t="s">
        <v>1177</v>
      </c>
      <c r="AT368" s="7" t="s">
        <v>1363</v>
      </c>
      <c r="AU368" s="38">
        <v>46275</v>
      </c>
      <c r="AV368" s="39">
        <v>0.60449074074074005</v>
      </c>
    </row>
    <row r="369" spans="1:48" x14ac:dyDescent="0.35">
      <c r="A369" t="str">
        <f t="shared" si="5"/>
        <v>GP007339B857</v>
      </c>
      <c r="B369" s="7" t="s">
        <v>221</v>
      </c>
      <c r="C369" s="7" t="s">
        <v>958</v>
      </c>
      <c r="D369" s="7" t="s">
        <v>23</v>
      </c>
      <c r="E369" s="7" t="s">
        <v>1177</v>
      </c>
      <c r="F369" s="7" t="s">
        <v>134</v>
      </c>
      <c r="G369" s="7" t="s">
        <v>130</v>
      </c>
      <c r="H369" s="7" t="s">
        <v>129</v>
      </c>
      <c r="I369" s="30">
        <v>2</v>
      </c>
      <c r="J369" s="7" t="s">
        <v>1177</v>
      </c>
      <c r="K369" s="7" t="s">
        <v>1178</v>
      </c>
      <c r="L369" s="7" t="s">
        <v>132</v>
      </c>
      <c r="M369" s="7" t="s">
        <v>133</v>
      </c>
      <c r="N369" s="30">
        <v>0</v>
      </c>
      <c r="O369" s="30">
        <v>0</v>
      </c>
      <c r="P369" s="30">
        <v>0</v>
      </c>
      <c r="Q369" s="30">
        <v>0</v>
      </c>
      <c r="R369" s="29">
        <v>0</v>
      </c>
      <c r="S369" s="36">
        <v>0</v>
      </c>
      <c r="T369" s="7" t="s">
        <v>131</v>
      </c>
      <c r="U369" s="7" t="s">
        <v>959</v>
      </c>
      <c r="V369" s="7" t="s">
        <v>959</v>
      </c>
      <c r="W369" s="7" t="s">
        <v>1177</v>
      </c>
      <c r="X369" s="30">
        <v>2</v>
      </c>
      <c r="Y369" s="7" t="s">
        <v>1177</v>
      </c>
      <c r="Z369" s="7" t="s">
        <v>1178</v>
      </c>
      <c r="AA369" s="30">
        <v>0</v>
      </c>
      <c r="AB369" s="36">
        <v>0</v>
      </c>
      <c r="AC369" s="7" t="s">
        <v>1177</v>
      </c>
      <c r="AD369" s="37">
        <v>0</v>
      </c>
      <c r="AE369" s="7" t="s">
        <v>1177</v>
      </c>
      <c r="AF369" s="7" t="s">
        <v>1177</v>
      </c>
      <c r="AG369" s="7" t="s">
        <v>1177</v>
      </c>
      <c r="AH369" s="38"/>
      <c r="AI369" s="36">
        <v>0</v>
      </c>
      <c r="AJ369" s="7" t="s">
        <v>1193</v>
      </c>
      <c r="AK369" s="7" t="s">
        <v>1177</v>
      </c>
      <c r="AL369" s="7" t="s">
        <v>1177</v>
      </c>
      <c r="AM369" s="7" t="s">
        <v>1177</v>
      </c>
      <c r="AN369" s="7" t="s">
        <v>3212</v>
      </c>
      <c r="AO369" s="7" t="s">
        <v>1177</v>
      </c>
      <c r="AP369" s="7" t="s">
        <v>1177</v>
      </c>
      <c r="AQ369" s="7" t="s">
        <v>1177</v>
      </c>
      <c r="AR369" s="29">
        <v>0</v>
      </c>
      <c r="AS369" s="7" t="s">
        <v>1177</v>
      </c>
      <c r="AT369" s="7" t="s">
        <v>1363</v>
      </c>
      <c r="AU369" s="38">
        <v>46275</v>
      </c>
      <c r="AV369" s="39">
        <v>0.60527777777778002</v>
      </c>
    </row>
    <row r="370" spans="1:48" x14ac:dyDescent="0.35">
      <c r="A370" t="str">
        <f t="shared" si="5"/>
        <v>GP007339B865</v>
      </c>
      <c r="B370" s="7" t="s">
        <v>221</v>
      </c>
      <c r="C370" s="7" t="s">
        <v>1039</v>
      </c>
      <c r="D370" s="7" t="s">
        <v>7</v>
      </c>
      <c r="E370" s="7" t="s">
        <v>1177</v>
      </c>
      <c r="F370" s="7" t="s">
        <v>134</v>
      </c>
      <c r="G370" s="7" t="s">
        <v>130</v>
      </c>
      <c r="H370" s="7" t="s">
        <v>129</v>
      </c>
      <c r="I370" s="30">
        <v>2</v>
      </c>
      <c r="J370" s="7" t="s">
        <v>1177</v>
      </c>
      <c r="K370" s="7" t="s">
        <v>1178</v>
      </c>
      <c r="L370" s="7" t="s">
        <v>132</v>
      </c>
      <c r="M370" s="7" t="s">
        <v>133</v>
      </c>
      <c r="N370" s="30">
        <v>0</v>
      </c>
      <c r="O370" s="30">
        <v>0</v>
      </c>
      <c r="P370" s="30">
        <v>0</v>
      </c>
      <c r="Q370" s="30">
        <v>0</v>
      </c>
      <c r="R370" s="29">
        <v>0</v>
      </c>
      <c r="S370" s="36">
        <v>0</v>
      </c>
      <c r="T370" s="7" t="s">
        <v>131</v>
      </c>
      <c r="U370" s="7" t="s">
        <v>1040</v>
      </c>
      <c r="V370" s="7" t="s">
        <v>1040</v>
      </c>
      <c r="W370" s="7" t="s">
        <v>1177</v>
      </c>
      <c r="X370" s="30">
        <v>2</v>
      </c>
      <c r="Y370" s="7" t="s">
        <v>1177</v>
      </c>
      <c r="Z370" s="7" t="s">
        <v>1178</v>
      </c>
      <c r="AA370" s="30">
        <v>0</v>
      </c>
      <c r="AB370" s="36">
        <v>0</v>
      </c>
      <c r="AC370" s="7" t="s">
        <v>1177</v>
      </c>
      <c r="AD370" s="37">
        <v>0</v>
      </c>
      <c r="AE370" s="7" t="s">
        <v>1177</v>
      </c>
      <c r="AF370" s="7" t="s">
        <v>1177</v>
      </c>
      <c r="AG370" s="7" t="s">
        <v>1177</v>
      </c>
      <c r="AH370" s="38"/>
      <c r="AI370" s="36">
        <v>0</v>
      </c>
      <c r="AJ370" s="7" t="s">
        <v>1193</v>
      </c>
      <c r="AK370" s="7" t="s">
        <v>1177</v>
      </c>
      <c r="AL370" s="7" t="s">
        <v>1177</v>
      </c>
      <c r="AM370" s="7" t="s">
        <v>1177</v>
      </c>
      <c r="AN370" s="7" t="s">
        <v>3212</v>
      </c>
      <c r="AO370" s="7" t="s">
        <v>1177</v>
      </c>
      <c r="AP370" s="7" t="s">
        <v>1177</v>
      </c>
      <c r="AQ370" s="7" t="s">
        <v>1177</v>
      </c>
      <c r="AR370" s="29">
        <v>0</v>
      </c>
      <c r="AS370" s="7" t="s">
        <v>1177</v>
      </c>
      <c r="AT370" s="7" t="s">
        <v>1363</v>
      </c>
      <c r="AU370" s="38">
        <v>46275</v>
      </c>
      <c r="AV370" s="39">
        <v>0.60553240740740999</v>
      </c>
    </row>
    <row r="371" spans="1:48" x14ac:dyDescent="0.35">
      <c r="A371" t="str">
        <f t="shared" si="5"/>
        <v>GP007359B857</v>
      </c>
      <c r="B371" s="7" t="s">
        <v>222</v>
      </c>
      <c r="C371" s="7" t="s">
        <v>958</v>
      </c>
      <c r="D371" s="7" t="s">
        <v>23</v>
      </c>
      <c r="E371" s="7" t="s">
        <v>1177</v>
      </c>
      <c r="F371" s="7" t="s">
        <v>128</v>
      </c>
      <c r="G371" s="7" t="s">
        <v>130</v>
      </c>
      <c r="H371" s="7" t="s">
        <v>129</v>
      </c>
      <c r="I371" s="30">
        <v>1</v>
      </c>
      <c r="J371" s="7" t="s">
        <v>1177</v>
      </c>
      <c r="K371" s="7" t="s">
        <v>1178</v>
      </c>
      <c r="L371" s="7" t="s">
        <v>132</v>
      </c>
      <c r="M371" s="7" t="s">
        <v>133</v>
      </c>
      <c r="N371" s="30">
        <v>0</v>
      </c>
      <c r="O371" s="30">
        <v>0</v>
      </c>
      <c r="P371" s="30">
        <v>0</v>
      </c>
      <c r="Q371" s="30">
        <v>0</v>
      </c>
      <c r="R371" s="29">
        <v>0</v>
      </c>
      <c r="S371" s="36">
        <v>0</v>
      </c>
      <c r="T371" s="7" t="s">
        <v>131</v>
      </c>
      <c r="U371" s="7" t="s">
        <v>959</v>
      </c>
      <c r="V371" s="7" t="s">
        <v>959</v>
      </c>
      <c r="W371" s="7" t="s">
        <v>1177</v>
      </c>
      <c r="X371" s="30">
        <v>1</v>
      </c>
      <c r="Y371" s="7" t="s">
        <v>1177</v>
      </c>
      <c r="Z371" s="7" t="s">
        <v>1178</v>
      </c>
      <c r="AA371" s="30">
        <v>0</v>
      </c>
      <c r="AB371" s="36">
        <v>0</v>
      </c>
      <c r="AC371" s="7" t="s">
        <v>1177</v>
      </c>
      <c r="AD371" s="37">
        <v>0</v>
      </c>
      <c r="AE371" s="7" t="s">
        <v>1177</v>
      </c>
      <c r="AF371" s="7" t="s">
        <v>1177</v>
      </c>
      <c r="AG371" s="7" t="s">
        <v>1177</v>
      </c>
      <c r="AH371" s="38"/>
      <c r="AI371" s="36">
        <v>0</v>
      </c>
      <c r="AJ371" s="7" t="s">
        <v>1193</v>
      </c>
      <c r="AK371" s="7" t="s">
        <v>1177</v>
      </c>
      <c r="AL371" s="7" t="s">
        <v>1177</v>
      </c>
      <c r="AM371" s="7" t="s">
        <v>1177</v>
      </c>
      <c r="AN371" s="7" t="s">
        <v>3212</v>
      </c>
      <c r="AO371" s="7" t="s">
        <v>1177</v>
      </c>
      <c r="AP371" s="7" t="s">
        <v>1177</v>
      </c>
      <c r="AQ371" s="7" t="s">
        <v>1177</v>
      </c>
      <c r="AR371" s="29">
        <v>0</v>
      </c>
      <c r="AS371" s="7" t="s">
        <v>1177</v>
      </c>
      <c r="AT371" s="7" t="s">
        <v>1363</v>
      </c>
      <c r="AU371" s="38">
        <v>46275</v>
      </c>
      <c r="AV371" s="39">
        <v>0.60526620370369999</v>
      </c>
    </row>
    <row r="372" spans="1:48" x14ac:dyDescent="0.35">
      <c r="A372" t="str">
        <f t="shared" si="5"/>
        <v>GP007373-001B832</v>
      </c>
      <c r="B372" s="7" t="s">
        <v>223</v>
      </c>
      <c r="C372" s="7" t="s">
        <v>653</v>
      </c>
      <c r="D372" s="7" t="s">
        <v>19</v>
      </c>
      <c r="E372" s="7" t="s">
        <v>1177</v>
      </c>
      <c r="F372" s="7" t="s">
        <v>134</v>
      </c>
      <c r="G372" s="7" t="s">
        <v>130</v>
      </c>
      <c r="H372" s="7" t="s">
        <v>162</v>
      </c>
      <c r="I372" s="30">
        <v>2</v>
      </c>
      <c r="J372" s="7" t="s">
        <v>1177</v>
      </c>
      <c r="K372" s="7" t="s">
        <v>1178</v>
      </c>
      <c r="L372" s="7" t="s">
        <v>132</v>
      </c>
      <c r="M372" s="7" t="s">
        <v>133</v>
      </c>
      <c r="N372" s="30">
        <v>0</v>
      </c>
      <c r="O372" s="30">
        <v>0</v>
      </c>
      <c r="P372" s="30">
        <v>0</v>
      </c>
      <c r="Q372" s="30">
        <v>0</v>
      </c>
      <c r="R372" s="29">
        <v>0</v>
      </c>
      <c r="S372" s="36">
        <v>0</v>
      </c>
      <c r="T372" s="7" t="s">
        <v>1177</v>
      </c>
      <c r="U372" s="7" t="s">
        <v>654</v>
      </c>
      <c r="V372" s="7" t="s">
        <v>654</v>
      </c>
      <c r="W372" s="7" t="s">
        <v>1177</v>
      </c>
      <c r="X372" s="30">
        <v>2</v>
      </c>
      <c r="Y372" s="7" t="s">
        <v>1177</v>
      </c>
      <c r="Z372" s="7" t="s">
        <v>1178</v>
      </c>
      <c r="AA372" s="30">
        <v>0</v>
      </c>
      <c r="AB372" s="36">
        <v>0</v>
      </c>
      <c r="AC372" s="7" t="s">
        <v>1177</v>
      </c>
      <c r="AD372" s="37">
        <v>0</v>
      </c>
      <c r="AE372" s="7" t="s">
        <v>1177</v>
      </c>
      <c r="AF372" s="7" t="s">
        <v>1177</v>
      </c>
      <c r="AG372" s="7" t="s">
        <v>1177</v>
      </c>
      <c r="AH372" s="38"/>
      <c r="AI372" s="36">
        <v>0</v>
      </c>
      <c r="AJ372" s="7" t="s">
        <v>1193</v>
      </c>
      <c r="AK372" s="7" t="s">
        <v>1177</v>
      </c>
      <c r="AL372" s="7" t="s">
        <v>1177</v>
      </c>
      <c r="AM372" s="7" t="s">
        <v>1177</v>
      </c>
      <c r="AN372" s="7" t="s">
        <v>3212</v>
      </c>
      <c r="AO372" s="7" t="s">
        <v>1177</v>
      </c>
      <c r="AP372" s="7" t="s">
        <v>1177</v>
      </c>
      <c r="AQ372" s="7" t="s">
        <v>1177</v>
      </c>
      <c r="AR372" s="29">
        <v>0</v>
      </c>
      <c r="AS372" s="7" t="s">
        <v>1177</v>
      </c>
      <c r="AT372" s="7" t="s">
        <v>1363</v>
      </c>
      <c r="AU372" s="38">
        <v>46275</v>
      </c>
      <c r="AV372" s="39">
        <v>0.60383101851851995</v>
      </c>
    </row>
    <row r="373" spans="1:48" x14ac:dyDescent="0.35">
      <c r="A373" t="str">
        <f t="shared" si="5"/>
        <v>GP007373-001B833</v>
      </c>
      <c r="B373" s="7" t="s">
        <v>223</v>
      </c>
      <c r="C373" s="7" t="s">
        <v>698</v>
      </c>
      <c r="D373" s="7" t="s">
        <v>697</v>
      </c>
      <c r="E373" s="7" t="s">
        <v>1177</v>
      </c>
      <c r="F373" s="7" t="s">
        <v>134</v>
      </c>
      <c r="G373" s="7" t="s">
        <v>130</v>
      </c>
      <c r="H373" s="7" t="s">
        <v>162</v>
      </c>
      <c r="I373" s="30">
        <v>2</v>
      </c>
      <c r="J373" s="7" t="s">
        <v>1177</v>
      </c>
      <c r="K373" s="7" t="s">
        <v>1178</v>
      </c>
      <c r="L373" s="7" t="s">
        <v>132</v>
      </c>
      <c r="M373" s="7" t="s">
        <v>133</v>
      </c>
      <c r="N373" s="30">
        <v>0</v>
      </c>
      <c r="O373" s="30">
        <v>0</v>
      </c>
      <c r="P373" s="30">
        <v>0</v>
      </c>
      <c r="Q373" s="30">
        <v>0</v>
      </c>
      <c r="R373" s="29">
        <v>0</v>
      </c>
      <c r="S373" s="36">
        <v>0</v>
      </c>
      <c r="T373" s="7" t="s">
        <v>1177</v>
      </c>
      <c r="U373" s="7" t="s">
        <v>699</v>
      </c>
      <c r="V373" s="7" t="s">
        <v>699</v>
      </c>
      <c r="W373" s="7" t="s">
        <v>1177</v>
      </c>
      <c r="X373" s="30">
        <v>2</v>
      </c>
      <c r="Y373" s="7" t="s">
        <v>1177</v>
      </c>
      <c r="Z373" s="7" t="s">
        <v>1178</v>
      </c>
      <c r="AA373" s="30">
        <v>0</v>
      </c>
      <c r="AB373" s="36">
        <v>0</v>
      </c>
      <c r="AC373" s="7" t="s">
        <v>1177</v>
      </c>
      <c r="AD373" s="37">
        <v>0</v>
      </c>
      <c r="AE373" s="7" t="s">
        <v>1177</v>
      </c>
      <c r="AF373" s="7" t="s">
        <v>1177</v>
      </c>
      <c r="AG373" s="7" t="s">
        <v>1177</v>
      </c>
      <c r="AH373" s="38"/>
      <c r="AI373" s="36">
        <v>0</v>
      </c>
      <c r="AJ373" s="7" t="s">
        <v>1193</v>
      </c>
      <c r="AK373" s="7" t="s">
        <v>1177</v>
      </c>
      <c r="AL373" s="7" t="s">
        <v>1177</v>
      </c>
      <c r="AM373" s="7" t="s">
        <v>1177</v>
      </c>
      <c r="AN373" s="7" t="s">
        <v>3212</v>
      </c>
      <c r="AO373" s="7" t="s">
        <v>1177</v>
      </c>
      <c r="AP373" s="7" t="s">
        <v>1177</v>
      </c>
      <c r="AQ373" s="7" t="s">
        <v>1177</v>
      </c>
      <c r="AR373" s="29">
        <v>0</v>
      </c>
      <c r="AS373" s="7" t="s">
        <v>1177</v>
      </c>
      <c r="AT373" s="7" t="s">
        <v>1363</v>
      </c>
      <c r="AU373" s="38">
        <v>46275</v>
      </c>
      <c r="AV373" s="39">
        <v>0.60395833333333004</v>
      </c>
    </row>
    <row r="374" spans="1:48" x14ac:dyDescent="0.35">
      <c r="A374" t="str">
        <f t="shared" si="5"/>
        <v>GP007526B857</v>
      </c>
      <c r="B374" s="7" t="s">
        <v>626</v>
      </c>
      <c r="C374" s="7" t="s">
        <v>958</v>
      </c>
      <c r="D374" s="7" t="s">
        <v>23</v>
      </c>
      <c r="E374" s="7" t="s">
        <v>1177</v>
      </c>
      <c r="F374" s="7" t="s">
        <v>128</v>
      </c>
      <c r="G374" s="7" t="s">
        <v>130</v>
      </c>
      <c r="H374" s="7" t="s">
        <v>129</v>
      </c>
      <c r="I374" s="30">
        <v>2</v>
      </c>
      <c r="J374" s="7" t="s">
        <v>1177</v>
      </c>
      <c r="K374" s="7" t="s">
        <v>1178</v>
      </c>
      <c r="L374" s="7" t="s">
        <v>132</v>
      </c>
      <c r="M374" s="7" t="s">
        <v>133</v>
      </c>
      <c r="N374" s="30">
        <v>0</v>
      </c>
      <c r="O374" s="30">
        <v>0</v>
      </c>
      <c r="P374" s="30">
        <v>0</v>
      </c>
      <c r="Q374" s="30">
        <v>0</v>
      </c>
      <c r="R374" s="29">
        <v>0</v>
      </c>
      <c r="S374" s="36">
        <v>0</v>
      </c>
      <c r="T374" s="7" t="s">
        <v>131</v>
      </c>
      <c r="U374" s="7" t="s">
        <v>959</v>
      </c>
      <c r="V374" s="7" t="s">
        <v>959</v>
      </c>
      <c r="W374" s="7" t="s">
        <v>1177</v>
      </c>
      <c r="X374" s="30">
        <v>1</v>
      </c>
      <c r="Y374" s="7" t="s">
        <v>1177</v>
      </c>
      <c r="Z374" s="7" t="s">
        <v>1178</v>
      </c>
      <c r="AA374" s="30">
        <v>0</v>
      </c>
      <c r="AB374" s="36">
        <v>0</v>
      </c>
      <c r="AC374" s="7" t="s">
        <v>1177</v>
      </c>
      <c r="AD374" s="37">
        <v>0</v>
      </c>
      <c r="AE374" s="7" t="s">
        <v>1177</v>
      </c>
      <c r="AF374" s="7" t="s">
        <v>1177</v>
      </c>
      <c r="AG374" s="7" t="s">
        <v>1177</v>
      </c>
      <c r="AH374" s="38"/>
      <c r="AI374" s="36">
        <v>0</v>
      </c>
      <c r="AJ374" s="7" t="s">
        <v>1193</v>
      </c>
      <c r="AK374" s="7" t="s">
        <v>1177</v>
      </c>
      <c r="AL374" s="7" t="s">
        <v>1177</v>
      </c>
      <c r="AM374" s="7" t="s">
        <v>1177</v>
      </c>
      <c r="AN374" s="7" t="s">
        <v>3212</v>
      </c>
      <c r="AO374" s="7" t="s">
        <v>1177</v>
      </c>
      <c r="AP374" s="7" t="s">
        <v>1177</v>
      </c>
      <c r="AQ374" s="7" t="s">
        <v>1177</v>
      </c>
      <c r="AR374" s="29">
        <v>0</v>
      </c>
      <c r="AS374" s="7" t="s">
        <v>1177</v>
      </c>
      <c r="AT374" s="7" t="s">
        <v>1363</v>
      </c>
      <c r="AU374" s="38">
        <v>46275</v>
      </c>
      <c r="AV374" s="39">
        <v>0.60526620370369999</v>
      </c>
    </row>
    <row r="375" spans="1:48" x14ac:dyDescent="0.35">
      <c r="A375" t="str">
        <f t="shared" si="5"/>
        <v>GP007544B825</v>
      </c>
      <c r="B375" s="7" t="s">
        <v>445</v>
      </c>
      <c r="C375" s="7" t="s">
        <v>511</v>
      </c>
      <c r="D375" s="7" t="s">
        <v>16</v>
      </c>
      <c r="E375" s="7" t="s">
        <v>1177</v>
      </c>
      <c r="F375" s="7" t="s">
        <v>128</v>
      </c>
      <c r="G375" s="7" t="s">
        <v>130</v>
      </c>
      <c r="H375" s="7" t="s">
        <v>129</v>
      </c>
      <c r="I375" s="30">
        <v>2</v>
      </c>
      <c r="J375" s="7" t="s">
        <v>1177</v>
      </c>
      <c r="K375" s="7" t="s">
        <v>1178</v>
      </c>
      <c r="L375" s="7" t="s">
        <v>132</v>
      </c>
      <c r="M375" s="7" t="s">
        <v>133</v>
      </c>
      <c r="N375" s="30">
        <v>0</v>
      </c>
      <c r="O375" s="30">
        <v>0</v>
      </c>
      <c r="P375" s="30">
        <v>0</v>
      </c>
      <c r="Q375" s="30">
        <v>0</v>
      </c>
      <c r="R375" s="29">
        <v>0</v>
      </c>
      <c r="S375" s="36">
        <v>0</v>
      </c>
      <c r="T375" s="7" t="s">
        <v>131</v>
      </c>
      <c r="U375" s="7" t="s">
        <v>512</v>
      </c>
      <c r="V375" s="7" t="s">
        <v>512</v>
      </c>
      <c r="W375" s="7" t="s">
        <v>1177</v>
      </c>
      <c r="X375" s="30">
        <v>1</v>
      </c>
      <c r="Y375" s="7" t="s">
        <v>1177</v>
      </c>
      <c r="Z375" s="7" t="s">
        <v>1178</v>
      </c>
      <c r="AA375" s="30">
        <v>0</v>
      </c>
      <c r="AB375" s="36">
        <v>0</v>
      </c>
      <c r="AC375" s="7" t="s">
        <v>1177</v>
      </c>
      <c r="AD375" s="37">
        <v>0</v>
      </c>
      <c r="AE375" s="7" t="s">
        <v>1177</v>
      </c>
      <c r="AF375" s="7" t="s">
        <v>1177</v>
      </c>
      <c r="AG375" s="7" t="s">
        <v>1177</v>
      </c>
      <c r="AH375" s="38"/>
      <c r="AI375" s="36">
        <v>0</v>
      </c>
      <c r="AJ375" s="7" t="s">
        <v>1193</v>
      </c>
      <c r="AK375" s="7" t="s">
        <v>1177</v>
      </c>
      <c r="AL375" s="7" t="s">
        <v>1177</v>
      </c>
      <c r="AM375" s="7" t="s">
        <v>1177</v>
      </c>
      <c r="AN375" s="7" t="s">
        <v>3212</v>
      </c>
      <c r="AO375" s="7" t="s">
        <v>1177</v>
      </c>
      <c r="AP375" s="7" t="s">
        <v>1177</v>
      </c>
      <c r="AQ375" s="7" t="s">
        <v>1177</v>
      </c>
      <c r="AR375" s="29">
        <v>0</v>
      </c>
      <c r="AS375" s="7" t="s">
        <v>1177</v>
      </c>
      <c r="AT375" s="7" t="s">
        <v>1363</v>
      </c>
      <c r="AU375" s="38">
        <v>46275</v>
      </c>
      <c r="AV375" s="39">
        <v>0.62302083333333003</v>
      </c>
    </row>
    <row r="376" spans="1:48" x14ac:dyDescent="0.35">
      <c r="A376" t="str">
        <f t="shared" si="5"/>
        <v>GP007545B825</v>
      </c>
      <c r="B376" s="7" t="s">
        <v>224</v>
      </c>
      <c r="C376" s="7" t="s">
        <v>511</v>
      </c>
      <c r="D376" s="7" t="s">
        <v>16</v>
      </c>
      <c r="E376" s="7" t="s">
        <v>1177</v>
      </c>
      <c r="F376" s="7" t="s">
        <v>128</v>
      </c>
      <c r="G376" s="7" t="s">
        <v>130</v>
      </c>
      <c r="H376" s="7" t="s">
        <v>129</v>
      </c>
      <c r="I376" s="30">
        <v>2</v>
      </c>
      <c r="J376" s="7" t="s">
        <v>1177</v>
      </c>
      <c r="K376" s="7" t="s">
        <v>1178</v>
      </c>
      <c r="L376" s="7" t="s">
        <v>132</v>
      </c>
      <c r="M376" s="7" t="s">
        <v>133</v>
      </c>
      <c r="N376" s="30">
        <v>0</v>
      </c>
      <c r="O376" s="30">
        <v>0</v>
      </c>
      <c r="P376" s="30">
        <v>0</v>
      </c>
      <c r="Q376" s="30">
        <v>0</v>
      </c>
      <c r="R376" s="29">
        <v>0</v>
      </c>
      <c r="S376" s="36">
        <v>0</v>
      </c>
      <c r="T376" s="7" t="s">
        <v>131</v>
      </c>
      <c r="U376" s="7" t="s">
        <v>512</v>
      </c>
      <c r="V376" s="7" t="s">
        <v>512</v>
      </c>
      <c r="W376" s="7" t="s">
        <v>1177</v>
      </c>
      <c r="X376" s="30">
        <v>1</v>
      </c>
      <c r="Y376" s="7" t="s">
        <v>1177</v>
      </c>
      <c r="Z376" s="7" t="s">
        <v>1178</v>
      </c>
      <c r="AA376" s="30">
        <v>0</v>
      </c>
      <c r="AB376" s="36">
        <v>0</v>
      </c>
      <c r="AC376" s="7" t="s">
        <v>1177</v>
      </c>
      <c r="AD376" s="37">
        <v>0</v>
      </c>
      <c r="AE376" s="7" t="s">
        <v>1177</v>
      </c>
      <c r="AF376" s="7" t="s">
        <v>1177</v>
      </c>
      <c r="AG376" s="7" t="s">
        <v>1177</v>
      </c>
      <c r="AH376" s="38"/>
      <c r="AI376" s="36">
        <v>0</v>
      </c>
      <c r="AJ376" s="7" t="s">
        <v>1193</v>
      </c>
      <c r="AK376" s="7" t="s">
        <v>1177</v>
      </c>
      <c r="AL376" s="7" t="s">
        <v>1177</v>
      </c>
      <c r="AM376" s="7" t="s">
        <v>1177</v>
      </c>
      <c r="AN376" s="7" t="s">
        <v>3212</v>
      </c>
      <c r="AO376" s="7" t="s">
        <v>1177</v>
      </c>
      <c r="AP376" s="7" t="s">
        <v>1177</v>
      </c>
      <c r="AQ376" s="7" t="s">
        <v>1177</v>
      </c>
      <c r="AR376" s="29">
        <v>0</v>
      </c>
      <c r="AS376" s="7" t="s">
        <v>1177</v>
      </c>
      <c r="AT376" s="7" t="s">
        <v>1363</v>
      </c>
      <c r="AU376" s="38">
        <v>46275</v>
      </c>
      <c r="AV376" s="39">
        <v>0.60350694444443997</v>
      </c>
    </row>
    <row r="377" spans="1:48" x14ac:dyDescent="0.35">
      <c r="A377" t="str">
        <f t="shared" si="5"/>
        <v>GP007545B832</v>
      </c>
      <c r="B377" s="7" t="s">
        <v>224</v>
      </c>
      <c r="C377" s="7" t="s">
        <v>653</v>
      </c>
      <c r="D377" s="7" t="s">
        <v>19</v>
      </c>
      <c r="E377" s="7" t="s">
        <v>1177</v>
      </c>
      <c r="F377" s="7" t="s">
        <v>128</v>
      </c>
      <c r="G377" s="7" t="s">
        <v>130</v>
      </c>
      <c r="H377" s="7" t="s">
        <v>129</v>
      </c>
      <c r="I377" s="30">
        <v>2</v>
      </c>
      <c r="J377" s="7" t="s">
        <v>1177</v>
      </c>
      <c r="K377" s="7" t="s">
        <v>1178</v>
      </c>
      <c r="L377" s="7" t="s">
        <v>132</v>
      </c>
      <c r="M377" s="7" t="s">
        <v>133</v>
      </c>
      <c r="N377" s="30">
        <v>0</v>
      </c>
      <c r="O377" s="30">
        <v>0</v>
      </c>
      <c r="P377" s="30">
        <v>0</v>
      </c>
      <c r="Q377" s="30">
        <v>0</v>
      </c>
      <c r="R377" s="29">
        <v>0</v>
      </c>
      <c r="S377" s="36">
        <v>0</v>
      </c>
      <c r="T377" s="7" t="s">
        <v>131</v>
      </c>
      <c r="U377" s="7" t="s">
        <v>654</v>
      </c>
      <c r="V377" s="7" t="s">
        <v>654</v>
      </c>
      <c r="W377" s="7" t="s">
        <v>1177</v>
      </c>
      <c r="X377" s="30">
        <v>1</v>
      </c>
      <c r="Y377" s="7" t="s">
        <v>1177</v>
      </c>
      <c r="Z377" s="7" t="s">
        <v>1178</v>
      </c>
      <c r="AA377" s="30">
        <v>0</v>
      </c>
      <c r="AB377" s="36">
        <v>0</v>
      </c>
      <c r="AC377" s="7" t="s">
        <v>1177</v>
      </c>
      <c r="AD377" s="37">
        <v>0</v>
      </c>
      <c r="AE377" s="7" t="s">
        <v>1177</v>
      </c>
      <c r="AF377" s="7" t="s">
        <v>1177</v>
      </c>
      <c r="AG377" s="7" t="s">
        <v>1177</v>
      </c>
      <c r="AH377" s="38"/>
      <c r="AI377" s="36">
        <v>0</v>
      </c>
      <c r="AJ377" s="7" t="s">
        <v>1193</v>
      </c>
      <c r="AK377" s="7" t="s">
        <v>1177</v>
      </c>
      <c r="AL377" s="7" t="s">
        <v>1177</v>
      </c>
      <c r="AM377" s="7" t="s">
        <v>1177</v>
      </c>
      <c r="AN377" s="7" t="s">
        <v>3212</v>
      </c>
      <c r="AO377" s="7" t="s">
        <v>1177</v>
      </c>
      <c r="AP377" s="7" t="s">
        <v>1177</v>
      </c>
      <c r="AQ377" s="7" t="s">
        <v>1177</v>
      </c>
      <c r="AR377" s="29">
        <v>0</v>
      </c>
      <c r="AS377" s="7" t="s">
        <v>1177</v>
      </c>
      <c r="AT377" s="7" t="s">
        <v>1363</v>
      </c>
      <c r="AU377" s="38">
        <v>46275</v>
      </c>
      <c r="AV377" s="39">
        <v>0.60392361111111004</v>
      </c>
    </row>
    <row r="378" spans="1:48" x14ac:dyDescent="0.35">
      <c r="A378" t="str">
        <f t="shared" si="5"/>
        <v>GP007546B832</v>
      </c>
      <c r="B378" s="7" t="s">
        <v>354</v>
      </c>
      <c r="C378" s="7" t="s">
        <v>653</v>
      </c>
      <c r="D378" s="7" t="s">
        <v>19</v>
      </c>
      <c r="E378" s="7" t="s">
        <v>1177</v>
      </c>
      <c r="F378" s="7" t="s">
        <v>128</v>
      </c>
      <c r="G378" s="7" t="s">
        <v>130</v>
      </c>
      <c r="H378" s="7" t="s">
        <v>129</v>
      </c>
      <c r="I378" s="30">
        <v>1</v>
      </c>
      <c r="J378" s="7" t="s">
        <v>1177</v>
      </c>
      <c r="K378" s="7" t="s">
        <v>1178</v>
      </c>
      <c r="L378" s="7" t="s">
        <v>132</v>
      </c>
      <c r="M378" s="7" t="s">
        <v>133</v>
      </c>
      <c r="N378" s="30">
        <v>0</v>
      </c>
      <c r="O378" s="30">
        <v>0</v>
      </c>
      <c r="P378" s="30">
        <v>0</v>
      </c>
      <c r="Q378" s="30">
        <v>0</v>
      </c>
      <c r="R378" s="29">
        <v>0</v>
      </c>
      <c r="S378" s="36">
        <v>0</v>
      </c>
      <c r="T378" s="7" t="s">
        <v>131</v>
      </c>
      <c r="U378" s="7" t="s">
        <v>654</v>
      </c>
      <c r="V378" s="7" t="s">
        <v>654</v>
      </c>
      <c r="W378" s="7" t="s">
        <v>1177</v>
      </c>
      <c r="X378" s="30">
        <v>1</v>
      </c>
      <c r="Y378" s="7" t="s">
        <v>1177</v>
      </c>
      <c r="Z378" s="7" t="s">
        <v>1178</v>
      </c>
      <c r="AA378" s="30">
        <v>0</v>
      </c>
      <c r="AB378" s="36">
        <v>0</v>
      </c>
      <c r="AC378" s="7" t="s">
        <v>1177</v>
      </c>
      <c r="AD378" s="37">
        <v>0</v>
      </c>
      <c r="AE378" s="7" t="s">
        <v>1177</v>
      </c>
      <c r="AF378" s="7" t="s">
        <v>1177</v>
      </c>
      <c r="AG378" s="7" t="s">
        <v>1177</v>
      </c>
      <c r="AH378" s="38"/>
      <c r="AI378" s="36">
        <v>0</v>
      </c>
      <c r="AJ378" s="7" t="s">
        <v>1193</v>
      </c>
      <c r="AK378" s="7" t="s">
        <v>1177</v>
      </c>
      <c r="AL378" s="7" t="s">
        <v>1177</v>
      </c>
      <c r="AM378" s="7" t="s">
        <v>1177</v>
      </c>
      <c r="AN378" s="7" t="s">
        <v>3212</v>
      </c>
      <c r="AO378" s="7" t="s">
        <v>1177</v>
      </c>
      <c r="AP378" s="7" t="s">
        <v>1177</v>
      </c>
      <c r="AQ378" s="7" t="s">
        <v>1177</v>
      </c>
      <c r="AR378" s="29">
        <v>0</v>
      </c>
      <c r="AS378" s="7" t="s">
        <v>1177</v>
      </c>
      <c r="AT378" s="7" t="s">
        <v>1363</v>
      </c>
      <c r="AU378" s="38">
        <v>46275</v>
      </c>
      <c r="AV378" s="39">
        <v>0.60394675925926</v>
      </c>
    </row>
    <row r="379" spans="1:48" x14ac:dyDescent="0.35">
      <c r="A379" t="str">
        <f t="shared" si="5"/>
        <v>GP007546B856</v>
      </c>
      <c r="B379" s="7" t="s">
        <v>354</v>
      </c>
      <c r="C379" s="7" t="s">
        <v>852</v>
      </c>
      <c r="D379" s="7" t="s">
        <v>21</v>
      </c>
      <c r="E379" s="7" t="s">
        <v>1177</v>
      </c>
      <c r="F379" s="7" t="s">
        <v>128</v>
      </c>
      <c r="G379" s="7" t="s">
        <v>130</v>
      </c>
      <c r="H379" s="7" t="s">
        <v>129</v>
      </c>
      <c r="I379" s="30">
        <v>2</v>
      </c>
      <c r="J379" s="7" t="s">
        <v>1177</v>
      </c>
      <c r="K379" s="7" t="s">
        <v>1178</v>
      </c>
      <c r="L379" s="7" t="s">
        <v>132</v>
      </c>
      <c r="M379" s="7" t="s">
        <v>133</v>
      </c>
      <c r="N379" s="30">
        <v>0</v>
      </c>
      <c r="O379" s="30">
        <v>0</v>
      </c>
      <c r="P379" s="30">
        <v>0</v>
      </c>
      <c r="Q379" s="30">
        <v>0</v>
      </c>
      <c r="R379" s="29">
        <v>0</v>
      </c>
      <c r="S379" s="36">
        <v>0</v>
      </c>
      <c r="T379" s="7" t="s">
        <v>131</v>
      </c>
      <c r="U379" s="7" t="s">
        <v>853</v>
      </c>
      <c r="V379" s="7" t="s">
        <v>853</v>
      </c>
      <c r="W379" s="7" t="s">
        <v>1177</v>
      </c>
      <c r="X379" s="30">
        <v>1</v>
      </c>
      <c r="Y379" s="7" t="s">
        <v>1177</v>
      </c>
      <c r="Z379" s="7" t="s">
        <v>1178</v>
      </c>
      <c r="AA379" s="30">
        <v>0</v>
      </c>
      <c r="AB379" s="36">
        <v>0</v>
      </c>
      <c r="AC379" s="7" t="s">
        <v>1177</v>
      </c>
      <c r="AD379" s="37">
        <v>0</v>
      </c>
      <c r="AE379" s="7" t="s">
        <v>1177</v>
      </c>
      <c r="AF379" s="7" t="s">
        <v>1177</v>
      </c>
      <c r="AG379" s="7" t="s">
        <v>1177</v>
      </c>
      <c r="AH379" s="38"/>
      <c r="AI379" s="36">
        <v>0</v>
      </c>
      <c r="AJ379" s="7" t="s">
        <v>1193</v>
      </c>
      <c r="AK379" s="7" t="s">
        <v>1177</v>
      </c>
      <c r="AL379" s="7" t="s">
        <v>1177</v>
      </c>
      <c r="AM379" s="7" t="s">
        <v>1177</v>
      </c>
      <c r="AN379" s="7" t="s">
        <v>3212</v>
      </c>
      <c r="AO379" s="7" t="s">
        <v>1177</v>
      </c>
      <c r="AP379" s="7" t="s">
        <v>1177</v>
      </c>
      <c r="AQ379" s="7" t="s">
        <v>1177</v>
      </c>
      <c r="AR379" s="29">
        <v>0</v>
      </c>
      <c r="AS379" s="7" t="s">
        <v>1177</v>
      </c>
      <c r="AT379" s="7" t="s">
        <v>1363</v>
      </c>
      <c r="AU379" s="38">
        <v>46275</v>
      </c>
      <c r="AV379" s="39">
        <v>0.60523148148147998</v>
      </c>
    </row>
    <row r="380" spans="1:48" x14ac:dyDescent="0.35">
      <c r="A380" t="str">
        <f t="shared" si="5"/>
        <v>GP007548B825</v>
      </c>
      <c r="B380" s="7" t="s">
        <v>225</v>
      </c>
      <c r="C380" s="7" t="s">
        <v>511</v>
      </c>
      <c r="D380" s="7" t="s">
        <v>16</v>
      </c>
      <c r="E380" s="7" t="s">
        <v>1177</v>
      </c>
      <c r="F380" s="7" t="s">
        <v>128</v>
      </c>
      <c r="G380" s="7" t="s">
        <v>130</v>
      </c>
      <c r="H380" s="7" t="s">
        <v>129</v>
      </c>
      <c r="I380" s="30">
        <v>2</v>
      </c>
      <c r="J380" s="7" t="s">
        <v>1177</v>
      </c>
      <c r="K380" s="7" t="s">
        <v>1178</v>
      </c>
      <c r="L380" s="7" t="s">
        <v>132</v>
      </c>
      <c r="M380" s="7" t="s">
        <v>133</v>
      </c>
      <c r="N380" s="30">
        <v>0</v>
      </c>
      <c r="O380" s="30">
        <v>0</v>
      </c>
      <c r="P380" s="30">
        <v>0</v>
      </c>
      <c r="Q380" s="30">
        <v>0</v>
      </c>
      <c r="R380" s="29">
        <v>0</v>
      </c>
      <c r="S380" s="36">
        <v>0</v>
      </c>
      <c r="T380" s="7" t="s">
        <v>131</v>
      </c>
      <c r="U380" s="7" t="s">
        <v>512</v>
      </c>
      <c r="V380" s="7" t="s">
        <v>512</v>
      </c>
      <c r="W380" s="7" t="s">
        <v>1177</v>
      </c>
      <c r="X380" s="30">
        <v>1</v>
      </c>
      <c r="Y380" s="7" t="s">
        <v>1177</v>
      </c>
      <c r="Z380" s="7" t="s">
        <v>1178</v>
      </c>
      <c r="AA380" s="30">
        <v>0</v>
      </c>
      <c r="AB380" s="36">
        <v>0</v>
      </c>
      <c r="AC380" s="7" t="s">
        <v>1177</v>
      </c>
      <c r="AD380" s="37">
        <v>0</v>
      </c>
      <c r="AE380" s="7" t="s">
        <v>1177</v>
      </c>
      <c r="AF380" s="7" t="s">
        <v>1177</v>
      </c>
      <c r="AG380" s="7" t="s">
        <v>1177</v>
      </c>
      <c r="AH380" s="38"/>
      <c r="AI380" s="36">
        <v>0</v>
      </c>
      <c r="AJ380" s="7" t="s">
        <v>1193</v>
      </c>
      <c r="AK380" s="7" t="s">
        <v>1177</v>
      </c>
      <c r="AL380" s="7" t="s">
        <v>1177</v>
      </c>
      <c r="AM380" s="7" t="s">
        <v>1177</v>
      </c>
      <c r="AN380" s="7" t="s">
        <v>3212</v>
      </c>
      <c r="AO380" s="7" t="s">
        <v>1177</v>
      </c>
      <c r="AP380" s="7" t="s">
        <v>1177</v>
      </c>
      <c r="AQ380" s="7" t="s">
        <v>1177</v>
      </c>
      <c r="AR380" s="29">
        <v>0</v>
      </c>
      <c r="AS380" s="7" t="s">
        <v>1177</v>
      </c>
      <c r="AT380" s="7" t="s">
        <v>1363</v>
      </c>
      <c r="AU380" s="38">
        <v>46275</v>
      </c>
      <c r="AV380" s="39">
        <v>0.60350694444443997</v>
      </c>
    </row>
    <row r="381" spans="1:48" x14ac:dyDescent="0.35">
      <c r="A381" t="str">
        <f t="shared" si="5"/>
        <v>GP007548B832</v>
      </c>
      <c r="B381" s="7" t="s">
        <v>225</v>
      </c>
      <c r="C381" s="7" t="s">
        <v>653</v>
      </c>
      <c r="D381" s="7" t="s">
        <v>19</v>
      </c>
      <c r="E381" s="7" t="s">
        <v>1177</v>
      </c>
      <c r="F381" s="7" t="s">
        <v>128</v>
      </c>
      <c r="G381" s="7" t="s">
        <v>130</v>
      </c>
      <c r="H381" s="7" t="s">
        <v>129</v>
      </c>
      <c r="I381" s="30">
        <v>2</v>
      </c>
      <c r="J381" s="7" t="s">
        <v>1177</v>
      </c>
      <c r="K381" s="7" t="s">
        <v>1178</v>
      </c>
      <c r="L381" s="7" t="s">
        <v>132</v>
      </c>
      <c r="M381" s="7" t="s">
        <v>133</v>
      </c>
      <c r="N381" s="30">
        <v>0</v>
      </c>
      <c r="O381" s="30">
        <v>0</v>
      </c>
      <c r="P381" s="30">
        <v>0</v>
      </c>
      <c r="Q381" s="30">
        <v>0</v>
      </c>
      <c r="R381" s="29">
        <v>0</v>
      </c>
      <c r="S381" s="36">
        <v>0</v>
      </c>
      <c r="T381" s="7" t="s">
        <v>131</v>
      </c>
      <c r="U381" s="7" t="s">
        <v>654</v>
      </c>
      <c r="V381" s="7" t="s">
        <v>654</v>
      </c>
      <c r="W381" s="7" t="s">
        <v>1177</v>
      </c>
      <c r="X381" s="30">
        <v>1</v>
      </c>
      <c r="Y381" s="7" t="s">
        <v>1177</v>
      </c>
      <c r="Z381" s="7" t="s">
        <v>1178</v>
      </c>
      <c r="AA381" s="30">
        <v>0</v>
      </c>
      <c r="AB381" s="36">
        <v>0</v>
      </c>
      <c r="AC381" s="7" t="s">
        <v>1177</v>
      </c>
      <c r="AD381" s="37">
        <v>0</v>
      </c>
      <c r="AE381" s="7" t="s">
        <v>1177</v>
      </c>
      <c r="AF381" s="7" t="s">
        <v>1177</v>
      </c>
      <c r="AG381" s="7" t="s">
        <v>1177</v>
      </c>
      <c r="AH381" s="38"/>
      <c r="AI381" s="36">
        <v>0</v>
      </c>
      <c r="AJ381" s="7" t="s">
        <v>1193</v>
      </c>
      <c r="AK381" s="7" t="s">
        <v>1177</v>
      </c>
      <c r="AL381" s="7" t="s">
        <v>1177</v>
      </c>
      <c r="AM381" s="7" t="s">
        <v>1177</v>
      </c>
      <c r="AN381" s="7" t="s">
        <v>3212</v>
      </c>
      <c r="AO381" s="7" t="s">
        <v>1177</v>
      </c>
      <c r="AP381" s="7" t="s">
        <v>1177</v>
      </c>
      <c r="AQ381" s="7" t="s">
        <v>1177</v>
      </c>
      <c r="AR381" s="29">
        <v>0</v>
      </c>
      <c r="AS381" s="7" t="s">
        <v>1177</v>
      </c>
      <c r="AT381" s="7" t="s">
        <v>1363</v>
      </c>
      <c r="AU381" s="38">
        <v>46275</v>
      </c>
      <c r="AV381" s="39">
        <v>0.60394675925926</v>
      </c>
    </row>
    <row r="382" spans="1:48" x14ac:dyDescent="0.35">
      <c r="A382" t="str">
        <f t="shared" si="5"/>
        <v>GP007548B856</v>
      </c>
      <c r="B382" s="7" t="s">
        <v>225</v>
      </c>
      <c r="C382" s="7" t="s">
        <v>852</v>
      </c>
      <c r="D382" s="7" t="s">
        <v>21</v>
      </c>
      <c r="E382" s="7" t="s">
        <v>1177</v>
      </c>
      <c r="F382" s="7" t="s">
        <v>128</v>
      </c>
      <c r="G382" s="7" t="s">
        <v>130</v>
      </c>
      <c r="H382" s="7" t="s">
        <v>129</v>
      </c>
      <c r="I382" s="30">
        <v>2</v>
      </c>
      <c r="J382" s="7" t="s">
        <v>1177</v>
      </c>
      <c r="K382" s="7" t="s">
        <v>1178</v>
      </c>
      <c r="L382" s="7" t="s">
        <v>132</v>
      </c>
      <c r="M382" s="7" t="s">
        <v>133</v>
      </c>
      <c r="N382" s="30">
        <v>0</v>
      </c>
      <c r="O382" s="30">
        <v>0</v>
      </c>
      <c r="P382" s="30">
        <v>0</v>
      </c>
      <c r="Q382" s="30">
        <v>0</v>
      </c>
      <c r="R382" s="29">
        <v>0</v>
      </c>
      <c r="S382" s="36">
        <v>0</v>
      </c>
      <c r="T382" s="7" t="s">
        <v>131</v>
      </c>
      <c r="U382" s="7" t="s">
        <v>853</v>
      </c>
      <c r="V382" s="7" t="s">
        <v>853</v>
      </c>
      <c r="W382" s="7" t="s">
        <v>1177</v>
      </c>
      <c r="X382" s="30">
        <v>1</v>
      </c>
      <c r="Y382" s="7" t="s">
        <v>1177</v>
      </c>
      <c r="Z382" s="7" t="s">
        <v>1178</v>
      </c>
      <c r="AA382" s="30">
        <v>0</v>
      </c>
      <c r="AB382" s="36">
        <v>0</v>
      </c>
      <c r="AC382" s="7" t="s">
        <v>1177</v>
      </c>
      <c r="AD382" s="37">
        <v>0</v>
      </c>
      <c r="AE382" s="7" t="s">
        <v>1177</v>
      </c>
      <c r="AF382" s="7" t="s">
        <v>1177</v>
      </c>
      <c r="AG382" s="7" t="s">
        <v>1177</v>
      </c>
      <c r="AH382" s="38"/>
      <c r="AI382" s="36">
        <v>0</v>
      </c>
      <c r="AJ382" s="7" t="s">
        <v>1193</v>
      </c>
      <c r="AK382" s="7" t="s">
        <v>1177</v>
      </c>
      <c r="AL382" s="7" t="s">
        <v>1177</v>
      </c>
      <c r="AM382" s="7" t="s">
        <v>1177</v>
      </c>
      <c r="AN382" s="7" t="s">
        <v>3212</v>
      </c>
      <c r="AO382" s="7" t="s">
        <v>1177</v>
      </c>
      <c r="AP382" s="7" t="s">
        <v>1177</v>
      </c>
      <c r="AQ382" s="7" t="s">
        <v>1177</v>
      </c>
      <c r="AR382" s="29">
        <v>0</v>
      </c>
      <c r="AS382" s="7" t="s">
        <v>1177</v>
      </c>
      <c r="AT382" s="7" t="s">
        <v>1363</v>
      </c>
      <c r="AU382" s="38">
        <v>46275</v>
      </c>
      <c r="AV382" s="39">
        <v>0.60523148148147998</v>
      </c>
    </row>
    <row r="383" spans="1:48" x14ac:dyDescent="0.35">
      <c r="A383" t="str">
        <f t="shared" si="5"/>
        <v>GP007548B857</v>
      </c>
      <c r="B383" s="7" t="s">
        <v>225</v>
      </c>
      <c r="C383" s="7" t="s">
        <v>958</v>
      </c>
      <c r="D383" s="7" t="s">
        <v>23</v>
      </c>
      <c r="E383" s="7" t="s">
        <v>1177</v>
      </c>
      <c r="F383" s="7" t="s">
        <v>128</v>
      </c>
      <c r="G383" s="7" t="s">
        <v>130</v>
      </c>
      <c r="H383" s="7" t="s">
        <v>129</v>
      </c>
      <c r="I383" s="30">
        <v>2</v>
      </c>
      <c r="J383" s="7" t="s">
        <v>1177</v>
      </c>
      <c r="K383" s="7" t="s">
        <v>1178</v>
      </c>
      <c r="L383" s="7" t="s">
        <v>132</v>
      </c>
      <c r="M383" s="7" t="s">
        <v>133</v>
      </c>
      <c r="N383" s="30">
        <v>0</v>
      </c>
      <c r="O383" s="30">
        <v>0</v>
      </c>
      <c r="P383" s="30">
        <v>0</v>
      </c>
      <c r="Q383" s="30">
        <v>0</v>
      </c>
      <c r="R383" s="29">
        <v>0</v>
      </c>
      <c r="S383" s="36">
        <v>0</v>
      </c>
      <c r="T383" s="7" t="s">
        <v>131</v>
      </c>
      <c r="U383" s="7" t="s">
        <v>959</v>
      </c>
      <c r="V383" s="7" t="s">
        <v>959</v>
      </c>
      <c r="W383" s="7" t="s">
        <v>1177</v>
      </c>
      <c r="X383" s="30">
        <v>1</v>
      </c>
      <c r="Y383" s="7" t="s">
        <v>1177</v>
      </c>
      <c r="Z383" s="7" t="s">
        <v>1178</v>
      </c>
      <c r="AA383" s="30">
        <v>0</v>
      </c>
      <c r="AB383" s="36">
        <v>0</v>
      </c>
      <c r="AC383" s="7" t="s">
        <v>1177</v>
      </c>
      <c r="AD383" s="37">
        <v>0</v>
      </c>
      <c r="AE383" s="7" t="s">
        <v>1177</v>
      </c>
      <c r="AF383" s="7" t="s">
        <v>1177</v>
      </c>
      <c r="AG383" s="7" t="s">
        <v>1177</v>
      </c>
      <c r="AH383" s="38"/>
      <c r="AI383" s="36">
        <v>0</v>
      </c>
      <c r="AJ383" s="7" t="s">
        <v>1193</v>
      </c>
      <c r="AK383" s="7" t="s">
        <v>1177</v>
      </c>
      <c r="AL383" s="7" t="s">
        <v>1177</v>
      </c>
      <c r="AM383" s="7" t="s">
        <v>1177</v>
      </c>
      <c r="AN383" s="7" t="s">
        <v>3212</v>
      </c>
      <c r="AO383" s="7" t="s">
        <v>1177</v>
      </c>
      <c r="AP383" s="7" t="s">
        <v>1177</v>
      </c>
      <c r="AQ383" s="7" t="s">
        <v>1177</v>
      </c>
      <c r="AR383" s="29">
        <v>0</v>
      </c>
      <c r="AS383" s="7" t="s">
        <v>1177</v>
      </c>
      <c r="AT383" s="7" t="s">
        <v>1363</v>
      </c>
      <c r="AU383" s="38">
        <v>46275</v>
      </c>
      <c r="AV383" s="39">
        <v>0.60526620370369999</v>
      </c>
    </row>
    <row r="384" spans="1:48" x14ac:dyDescent="0.35">
      <c r="A384" t="str">
        <f t="shared" si="5"/>
        <v>GP007548B864</v>
      </c>
      <c r="B384" s="7" t="s">
        <v>225</v>
      </c>
      <c r="C384" s="7" t="s">
        <v>1010</v>
      </c>
      <c r="D384" s="7" t="s">
        <v>10</v>
      </c>
      <c r="E384" s="7" t="s">
        <v>1177</v>
      </c>
      <c r="F384" s="7" t="s">
        <v>128</v>
      </c>
      <c r="G384" s="7" t="s">
        <v>130</v>
      </c>
      <c r="H384" s="7" t="s">
        <v>129</v>
      </c>
      <c r="I384" s="30">
        <v>2</v>
      </c>
      <c r="J384" s="7" t="s">
        <v>1177</v>
      </c>
      <c r="K384" s="7" t="s">
        <v>1178</v>
      </c>
      <c r="L384" s="7" t="s">
        <v>132</v>
      </c>
      <c r="M384" s="7" t="s">
        <v>133</v>
      </c>
      <c r="N384" s="30">
        <v>0</v>
      </c>
      <c r="O384" s="30">
        <v>0</v>
      </c>
      <c r="P384" s="30">
        <v>0</v>
      </c>
      <c r="Q384" s="30">
        <v>0</v>
      </c>
      <c r="R384" s="29">
        <v>0</v>
      </c>
      <c r="S384" s="36">
        <v>0</v>
      </c>
      <c r="T384" s="7" t="s">
        <v>131</v>
      </c>
      <c r="U384" s="7" t="s">
        <v>1011</v>
      </c>
      <c r="V384" s="7" t="s">
        <v>1011</v>
      </c>
      <c r="W384" s="7" t="s">
        <v>1177</v>
      </c>
      <c r="X384" s="30">
        <v>1</v>
      </c>
      <c r="Y384" s="7" t="s">
        <v>1177</v>
      </c>
      <c r="Z384" s="7" t="s">
        <v>1178</v>
      </c>
      <c r="AA384" s="30">
        <v>0</v>
      </c>
      <c r="AB384" s="36">
        <v>0</v>
      </c>
      <c r="AC384" s="7" t="s">
        <v>1177</v>
      </c>
      <c r="AD384" s="37">
        <v>0</v>
      </c>
      <c r="AE384" s="7" t="s">
        <v>1177</v>
      </c>
      <c r="AF384" s="7" t="s">
        <v>1177</v>
      </c>
      <c r="AG384" s="7" t="s">
        <v>1177</v>
      </c>
      <c r="AH384" s="38"/>
      <c r="AI384" s="36">
        <v>0</v>
      </c>
      <c r="AJ384" s="7" t="s">
        <v>1193</v>
      </c>
      <c r="AK384" s="7" t="s">
        <v>1177</v>
      </c>
      <c r="AL384" s="7" t="s">
        <v>1177</v>
      </c>
      <c r="AM384" s="7" t="s">
        <v>1177</v>
      </c>
      <c r="AN384" s="7" t="s">
        <v>3212</v>
      </c>
      <c r="AO384" s="7" t="s">
        <v>1177</v>
      </c>
      <c r="AP384" s="7" t="s">
        <v>1177</v>
      </c>
      <c r="AQ384" s="7" t="s">
        <v>1177</v>
      </c>
      <c r="AR384" s="29">
        <v>0</v>
      </c>
      <c r="AS384" s="7" t="s">
        <v>1177</v>
      </c>
      <c r="AT384" s="7" t="s">
        <v>1363</v>
      </c>
      <c r="AU384" s="38">
        <v>46275</v>
      </c>
      <c r="AV384" s="39">
        <v>0.60540509259259001</v>
      </c>
    </row>
    <row r="385" spans="1:48" x14ac:dyDescent="0.35">
      <c r="A385" t="str">
        <f t="shared" si="5"/>
        <v>GP007548B865</v>
      </c>
      <c r="B385" s="7" t="s">
        <v>225</v>
      </c>
      <c r="C385" s="7" t="s">
        <v>1039</v>
      </c>
      <c r="D385" s="7" t="s">
        <v>7</v>
      </c>
      <c r="E385" s="7" t="s">
        <v>1177</v>
      </c>
      <c r="F385" s="7" t="s">
        <v>128</v>
      </c>
      <c r="G385" s="7" t="s">
        <v>130</v>
      </c>
      <c r="H385" s="7" t="s">
        <v>129</v>
      </c>
      <c r="I385" s="30">
        <v>2</v>
      </c>
      <c r="J385" s="7" t="s">
        <v>1177</v>
      </c>
      <c r="K385" s="7" t="s">
        <v>1178</v>
      </c>
      <c r="L385" s="7" t="s">
        <v>132</v>
      </c>
      <c r="M385" s="7" t="s">
        <v>133</v>
      </c>
      <c r="N385" s="30">
        <v>0</v>
      </c>
      <c r="O385" s="30">
        <v>0</v>
      </c>
      <c r="P385" s="30">
        <v>0</v>
      </c>
      <c r="Q385" s="30">
        <v>0</v>
      </c>
      <c r="R385" s="29">
        <v>0</v>
      </c>
      <c r="S385" s="36">
        <v>0</v>
      </c>
      <c r="T385" s="7" t="s">
        <v>131</v>
      </c>
      <c r="U385" s="7" t="s">
        <v>1040</v>
      </c>
      <c r="V385" s="7" t="s">
        <v>1040</v>
      </c>
      <c r="W385" s="7" t="s">
        <v>1177</v>
      </c>
      <c r="X385" s="30">
        <v>1</v>
      </c>
      <c r="Y385" s="7" t="s">
        <v>1177</v>
      </c>
      <c r="Z385" s="7" t="s">
        <v>1178</v>
      </c>
      <c r="AA385" s="30">
        <v>0</v>
      </c>
      <c r="AB385" s="36">
        <v>0</v>
      </c>
      <c r="AC385" s="7" t="s">
        <v>1177</v>
      </c>
      <c r="AD385" s="37">
        <v>0</v>
      </c>
      <c r="AE385" s="7" t="s">
        <v>1177</v>
      </c>
      <c r="AF385" s="7" t="s">
        <v>1177</v>
      </c>
      <c r="AG385" s="7" t="s">
        <v>1177</v>
      </c>
      <c r="AH385" s="38"/>
      <c r="AI385" s="36">
        <v>0</v>
      </c>
      <c r="AJ385" s="7" t="s">
        <v>1193</v>
      </c>
      <c r="AK385" s="7" t="s">
        <v>1177</v>
      </c>
      <c r="AL385" s="7" t="s">
        <v>1177</v>
      </c>
      <c r="AM385" s="7" t="s">
        <v>1177</v>
      </c>
      <c r="AN385" s="7" t="s">
        <v>3212</v>
      </c>
      <c r="AO385" s="7" t="s">
        <v>1177</v>
      </c>
      <c r="AP385" s="7" t="s">
        <v>1177</v>
      </c>
      <c r="AQ385" s="7" t="s">
        <v>1177</v>
      </c>
      <c r="AR385" s="29">
        <v>0</v>
      </c>
      <c r="AS385" s="7" t="s">
        <v>1177</v>
      </c>
      <c r="AT385" s="7" t="s">
        <v>1363</v>
      </c>
      <c r="AU385" s="38">
        <v>46275</v>
      </c>
      <c r="AV385" s="39">
        <v>0.60552083333332996</v>
      </c>
    </row>
    <row r="386" spans="1:48" x14ac:dyDescent="0.35">
      <c r="A386" t="str">
        <f t="shared" si="5"/>
        <v>GP007548B867</v>
      </c>
      <c r="B386" s="7" t="s">
        <v>225</v>
      </c>
      <c r="C386" s="7" t="s">
        <v>1059</v>
      </c>
      <c r="D386" s="7" t="s">
        <v>25</v>
      </c>
      <c r="E386" s="7" t="s">
        <v>1177</v>
      </c>
      <c r="F386" s="7" t="s">
        <v>128</v>
      </c>
      <c r="G386" s="7" t="s">
        <v>130</v>
      </c>
      <c r="H386" s="7" t="s">
        <v>129</v>
      </c>
      <c r="I386" s="30">
        <v>2</v>
      </c>
      <c r="J386" s="7" t="s">
        <v>1177</v>
      </c>
      <c r="K386" s="7" t="s">
        <v>1178</v>
      </c>
      <c r="L386" s="7" t="s">
        <v>132</v>
      </c>
      <c r="M386" s="7" t="s">
        <v>133</v>
      </c>
      <c r="N386" s="30">
        <v>0</v>
      </c>
      <c r="O386" s="30">
        <v>0</v>
      </c>
      <c r="P386" s="30">
        <v>0</v>
      </c>
      <c r="Q386" s="30">
        <v>0</v>
      </c>
      <c r="R386" s="29">
        <v>0</v>
      </c>
      <c r="S386" s="36">
        <v>0</v>
      </c>
      <c r="T386" s="7" t="s">
        <v>131</v>
      </c>
      <c r="U386" s="7" t="s">
        <v>1060</v>
      </c>
      <c r="V386" s="7" t="s">
        <v>1060</v>
      </c>
      <c r="W386" s="7" t="s">
        <v>1177</v>
      </c>
      <c r="X386" s="30">
        <v>1</v>
      </c>
      <c r="Y386" s="7" t="s">
        <v>1177</v>
      </c>
      <c r="Z386" s="7" t="s">
        <v>1178</v>
      </c>
      <c r="AA386" s="30">
        <v>0</v>
      </c>
      <c r="AB386" s="36">
        <v>0</v>
      </c>
      <c r="AC386" s="7" t="s">
        <v>1177</v>
      </c>
      <c r="AD386" s="37">
        <v>0</v>
      </c>
      <c r="AE386" s="7" t="s">
        <v>1177</v>
      </c>
      <c r="AF386" s="7" t="s">
        <v>1177</v>
      </c>
      <c r="AG386" s="7" t="s">
        <v>1177</v>
      </c>
      <c r="AH386" s="38"/>
      <c r="AI386" s="36">
        <v>0</v>
      </c>
      <c r="AJ386" s="7" t="s">
        <v>1193</v>
      </c>
      <c r="AK386" s="7" t="s">
        <v>1177</v>
      </c>
      <c r="AL386" s="7" t="s">
        <v>1177</v>
      </c>
      <c r="AM386" s="7" t="s">
        <v>1177</v>
      </c>
      <c r="AN386" s="7" t="s">
        <v>3212</v>
      </c>
      <c r="AO386" s="7" t="s">
        <v>1177</v>
      </c>
      <c r="AP386" s="7" t="s">
        <v>1177</v>
      </c>
      <c r="AQ386" s="7" t="s">
        <v>1177</v>
      </c>
      <c r="AR386" s="29">
        <v>0</v>
      </c>
      <c r="AS386" s="7" t="s">
        <v>1177</v>
      </c>
      <c r="AT386" s="7" t="s">
        <v>1363</v>
      </c>
      <c r="AU386" s="38">
        <v>46275</v>
      </c>
      <c r="AV386" s="39">
        <v>0.60568287037037005</v>
      </c>
    </row>
    <row r="387" spans="1:48" x14ac:dyDescent="0.35">
      <c r="A387" t="str">
        <f t="shared" ref="A387:A450" si="6">_xlfn.CONCAT(B387,D387)</f>
        <v>GP007571B857</v>
      </c>
      <c r="B387" s="7" t="s">
        <v>226</v>
      </c>
      <c r="C387" s="7" t="s">
        <v>958</v>
      </c>
      <c r="D387" s="7" t="s">
        <v>23</v>
      </c>
      <c r="E387" s="7" t="s">
        <v>1177</v>
      </c>
      <c r="F387" s="7" t="s">
        <v>128</v>
      </c>
      <c r="G387" s="7" t="s">
        <v>130</v>
      </c>
      <c r="H387" s="7" t="s">
        <v>129</v>
      </c>
      <c r="I387" s="30">
        <v>1</v>
      </c>
      <c r="J387" s="7" t="s">
        <v>1177</v>
      </c>
      <c r="K387" s="7" t="s">
        <v>1178</v>
      </c>
      <c r="L387" s="7" t="s">
        <v>132</v>
      </c>
      <c r="M387" s="7" t="s">
        <v>133</v>
      </c>
      <c r="N387" s="30">
        <v>0</v>
      </c>
      <c r="O387" s="30">
        <v>0</v>
      </c>
      <c r="P387" s="30">
        <v>0</v>
      </c>
      <c r="Q387" s="30">
        <v>0</v>
      </c>
      <c r="R387" s="29">
        <v>0</v>
      </c>
      <c r="S387" s="36">
        <v>0</v>
      </c>
      <c r="T387" s="7" t="s">
        <v>131</v>
      </c>
      <c r="U387" s="7" t="s">
        <v>959</v>
      </c>
      <c r="V387" s="7" t="s">
        <v>959</v>
      </c>
      <c r="W387" s="7" t="s">
        <v>1177</v>
      </c>
      <c r="X387" s="30">
        <v>1</v>
      </c>
      <c r="Y387" s="7" t="s">
        <v>1177</v>
      </c>
      <c r="Z387" s="7" t="s">
        <v>1178</v>
      </c>
      <c r="AA387" s="30">
        <v>0</v>
      </c>
      <c r="AB387" s="36">
        <v>0</v>
      </c>
      <c r="AC387" s="7" t="s">
        <v>1177</v>
      </c>
      <c r="AD387" s="37">
        <v>0</v>
      </c>
      <c r="AE387" s="7" t="s">
        <v>1177</v>
      </c>
      <c r="AF387" s="7" t="s">
        <v>1177</v>
      </c>
      <c r="AG387" s="7" t="s">
        <v>1177</v>
      </c>
      <c r="AH387" s="38"/>
      <c r="AI387" s="36">
        <v>0</v>
      </c>
      <c r="AJ387" s="7" t="s">
        <v>1193</v>
      </c>
      <c r="AK387" s="7" t="s">
        <v>1177</v>
      </c>
      <c r="AL387" s="7" t="s">
        <v>1177</v>
      </c>
      <c r="AM387" s="7" t="s">
        <v>1177</v>
      </c>
      <c r="AN387" s="7" t="s">
        <v>3212</v>
      </c>
      <c r="AO387" s="7" t="s">
        <v>1177</v>
      </c>
      <c r="AP387" s="7" t="s">
        <v>1177</v>
      </c>
      <c r="AQ387" s="7" t="s">
        <v>1177</v>
      </c>
      <c r="AR387" s="29">
        <v>0</v>
      </c>
      <c r="AS387" s="7" t="s">
        <v>1177</v>
      </c>
      <c r="AT387" s="7" t="s">
        <v>1363</v>
      </c>
      <c r="AU387" s="38">
        <v>46275</v>
      </c>
      <c r="AV387" s="39">
        <v>0.60526620370369999</v>
      </c>
    </row>
    <row r="388" spans="1:48" x14ac:dyDescent="0.35">
      <c r="A388" t="str">
        <f t="shared" si="6"/>
        <v>GP007571B864</v>
      </c>
      <c r="B388" s="7" t="s">
        <v>226</v>
      </c>
      <c r="C388" s="7" t="s">
        <v>1010</v>
      </c>
      <c r="D388" s="7" t="s">
        <v>10</v>
      </c>
      <c r="E388" s="7" t="s">
        <v>1177</v>
      </c>
      <c r="F388" s="7" t="s">
        <v>128</v>
      </c>
      <c r="G388" s="7" t="s">
        <v>130</v>
      </c>
      <c r="H388" s="7" t="s">
        <v>129</v>
      </c>
      <c r="I388" s="30">
        <v>2</v>
      </c>
      <c r="J388" s="7" t="s">
        <v>1177</v>
      </c>
      <c r="K388" s="7" t="s">
        <v>1178</v>
      </c>
      <c r="L388" s="7" t="s">
        <v>132</v>
      </c>
      <c r="M388" s="7" t="s">
        <v>133</v>
      </c>
      <c r="N388" s="30">
        <v>0</v>
      </c>
      <c r="O388" s="30">
        <v>0</v>
      </c>
      <c r="P388" s="30">
        <v>0</v>
      </c>
      <c r="Q388" s="30">
        <v>0</v>
      </c>
      <c r="R388" s="29">
        <v>0</v>
      </c>
      <c r="S388" s="36">
        <v>0</v>
      </c>
      <c r="T388" s="7" t="s">
        <v>131</v>
      </c>
      <c r="U388" s="7" t="s">
        <v>1011</v>
      </c>
      <c r="V388" s="7" t="s">
        <v>1011</v>
      </c>
      <c r="W388" s="7" t="s">
        <v>1177</v>
      </c>
      <c r="X388" s="30">
        <v>1</v>
      </c>
      <c r="Y388" s="7" t="s">
        <v>1177</v>
      </c>
      <c r="Z388" s="7" t="s">
        <v>1178</v>
      </c>
      <c r="AA388" s="30">
        <v>0</v>
      </c>
      <c r="AB388" s="36">
        <v>0</v>
      </c>
      <c r="AC388" s="7" t="s">
        <v>1177</v>
      </c>
      <c r="AD388" s="37">
        <v>0</v>
      </c>
      <c r="AE388" s="7" t="s">
        <v>1177</v>
      </c>
      <c r="AF388" s="7" t="s">
        <v>1177</v>
      </c>
      <c r="AG388" s="7" t="s">
        <v>1177</v>
      </c>
      <c r="AH388" s="38"/>
      <c r="AI388" s="36">
        <v>0</v>
      </c>
      <c r="AJ388" s="7" t="s">
        <v>1193</v>
      </c>
      <c r="AK388" s="7" t="s">
        <v>1177</v>
      </c>
      <c r="AL388" s="7" t="s">
        <v>1177</v>
      </c>
      <c r="AM388" s="7" t="s">
        <v>1177</v>
      </c>
      <c r="AN388" s="7" t="s">
        <v>3212</v>
      </c>
      <c r="AO388" s="7" t="s">
        <v>1177</v>
      </c>
      <c r="AP388" s="7" t="s">
        <v>1177</v>
      </c>
      <c r="AQ388" s="7" t="s">
        <v>1177</v>
      </c>
      <c r="AR388" s="29">
        <v>0</v>
      </c>
      <c r="AS388" s="7" t="s">
        <v>1177</v>
      </c>
      <c r="AT388" s="7" t="s">
        <v>1363</v>
      </c>
      <c r="AU388" s="38">
        <v>46275</v>
      </c>
      <c r="AV388" s="39">
        <v>0.60540509259259001</v>
      </c>
    </row>
    <row r="389" spans="1:48" x14ac:dyDescent="0.35">
      <c r="A389" t="str">
        <f t="shared" si="6"/>
        <v>GP007571B865</v>
      </c>
      <c r="B389" s="7" t="s">
        <v>226</v>
      </c>
      <c r="C389" s="7" t="s">
        <v>1039</v>
      </c>
      <c r="D389" s="7" t="s">
        <v>7</v>
      </c>
      <c r="E389" s="7" t="s">
        <v>1177</v>
      </c>
      <c r="F389" s="7" t="s">
        <v>128</v>
      </c>
      <c r="G389" s="7" t="s">
        <v>130</v>
      </c>
      <c r="H389" s="7" t="s">
        <v>129</v>
      </c>
      <c r="I389" s="30">
        <v>1</v>
      </c>
      <c r="J389" s="7" t="s">
        <v>1177</v>
      </c>
      <c r="K389" s="7" t="s">
        <v>1178</v>
      </c>
      <c r="L389" s="7" t="s">
        <v>132</v>
      </c>
      <c r="M389" s="7" t="s">
        <v>133</v>
      </c>
      <c r="N389" s="30">
        <v>0</v>
      </c>
      <c r="O389" s="30">
        <v>0</v>
      </c>
      <c r="P389" s="30">
        <v>0</v>
      </c>
      <c r="Q389" s="30">
        <v>0</v>
      </c>
      <c r="R389" s="29">
        <v>0</v>
      </c>
      <c r="S389" s="36">
        <v>0</v>
      </c>
      <c r="T389" s="7" t="s">
        <v>131</v>
      </c>
      <c r="U389" s="7" t="s">
        <v>1040</v>
      </c>
      <c r="V389" s="7" t="s">
        <v>1040</v>
      </c>
      <c r="W389" s="7" t="s">
        <v>1177</v>
      </c>
      <c r="X389" s="30">
        <v>1</v>
      </c>
      <c r="Y389" s="7" t="s">
        <v>1177</v>
      </c>
      <c r="Z389" s="7" t="s">
        <v>1178</v>
      </c>
      <c r="AA389" s="30">
        <v>0</v>
      </c>
      <c r="AB389" s="36">
        <v>0</v>
      </c>
      <c r="AC389" s="7" t="s">
        <v>1177</v>
      </c>
      <c r="AD389" s="37">
        <v>0</v>
      </c>
      <c r="AE389" s="7" t="s">
        <v>1177</v>
      </c>
      <c r="AF389" s="7" t="s">
        <v>1177</v>
      </c>
      <c r="AG389" s="7" t="s">
        <v>1177</v>
      </c>
      <c r="AH389" s="38"/>
      <c r="AI389" s="36">
        <v>0</v>
      </c>
      <c r="AJ389" s="7" t="s">
        <v>1193</v>
      </c>
      <c r="AK389" s="7" t="s">
        <v>1177</v>
      </c>
      <c r="AL389" s="7" t="s">
        <v>1177</v>
      </c>
      <c r="AM389" s="7" t="s">
        <v>1177</v>
      </c>
      <c r="AN389" s="7" t="s">
        <v>3212</v>
      </c>
      <c r="AO389" s="7" t="s">
        <v>1177</v>
      </c>
      <c r="AP389" s="7" t="s">
        <v>1177</v>
      </c>
      <c r="AQ389" s="7" t="s">
        <v>1177</v>
      </c>
      <c r="AR389" s="29">
        <v>0</v>
      </c>
      <c r="AS389" s="7" t="s">
        <v>1177</v>
      </c>
      <c r="AT389" s="7" t="s">
        <v>1363</v>
      </c>
      <c r="AU389" s="38">
        <v>46275</v>
      </c>
      <c r="AV389" s="39">
        <v>0.60552083333332996</v>
      </c>
    </row>
    <row r="390" spans="1:48" x14ac:dyDescent="0.35">
      <c r="A390" t="str">
        <f t="shared" si="6"/>
        <v>GP007637B832</v>
      </c>
      <c r="B390" s="7" t="s">
        <v>355</v>
      </c>
      <c r="C390" s="7" t="s">
        <v>653</v>
      </c>
      <c r="D390" s="7" t="s">
        <v>19</v>
      </c>
      <c r="E390" s="7" t="s">
        <v>1177</v>
      </c>
      <c r="F390" s="7" t="s">
        <v>128</v>
      </c>
      <c r="G390" s="7" t="s">
        <v>130</v>
      </c>
      <c r="H390" s="7" t="s">
        <v>129</v>
      </c>
      <c r="I390" s="30">
        <v>1</v>
      </c>
      <c r="J390" s="7" t="s">
        <v>1177</v>
      </c>
      <c r="K390" s="7" t="s">
        <v>1178</v>
      </c>
      <c r="L390" s="7" t="s">
        <v>132</v>
      </c>
      <c r="M390" s="7" t="s">
        <v>133</v>
      </c>
      <c r="N390" s="30">
        <v>0</v>
      </c>
      <c r="O390" s="30">
        <v>0</v>
      </c>
      <c r="P390" s="30">
        <v>0</v>
      </c>
      <c r="Q390" s="30">
        <v>0</v>
      </c>
      <c r="R390" s="29">
        <v>0</v>
      </c>
      <c r="S390" s="36">
        <v>0</v>
      </c>
      <c r="T390" s="7" t="s">
        <v>131</v>
      </c>
      <c r="U390" s="7" t="s">
        <v>654</v>
      </c>
      <c r="V390" s="7" t="s">
        <v>654</v>
      </c>
      <c r="W390" s="7" t="s">
        <v>1177</v>
      </c>
      <c r="X390" s="30">
        <v>1</v>
      </c>
      <c r="Y390" s="7" t="s">
        <v>1177</v>
      </c>
      <c r="Z390" s="7" t="s">
        <v>1178</v>
      </c>
      <c r="AA390" s="30">
        <v>0</v>
      </c>
      <c r="AB390" s="36">
        <v>0</v>
      </c>
      <c r="AC390" s="7" t="s">
        <v>1177</v>
      </c>
      <c r="AD390" s="37">
        <v>0</v>
      </c>
      <c r="AE390" s="7" t="s">
        <v>1177</v>
      </c>
      <c r="AF390" s="7" t="s">
        <v>1177</v>
      </c>
      <c r="AG390" s="7" t="s">
        <v>1177</v>
      </c>
      <c r="AH390" s="38"/>
      <c r="AI390" s="36">
        <v>0</v>
      </c>
      <c r="AJ390" s="7" t="s">
        <v>1193</v>
      </c>
      <c r="AK390" s="7" t="s">
        <v>1177</v>
      </c>
      <c r="AL390" s="7" t="s">
        <v>1177</v>
      </c>
      <c r="AM390" s="7" t="s">
        <v>1177</v>
      </c>
      <c r="AN390" s="7" t="s">
        <v>3212</v>
      </c>
      <c r="AO390" s="7" t="s">
        <v>1177</v>
      </c>
      <c r="AP390" s="7" t="s">
        <v>1177</v>
      </c>
      <c r="AQ390" s="7" t="s">
        <v>1177</v>
      </c>
      <c r="AR390" s="29">
        <v>0</v>
      </c>
      <c r="AS390" s="7" t="s">
        <v>1177</v>
      </c>
      <c r="AT390" s="7" t="s">
        <v>1363</v>
      </c>
      <c r="AU390" s="38">
        <v>46275</v>
      </c>
      <c r="AV390" s="39">
        <v>0.60394675925926</v>
      </c>
    </row>
    <row r="391" spans="1:48" x14ac:dyDescent="0.35">
      <c r="A391" t="str">
        <f t="shared" si="6"/>
        <v>GP007637B838</v>
      </c>
      <c r="B391" s="7" t="s">
        <v>355</v>
      </c>
      <c r="C391" s="7" t="s">
        <v>744</v>
      </c>
      <c r="D391" s="7" t="s">
        <v>48</v>
      </c>
      <c r="E391" s="7" t="s">
        <v>1177</v>
      </c>
      <c r="F391" s="7" t="s">
        <v>128</v>
      </c>
      <c r="G391" s="7" t="s">
        <v>130</v>
      </c>
      <c r="H391" s="7" t="s">
        <v>129</v>
      </c>
      <c r="I391" s="30">
        <v>2</v>
      </c>
      <c r="J391" s="7" t="s">
        <v>1177</v>
      </c>
      <c r="K391" s="7" t="s">
        <v>1178</v>
      </c>
      <c r="L391" s="7" t="s">
        <v>132</v>
      </c>
      <c r="M391" s="7" t="s">
        <v>133</v>
      </c>
      <c r="N391" s="30">
        <v>0</v>
      </c>
      <c r="O391" s="30">
        <v>0</v>
      </c>
      <c r="P391" s="30">
        <v>0</v>
      </c>
      <c r="Q391" s="30">
        <v>0</v>
      </c>
      <c r="R391" s="29">
        <v>0</v>
      </c>
      <c r="S391" s="36">
        <v>0</v>
      </c>
      <c r="T391" s="7" t="s">
        <v>131</v>
      </c>
      <c r="U391" s="7" t="s">
        <v>745</v>
      </c>
      <c r="V391" s="7" t="s">
        <v>745</v>
      </c>
      <c r="W391" s="7" t="s">
        <v>1177</v>
      </c>
      <c r="X391" s="30">
        <v>1</v>
      </c>
      <c r="Y391" s="7" t="s">
        <v>1177</v>
      </c>
      <c r="Z391" s="7" t="s">
        <v>1178</v>
      </c>
      <c r="AA391" s="30">
        <v>0</v>
      </c>
      <c r="AB391" s="36">
        <v>0</v>
      </c>
      <c r="AC391" s="7" t="s">
        <v>1177</v>
      </c>
      <c r="AD391" s="37">
        <v>0</v>
      </c>
      <c r="AE391" s="7" t="s">
        <v>1177</v>
      </c>
      <c r="AF391" s="7" t="s">
        <v>1177</v>
      </c>
      <c r="AG391" s="7" t="s">
        <v>1177</v>
      </c>
      <c r="AH391" s="38"/>
      <c r="AI391" s="36">
        <v>0</v>
      </c>
      <c r="AJ391" s="7" t="s">
        <v>1193</v>
      </c>
      <c r="AK391" s="7" t="s">
        <v>1177</v>
      </c>
      <c r="AL391" s="7" t="s">
        <v>1177</v>
      </c>
      <c r="AM391" s="7" t="s">
        <v>1177</v>
      </c>
      <c r="AN391" s="7" t="s">
        <v>3212</v>
      </c>
      <c r="AO391" s="7" t="s">
        <v>1177</v>
      </c>
      <c r="AP391" s="7" t="s">
        <v>1177</v>
      </c>
      <c r="AQ391" s="7" t="s">
        <v>1177</v>
      </c>
      <c r="AR391" s="29">
        <v>0</v>
      </c>
      <c r="AS391" s="7" t="s">
        <v>1177</v>
      </c>
      <c r="AT391" s="7" t="s">
        <v>1363</v>
      </c>
      <c r="AU391" s="38">
        <v>46275</v>
      </c>
      <c r="AV391" s="39">
        <v>0.60444444444444001</v>
      </c>
    </row>
    <row r="392" spans="1:48" x14ac:dyDescent="0.35">
      <c r="A392" t="str">
        <f t="shared" si="6"/>
        <v>GP007637B857</v>
      </c>
      <c r="B392" s="7" t="s">
        <v>355</v>
      </c>
      <c r="C392" s="7" t="s">
        <v>958</v>
      </c>
      <c r="D392" s="7" t="s">
        <v>23</v>
      </c>
      <c r="E392" s="7" t="s">
        <v>1177</v>
      </c>
      <c r="F392" s="7" t="s">
        <v>128</v>
      </c>
      <c r="G392" s="7" t="s">
        <v>130</v>
      </c>
      <c r="H392" s="7" t="s">
        <v>129</v>
      </c>
      <c r="I392" s="30">
        <v>2</v>
      </c>
      <c r="J392" s="7" t="s">
        <v>1177</v>
      </c>
      <c r="K392" s="7" t="s">
        <v>1178</v>
      </c>
      <c r="L392" s="7" t="s">
        <v>132</v>
      </c>
      <c r="M392" s="7" t="s">
        <v>133</v>
      </c>
      <c r="N392" s="30">
        <v>0</v>
      </c>
      <c r="O392" s="30">
        <v>0</v>
      </c>
      <c r="P392" s="30">
        <v>0</v>
      </c>
      <c r="Q392" s="30">
        <v>0</v>
      </c>
      <c r="R392" s="29">
        <v>0</v>
      </c>
      <c r="S392" s="36">
        <v>0</v>
      </c>
      <c r="T392" s="7" t="s">
        <v>131</v>
      </c>
      <c r="U392" s="7" t="s">
        <v>959</v>
      </c>
      <c r="V392" s="7" t="s">
        <v>959</v>
      </c>
      <c r="W392" s="7" t="s">
        <v>1177</v>
      </c>
      <c r="X392" s="30">
        <v>1</v>
      </c>
      <c r="Y392" s="7" t="s">
        <v>1177</v>
      </c>
      <c r="Z392" s="7" t="s">
        <v>1178</v>
      </c>
      <c r="AA392" s="30">
        <v>0</v>
      </c>
      <c r="AB392" s="36">
        <v>0</v>
      </c>
      <c r="AC392" s="7" t="s">
        <v>1177</v>
      </c>
      <c r="AD392" s="37">
        <v>0</v>
      </c>
      <c r="AE392" s="7" t="s">
        <v>1177</v>
      </c>
      <c r="AF392" s="7" t="s">
        <v>1177</v>
      </c>
      <c r="AG392" s="7" t="s">
        <v>1177</v>
      </c>
      <c r="AH392" s="38"/>
      <c r="AI392" s="36">
        <v>0</v>
      </c>
      <c r="AJ392" s="7" t="s">
        <v>1193</v>
      </c>
      <c r="AK392" s="7" t="s">
        <v>1177</v>
      </c>
      <c r="AL392" s="7" t="s">
        <v>1177</v>
      </c>
      <c r="AM392" s="7" t="s">
        <v>1177</v>
      </c>
      <c r="AN392" s="7" t="s">
        <v>3212</v>
      </c>
      <c r="AO392" s="7" t="s">
        <v>1177</v>
      </c>
      <c r="AP392" s="7" t="s">
        <v>1177</v>
      </c>
      <c r="AQ392" s="7" t="s">
        <v>1177</v>
      </c>
      <c r="AR392" s="29">
        <v>0</v>
      </c>
      <c r="AS392" s="7" t="s">
        <v>1177</v>
      </c>
      <c r="AT392" s="7" t="s">
        <v>1363</v>
      </c>
      <c r="AU392" s="38">
        <v>46275</v>
      </c>
      <c r="AV392" s="39">
        <v>0.60526620370369999</v>
      </c>
    </row>
    <row r="393" spans="1:48" x14ac:dyDescent="0.35">
      <c r="A393" t="str">
        <f t="shared" si="6"/>
        <v>GP007637B864</v>
      </c>
      <c r="B393" s="7" t="s">
        <v>355</v>
      </c>
      <c r="C393" s="7" t="s">
        <v>1010</v>
      </c>
      <c r="D393" s="7" t="s">
        <v>10</v>
      </c>
      <c r="E393" s="7" t="s">
        <v>1177</v>
      </c>
      <c r="F393" s="7" t="s">
        <v>128</v>
      </c>
      <c r="G393" s="7" t="s">
        <v>130</v>
      </c>
      <c r="H393" s="7" t="s">
        <v>129</v>
      </c>
      <c r="I393" s="30">
        <v>2</v>
      </c>
      <c r="J393" s="7" t="s">
        <v>1177</v>
      </c>
      <c r="K393" s="7" t="s">
        <v>1178</v>
      </c>
      <c r="L393" s="7" t="s">
        <v>132</v>
      </c>
      <c r="M393" s="7" t="s">
        <v>133</v>
      </c>
      <c r="N393" s="30">
        <v>0</v>
      </c>
      <c r="O393" s="30">
        <v>0</v>
      </c>
      <c r="P393" s="30">
        <v>0</v>
      </c>
      <c r="Q393" s="30">
        <v>0</v>
      </c>
      <c r="R393" s="29">
        <v>0</v>
      </c>
      <c r="S393" s="36">
        <v>0</v>
      </c>
      <c r="T393" s="7" t="s">
        <v>131</v>
      </c>
      <c r="U393" s="7" t="s">
        <v>1011</v>
      </c>
      <c r="V393" s="7" t="s">
        <v>1011</v>
      </c>
      <c r="W393" s="7" t="s">
        <v>1177</v>
      </c>
      <c r="X393" s="30">
        <v>1</v>
      </c>
      <c r="Y393" s="7" t="s">
        <v>1177</v>
      </c>
      <c r="Z393" s="7" t="s">
        <v>1178</v>
      </c>
      <c r="AA393" s="30">
        <v>0</v>
      </c>
      <c r="AB393" s="36">
        <v>0</v>
      </c>
      <c r="AC393" s="7" t="s">
        <v>1177</v>
      </c>
      <c r="AD393" s="37">
        <v>0</v>
      </c>
      <c r="AE393" s="7" t="s">
        <v>1177</v>
      </c>
      <c r="AF393" s="7" t="s">
        <v>1177</v>
      </c>
      <c r="AG393" s="7" t="s">
        <v>1177</v>
      </c>
      <c r="AH393" s="38"/>
      <c r="AI393" s="36">
        <v>0</v>
      </c>
      <c r="AJ393" s="7" t="s">
        <v>1193</v>
      </c>
      <c r="AK393" s="7" t="s">
        <v>1177</v>
      </c>
      <c r="AL393" s="7" t="s">
        <v>1177</v>
      </c>
      <c r="AM393" s="7" t="s">
        <v>1177</v>
      </c>
      <c r="AN393" s="7" t="s">
        <v>3212</v>
      </c>
      <c r="AO393" s="7" t="s">
        <v>1177</v>
      </c>
      <c r="AP393" s="7" t="s">
        <v>1177</v>
      </c>
      <c r="AQ393" s="7" t="s">
        <v>1177</v>
      </c>
      <c r="AR393" s="29">
        <v>0</v>
      </c>
      <c r="AS393" s="7" t="s">
        <v>1177</v>
      </c>
      <c r="AT393" s="7" t="s">
        <v>1363</v>
      </c>
      <c r="AU393" s="38">
        <v>46275</v>
      </c>
      <c r="AV393" s="39">
        <v>0.60540509259259001</v>
      </c>
    </row>
    <row r="394" spans="1:48" x14ac:dyDescent="0.35">
      <c r="A394" t="str">
        <f t="shared" si="6"/>
        <v>GP007637B865</v>
      </c>
      <c r="B394" s="7" t="s">
        <v>355</v>
      </c>
      <c r="C394" s="7" t="s">
        <v>1039</v>
      </c>
      <c r="D394" s="7" t="s">
        <v>7</v>
      </c>
      <c r="E394" s="7" t="s">
        <v>1177</v>
      </c>
      <c r="F394" s="7" t="s">
        <v>128</v>
      </c>
      <c r="G394" s="7" t="s">
        <v>130</v>
      </c>
      <c r="H394" s="7" t="s">
        <v>129</v>
      </c>
      <c r="I394" s="30">
        <v>2</v>
      </c>
      <c r="J394" s="7" t="s">
        <v>1177</v>
      </c>
      <c r="K394" s="7" t="s">
        <v>1178</v>
      </c>
      <c r="L394" s="7" t="s">
        <v>132</v>
      </c>
      <c r="M394" s="7" t="s">
        <v>133</v>
      </c>
      <c r="N394" s="30">
        <v>0</v>
      </c>
      <c r="O394" s="30">
        <v>0</v>
      </c>
      <c r="P394" s="30">
        <v>0</v>
      </c>
      <c r="Q394" s="30">
        <v>0</v>
      </c>
      <c r="R394" s="29">
        <v>0</v>
      </c>
      <c r="S394" s="36">
        <v>0</v>
      </c>
      <c r="T394" s="7" t="s">
        <v>131</v>
      </c>
      <c r="U394" s="7" t="s">
        <v>1040</v>
      </c>
      <c r="V394" s="7" t="s">
        <v>1040</v>
      </c>
      <c r="W394" s="7" t="s">
        <v>1177</v>
      </c>
      <c r="X394" s="30">
        <v>1</v>
      </c>
      <c r="Y394" s="7" t="s">
        <v>1177</v>
      </c>
      <c r="Z394" s="7" t="s">
        <v>1178</v>
      </c>
      <c r="AA394" s="30">
        <v>0</v>
      </c>
      <c r="AB394" s="36">
        <v>0</v>
      </c>
      <c r="AC394" s="7" t="s">
        <v>1177</v>
      </c>
      <c r="AD394" s="37">
        <v>0</v>
      </c>
      <c r="AE394" s="7" t="s">
        <v>1177</v>
      </c>
      <c r="AF394" s="7" t="s">
        <v>1177</v>
      </c>
      <c r="AG394" s="7" t="s">
        <v>1177</v>
      </c>
      <c r="AH394" s="38"/>
      <c r="AI394" s="36">
        <v>0</v>
      </c>
      <c r="AJ394" s="7" t="s">
        <v>1193</v>
      </c>
      <c r="AK394" s="7" t="s">
        <v>1177</v>
      </c>
      <c r="AL394" s="7" t="s">
        <v>1177</v>
      </c>
      <c r="AM394" s="7" t="s">
        <v>1177</v>
      </c>
      <c r="AN394" s="7" t="s">
        <v>3212</v>
      </c>
      <c r="AO394" s="7" t="s">
        <v>1177</v>
      </c>
      <c r="AP394" s="7" t="s">
        <v>1177</v>
      </c>
      <c r="AQ394" s="7" t="s">
        <v>1177</v>
      </c>
      <c r="AR394" s="29">
        <v>0</v>
      </c>
      <c r="AS394" s="7" t="s">
        <v>1177</v>
      </c>
      <c r="AT394" s="7" t="s">
        <v>1363</v>
      </c>
      <c r="AU394" s="38">
        <v>46275</v>
      </c>
      <c r="AV394" s="39">
        <v>0.60550925925926002</v>
      </c>
    </row>
    <row r="395" spans="1:48" x14ac:dyDescent="0.35">
      <c r="A395" t="str">
        <f t="shared" si="6"/>
        <v>GP007637B867</v>
      </c>
      <c r="B395" s="7" t="s">
        <v>355</v>
      </c>
      <c r="C395" s="7" t="s">
        <v>1059</v>
      </c>
      <c r="D395" s="7" t="s">
        <v>25</v>
      </c>
      <c r="E395" s="7" t="s">
        <v>1177</v>
      </c>
      <c r="F395" s="7" t="s">
        <v>128</v>
      </c>
      <c r="G395" s="7" t="s">
        <v>130</v>
      </c>
      <c r="H395" s="7" t="s">
        <v>129</v>
      </c>
      <c r="I395" s="30">
        <v>2</v>
      </c>
      <c r="J395" s="7" t="s">
        <v>1177</v>
      </c>
      <c r="K395" s="7" t="s">
        <v>1178</v>
      </c>
      <c r="L395" s="7" t="s">
        <v>132</v>
      </c>
      <c r="M395" s="7" t="s">
        <v>133</v>
      </c>
      <c r="N395" s="30">
        <v>0</v>
      </c>
      <c r="O395" s="30">
        <v>0</v>
      </c>
      <c r="P395" s="30">
        <v>0</v>
      </c>
      <c r="Q395" s="30">
        <v>0</v>
      </c>
      <c r="R395" s="29">
        <v>0</v>
      </c>
      <c r="S395" s="36">
        <v>0</v>
      </c>
      <c r="T395" s="7" t="s">
        <v>131</v>
      </c>
      <c r="U395" s="7" t="s">
        <v>1060</v>
      </c>
      <c r="V395" s="7" t="s">
        <v>1060</v>
      </c>
      <c r="W395" s="7" t="s">
        <v>1177</v>
      </c>
      <c r="X395" s="30">
        <v>1</v>
      </c>
      <c r="Y395" s="7" t="s">
        <v>1177</v>
      </c>
      <c r="Z395" s="7" t="s">
        <v>1178</v>
      </c>
      <c r="AA395" s="30">
        <v>0</v>
      </c>
      <c r="AB395" s="36">
        <v>0</v>
      </c>
      <c r="AC395" s="7" t="s">
        <v>1177</v>
      </c>
      <c r="AD395" s="37">
        <v>0</v>
      </c>
      <c r="AE395" s="7" t="s">
        <v>1177</v>
      </c>
      <c r="AF395" s="7" t="s">
        <v>1177</v>
      </c>
      <c r="AG395" s="7" t="s">
        <v>1177</v>
      </c>
      <c r="AH395" s="38"/>
      <c r="AI395" s="36">
        <v>0</v>
      </c>
      <c r="AJ395" s="7" t="s">
        <v>1193</v>
      </c>
      <c r="AK395" s="7" t="s">
        <v>1177</v>
      </c>
      <c r="AL395" s="7" t="s">
        <v>1177</v>
      </c>
      <c r="AM395" s="7" t="s">
        <v>1177</v>
      </c>
      <c r="AN395" s="7" t="s">
        <v>3212</v>
      </c>
      <c r="AO395" s="7" t="s">
        <v>1177</v>
      </c>
      <c r="AP395" s="7" t="s">
        <v>1177</v>
      </c>
      <c r="AQ395" s="7" t="s">
        <v>1177</v>
      </c>
      <c r="AR395" s="29">
        <v>0</v>
      </c>
      <c r="AS395" s="7" t="s">
        <v>1177</v>
      </c>
      <c r="AT395" s="7" t="s">
        <v>1363</v>
      </c>
      <c r="AU395" s="38">
        <v>46275</v>
      </c>
      <c r="AV395" s="39">
        <v>0.60568287037037005</v>
      </c>
    </row>
    <row r="396" spans="1:48" x14ac:dyDescent="0.35">
      <c r="A396" t="str">
        <f t="shared" si="6"/>
        <v>GP007640B825</v>
      </c>
      <c r="B396" s="7" t="s">
        <v>309</v>
      </c>
      <c r="C396" s="7" t="s">
        <v>511</v>
      </c>
      <c r="D396" s="7" t="s">
        <v>16</v>
      </c>
      <c r="E396" s="7" t="s">
        <v>1177</v>
      </c>
      <c r="F396" s="7" t="s">
        <v>128</v>
      </c>
      <c r="G396" s="7" t="s">
        <v>130</v>
      </c>
      <c r="H396" s="7" t="s">
        <v>129</v>
      </c>
      <c r="I396" s="30">
        <v>2</v>
      </c>
      <c r="J396" s="7" t="s">
        <v>1177</v>
      </c>
      <c r="K396" s="7" t="s">
        <v>1178</v>
      </c>
      <c r="L396" s="7" t="s">
        <v>132</v>
      </c>
      <c r="M396" s="7" t="s">
        <v>133</v>
      </c>
      <c r="N396" s="30">
        <v>0</v>
      </c>
      <c r="O396" s="30">
        <v>0</v>
      </c>
      <c r="P396" s="30">
        <v>0</v>
      </c>
      <c r="Q396" s="30">
        <v>0</v>
      </c>
      <c r="R396" s="29">
        <v>0</v>
      </c>
      <c r="S396" s="36">
        <v>0</v>
      </c>
      <c r="T396" s="7" t="s">
        <v>131</v>
      </c>
      <c r="U396" s="7" t="s">
        <v>512</v>
      </c>
      <c r="V396" s="7" t="s">
        <v>512</v>
      </c>
      <c r="W396" s="7" t="s">
        <v>1177</v>
      </c>
      <c r="X396" s="30">
        <v>1</v>
      </c>
      <c r="Y396" s="7" t="s">
        <v>1177</v>
      </c>
      <c r="Z396" s="7" t="s">
        <v>1178</v>
      </c>
      <c r="AA396" s="30">
        <v>0</v>
      </c>
      <c r="AB396" s="36">
        <v>0</v>
      </c>
      <c r="AC396" s="7" t="s">
        <v>1177</v>
      </c>
      <c r="AD396" s="37">
        <v>0</v>
      </c>
      <c r="AE396" s="7" t="s">
        <v>1177</v>
      </c>
      <c r="AF396" s="7" t="s">
        <v>1177</v>
      </c>
      <c r="AG396" s="7" t="s">
        <v>1177</v>
      </c>
      <c r="AH396" s="38"/>
      <c r="AI396" s="36">
        <v>0</v>
      </c>
      <c r="AJ396" s="7" t="s">
        <v>1193</v>
      </c>
      <c r="AK396" s="7" t="s">
        <v>1177</v>
      </c>
      <c r="AL396" s="7" t="s">
        <v>1177</v>
      </c>
      <c r="AM396" s="7" t="s">
        <v>1177</v>
      </c>
      <c r="AN396" s="7" t="s">
        <v>3212</v>
      </c>
      <c r="AO396" s="7" t="s">
        <v>1177</v>
      </c>
      <c r="AP396" s="7" t="s">
        <v>1177</v>
      </c>
      <c r="AQ396" s="7" t="s">
        <v>1177</v>
      </c>
      <c r="AR396" s="29">
        <v>0</v>
      </c>
      <c r="AS396" s="7" t="s">
        <v>1177</v>
      </c>
      <c r="AT396" s="7" t="s">
        <v>1363</v>
      </c>
      <c r="AU396" s="38">
        <v>46275</v>
      </c>
      <c r="AV396" s="39">
        <v>0.60350694444443997</v>
      </c>
    </row>
    <row r="397" spans="1:48" x14ac:dyDescent="0.35">
      <c r="A397" t="str">
        <f t="shared" si="6"/>
        <v>GP007640B832</v>
      </c>
      <c r="B397" s="7" t="s">
        <v>309</v>
      </c>
      <c r="C397" s="7" t="s">
        <v>653</v>
      </c>
      <c r="D397" s="7" t="s">
        <v>19</v>
      </c>
      <c r="E397" s="7" t="s">
        <v>1177</v>
      </c>
      <c r="F397" s="7" t="s">
        <v>128</v>
      </c>
      <c r="G397" s="7" t="s">
        <v>130</v>
      </c>
      <c r="H397" s="7" t="s">
        <v>129</v>
      </c>
      <c r="I397" s="30">
        <v>2</v>
      </c>
      <c r="J397" s="7" t="s">
        <v>1177</v>
      </c>
      <c r="K397" s="7" t="s">
        <v>1178</v>
      </c>
      <c r="L397" s="7" t="s">
        <v>132</v>
      </c>
      <c r="M397" s="7" t="s">
        <v>133</v>
      </c>
      <c r="N397" s="30">
        <v>0</v>
      </c>
      <c r="O397" s="30">
        <v>0</v>
      </c>
      <c r="P397" s="30">
        <v>0</v>
      </c>
      <c r="Q397" s="30">
        <v>0</v>
      </c>
      <c r="R397" s="29">
        <v>0</v>
      </c>
      <c r="S397" s="36">
        <v>0</v>
      </c>
      <c r="T397" s="7" t="s">
        <v>131</v>
      </c>
      <c r="U397" s="7" t="s">
        <v>654</v>
      </c>
      <c r="V397" s="7" t="s">
        <v>654</v>
      </c>
      <c r="W397" s="7" t="s">
        <v>1177</v>
      </c>
      <c r="X397" s="30">
        <v>1</v>
      </c>
      <c r="Y397" s="7" t="s">
        <v>1177</v>
      </c>
      <c r="Z397" s="7" t="s">
        <v>1178</v>
      </c>
      <c r="AA397" s="30">
        <v>0</v>
      </c>
      <c r="AB397" s="36">
        <v>0</v>
      </c>
      <c r="AC397" s="7" t="s">
        <v>1177</v>
      </c>
      <c r="AD397" s="37">
        <v>0</v>
      </c>
      <c r="AE397" s="7" t="s">
        <v>1177</v>
      </c>
      <c r="AF397" s="7" t="s">
        <v>1177</v>
      </c>
      <c r="AG397" s="7" t="s">
        <v>1177</v>
      </c>
      <c r="AH397" s="38"/>
      <c r="AI397" s="36">
        <v>0</v>
      </c>
      <c r="AJ397" s="7" t="s">
        <v>1193</v>
      </c>
      <c r="AK397" s="7" t="s">
        <v>1177</v>
      </c>
      <c r="AL397" s="7" t="s">
        <v>1177</v>
      </c>
      <c r="AM397" s="7" t="s">
        <v>1177</v>
      </c>
      <c r="AN397" s="7" t="s">
        <v>3212</v>
      </c>
      <c r="AO397" s="7" t="s">
        <v>1177</v>
      </c>
      <c r="AP397" s="7" t="s">
        <v>1177</v>
      </c>
      <c r="AQ397" s="7" t="s">
        <v>1177</v>
      </c>
      <c r="AR397" s="29">
        <v>0</v>
      </c>
      <c r="AS397" s="7" t="s">
        <v>1177</v>
      </c>
      <c r="AT397" s="7" t="s">
        <v>1363</v>
      </c>
      <c r="AU397" s="38">
        <v>46275</v>
      </c>
      <c r="AV397" s="39">
        <v>0.60394675925926</v>
      </c>
    </row>
    <row r="398" spans="1:48" x14ac:dyDescent="0.35">
      <c r="A398" t="str">
        <f t="shared" si="6"/>
        <v>GP007640B833</v>
      </c>
      <c r="B398" s="7" t="s">
        <v>309</v>
      </c>
      <c r="C398" s="7" t="s">
        <v>698</v>
      </c>
      <c r="D398" s="7" t="s">
        <v>697</v>
      </c>
      <c r="E398" s="7" t="s">
        <v>1177</v>
      </c>
      <c r="F398" s="7" t="s">
        <v>128</v>
      </c>
      <c r="G398" s="7" t="s">
        <v>130</v>
      </c>
      <c r="H398" s="7" t="s">
        <v>129</v>
      </c>
      <c r="I398" s="30">
        <v>2</v>
      </c>
      <c r="J398" s="7" t="s">
        <v>1177</v>
      </c>
      <c r="K398" s="7" t="s">
        <v>1178</v>
      </c>
      <c r="L398" s="7" t="s">
        <v>132</v>
      </c>
      <c r="M398" s="7" t="s">
        <v>133</v>
      </c>
      <c r="N398" s="30">
        <v>0</v>
      </c>
      <c r="O398" s="30">
        <v>0</v>
      </c>
      <c r="P398" s="30">
        <v>0</v>
      </c>
      <c r="Q398" s="30">
        <v>0</v>
      </c>
      <c r="R398" s="29">
        <v>0</v>
      </c>
      <c r="S398" s="36">
        <v>0</v>
      </c>
      <c r="T398" s="7" t="s">
        <v>131</v>
      </c>
      <c r="U398" s="7" t="s">
        <v>699</v>
      </c>
      <c r="V398" s="7" t="s">
        <v>699</v>
      </c>
      <c r="W398" s="7" t="s">
        <v>1177</v>
      </c>
      <c r="X398" s="30">
        <v>1</v>
      </c>
      <c r="Y398" s="7" t="s">
        <v>1177</v>
      </c>
      <c r="Z398" s="7" t="s">
        <v>1178</v>
      </c>
      <c r="AA398" s="30">
        <v>0</v>
      </c>
      <c r="AB398" s="36">
        <v>0</v>
      </c>
      <c r="AC398" s="7" t="s">
        <v>1177</v>
      </c>
      <c r="AD398" s="37">
        <v>0</v>
      </c>
      <c r="AE398" s="7" t="s">
        <v>1177</v>
      </c>
      <c r="AF398" s="7" t="s">
        <v>1177</v>
      </c>
      <c r="AG398" s="7" t="s">
        <v>1177</v>
      </c>
      <c r="AH398" s="38"/>
      <c r="AI398" s="36">
        <v>0</v>
      </c>
      <c r="AJ398" s="7" t="s">
        <v>1193</v>
      </c>
      <c r="AK398" s="7" t="s">
        <v>1177</v>
      </c>
      <c r="AL398" s="7" t="s">
        <v>1177</v>
      </c>
      <c r="AM398" s="7" t="s">
        <v>1177</v>
      </c>
      <c r="AN398" s="7" t="s">
        <v>3212</v>
      </c>
      <c r="AO398" s="7" t="s">
        <v>1177</v>
      </c>
      <c r="AP398" s="7" t="s">
        <v>1177</v>
      </c>
      <c r="AQ398" s="7" t="s">
        <v>1177</v>
      </c>
      <c r="AR398" s="29">
        <v>0</v>
      </c>
      <c r="AS398" s="7" t="s">
        <v>1177</v>
      </c>
      <c r="AT398" s="7" t="s">
        <v>1363</v>
      </c>
      <c r="AU398" s="38">
        <v>46275</v>
      </c>
      <c r="AV398" s="39">
        <v>0.60396990740740997</v>
      </c>
    </row>
    <row r="399" spans="1:48" x14ac:dyDescent="0.35">
      <c r="A399" t="str">
        <f t="shared" si="6"/>
        <v>GP007674B857</v>
      </c>
      <c r="B399" s="7" t="s">
        <v>963</v>
      </c>
      <c r="C399" s="7" t="s">
        <v>958</v>
      </c>
      <c r="D399" s="7" t="s">
        <v>23</v>
      </c>
      <c r="E399" s="7" t="s">
        <v>1177</v>
      </c>
      <c r="F399" s="7" t="s">
        <v>128</v>
      </c>
      <c r="G399" s="7" t="s">
        <v>130</v>
      </c>
      <c r="H399" s="7" t="s">
        <v>129</v>
      </c>
      <c r="I399" s="30">
        <v>1</v>
      </c>
      <c r="J399" s="7" t="s">
        <v>1177</v>
      </c>
      <c r="K399" s="7" t="s">
        <v>1178</v>
      </c>
      <c r="L399" s="7" t="s">
        <v>132</v>
      </c>
      <c r="M399" s="7" t="s">
        <v>133</v>
      </c>
      <c r="N399" s="30">
        <v>0</v>
      </c>
      <c r="O399" s="30">
        <v>0</v>
      </c>
      <c r="P399" s="30">
        <v>0</v>
      </c>
      <c r="Q399" s="30">
        <v>0</v>
      </c>
      <c r="R399" s="29">
        <v>0</v>
      </c>
      <c r="S399" s="36">
        <v>0</v>
      </c>
      <c r="T399" s="7" t="s">
        <v>131</v>
      </c>
      <c r="U399" s="7" t="s">
        <v>959</v>
      </c>
      <c r="V399" s="7" t="s">
        <v>959</v>
      </c>
      <c r="W399" s="7" t="s">
        <v>1177</v>
      </c>
      <c r="X399" s="30">
        <v>1</v>
      </c>
      <c r="Y399" s="7" t="s">
        <v>1177</v>
      </c>
      <c r="Z399" s="7" t="s">
        <v>1178</v>
      </c>
      <c r="AA399" s="30">
        <v>0</v>
      </c>
      <c r="AB399" s="36">
        <v>0</v>
      </c>
      <c r="AC399" s="7" t="s">
        <v>1177</v>
      </c>
      <c r="AD399" s="37">
        <v>0</v>
      </c>
      <c r="AE399" s="7" t="s">
        <v>1177</v>
      </c>
      <c r="AF399" s="7" t="s">
        <v>1177</v>
      </c>
      <c r="AG399" s="7" t="s">
        <v>1177</v>
      </c>
      <c r="AH399" s="38"/>
      <c r="AI399" s="36">
        <v>0</v>
      </c>
      <c r="AJ399" s="7" t="s">
        <v>1193</v>
      </c>
      <c r="AK399" s="7" t="s">
        <v>1177</v>
      </c>
      <c r="AL399" s="7" t="s">
        <v>1177</v>
      </c>
      <c r="AM399" s="7" t="s">
        <v>1177</v>
      </c>
      <c r="AN399" s="7" t="s">
        <v>3212</v>
      </c>
      <c r="AO399" s="7" t="s">
        <v>1177</v>
      </c>
      <c r="AP399" s="7" t="s">
        <v>1177</v>
      </c>
      <c r="AQ399" s="7" t="s">
        <v>1177</v>
      </c>
      <c r="AR399" s="29">
        <v>0</v>
      </c>
      <c r="AS399" s="7" t="s">
        <v>1177</v>
      </c>
      <c r="AT399" s="7" t="s">
        <v>1363</v>
      </c>
      <c r="AU399" s="38">
        <v>46275</v>
      </c>
      <c r="AV399" s="39">
        <v>0.62495370370369996</v>
      </c>
    </row>
    <row r="400" spans="1:48" x14ac:dyDescent="0.35">
      <c r="A400" t="str">
        <f t="shared" si="6"/>
        <v>GP007684B838</v>
      </c>
      <c r="B400" s="7" t="s">
        <v>483</v>
      </c>
      <c r="C400" s="7" t="s">
        <v>744</v>
      </c>
      <c r="D400" s="7" t="s">
        <v>48</v>
      </c>
      <c r="E400" s="7" t="s">
        <v>1177</v>
      </c>
      <c r="F400" s="7" t="s">
        <v>128</v>
      </c>
      <c r="G400" s="7" t="s">
        <v>130</v>
      </c>
      <c r="H400" s="7" t="s">
        <v>129</v>
      </c>
      <c r="I400" s="30">
        <v>1</v>
      </c>
      <c r="J400" s="7" t="s">
        <v>1177</v>
      </c>
      <c r="K400" s="7" t="s">
        <v>1178</v>
      </c>
      <c r="L400" s="7" t="s">
        <v>132</v>
      </c>
      <c r="M400" s="7" t="s">
        <v>133</v>
      </c>
      <c r="N400" s="30">
        <v>0</v>
      </c>
      <c r="O400" s="30">
        <v>0</v>
      </c>
      <c r="P400" s="30">
        <v>0</v>
      </c>
      <c r="Q400" s="30">
        <v>0</v>
      </c>
      <c r="R400" s="29">
        <v>0</v>
      </c>
      <c r="S400" s="36">
        <v>0</v>
      </c>
      <c r="T400" s="7" t="s">
        <v>131</v>
      </c>
      <c r="U400" s="7" t="s">
        <v>745</v>
      </c>
      <c r="V400" s="7" t="s">
        <v>745</v>
      </c>
      <c r="W400" s="7" t="s">
        <v>1177</v>
      </c>
      <c r="X400" s="30">
        <v>1</v>
      </c>
      <c r="Y400" s="7" t="s">
        <v>1177</v>
      </c>
      <c r="Z400" s="7" t="s">
        <v>1178</v>
      </c>
      <c r="AA400" s="30">
        <v>0</v>
      </c>
      <c r="AB400" s="36">
        <v>0</v>
      </c>
      <c r="AC400" s="7" t="s">
        <v>1177</v>
      </c>
      <c r="AD400" s="37">
        <v>0</v>
      </c>
      <c r="AE400" s="7" t="s">
        <v>1177</v>
      </c>
      <c r="AF400" s="7" t="s">
        <v>1177</v>
      </c>
      <c r="AG400" s="7" t="s">
        <v>1177</v>
      </c>
      <c r="AH400" s="38"/>
      <c r="AI400" s="36">
        <v>0</v>
      </c>
      <c r="AJ400" s="7" t="s">
        <v>1193</v>
      </c>
      <c r="AK400" s="7" t="s">
        <v>1177</v>
      </c>
      <c r="AL400" s="7" t="s">
        <v>1177</v>
      </c>
      <c r="AM400" s="7" t="s">
        <v>1177</v>
      </c>
      <c r="AN400" s="7" t="s">
        <v>3212</v>
      </c>
      <c r="AO400" s="7" t="s">
        <v>1177</v>
      </c>
      <c r="AP400" s="7" t="s">
        <v>1177</v>
      </c>
      <c r="AQ400" s="7" t="s">
        <v>1177</v>
      </c>
      <c r="AR400" s="29">
        <v>0</v>
      </c>
      <c r="AS400" s="7" t="s">
        <v>1177</v>
      </c>
      <c r="AT400" s="7" t="s">
        <v>1363</v>
      </c>
      <c r="AU400" s="38">
        <v>46275</v>
      </c>
      <c r="AV400" s="39">
        <v>0.62416666666666998</v>
      </c>
    </row>
    <row r="401" spans="1:48" x14ac:dyDescent="0.35">
      <c r="A401" t="str">
        <f t="shared" si="6"/>
        <v>GP007684B857</v>
      </c>
      <c r="B401" s="7" t="s">
        <v>483</v>
      </c>
      <c r="C401" s="7" t="s">
        <v>958</v>
      </c>
      <c r="D401" s="7" t="s">
        <v>23</v>
      </c>
      <c r="E401" s="7" t="s">
        <v>1177</v>
      </c>
      <c r="F401" s="7" t="s">
        <v>128</v>
      </c>
      <c r="G401" s="7" t="s">
        <v>130</v>
      </c>
      <c r="H401" s="7" t="s">
        <v>129</v>
      </c>
      <c r="I401" s="30">
        <v>1</v>
      </c>
      <c r="J401" s="7" t="s">
        <v>1177</v>
      </c>
      <c r="K401" s="7" t="s">
        <v>1178</v>
      </c>
      <c r="L401" s="7" t="s">
        <v>132</v>
      </c>
      <c r="M401" s="7" t="s">
        <v>133</v>
      </c>
      <c r="N401" s="30">
        <v>0</v>
      </c>
      <c r="O401" s="30">
        <v>0</v>
      </c>
      <c r="P401" s="30">
        <v>0</v>
      </c>
      <c r="Q401" s="30">
        <v>0</v>
      </c>
      <c r="R401" s="29">
        <v>0</v>
      </c>
      <c r="S401" s="36">
        <v>0</v>
      </c>
      <c r="T401" s="7" t="s">
        <v>131</v>
      </c>
      <c r="U401" s="7" t="s">
        <v>959</v>
      </c>
      <c r="V401" s="7" t="s">
        <v>959</v>
      </c>
      <c r="W401" s="7" t="s">
        <v>1177</v>
      </c>
      <c r="X401" s="30">
        <v>1</v>
      </c>
      <c r="Y401" s="7" t="s">
        <v>1177</v>
      </c>
      <c r="Z401" s="7" t="s">
        <v>1178</v>
      </c>
      <c r="AA401" s="30">
        <v>0</v>
      </c>
      <c r="AB401" s="36">
        <v>0</v>
      </c>
      <c r="AC401" s="7" t="s">
        <v>1177</v>
      </c>
      <c r="AD401" s="37">
        <v>0</v>
      </c>
      <c r="AE401" s="7" t="s">
        <v>1177</v>
      </c>
      <c r="AF401" s="7" t="s">
        <v>1177</v>
      </c>
      <c r="AG401" s="7" t="s">
        <v>1177</v>
      </c>
      <c r="AH401" s="38"/>
      <c r="AI401" s="36">
        <v>0</v>
      </c>
      <c r="AJ401" s="7" t="s">
        <v>1193</v>
      </c>
      <c r="AK401" s="7" t="s">
        <v>1177</v>
      </c>
      <c r="AL401" s="7" t="s">
        <v>1177</v>
      </c>
      <c r="AM401" s="7" t="s">
        <v>1177</v>
      </c>
      <c r="AN401" s="7" t="s">
        <v>3212</v>
      </c>
      <c r="AO401" s="7" t="s">
        <v>1177</v>
      </c>
      <c r="AP401" s="7" t="s">
        <v>1177</v>
      </c>
      <c r="AQ401" s="7" t="s">
        <v>1177</v>
      </c>
      <c r="AR401" s="29">
        <v>0</v>
      </c>
      <c r="AS401" s="7" t="s">
        <v>1177</v>
      </c>
      <c r="AT401" s="7" t="s">
        <v>1363</v>
      </c>
      <c r="AU401" s="38">
        <v>46275</v>
      </c>
      <c r="AV401" s="39">
        <v>0.62495370370369996</v>
      </c>
    </row>
    <row r="402" spans="1:48" x14ac:dyDescent="0.35">
      <c r="A402" t="str">
        <f t="shared" si="6"/>
        <v>GP007750B825</v>
      </c>
      <c r="B402" s="7" t="s">
        <v>520</v>
      </c>
      <c r="C402" s="7" t="s">
        <v>511</v>
      </c>
      <c r="D402" s="7" t="s">
        <v>16</v>
      </c>
      <c r="E402" s="7" t="s">
        <v>1177</v>
      </c>
      <c r="F402" s="7" t="s">
        <v>128</v>
      </c>
      <c r="G402" s="7" t="s">
        <v>130</v>
      </c>
      <c r="H402" s="7" t="s">
        <v>129</v>
      </c>
      <c r="I402" s="30">
        <v>2</v>
      </c>
      <c r="J402" s="7" t="s">
        <v>1177</v>
      </c>
      <c r="K402" s="7" t="s">
        <v>1178</v>
      </c>
      <c r="L402" s="7" t="s">
        <v>132</v>
      </c>
      <c r="M402" s="7" t="s">
        <v>133</v>
      </c>
      <c r="N402" s="30">
        <v>0</v>
      </c>
      <c r="O402" s="30">
        <v>0</v>
      </c>
      <c r="P402" s="30">
        <v>0</v>
      </c>
      <c r="Q402" s="30">
        <v>0</v>
      </c>
      <c r="R402" s="29">
        <v>0</v>
      </c>
      <c r="S402" s="36">
        <v>0</v>
      </c>
      <c r="T402" s="7" t="s">
        <v>131</v>
      </c>
      <c r="U402" s="7" t="s">
        <v>512</v>
      </c>
      <c r="V402" s="7" t="s">
        <v>512</v>
      </c>
      <c r="W402" s="7" t="s">
        <v>1177</v>
      </c>
      <c r="X402" s="30">
        <v>1</v>
      </c>
      <c r="Y402" s="7" t="s">
        <v>1177</v>
      </c>
      <c r="Z402" s="7" t="s">
        <v>1178</v>
      </c>
      <c r="AA402" s="30">
        <v>0</v>
      </c>
      <c r="AB402" s="36">
        <v>0</v>
      </c>
      <c r="AC402" s="7" t="s">
        <v>1177</v>
      </c>
      <c r="AD402" s="37">
        <v>0</v>
      </c>
      <c r="AE402" s="7" t="s">
        <v>1177</v>
      </c>
      <c r="AF402" s="7" t="s">
        <v>1177</v>
      </c>
      <c r="AG402" s="7" t="s">
        <v>1177</v>
      </c>
      <c r="AH402" s="38"/>
      <c r="AI402" s="36">
        <v>0</v>
      </c>
      <c r="AJ402" s="7" t="s">
        <v>1193</v>
      </c>
      <c r="AK402" s="7" t="s">
        <v>1177</v>
      </c>
      <c r="AL402" s="7" t="s">
        <v>1177</v>
      </c>
      <c r="AM402" s="7" t="s">
        <v>1177</v>
      </c>
      <c r="AN402" s="7" t="s">
        <v>3212</v>
      </c>
      <c r="AO402" s="7" t="s">
        <v>1177</v>
      </c>
      <c r="AP402" s="7" t="s">
        <v>1177</v>
      </c>
      <c r="AQ402" s="7" t="s">
        <v>1177</v>
      </c>
      <c r="AR402" s="29">
        <v>0</v>
      </c>
      <c r="AS402" s="7" t="s">
        <v>1177</v>
      </c>
      <c r="AT402" s="7" t="s">
        <v>1363</v>
      </c>
      <c r="AU402" s="38">
        <v>46275</v>
      </c>
      <c r="AV402" s="39">
        <v>0.62302083333333003</v>
      </c>
    </row>
    <row r="403" spans="1:48" x14ac:dyDescent="0.35">
      <c r="A403" t="str">
        <f t="shared" si="6"/>
        <v>GP007878B856</v>
      </c>
      <c r="B403" s="7" t="s">
        <v>627</v>
      </c>
      <c r="C403" s="7" t="s">
        <v>852</v>
      </c>
      <c r="D403" s="7" t="s">
        <v>21</v>
      </c>
      <c r="E403" s="7" t="s">
        <v>1177</v>
      </c>
      <c r="F403" s="7" t="s">
        <v>128</v>
      </c>
      <c r="G403" s="7" t="s">
        <v>130</v>
      </c>
      <c r="H403" s="7" t="s">
        <v>129</v>
      </c>
      <c r="I403" s="30">
        <v>1</v>
      </c>
      <c r="J403" s="7" t="s">
        <v>1177</v>
      </c>
      <c r="K403" s="7" t="s">
        <v>1178</v>
      </c>
      <c r="L403" s="7" t="s">
        <v>132</v>
      </c>
      <c r="M403" s="7" t="s">
        <v>133</v>
      </c>
      <c r="N403" s="30">
        <v>0</v>
      </c>
      <c r="O403" s="30">
        <v>0</v>
      </c>
      <c r="P403" s="30">
        <v>0</v>
      </c>
      <c r="Q403" s="30">
        <v>0</v>
      </c>
      <c r="R403" s="29">
        <v>0</v>
      </c>
      <c r="S403" s="36">
        <v>0</v>
      </c>
      <c r="T403" s="7" t="s">
        <v>131</v>
      </c>
      <c r="U403" s="7" t="s">
        <v>853</v>
      </c>
      <c r="V403" s="7" t="s">
        <v>853</v>
      </c>
      <c r="W403" s="7" t="s">
        <v>1177</v>
      </c>
      <c r="X403" s="30">
        <v>1</v>
      </c>
      <c r="Y403" s="7" t="s">
        <v>1177</v>
      </c>
      <c r="Z403" s="7" t="s">
        <v>1178</v>
      </c>
      <c r="AA403" s="30">
        <v>0</v>
      </c>
      <c r="AB403" s="36">
        <v>0</v>
      </c>
      <c r="AC403" s="7" t="s">
        <v>1177</v>
      </c>
      <c r="AD403" s="37">
        <v>0</v>
      </c>
      <c r="AE403" s="7" t="s">
        <v>1177</v>
      </c>
      <c r="AF403" s="7" t="s">
        <v>1177</v>
      </c>
      <c r="AG403" s="7" t="s">
        <v>1177</v>
      </c>
      <c r="AH403" s="38"/>
      <c r="AI403" s="36">
        <v>0</v>
      </c>
      <c r="AJ403" s="7" t="s">
        <v>1193</v>
      </c>
      <c r="AK403" s="7" t="s">
        <v>1177</v>
      </c>
      <c r="AL403" s="7" t="s">
        <v>1177</v>
      </c>
      <c r="AM403" s="7" t="s">
        <v>1177</v>
      </c>
      <c r="AN403" s="7" t="s">
        <v>3212</v>
      </c>
      <c r="AO403" s="7" t="s">
        <v>1177</v>
      </c>
      <c r="AP403" s="7" t="s">
        <v>1177</v>
      </c>
      <c r="AQ403" s="7" t="s">
        <v>1177</v>
      </c>
      <c r="AR403" s="29">
        <v>0</v>
      </c>
      <c r="AS403" s="7" t="s">
        <v>1177</v>
      </c>
      <c r="AT403" s="7" t="s">
        <v>1363</v>
      </c>
      <c r="AU403" s="38">
        <v>46275</v>
      </c>
      <c r="AV403" s="39">
        <v>0.62490740740741002</v>
      </c>
    </row>
    <row r="404" spans="1:48" x14ac:dyDescent="0.35">
      <c r="A404" t="str">
        <f t="shared" si="6"/>
        <v>GP007878B857</v>
      </c>
      <c r="B404" s="7" t="s">
        <v>627</v>
      </c>
      <c r="C404" s="7" t="s">
        <v>958</v>
      </c>
      <c r="D404" s="7" t="s">
        <v>23</v>
      </c>
      <c r="E404" s="7" t="s">
        <v>1177</v>
      </c>
      <c r="F404" s="7" t="s">
        <v>128</v>
      </c>
      <c r="G404" s="7" t="s">
        <v>130</v>
      </c>
      <c r="H404" s="7" t="s">
        <v>129</v>
      </c>
      <c r="I404" s="30">
        <v>1</v>
      </c>
      <c r="J404" s="7" t="s">
        <v>1177</v>
      </c>
      <c r="K404" s="7" t="s">
        <v>1178</v>
      </c>
      <c r="L404" s="7" t="s">
        <v>132</v>
      </c>
      <c r="M404" s="7" t="s">
        <v>133</v>
      </c>
      <c r="N404" s="30">
        <v>0</v>
      </c>
      <c r="O404" s="30">
        <v>0</v>
      </c>
      <c r="P404" s="30">
        <v>0</v>
      </c>
      <c r="Q404" s="30">
        <v>0</v>
      </c>
      <c r="R404" s="29">
        <v>0</v>
      </c>
      <c r="S404" s="36">
        <v>0</v>
      </c>
      <c r="T404" s="7" t="s">
        <v>131</v>
      </c>
      <c r="U404" s="7" t="s">
        <v>959</v>
      </c>
      <c r="V404" s="7" t="s">
        <v>959</v>
      </c>
      <c r="W404" s="7" t="s">
        <v>1177</v>
      </c>
      <c r="X404" s="30">
        <v>1</v>
      </c>
      <c r="Y404" s="7" t="s">
        <v>1177</v>
      </c>
      <c r="Z404" s="7" t="s">
        <v>1178</v>
      </c>
      <c r="AA404" s="30">
        <v>0</v>
      </c>
      <c r="AB404" s="36">
        <v>0</v>
      </c>
      <c r="AC404" s="7" t="s">
        <v>1177</v>
      </c>
      <c r="AD404" s="37">
        <v>0</v>
      </c>
      <c r="AE404" s="7" t="s">
        <v>1177</v>
      </c>
      <c r="AF404" s="7" t="s">
        <v>1177</v>
      </c>
      <c r="AG404" s="7" t="s">
        <v>1177</v>
      </c>
      <c r="AH404" s="38"/>
      <c r="AI404" s="36">
        <v>0</v>
      </c>
      <c r="AJ404" s="7" t="s">
        <v>1193</v>
      </c>
      <c r="AK404" s="7" t="s">
        <v>1177</v>
      </c>
      <c r="AL404" s="7" t="s">
        <v>1177</v>
      </c>
      <c r="AM404" s="7" t="s">
        <v>1177</v>
      </c>
      <c r="AN404" s="7" t="s">
        <v>3212</v>
      </c>
      <c r="AO404" s="7" t="s">
        <v>1177</v>
      </c>
      <c r="AP404" s="7" t="s">
        <v>1177</v>
      </c>
      <c r="AQ404" s="7" t="s">
        <v>1177</v>
      </c>
      <c r="AR404" s="29">
        <v>0</v>
      </c>
      <c r="AS404" s="7" t="s">
        <v>1177</v>
      </c>
      <c r="AT404" s="7" t="s">
        <v>1363</v>
      </c>
      <c r="AU404" s="38">
        <v>46275</v>
      </c>
      <c r="AV404" s="39">
        <v>0.62495370370369996</v>
      </c>
    </row>
    <row r="405" spans="1:48" x14ac:dyDescent="0.35">
      <c r="A405" t="str">
        <f t="shared" si="6"/>
        <v>GP007878B864</v>
      </c>
      <c r="B405" s="7" t="s">
        <v>627</v>
      </c>
      <c r="C405" s="7" t="s">
        <v>1010</v>
      </c>
      <c r="D405" s="7" t="s">
        <v>10</v>
      </c>
      <c r="E405" s="7" t="s">
        <v>1177</v>
      </c>
      <c r="F405" s="7" t="s">
        <v>128</v>
      </c>
      <c r="G405" s="7" t="s">
        <v>130</v>
      </c>
      <c r="H405" s="7" t="s">
        <v>129</v>
      </c>
      <c r="I405" s="30">
        <v>2</v>
      </c>
      <c r="J405" s="7" t="s">
        <v>1177</v>
      </c>
      <c r="K405" s="7" t="s">
        <v>1178</v>
      </c>
      <c r="L405" s="7" t="s">
        <v>132</v>
      </c>
      <c r="M405" s="7" t="s">
        <v>133</v>
      </c>
      <c r="N405" s="30">
        <v>0</v>
      </c>
      <c r="O405" s="30">
        <v>0</v>
      </c>
      <c r="P405" s="30">
        <v>0</v>
      </c>
      <c r="Q405" s="30">
        <v>0</v>
      </c>
      <c r="R405" s="29">
        <v>0</v>
      </c>
      <c r="S405" s="36">
        <v>0</v>
      </c>
      <c r="T405" s="7" t="s">
        <v>131</v>
      </c>
      <c r="U405" s="7" t="s">
        <v>1011</v>
      </c>
      <c r="V405" s="7" t="s">
        <v>1011</v>
      </c>
      <c r="W405" s="7" t="s">
        <v>1177</v>
      </c>
      <c r="X405" s="30">
        <v>1</v>
      </c>
      <c r="Y405" s="7" t="s">
        <v>1177</v>
      </c>
      <c r="Z405" s="7" t="s">
        <v>1178</v>
      </c>
      <c r="AA405" s="30">
        <v>0</v>
      </c>
      <c r="AB405" s="36">
        <v>0</v>
      </c>
      <c r="AC405" s="7" t="s">
        <v>1177</v>
      </c>
      <c r="AD405" s="37">
        <v>0</v>
      </c>
      <c r="AE405" s="7" t="s">
        <v>1177</v>
      </c>
      <c r="AF405" s="7" t="s">
        <v>1177</v>
      </c>
      <c r="AG405" s="7" t="s">
        <v>1177</v>
      </c>
      <c r="AH405" s="38"/>
      <c r="AI405" s="36">
        <v>0</v>
      </c>
      <c r="AJ405" s="7" t="s">
        <v>1193</v>
      </c>
      <c r="AK405" s="7" t="s">
        <v>1177</v>
      </c>
      <c r="AL405" s="7" t="s">
        <v>1177</v>
      </c>
      <c r="AM405" s="7" t="s">
        <v>1177</v>
      </c>
      <c r="AN405" s="7" t="s">
        <v>3212</v>
      </c>
      <c r="AO405" s="7" t="s">
        <v>1177</v>
      </c>
      <c r="AP405" s="7" t="s">
        <v>1177</v>
      </c>
      <c r="AQ405" s="7" t="s">
        <v>1177</v>
      </c>
      <c r="AR405" s="29">
        <v>0</v>
      </c>
      <c r="AS405" s="7" t="s">
        <v>1177</v>
      </c>
      <c r="AT405" s="7" t="s">
        <v>1363</v>
      </c>
      <c r="AU405" s="38">
        <v>46275</v>
      </c>
      <c r="AV405" s="39">
        <v>0.62651620370369998</v>
      </c>
    </row>
    <row r="406" spans="1:48" x14ac:dyDescent="0.35">
      <c r="A406" t="str">
        <f t="shared" si="6"/>
        <v>GP007891B857</v>
      </c>
      <c r="B406" s="7" t="s">
        <v>964</v>
      </c>
      <c r="C406" s="7" t="s">
        <v>958</v>
      </c>
      <c r="D406" s="7" t="s">
        <v>23</v>
      </c>
      <c r="E406" s="7" t="s">
        <v>1177</v>
      </c>
      <c r="F406" s="7" t="s">
        <v>128</v>
      </c>
      <c r="G406" s="7" t="s">
        <v>130</v>
      </c>
      <c r="H406" s="7" t="s">
        <v>129</v>
      </c>
      <c r="I406" s="30">
        <v>2</v>
      </c>
      <c r="J406" s="7" t="s">
        <v>1177</v>
      </c>
      <c r="K406" s="7" t="s">
        <v>1178</v>
      </c>
      <c r="L406" s="7" t="s">
        <v>132</v>
      </c>
      <c r="M406" s="7" t="s">
        <v>133</v>
      </c>
      <c r="N406" s="30">
        <v>0</v>
      </c>
      <c r="O406" s="30">
        <v>0</v>
      </c>
      <c r="P406" s="30">
        <v>0</v>
      </c>
      <c r="Q406" s="30">
        <v>0</v>
      </c>
      <c r="R406" s="29">
        <v>0</v>
      </c>
      <c r="S406" s="36">
        <v>0</v>
      </c>
      <c r="T406" s="7" t="s">
        <v>131</v>
      </c>
      <c r="U406" s="7" t="s">
        <v>959</v>
      </c>
      <c r="V406" s="7" t="s">
        <v>959</v>
      </c>
      <c r="W406" s="7" t="s">
        <v>1177</v>
      </c>
      <c r="X406" s="30">
        <v>1</v>
      </c>
      <c r="Y406" s="7" t="s">
        <v>1177</v>
      </c>
      <c r="Z406" s="7" t="s">
        <v>1178</v>
      </c>
      <c r="AA406" s="30">
        <v>0</v>
      </c>
      <c r="AB406" s="36">
        <v>0</v>
      </c>
      <c r="AC406" s="7" t="s">
        <v>1177</v>
      </c>
      <c r="AD406" s="37">
        <v>0</v>
      </c>
      <c r="AE406" s="7" t="s">
        <v>1177</v>
      </c>
      <c r="AF406" s="7" t="s">
        <v>1177</v>
      </c>
      <c r="AG406" s="7" t="s">
        <v>1177</v>
      </c>
      <c r="AH406" s="38"/>
      <c r="AI406" s="36">
        <v>0</v>
      </c>
      <c r="AJ406" s="7" t="s">
        <v>1193</v>
      </c>
      <c r="AK406" s="7" t="s">
        <v>1177</v>
      </c>
      <c r="AL406" s="7" t="s">
        <v>1177</v>
      </c>
      <c r="AM406" s="7" t="s">
        <v>1177</v>
      </c>
      <c r="AN406" s="7" t="s">
        <v>3212</v>
      </c>
      <c r="AO406" s="7" t="s">
        <v>1177</v>
      </c>
      <c r="AP406" s="7" t="s">
        <v>1177</v>
      </c>
      <c r="AQ406" s="7" t="s">
        <v>1177</v>
      </c>
      <c r="AR406" s="29">
        <v>0</v>
      </c>
      <c r="AS406" s="7" t="s">
        <v>1177</v>
      </c>
      <c r="AT406" s="7" t="s">
        <v>1363</v>
      </c>
      <c r="AU406" s="38">
        <v>46275</v>
      </c>
      <c r="AV406" s="39">
        <v>0.62495370370369996</v>
      </c>
    </row>
    <row r="407" spans="1:48" x14ac:dyDescent="0.35">
      <c r="A407" t="str">
        <f t="shared" si="6"/>
        <v>GP007964B838</v>
      </c>
      <c r="B407" s="7" t="s">
        <v>356</v>
      </c>
      <c r="C407" s="7" t="s">
        <v>744</v>
      </c>
      <c r="D407" s="7" t="s">
        <v>48</v>
      </c>
      <c r="E407" s="7" t="s">
        <v>1177</v>
      </c>
      <c r="F407" s="7" t="s">
        <v>128</v>
      </c>
      <c r="G407" s="7" t="s">
        <v>130</v>
      </c>
      <c r="H407" s="7" t="s">
        <v>129</v>
      </c>
      <c r="I407" s="30">
        <v>2</v>
      </c>
      <c r="J407" s="7" t="s">
        <v>1177</v>
      </c>
      <c r="K407" s="7" t="s">
        <v>1178</v>
      </c>
      <c r="L407" s="7" t="s">
        <v>132</v>
      </c>
      <c r="M407" s="7" t="s">
        <v>133</v>
      </c>
      <c r="N407" s="30">
        <v>0</v>
      </c>
      <c r="O407" s="30">
        <v>0</v>
      </c>
      <c r="P407" s="30">
        <v>0</v>
      </c>
      <c r="Q407" s="30">
        <v>0</v>
      </c>
      <c r="R407" s="29">
        <v>0</v>
      </c>
      <c r="S407" s="36">
        <v>0</v>
      </c>
      <c r="T407" s="7" t="s">
        <v>131</v>
      </c>
      <c r="U407" s="7" t="s">
        <v>745</v>
      </c>
      <c r="V407" s="7" t="s">
        <v>745</v>
      </c>
      <c r="W407" s="7" t="s">
        <v>1177</v>
      </c>
      <c r="X407" s="30">
        <v>1</v>
      </c>
      <c r="Y407" s="7" t="s">
        <v>1177</v>
      </c>
      <c r="Z407" s="7" t="s">
        <v>1178</v>
      </c>
      <c r="AA407" s="30">
        <v>0</v>
      </c>
      <c r="AB407" s="36">
        <v>0</v>
      </c>
      <c r="AC407" s="7" t="s">
        <v>1177</v>
      </c>
      <c r="AD407" s="37">
        <v>0</v>
      </c>
      <c r="AE407" s="7" t="s">
        <v>1177</v>
      </c>
      <c r="AF407" s="7" t="s">
        <v>1177</v>
      </c>
      <c r="AG407" s="7" t="s">
        <v>1177</v>
      </c>
      <c r="AH407" s="38"/>
      <c r="AI407" s="36">
        <v>0</v>
      </c>
      <c r="AJ407" s="7" t="s">
        <v>1193</v>
      </c>
      <c r="AK407" s="7" t="s">
        <v>1177</v>
      </c>
      <c r="AL407" s="7" t="s">
        <v>1177</v>
      </c>
      <c r="AM407" s="7" t="s">
        <v>1177</v>
      </c>
      <c r="AN407" s="7" t="s">
        <v>3212</v>
      </c>
      <c r="AO407" s="7" t="s">
        <v>1177</v>
      </c>
      <c r="AP407" s="7" t="s">
        <v>1177</v>
      </c>
      <c r="AQ407" s="7" t="s">
        <v>1177</v>
      </c>
      <c r="AR407" s="29">
        <v>0</v>
      </c>
      <c r="AS407" s="7" t="s">
        <v>1177</v>
      </c>
      <c r="AT407" s="7" t="s">
        <v>1363</v>
      </c>
      <c r="AU407" s="38">
        <v>46275</v>
      </c>
      <c r="AV407" s="39">
        <v>0.62417824074074002</v>
      </c>
    </row>
    <row r="408" spans="1:48" x14ac:dyDescent="0.35">
      <c r="A408" t="str">
        <f t="shared" si="6"/>
        <v>GP008584B832</v>
      </c>
      <c r="B408" s="7" t="s">
        <v>628</v>
      </c>
      <c r="C408" s="7" t="s">
        <v>653</v>
      </c>
      <c r="D408" s="7" t="s">
        <v>19</v>
      </c>
      <c r="E408" s="7" t="s">
        <v>1177</v>
      </c>
      <c r="F408" s="7" t="s">
        <v>128</v>
      </c>
      <c r="G408" s="7" t="s">
        <v>130</v>
      </c>
      <c r="H408" s="7" t="s">
        <v>129</v>
      </c>
      <c r="I408" s="30">
        <v>2</v>
      </c>
      <c r="J408" s="7" t="s">
        <v>1177</v>
      </c>
      <c r="K408" s="7" t="s">
        <v>1178</v>
      </c>
      <c r="L408" s="7" t="s">
        <v>132</v>
      </c>
      <c r="M408" s="7" t="s">
        <v>133</v>
      </c>
      <c r="N408" s="30">
        <v>0</v>
      </c>
      <c r="O408" s="30">
        <v>0</v>
      </c>
      <c r="P408" s="30">
        <v>0</v>
      </c>
      <c r="Q408" s="30">
        <v>0</v>
      </c>
      <c r="R408" s="29">
        <v>0</v>
      </c>
      <c r="S408" s="36">
        <v>0</v>
      </c>
      <c r="T408" s="7" t="s">
        <v>131</v>
      </c>
      <c r="U408" s="7" t="s">
        <v>654</v>
      </c>
      <c r="V408" s="7" t="s">
        <v>654</v>
      </c>
      <c r="W408" s="7" t="s">
        <v>1177</v>
      </c>
      <c r="X408" s="30">
        <v>1</v>
      </c>
      <c r="Y408" s="7" t="s">
        <v>1177</v>
      </c>
      <c r="Z408" s="7" t="s">
        <v>1178</v>
      </c>
      <c r="AA408" s="30">
        <v>0</v>
      </c>
      <c r="AB408" s="36">
        <v>0</v>
      </c>
      <c r="AC408" s="7" t="s">
        <v>1177</v>
      </c>
      <c r="AD408" s="37">
        <v>0</v>
      </c>
      <c r="AE408" s="7" t="s">
        <v>1177</v>
      </c>
      <c r="AF408" s="7" t="s">
        <v>1177</v>
      </c>
      <c r="AG408" s="7" t="s">
        <v>1177</v>
      </c>
      <c r="AH408" s="38"/>
      <c r="AI408" s="36">
        <v>0</v>
      </c>
      <c r="AJ408" s="7" t="s">
        <v>1193</v>
      </c>
      <c r="AK408" s="7" t="s">
        <v>1177</v>
      </c>
      <c r="AL408" s="7" t="s">
        <v>1177</v>
      </c>
      <c r="AM408" s="7" t="s">
        <v>1177</v>
      </c>
      <c r="AN408" s="7" t="s">
        <v>3212</v>
      </c>
      <c r="AO408" s="7" t="s">
        <v>1177</v>
      </c>
      <c r="AP408" s="7" t="s">
        <v>1177</v>
      </c>
      <c r="AQ408" s="7" t="s">
        <v>1177</v>
      </c>
      <c r="AR408" s="29">
        <v>0</v>
      </c>
      <c r="AS408" s="7" t="s">
        <v>1177</v>
      </c>
      <c r="AT408" s="7" t="s">
        <v>1363</v>
      </c>
      <c r="AU408" s="38">
        <v>46275</v>
      </c>
      <c r="AV408" s="39">
        <v>0.62335648148148004</v>
      </c>
    </row>
    <row r="409" spans="1:48" x14ac:dyDescent="0.35">
      <c r="A409" t="str">
        <f t="shared" si="6"/>
        <v>GP008584B857</v>
      </c>
      <c r="B409" s="7" t="s">
        <v>628</v>
      </c>
      <c r="C409" s="7" t="s">
        <v>958</v>
      </c>
      <c r="D409" s="7" t="s">
        <v>23</v>
      </c>
      <c r="E409" s="7" t="s">
        <v>1177</v>
      </c>
      <c r="F409" s="7" t="s">
        <v>128</v>
      </c>
      <c r="G409" s="7" t="s">
        <v>130</v>
      </c>
      <c r="H409" s="7" t="s">
        <v>129</v>
      </c>
      <c r="I409" s="30">
        <v>1</v>
      </c>
      <c r="J409" s="7" t="s">
        <v>1177</v>
      </c>
      <c r="K409" s="7" t="s">
        <v>1178</v>
      </c>
      <c r="L409" s="7" t="s">
        <v>132</v>
      </c>
      <c r="M409" s="7" t="s">
        <v>133</v>
      </c>
      <c r="N409" s="30">
        <v>0</v>
      </c>
      <c r="O409" s="30">
        <v>0</v>
      </c>
      <c r="P409" s="30">
        <v>0</v>
      </c>
      <c r="Q409" s="30">
        <v>0</v>
      </c>
      <c r="R409" s="29">
        <v>0</v>
      </c>
      <c r="S409" s="36">
        <v>0</v>
      </c>
      <c r="T409" s="7" t="s">
        <v>131</v>
      </c>
      <c r="U409" s="7" t="s">
        <v>959</v>
      </c>
      <c r="V409" s="7" t="s">
        <v>959</v>
      </c>
      <c r="W409" s="7" t="s">
        <v>1177</v>
      </c>
      <c r="X409" s="30">
        <v>1</v>
      </c>
      <c r="Y409" s="7" t="s">
        <v>1177</v>
      </c>
      <c r="Z409" s="7" t="s">
        <v>1178</v>
      </c>
      <c r="AA409" s="30">
        <v>0</v>
      </c>
      <c r="AB409" s="36">
        <v>0</v>
      </c>
      <c r="AC409" s="7" t="s">
        <v>1177</v>
      </c>
      <c r="AD409" s="37">
        <v>0</v>
      </c>
      <c r="AE409" s="7" t="s">
        <v>1177</v>
      </c>
      <c r="AF409" s="7" t="s">
        <v>1177</v>
      </c>
      <c r="AG409" s="7" t="s">
        <v>1177</v>
      </c>
      <c r="AH409" s="38"/>
      <c r="AI409" s="36">
        <v>0</v>
      </c>
      <c r="AJ409" s="7" t="s">
        <v>1193</v>
      </c>
      <c r="AK409" s="7" t="s">
        <v>1177</v>
      </c>
      <c r="AL409" s="7" t="s">
        <v>1177</v>
      </c>
      <c r="AM409" s="7" t="s">
        <v>1177</v>
      </c>
      <c r="AN409" s="7" t="s">
        <v>3212</v>
      </c>
      <c r="AO409" s="7" t="s">
        <v>1177</v>
      </c>
      <c r="AP409" s="7" t="s">
        <v>1177</v>
      </c>
      <c r="AQ409" s="7" t="s">
        <v>1177</v>
      </c>
      <c r="AR409" s="29">
        <v>0</v>
      </c>
      <c r="AS409" s="7" t="s">
        <v>1177</v>
      </c>
      <c r="AT409" s="7" t="s">
        <v>1363</v>
      </c>
      <c r="AU409" s="38">
        <v>46275</v>
      </c>
      <c r="AV409" s="39">
        <v>0.62496527777777999</v>
      </c>
    </row>
    <row r="410" spans="1:48" x14ac:dyDescent="0.35">
      <c r="A410" t="str">
        <f t="shared" si="6"/>
        <v>GP008616B857</v>
      </c>
      <c r="B410" s="7" t="s">
        <v>227</v>
      </c>
      <c r="C410" s="7" t="s">
        <v>958</v>
      </c>
      <c r="D410" s="7" t="s">
        <v>23</v>
      </c>
      <c r="E410" s="7" t="s">
        <v>1177</v>
      </c>
      <c r="F410" s="7" t="s">
        <v>128</v>
      </c>
      <c r="G410" s="7" t="s">
        <v>130</v>
      </c>
      <c r="H410" s="7" t="s">
        <v>129</v>
      </c>
      <c r="I410" s="30">
        <v>1</v>
      </c>
      <c r="J410" s="7" t="s">
        <v>1177</v>
      </c>
      <c r="K410" s="7" t="s">
        <v>1178</v>
      </c>
      <c r="L410" s="7" t="s">
        <v>132</v>
      </c>
      <c r="M410" s="7" t="s">
        <v>133</v>
      </c>
      <c r="N410" s="30">
        <v>0</v>
      </c>
      <c r="O410" s="30">
        <v>0</v>
      </c>
      <c r="P410" s="30">
        <v>0</v>
      </c>
      <c r="Q410" s="30">
        <v>0</v>
      </c>
      <c r="R410" s="29">
        <v>0</v>
      </c>
      <c r="S410" s="36">
        <v>0</v>
      </c>
      <c r="T410" s="7" t="s">
        <v>131</v>
      </c>
      <c r="U410" s="7" t="s">
        <v>959</v>
      </c>
      <c r="V410" s="7" t="s">
        <v>959</v>
      </c>
      <c r="W410" s="7" t="s">
        <v>1177</v>
      </c>
      <c r="X410" s="30">
        <v>1</v>
      </c>
      <c r="Y410" s="7" t="s">
        <v>1177</v>
      </c>
      <c r="Z410" s="7" t="s">
        <v>1178</v>
      </c>
      <c r="AA410" s="30">
        <v>0</v>
      </c>
      <c r="AB410" s="36">
        <v>0</v>
      </c>
      <c r="AC410" s="7" t="s">
        <v>1177</v>
      </c>
      <c r="AD410" s="37">
        <v>0</v>
      </c>
      <c r="AE410" s="7" t="s">
        <v>1177</v>
      </c>
      <c r="AF410" s="7" t="s">
        <v>1177</v>
      </c>
      <c r="AG410" s="7" t="s">
        <v>1177</v>
      </c>
      <c r="AH410" s="38"/>
      <c r="AI410" s="36">
        <v>0</v>
      </c>
      <c r="AJ410" s="7" t="s">
        <v>1193</v>
      </c>
      <c r="AK410" s="7" t="s">
        <v>1177</v>
      </c>
      <c r="AL410" s="7" t="s">
        <v>1177</v>
      </c>
      <c r="AM410" s="7" t="s">
        <v>1177</v>
      </c>
      <c r="AN410" s="7" t="s">
        <v>3212</v>
      </c>
      <c r="AO410" s="7" t="s">
        <v>1177</v>
      </c>
      <c r="AP410" s="7" t="s">
        <v>1177</v>
      </c>
      <c r="AQ410" s="7" t="s">
        <v>1177</v>
      </c>
      <c r="AR410" s="29">
        <v>0</v>
      </c>
      <c r="AS410" s="7" t="s">
        <v>1177</v>
      </c>
      <c r="AT410" s="7" t="s">
        <v>1363</v>
      </c>
      <c r="AU410" s="38">
        <v>46275</v>
      </c>
      <c r="AV410" s="39">
        <v>0.60526620370369999</v>
      </c>
    </row>
    <row r="411" spans="1:48" x14ac:dyDescent="0.35">
      <c r="A411" t="str">
        <f t="shared" si="6"/>
        <v>GP008618B825</v>
      </c>
      <c r="B411" s="7" t="s">
        <v>35</v>
      </c>
      <c r="C411" s="7" t="s">
        <v>511</v>
      </c>
      <c r="D411" s="7" t="s">
        <v>16</v>
      </c>
      <c r="E411" s="7" t="s">
        <v>1177</v>
      </c>
      <c r="F411" s="7" t="s">
        <v>128</v>
      </c>
      <c r="G411" s="7" t="s">
        <v>130</v>
      </c>
      <c r="H411" s="7" t="s">
        <v>129</v>
      </c>
      <c r="I411" s="30">
        <v>2</v>
      </c>
      <c r="J411" s="7" t="s">
        <v>1177</v>
      </c>
      <c r="K411" s="7" t="s">
        <v>1178</v>
      </c>
      <c r="L411" s="7" t="s">
        <v>132</v>
      </c>
      <c r="M411" s="7" t="s">
        <v>133</v>
      </c>
      <c r="N411" s="30">
        <v>0</v>
      </c>
      <c r="O411" s="30">
        <v>0</v>
      </c>
      <c r="P411" s="30">
        <v>0</v>
      </c>
      <c r="Q411" s="30">
        <v>0</v>
      </c>
      <c r="R411" s="29">
        <v>0</v>
      </c>
      <c r="S411" s="36">
        <v>0</v>
      </c>
      <c r="T411" s="7" t="s">
        <v>131</v>
      </c>
      <c r="U411" s="7" t="s">
        <v>512</v>
      </c>
      <c r="V411" s="7" t="s">
        <v>512</v>
      </c>
      <c r="W411" s="7" t="s">
        <v>1177</v>
      </c>
      <c r="X411" s="30">
        <v>1</v>
      </c>
      <c r="Y411" s="7" t="s">
        <v>1177</v>
      </c>
      <c r="Z411" s="7" t="s">
        <v>1178</v>
      </c>
      <c r="AA411" s="30">
        <v>0</v>
      </c>
      <c r="AB411" s="36">
        <v>0</v>
      </c>
      <c r="AC411" s="7" t="s">
        <v>1177</v>
      </c>
      <c r="AD411" s="37">
        <v>0</v>
      </c>
      <c r="AE411" s="7" t="s">
        <v>1177</v>
      </c>
      <c r="AF411" s="7" t="s">
        <v>1177</v>
      </c>
      <c r="AG411" s="7" t="s">
        <v>1177</v>
      </c>
      <c r="AH411" s="38"/>
      <c r="AI411" s="36">
        <v>0</v>
      </c>
      <c r="AJ411" s="7" t="s">
        <v>1193</v>
      </c>
      <c r="AK411" s="7" t="s">
        <v>1177</v>
      </c>
      <c r="AL411" s="7" t="s">
        <v>1177</v>
      </c>
      <c r="AM411" s="7" t="s">
        <v>1177</v>
      </c>
      <c r="AN411" s="7" t="s">
        <v>3212</v>
      </c>
      <c r="AO411" s="7" t="s">
        <v>1177</v>
      </c>
      <c r="AP411" s="7" t="s">
        <v>1177</v>
      </c>
      <c r="AQ411" s="7" t="s">
        <v>1177</v>
      </c>
      <c r="AR411" s="29">
        <v>0</v>
      </c>
      <c r="AS411" s="7" t="s">
        <v>1177</v>
      </c>
      <c r="AT411" s="7" t="s">
        <v>1363</v>
      </c>
      <c r="AU411" s="38">
        <v>46275</v>
      </c>
      <c r="AV411" s="39">
        <v>0.60350694444443997</v>
      </c>
    </row>
    <row r="412" spans="1:48" x14ac:dyDescent="0.35">
      <c r="A412" t="str">
        <f t="shared" si="6"/>
        <v>GP008618B832</v>
      </c>
      <c r="B412" s="7" t="s">
        <v>35</v>
      </c>
      <c r="C412" s="7" t="s">
        <v>653</v>
      </c>
      <c r="D412" s="7" t="s">
        <v>19</v>
      </c>
      <c r="E412" s="7" t="s">
        <v>1177</v>
      </c>
      <c r="F412" s="7" t="s">
        <v>128</v>
      </c>
      <c r="G412" s="7" t="s">
        <v>130</v>
      </c>
      <c r="H412" s="7" t="s">
        <v>129</v>
      </c>
      <c r="I412" s="30">
        <v>2</v>
      </c>
      <c r="J412" s="7" t="s">
        <v>1177</v>
      </c>
      <c r="K412" s="7" t="s">
        <v>1178</v>
      </c>
      <c r="L412" s="7" t="s">
        <v>132</v>
      </c>
      <c r="M412" s="7" t="s">
        <v>133</v>
      </c>
      <c r="N412" s="30">
        <v>0</v>
      </c>
      <c r="O412" s="30">
        <v>0</v>
      </c>
      <c r="P412" s="30">
        <v>0</v>
      </c>
      <c r="Q412" s="30">
        <v>0</v>
      </c>
      <c r="R412" s="29">
        <v>0</v>
      </c>
      <c r="S412" s="36">
        <v>0</v>
      </c>
      <c r="T412" s="7" t="s">
        <v>131</v>
      </c>
      <c r="U412" s="7" t="s">
        <v>654</v>
      </c>
      <c r="V412" s="7" t="s">
        <v>654</v>
      </c>
      <c r="W412" s="7" t="s">
        <v>1177</v>
      </c>
      <c r="X412" s="30">
        <v>1</v>
      </c>
      <c r="Y412" s="7" t="s">
        <v>1177</v>
      </c>
      <c r="Z412" s="7" t="s">
        <v>1178</v>
      </c>
      <c r="AA412" s="30">
        <v>0</v>
      </c>
      <c r="AB412" s="36">
        <v>0</v>
      </c>
      <c r="AC412" s="7" t="s">
        <v>1177</v>
      </c>
      <c r="AD412" s="37">
        <v>0</v>
      </c>
      <c r="AE412" s="7" t="s">
        <v>1177</v>
      </c>
      <c r="AF412" s="7" t="s">
        <v>1177</v>
      </c>
      <c r="AG412" s="7" t="s">
        <v>1177</v>
      </c>
      <c r="AH412" s="38"/>
      <c r="AI412" s="36">
        <v>0</v>
      </c>
      <c r="AJ412" s="7" t="s">
        <v>1193</v>
      </c>
      <c r="AK412" s="7" t="s">
        <v>1177</v>
      </c>
      <c r="AL412" s="7" t="s">
        <v>1177</v>
      </c>
      <c r="AM412" s="7" t="s">
        <v>1177</v>
      </c>
      <c r="AN412" s="7" t="s">
        <v>3212</v>
      </c>
      <c r="AO412" s="7" t="s">
        <v>1177</v>
      </c>
      <c r="AP412" s="7" t="s">
        <v>1177</v>
      </c>
      <c r="AQ412" s="7" t="s">
        <v>1177</v>
      </c>
      <c r="AR412" s="29">
        <v>0</v>
      </c>
      <c r="AS412" s="7" t="s">
        <v>1177</v>
      </c>
      <c r="AT412" s="7" t="s">
        <v>1363</v>
      </c>
      <c r="AU412" s="38">
        <v>46275</v>
      </c>
      <c r="AV412" s="39">
        <v>0.60394675925926</v>
      </c>
    </row>
    <row r="413" spans="1:48" x14ac:dyDescent="0.35">
      <c r="A413" t="str">
        <f t="shared" si="6"/>
        <v>GP008618B838</v>
      </c>
      <c r="B413" s="7" t="s">
        <v>35</v>
      </c>
      <c r="C413" s="7" t="s">
        <v>744</v>
      </c>
      <c r="D413" s="7" t="s">
        <v>48</v>
      </c>
      <c r="E413" s="7" t="s">
        <v>1177</v>
      </c>
      <c r="F413" s="7" t="s">
        <v>128</v>
      </c>
      <c r="G413" s="7" t="s">
        <v>130</v>
      </c>
      <c r="H413" s="7" t="s">
        <v>129</v>
      </c>
      <c r="I413" s="30">
        <v>2</v>
      </c>
      <c r="J413" s="7" t="s">
        <v>1177</v>
      </c>
      <c r="K413" s="7" t="s">
        <v>1178</v>
      </c>
      <c r="L413" s="7" t="s">
        <v>132</v>
      </c>
      <c r="M413" s="7" t="s">
        <v>133</v>
      </c>
      <c r="N413" s="30">
        <v>0</v>
      </c>
      <c r="O413" s="30">
        <v>0</v>
      </c>
      <c r="P413" s="30">
        <v>0</v>
      </c>
      <c r="Q413" s="30">
        <v>0</v>
      </c>
      <c r="R413" s="29">
        <v>0</v>
      </c>
      <c r="S413" s="36">
        <v>0</v>
      </c>
      <c r="T413" s="7" t="s">
        <v>131</v>
      </c>
      <c r="U413" s="7" t="s">
        <v>745</v>
      </c>
      <c r="V413" s="7" t="s">
        <v>745</v>
      </c>
      <c r="W413" s="7" t="s">
        <v>1177</v>
      </c>
      <c r="X413" s="30">
        <v>1</v>
      </c>
      <c r="Y413" s="7" t="s">
        <v>1177</v>
      </c>
      <c r="Z413" s="7" t="s">
        <v>1178</v>
      </c>
      <c r="AA413" s="30">
        <v>0</v>
      </c>
      <c r="AB413" s="36">
        <v>0</v>
      </c>
      <c r="AC413" s="7" t="s">
        <v>1177</v>
      </c>
      <c r="AD413" s="37">
        <v>0</v>
      </c>
      <c r="AE413" s="7" t="s">
        <v>1177</v>
      </c>
      <c r="AF413" s="7" t="s">
        <v>1177</v>
      </c>
      <c r="AG413" s="7" t="s">
        <v>1177</v>
      </c>
      <c r="AH413" s="38"/>
      <c r="AI413" s="36">
        <v>0</v>
      </c>
      <c r="AJ413" s="7" t="s">
        <v>1193</v>
      </c>
      <c r="AK413" s="7" t="s">
        <v>1177</v>
      </c>
      <c r="AL413" s="7" t="s">
        <v>1177</v>
      </c>
      <c r="AM413" s="7" t="s">
        <v>1177</v>
      </c>
      <c r="AN413" s="7" t="s">
        <v>3212</v>
      </c>
      <c r="AO413" s="7" t="s">
        <v>1177</v>
      </c>
      <c r="AP413" s="7" t="s">
        <v>1177</v>
      </c>
      <c r="AQ413" s="7" t="s">
        <v>1177</v>
      </c>
      <c r="AR413" s="29">
        <v>0</v>
      </c>
      <c r="AS413" s="7" t="s">
        <v>1177</v>
      </c>
      <c r="AT413" s="7" t="s">
        <v>1363</v>
      </c>
      <c r="AU413" s="38">
        <v>46275</v>
      </c>
      <c r="AV413" s="39">
        <v>0.60443287037036997</v>
      </c>
    </row>
    <row r="414" spans="1:48" x14ac:dyDescent="0.35">
      <c r="A414" t="str">
        <f t="shared" si="6"/>
        <v>GP008618B856</v>
      </c>
      <c r="B414" s="7" t="s">
        <v>35</v>
      </c>
      <c r="C414" s="7" t="s">
        <v>852</v>
      </c>
      <c r="D414" s="7" t="s">
        <v>21</v>
      </c>
      <c r="E414" s="7" t="s">
        <v>1177</v>
      </c>
      <c r="F414" s="7" t="s">
        <v>128</v>
      </c>
      <c r="G414" s="7" t="s">
        <v>130</v>
      </c>
      <c r="H414" s="7" t="s">
        <v>129</v>
      </c>
      <c r="I414" s="30">
        <v>2</v>
      </c>
      <c r="J414" s="7" t="s">
        <v>1177</v>
      </c>
      <c r="K414" s="7" t="s">
        <v>1178</v>
      </c>
      <c r="L414" s="7" t="s">
        <v>132</v>
      </c>
      <c r="M414" s="7" t="s">
        <v>133</v>
      </c>
      <c r="N414" s="30">
        <v>0</v>
      </c>
      <c r="O414" s="30">
        <v>0</v>
      </c>
      <c r="P414" s="30">
        <v>0</v>
      </c>
      <c r="Q414" s="30">
        <v>0</v>
      </c>
      <c r="R414" s="29">
        <v>0</v>
      </c>
      <c r="S414" s="36">
        <v>0</v>
      </c>
      <c r="T414" s="7" t="s">
        <v>131</v>
      </c>
      <c r="U414" s="7" t="s">
        <v>853</v>
      </c>
      <c r="V414" s="7" t="s">
        <v>853</v>
      </c>
      <c r="W414" s="7" t="s">
        <v>1177</v>
      </c>
      <c r="X414" s="30">
        <v>1</v>
      </c>
      <c r="Y414" s="7" t="s">
        <v>1177</v>
      </c>
      <c r="Z414" s="7" t="s">
        <v>1178</v>
      </c>
      <c r="AA414" s="30">
        <v>0</v>
      </c>
      <c r="AB414" s="36">
        <v>0</v>
      </c>
      <c r="AC414" s="7" t="s">
        <v>1177</v>
      </c>
      <c r="AD414" s="37">
        <v>0</v>
      </c>
      <c r="AE414" s="7" t="s">
        <v>1177</v>
      </c>
      <c r="AF414" s="7" t="s">
        <v>1177</v>
      </c>
      <c r="AG414" s="7" t="s">
        <v>1177</v>
      </c>
      <c r="AH414" s="38"/>
      <c r="AI414" s="36">
        <v>0</v>
      </c>
      <c r="AJ414" s="7" t="s">
        <v>1193</v>
      </c>
      <c r="AK414" s="7" t="s">
        <v>1177</v>
      </c>
      <c r="AL414" s="7" t="s">
        <v>1177</v>
      </c>
      <c r="AM414" s="7" t="s">
        <v>1177</v>
      </c>
      <c r="AN414" s="7" t="s">
        <v>3212</v>
      </c>
      <c r="AO414" s="7" t="s">
        <v>1177</v>
      </c>
      <c r="AP414" s="7" t="s">
        <v>1177</v>
      </c>
      <c r="AQ414" s="7" t="s">
        <v>1177</v>
      </c>
      <c r="AR414" s="29">
        <v>0</v>
      </c>
      <c r="AS414" s="7" t="s">
        <v>1177</v>
      </c>
      <c r="AT414" s="7" t="s">
        <v>1363</v>
      </c>
      <c r="AU414" s="38">
        <v>46275</v>
      </c>
      <c r="AV414" s="39">
        <v>0.60523148148147998</v>
      </c>
    </row>
    <row r="415" spans="1:48" x14ac:dyDescent="0.35">
      <c r="A415" t="str">
        <f t="shared" si="6"/>
        <v>GP008618B864</v>
      </c>
      <c r="B415" s="7" t="s">
        <v>35</v>
      </c>
      <c r="C415" s="7" t="s">
        <v>1010</v>
      </c>
      <c r="D415" s="7" t="s">
        <v>10</v>
      </c>
      <c r="E415" s="7" t="s">
        <v>1177</v>
      </c>
      <c r="F415" s="7" t="s">
        <v>128</v>
      </c>
      <c r="G415" s="7" t="s">
        <v>130</v>
      </c>
      <c r="H415" s="7" t="s">
        <v>129</v>
      </c>
      <c r="I415" s="30">
        <v>2</v>
      </c>
      <c r="J415" s="7" t="s">
        <v>1177</v>
      </c>
      <c r="K415" s="7" t="s">
        <v>1178</v>
      </c>
      <c r="L415" s="7" t="s">
        <v>132</v>
      </c>
      <c r="M415" s="7" t="s">
        <v>133</v>
      </c>
      <c r="N415" s="30">
        <v>0</v>
      </c>
      <c r="O415" s="30">
        <v>0</v>
      </c>
      <c r="P415" s="30">
        <v>0</v>
      </c>
      <c r="Q415" s="30">
        <v>0</v>
      </c>
      <c r="R415" s="29">
        <v>0</v>
      </c>
      <c r="S415" s="36">
        <v>0</v>
      </c>
      <c r="T415" s="7" t="s">
        <v>131</v>
      </c>
      <c r="U415" s="7" t="s">
        <v>1011</v>
      </c>
      <c r="V415" s="7" t="s">
        <v>1011</v>
      </c>
      <c r="W415" s="7" t="s">
        <v>1177</v>
      </c>
      <c r="X415" s="30">
        <v>1</v>
      </c>
      <c r="Y415" s="7" t="s">
        <v>1177</v>
      </c>
      <c r="Z415" s="7" t="s">
        <v>1178</v>
      </c>
      <c r="AA415" s="30">
        <v>0</v>
      </c>
      <c r="AB415" s="36">
        <v>0</v>
      </c>
      <c r="AC415" s="7" t="s">
        <v>1177</v>
      </c>
      <c r="AD415" s="37">
        <v>0</v>
      </c>
      <c r="AE415" s="7" t="s">
        <v>1177</v>
      </c>
      <c r="AF415" s="7" t="s">
        <v>1177</v>
      </c>
      <c r="AG415" s="7" t="s">
        <v>1177</v>
      </c>
      <c r="AH415" s="38"/>
      <c r="AI415" s="36">
        <v>0</v>
      </c>
      <c r="AJ415" s="7" t="s">
        <v>1193</v>
      </c>
      <c r="AK415" s="7" t="s">
        <v>1177</v>
      </c>
      <c r="AL415" s="7" t="s">
        <v>1177</v>
      </c>
      <c r="AM415" s="7" t="s">
        <v>1177</v>
      </c>
      <c r="AN415" s="7" t="s">
        <v>3212</v>
      </c>
      <c r="AO415" s="7" t="s">
        <v>1177</v>
      </c>
      <c r="AP415" s="7" t="s">
        <v>1177</v>
      </c>
      <c r="AQ415" s="7" t="s">
        <v>1177</v>
      </c>
      <c r="AR415" s="29">
        <v>0</v>
      </c>
      <c r="AS415" s="7" t="s">
        <v>1177</v>
      </c>
      <c r="AT415" s="7" t="s">
        <v>1363</v>
      </c>
      <c r="AU415" s="38">
        <v>46275</v>
      </c>
      <c r="AV415" s="39">
        <v>0.60540509259259001</v>
      </c>
    </row>
    <row r="416" spans="1:48" x14ac:dyDescent="0.35">
      <c r="A416" t="str">
        <f t="shared" si="6"/>
        <v>GP008618B865</v>
      </c>
      <c r="B416" s="7" t="s">
        <v>35</v>
      </c>
      <c r="C416" s="7" t="s">
        <v>1039</v>
      </c>
      <c r="D416" s="7" t="s">
        <v>7</v>
      </c>
      <c r="E416" s="7" t="s">
        <v>1177</v>
      </c>
      <c r="F416" s="7" t="s">
        <v>128</v>
      </c>
      <c r="G416" s="7" t="s">
        <v>130</v>
      </c>
      <c r="H416" s="7" t="s">
        <v>129</v>
      </c>
      <c r="I416" s="30">
        <v>2</v>
      </c>
      <c r="J416" s="7" t="s">
        <v>1177</v>
      </c>
      <c r="K416" s="7" t="s">
        <v>1178</v>
      </c>
      <c r="L416" s="7" t="s">
        <v>132</v>
      </c>
      <c r="M416" s="7" t="s">
        <v>133</v>
      </c>
      <c r="N416" s="30">
        <v>0</v>
      </c>
      <c r="O416" s="30">
        <v>0</v>
      </c>
      <c r="P416" s="30">
        <v>0</v>
      </c>
      <c r="Q416" s="30">
        <v>0</v>
      </c>
      <c r="R416" s="29">
        <v>0</v>
      </c>
      <c r="S416" s="36">
        <v>0</v>
      </c>
      <c r="T416" s="7" t="s">
        <v>131</v>
      </c>
      <c r="U416" s="7" t="s">
        <v>1040</v>
      </c>
      <c r="V416" s="7" t="s">
        <v>1040</v>
      </c>
      <c r="W416" s="7" t="s">
        <v>1177</v>
      </c>
      <c r="X416" s="30">
        <v>1</v>
      </c>
      <c r="Y416" s="7" t="s">
        <v>1177</v>
      </c>
      <c r="Z416" s="7" t="s">
        <v>1178</v>
      </c>
      <c r="AA416" s="30">
        <v>0</v>
      </c>
      <c r="AB416" s="36">
        <v>0</v>
      </c>
      <c r="AC416" s="7" t="s">
        <v>1177</v>
      </c>
      <c r="AD416" s="37">
        <v>0</v>
      </c>
      <c r="AE416" s="7" t="s">
        <v>1177</v>
      </c>
      <c r="AF416" s="7" t="s">
        <v>1177</v>
      </c>
      <c r="AG416" s="7" t="s">
        <v>1177</v>
      </c>
      <c r="AH416" s="38"/>
      <c r="AI416" s="36">
        <v>0</v>
      </c>
      <c r="AJ416" s="7" t="s">
        <v>1193</v>
      </c>
      <c r="AK416" s="7" t="s">
        <v>1177</v>
      </c>
      <c r="AL416" s="7" t="s">
        <v>1177</v>
      </c>
      <c r="AM416" s="7" t="s">
        <v>1177</v>
      </c>
      <c r="AN416" s="7" t="s">
        <v>3212</v>
      </c>
      <c r="AO416" s="7" t="s">
        <v>1177</v>
      </c>
      <c r="AP416" s="7" t="s">
        <v>1177</v>
      </c>
      <c r="AQ416" s="7" t="s">
        <v>1177</v>
      </c>
      <c r="AR416" s="29">
        <v>0</v>
      </c>
      <c r="AS416" s="7" t="s">
        <v>1177</v>
      </c>
      <c r="AT416" s="7" t="s">
        <v>1363</v>
      </c>
      <c r="AU416" s="38">
        <v>46275</v>
      </c>
      <c r="AV416" s="39">
        <v>0.60550925925926002</v>
      </c>
    </row>
    <row r="417" spans="1:48" x14ac:dyDescent="0.35">
      <c r="A417" t="str">
        <f t="shared" si="6"/>
        <v>GP008618B867</v>
      </c>
      <c r="B417" s="7" t="s">
        <v>35</v>
      </c>
      <c r="C417" s="7" t="s">
        <v>1059</v>
      </c>
      <c r="D417" s="7" t="s">
        <v>25</v>
      </c>
      <c r="E417" s="7" t="s">
        <v>1177</v>
      </c>
      <c r="F417" s="7" t="s">
        <v>128</v>
      </c>
      <c r="G417" s="7" t="s">
        <v>130</v>
      </c>
      <c r="H417" s="7" t="s">
        <v>129</v>
      </c>
      <c r="I417" s="30">
        <v>2</v>
      </c>
      <c r="J417" s="7" t="s">
        <v>1177</v>
      </c>
      <c r="K417" s="7" t="s">
        <v>1178</v>
      </c>
      <c r="L417" s="7" t="s">
        <v>132</v>
      </c>
      <c r="M417" s="7" t="s">
        <v>133</v>
      </c>
      <c r="N417" s="30">
        <v>0</v>
      </c>
      <c r="O417" s="30">
        <v>0</v>
      </c>
      <c r="P417" s="30">
        <v>0</v>
      </c>
      <c r="Q417" s="30">
        <v>0</v>
      </c>
      <c r="R417" s="29">
        <v>0</v>
      </c>
      <c r="S417" s="36">
        <v>0</v>
      </c>
      <c r="T417" s="7" t="s">
        <v>131</v>
      </c>
      <c r="U417" s="7" t="s">
        <v>1060</v>
      </c>
      <c r="V417" s="7" t="s">
        <v>1060</v>
      </c>
      <c r="W417" s="7" t="s">
        <v>1177</v>
      </c>
      <c r="X417" s="30">
        <v>1</v>
      </c>
      <c r="Y417" s="7" t="s">
        <v>1177</v>
      </c>
      <c r="Z417" s="7" t="s">
        <v>1178</v>
      </c>
      <c r="AA417" s="30">
        <v>0</v>
      </c>
      <c r="AB417" s="36">
        <v>0</v>
      </c>
      <c r="AC417" s="7" t="s">
        <v>1177</v>
      </c>
      <c r="AD417" s="37">
        <v>0</v>
      </c>
      <c r="AE417" s="7" t="s">
        <v>1177</v>
      </c>
      <c r="AF417" s="7" t="s">
        <v>1177</v>
      </c>
      <c r="AG417" s="7" t="s">
        <v>1177</v>
      </c>
      <c r="AH417" s="38"/>
      <c r="AI417" s="36">
        <v>0</v>
      </c>
      <c r="AJ417" s="7" t="s">
        <v>1193</v>
      </c>
      <c r="AK417" s="7" t="s">
        <v>1177</v>
      </c>
      <c r="AL417" s="7" t="s">
        <v>1177</v>
      </c>
      <c r="AM417" s="7" t="s">
        <v>1177</v>
      </c>
      <c r="AN417" s="7" t="s">
        <v>3212</v>
      </c>
      <c r="AO417" s="7" t="s">
        <v>1177</v>
      </c>
      <c r="AP417" s="7" t="s">
        <v>1177</v>
      </c>
      <c r="AQ417" s="7" t="s">
        <v>1177</v>
      </c>
      <c r="AR417" s="29">
        <v>0</v>
      </c>
      <c r="AS417" s="7" t="s">
        <v>1177</v>
      </c>
      <c r="AT417" s="7" t="s">
        <v>1363</v>
      </c>
      <c r="AU417" s="38">
        <v>46275</v>
      </c>
      <c r="AV417" s="39">
        <v>0.60568287037037005</v>
      </c>
    </row>
    <row r="418" spans="1:48" x14ac:dyDescent="0.35">
      <c r="A418" t="str">
        <f t="shared" si="6"/>
        <v>GP008811B825</v>
      </c>
      <c r="B418" s="7" t="s">
        <v>462</v>
      </c>
      <c r="C418" s="7" t="s">
        <v>511</v>
      </c>
      <c r="D418" s="7" t="s">
        <v>16</v>
      </c>
      <c r="E418" s="7" t="s">
        <v>1177</v>
      </c>
      <c r="F418" s="7" t="s">
        <v>128</v>
      </c>
      <c r="G418" s="7" t="s">
        <v>130</v>
      </c>
      <c r="H418" s="7" t="s">
        <v>129</v>
      </c>
      <c r="I418" s="30">
        <v>1</v>
      </c>
      <c r="J418" s="7" t="s">
        <v>1177</v>
      </c>
      <c r="K418" s="7" t="s">
        <v>1178</v>
      </c>
      <c r="L418" s="7" t="s">
        <v>132</v>
      </c>
      <c r="M418" s="7" t="s">
        <v>133</v>
      </c>
      <c r="N418" s="30">
        <v>0</v>
      </c>
      <c r="O418" s="30">
        <v>0</v>
      </c>
      <c r="P418" s="30">
        <v>0</v>
      </c>
      <c r="Q418" s="30">
        <v>0</v>
      </c>
      <c r="R418" s="29">
        <v>0</v>
      </c>
      <c r="S418" s="36">
        <v>0</v>
      </c>
      <c r="T418" s="7" t="s">
        <v>131</v>
      </c>
      <c r="U418" s="7" t="s">
        <v>512</v>
      </c>
      <c r="V418" s="7" t="s">
        <v>512</v>
      </c>
      <c r="W418" s="7" t="s">
        <v>1177</v>
      </c>
      <c r="X418" s="30">
        <v>1</v>
      </c>
      <c r="Y418" s="7" t="s">
        <v>1177</v>
      </c>
      <c r="Z418" s="7" t="s">
        <v>1178</v>
      </c>
      <c r="AA418" s="30">
        <v>0</v>
      </c>
      <c r="AB418" s="36">
        <v>0</v>
      </c>
      <c r="AC418" s="7" t="s">
        <v>1177</v>
      </c>
      <c r="AD418" s="37">
        <v>0</v>
      </c>
      <c r="AE418" s="7" t="s">
        <v>1177</v>
      </c>
      <c r="AF418" s="7" t="s">
        <v>1177</v>
      </c>
      <c r="AG418" s="7" t="s">
        <v>1177</v>
      </c>
      <c r="AH418" s="38"/>
      <c r="AI418" s="36">
        <v>0</v>
      </c>
      <c r="AJ418" s="7" t="s">
        <v>1193</v>
      </c>
      <c r="AK418" s="7" t="s">
        <v>1177</v>
      </c>
      <c r="AL418" s="7" t="s">
        <v>1177</v>
      </c>
      <c r="AM418" s="7" t="s">
        <v>1177</v>
      </c>
      <c r="AN418" s="7" t="s">
        <v>3212</v>
      </c>
      <c r="AO418" s="7" t="s">
        <v>1177</v>
      </c>
      <c r="AP418" s="7" t="s">
        <v>1177</v>
      </c>
      <c r="AQ418" s="7" t="s">
        <v>1177</v>
      </c>
      <c r="AR418" s="29">
        <v>0</v>
      </c>
      <c r="AS418" s="7" t="s">
        <v>1177</v>
      </c>
      <c r="AT418" s="7" t="s">
        <v>1363</v>
      </c>
      <c r="AU418" s="38">
        <v>46275</v>
      </c>
      <c r="AV418" s="39">
        <v>0.60350694444443997</v>
      </c>
    </row>
    <row r="419" spans="1:48" x14ac:dyDescent="0.35">
      <c r="A419" t="str">
        <f t="shared" si="6"/>
        <v>GP008873B838</v>
      </c>
      <c r="B419" s="7" t="s">
        <v>746</v>
      </c>
      <c r="C419" s="7" t="s">
        <v>744</v>
      </c>
      <c r="D419" s="7" t="s">
        <v>48</v>
      </c>
      <c r="E419" s="7" t="s">
        <v>1177</v>
      </c>
      <c r="F419" s="7" t="s">
        <v>128</v>
      </c>
      <c r="G419" s="7" t="s">
        <v>130</v>
      </c>
      <c r="H419" s="7" t="s">
        <v>129</v>
      </c>
      <c r="I419" s="30">
        <v>1</v>
      </c>
      <c r="J419" s="7" t="s">
        <v>1177</v>
      </c>
      <c r="K419" s="7" t="s">
        <v>1178</v>
      </c>
      <c r="L419" s="7" t="s">
        <v>132</v>
      </c>
      <c r="M419" s="7" t="s">
        <v>133</v>
      </c>
      <c r="N419" s="30">
        <v>0</v>
      </c>
      <c r="O419" s="30">
        <v>0</v>
      </c>
      <c r="P419" s="30">
        <v>0</v>
      </c>
      <c r="Q419" s="30">
        <v>0</v>
      </c>
      <c r="R419" s="29">
        <v>0</v>
      </c>
      <c r="S419" s="36">
        <v>0</v>
      </c>
      <c r="T419" s="7" t="s">
        <v>131</v>
      </c>
      <c r="U419" s="7" t="s">
        <v>745</v>
      </c>
      <c r="V419" s="7" t="s">
        <v>745</v>
      </c>
      <c r="W419" s="7" t="s">
        <v>1177</v>
      </c>
      <c r="X419" s="30">
        <v>1</v>
      </c>
      <c r="Y419" s="7" t="s">
        <v>1177</v>
      </c>
      <c r="Z419" s="7" t="s">
        <v>1178</v>
      </c>
      <c r="AA419" s="30">
        <v>0</v>
      </c>
      <c r="AB419" s="36">
        <v>0</v>
      </c>
      <c r="AC419" s="7" t="s">
        <v>1177</v>
      </c>
      <c r="AD419" s="37">
        <v>0</v>
      </c>
      <c r="AE419" s="7" t="s">
        <v>1177</v>
      </c>
      <c r="AF419" s="7" t="s">
        <v>1177</v>
      </c>
      <c r="AG419" s="7" t="s">
        <v>1177</v>
      </c>
      <c r="AH419" s="38"/>
      <c r="AI419" s="36">
        <v>0</v>
      </c>
      <c r="AJ419" s="7" t="s">
        <v>1193</v>
      </c>
      <c r="AK419" s="7" t="s">
        <v>1177</v>
      </c>
      <c r="AL419" s="7" t="s">
        <v>1177</v>
      </c>
      <c r="AM419" s="7" t="s">
        <v>1177</v>
      </c>
      <c r="AN419" s="7" t="s">
        <v>3212</v>
      </c>
      <c r="AO419" s="7" t="s">
        <v>1177</v>
      </c>
      <c r="AP419" s="7" t="s">
        <v>1177</v>
      </c>
      <c r="AQ419" s="7" t="s">
        <v>1177</v>
      </c>
      <c r="AR419" s="29">
        <v>0</v>
      </c>
      <c r="AS419" s="7" t="s">
        <v>1177</v>
      </c>
      <c r="AT419" s="7" t="s">
        <v>1363</v>
      </c>
      <c r="AU419" s="38">
        <v>46275</v>
      </c>
      <c r="AV419" s="39">
        <v>0.62417824074074002</v>
      </c>
    </row>
    <row r="420" spans="1:48" x14ac:dyDescent="0.35">
      <c r="A420" t="str">
        <f t="shared" si="6"/>
        <v>GP008877B825</v>
      </c>
      <c r="B420" s="7" t="s">
        <v>228</v>
      </c>
      <c r="C420" s="7" t="s">
        <v>511</v>
      </c>
      <c r="D420" s="7" t="s">
        <v>16</v>
      </c>
      <c r="E420" s="7" t="s">
        <v>1177</v>
      </c>
      <c r="F420" s="7" t="s">
        <v>128</v>
      </c>
      <c r="G420" s="7" t="s">
        <v>130</v>
      </c>
      <c r="H420" s="7" t="s">
        <v>129</v>
      </c>
      <c r="I420" s="30">
        <v>1</v>
      </c>
      <c r="J420" s="7" t="s">
        <v>1177</v>
      </c>
      <c r="K420" s="7" t="s">
        <v>1178</v>
      </c>
      <c r="L420" s="7" t="s">
        <v>132</v>
      </c>
      <c r="M420" s="7" t="s">
        <v>133</v>
      </c>
      <c r="N420" s="30">
        <v>0</v>
      </c>
      <c r="O420" s="30">
        <v>0</v>
      </c>
      <c r="P420" s="30">
        <v>0</v>
      </c>
      <c r="Q420" s="30">
        <v>0</v>
      </c>
      <c r="R420" s="29">
        <v>0</v>
      </c>
      <c r="S420" s="36">
        <v>0</v>
      </c>
      <c r="T420" s="7" t="s">
        <v>131</v>
      </c>
      <c r="U420" s="7" t="s">
        <v>512</v>
      </c>
      <c r="V420" s="7" t="s">
        <v>512</v>
      </c>
      <c r="W420" s="7" t="s">
        <v>1177</v>
      </c>
      <c r="X420" s="30">
        <v>1</v>
      </c>
      <c r="Y420" s="7" t="s">
        <v>1177</v>
      </c>
      <c r="Z420" s="7" t="s">
        <v>1178</v>
      </c>
      <c r="AA420" s="30">
        <v>0</v>
      </c>
      <c r="AB420" s="36">
        <v>0</v>
      </c>
      <c r="AC420" s="7" t="s">
        <v>1177</v>
      </c>
      <c r="AD420" s="37">
        <v>0</v>
      </c>
      <c r="AE420" s="7" t="s">
        <v>1177</v>
      </c>
      <c r="AF420" s="7" t="s">
        <v>1177</v>
      </c>
      <c r="AG420" s="7" t="s">
        <v>1177</v>
      </c>
      <c r="AH420" s="38"/>
      <c r="AI420" s="36">
        <v>0</v>
      </c>
      <c r="AJ420" s="7" t="s">
        <v>1193</v>
      </c>
      <c r="AK420" s="7" t="s">
        <v>1177</v>
      </c>
      <c r="AL420" s="7" t="s">
        <v>1177</v>
      </c>
      <c r="AM420" s="7" t="s">
        <v>1177</v>
      </c>
      <c r="AN420" s="7" t="s">
        <v>3212</v>
      </c>
      <c r="AO420" s="7" t="s">
        <v>1177</v>
      </c>
      <c r="AP420" s="7" t="s">
        <v>1177</v>
      </c>
      <c r="AQ420" s="7" t="s">
        <v>1177</v>
      </c>
      <c r="AR420" s="29">
        <v>0</v>
      </c>
      <c r="AS420" s="7" t="s">
        <v>1177</v>
      </c>
      <c r="AT420" s="7" t="s">
        <v>1363</v>
      </c>
      <c r="AU420" s="38">
        <v>46275</v>
      </c>
      <c r="AV420" s="39">
        <v>0.60350694444443997</v>
      </c>
    </row>
    <row r="421" spans="1:48" x14ac:dyDescent="0.35">
      <c r="A421" t="str">
        <f t="shared" si="6"/>
        <v>GP008951B825</v>
      </c>
      <c r="B421" s="7" t="s">
        <v>229</v>
      </c>
      <c r="C421" s="7" t="s">
        <v>511</v>
      </c>
      <c r="D421" s="7" t="s">
        <v>16</v>
      </c>
      <c r="E421" s="7" t="s">
        <v>1177</v>
      </c>
      <c r="F421" s="7" t="s">
        <v>128</v>
      </c>
      <c r="G421" s="7" t="s">
        <v>130</v>
      </c>
      <c r="H421" s="7" t="s">
        <v>129</v>
      </c>
      <c r="I421" s="30">
        <v>2</v>
      </c>
      <c r="J421" s="7" t="s">
        <v>1177</v>
      </c>
      <c r="K421" s="7" t="s">
        <v>1178</v>
      </c>
      <c r="L421" s="7" t="s">
        <v>132</v>
      </c>
      <c r="M421" s="7" t="s">
        <v>133</v>
      </c>
      <c r="N421" s="30">
        <v>0</v>
      </c>
      <c r="O421" s="30">
        <v>0</v>
      </c>
      <c r="P421" s="30">
        <v>0</v>
      </c>
      <c r="Q421" s="30">
        <v>0</v>
      </c>
      <c r="R421" s="29">
        <v>0</v>
      </c>
      <c r="S421" s="36">
        <v>0</v>
      </c>
      <c r="T421" s="7" t="s">
        <v>131</v>
      </c>
      <c r="U421" s="7" t="s">
        <v>512</v>
      </c>
      <c r="V421" s="7" t="s">
        <v>512</v>
      </c>
      <c r="W421" s="7" t="s">
        <v>1177</v>
      </c>
      <c r="X421" s="30">
        <v>1</v>
      </c>
      <c r="Y421" s="7" t="s">
        <v>1177</v>
      </c>
      <c r="Z421" s="7" t="s">
        <v>1178</v>
      </c>
      <c r="AA421" s="30">
        <v>0</v>
      </c>
      <c r="AB421" s="36">
        <v>0</v>
      </c>
      <c r="AC421" s="7" t="s">
        <v>1177</v>
      </c>
      <c r="AD421" s="37">
        <v>0</v>
      </c>
      <c r="AE421" s="7" t="s">
        <v>1177</v>
      </c>
      <c r="AF421" s="7" t="s">
        <v>1177</v>
      </c>
      <c r="AG421" s="7" t="s">
        <v>1177</v>
      </c>
      <c r="AH421" s="38"/>
      <c r="AI421" s="36">
        <v>0</v>
      </c>
      <c r="AJ421" s="7" t="s">
        <v>1193</v>
      </c>
      <c r="AK421" s="7" t="s">
        <v>1177</v>
      </c>
      <c r="AL421" s="7" t="s">
        <v>1177</v>
      </c>
      <c r="AM421" s="7" t="s">
        <v>1177</v>
      </c>
      <c r="AN421" s="7" t="s">
        <v>3212</v>
      </c>
      <c r="AO421" s="7" t="s">
        <v>1177</v>
      </c>
      <c r="AP421" s="7" t="s">
        <v>1177</v>
      </c>
      <c r="AQ421" s="7" t="s">
        <v>1177</v>
      </c>
      <c r="AR421" s="29">
        <v>0</v>
      </c>
      <c r="AS421" s="7" t="s">
        <v>1177</v>
      </c>
      <c r="AT421" s="7" t="s">
        <v>1363</v>
      </c>
      <c r="AU421" s="38">
        <v>46275</v>
      </c>
      <c r="AV421" s="39">
        <v>0.62302083333333003</v>
      </c>
    </row>
    <row r="422" spans="1:48" x14ac:dyDescent="0.35">
      <c r="A422" t="str">
        <f t="shared" si="6"/>
        <v>GP008951B832</v>
      </c>
      <c r="B422" s="7" t="s">
        <v>229</v>
      </c>
      <c r="C422" s="7" t="s">
        <v>653</v>
      </c>
      <c r="D422" s="7" t="s">
        <v>19</v>
      </c>
      <c r="E422" s="7" t="s">
        <v>1177</v>
      </c>
      <c r="F422" s="7" t="s">
        <v>128</v>
      </c>
      <c r="G422" s="7" t="s">
        <v>130</v>
      </c>
      <c r="H422" s="7" t="s">
        <v>129</v>
      </c>
      <c r="I422" s="30">
        <v>2</v>
      </c>
      <c r="J422" s="7" t="s">
        <v>1177</v>
      </c>
      <c r="K422" s="7" t="s">
        <v>1178</v>
      </c>
      <c r="L422" s="7" t="s">
        <v>132</v>
      </c>
      <c r="M422" s="7" t="s">
        <v>133</v>
      </c>
      <c r="N422" s="30">
        <v>0</v>
      </c>
      <c r="O422" s="30">
        <v>0</v>
      </c>
      <c r="P422" s="30">
        <v>0</v>
      </c>
      <c r="Q422" s="30">
        <v>0</v>
      </c>
      <c r="R422" s="29">
        <v>0</v>
      </c>
      <c r="S422" s="36">
        <v>0</v>
      </c>
      <c r="T422" s="7" t="s">
        <v>131</v>
      </c>
      <c r="U422" s="7" t="s">
        <v>654</v>
      </c>
      <c r="V422" s="7" t="s">
        <v>654</v>
      </c>
      <c r="W422" s="7" t="s">
        <v>1177</v>
      </c>
      <c r="X422" s="30">
        <v>1</v>
      </c>
      <c r="Y422" s="7" t="s">
        <v>1177</v>
      </c>
      <c r="Z422" s="7" t="s">
        <v>1178</v>
      </c>
      <c r="AA422" s="30">
        <v>0</v>
      </c>
      <c r="AB422" s="36">
        <v>0</v>
      </c>
      <c r="AC422" s="7" t="s">
        <v>1177</v>
      </c>
      <c r="AD422" s="37">
        <v>0</v>
      </c>
      <c r="AE422" s="7" t="s">
        <v>1177</v>
      </c>
      <c r="AF422" s="7" t="s">
        <v>1177</v>
      </c>
      <c r="AG422" s="7" t="s">
        <v>1177</v>
      </c>
      <c r="AH422" s="38"/>
      <c r="AI422" s="36">
        <v>0</v>
      </c>
      <c r="AJ422" s="7" t="s">
        <v>1193</v>
      </c>
      <c r="AK422" s="7" t="s">
        <v>1177</v>
      </c>
      <c r="AL422" s="7" t="s">
        <v>1177</v>
      </c>
      <c r="AM422" s="7" t="s">
        <v>1177</v>
      </c>
      <c r="AN422" s="7" t="s">
        <v>3212</v>
      </c>
      <c r="AO422" s="7" t="s">
        <v>1177</v>
      </c>
      <c r="AP422" s="7" t="s">
        <v>1177</v>
      </c>
      <c r="AQ422" s="7" t="s">
        <v>1177</v>
      </c>
      <c r="AR422" s="29">
        <v>0</v>
      </c>
      <c r="AS422" s="7" t="s">
        <v>1177</v>
      </c>
      <c r="AT422" s="7" t="s">
        <v>1363</v>
      </c>
      <c r="AU422" s="38">
        <v>46275</v>
      </c>
      <c r="AV422" s="39">
        <v>0.62335648148148004</v>
      </c>
    </row>
    <row r="423" spans="1:48" x14ac:dyDescent="0.35">
      <c r="A423" t="str">
        <f t="shared" si="6"/>
        <v>GP008951B857</v>
      </c>
      <c r="B423" s="7" t="s">
        <v>229</v>
      </c>
      <c r="C423" s="7" t="s">
        <v>958</v>
      </c>
      <c r="D423" s="7" t="s">
        <v>23</v>
      </c>
      <c r="E423" s="7" t="s">
        <v>1177</v>
      </c>
      <c r="F423" s="7" t="s">
        <v>128</v>
      </c>
      <c r="G423" s="7" t="s">
        <v>130</v>
      </c>
      <c r="H423" s="7" t="s">
        <v>129</v>
      </c>
      <c r="I423" s="30">
        <v>2</v>
      </c>
      <c r="J423" s="7" t="s">
        <v>1177</v>
      </c>
      <c r="K423" s="7" t="s">
        <v>1178</v>
      </c>
      <c r="L423" s="7" t="s">
        <v>132</v>
      </c>
      <c r="M423" s="7" t="s">
        <v>133</v>
      </c>
      <c r="N423" s="30">
        <v>0</v>
      </c>
      <c r="O423" s="30">
        <v>0</v>
      </c>
      <c r="P423" s="30">
        <v>0</v>
      </c>
      <c r="Q423" s="30">
        <v>0</v>
      </c>
      <c r="R423" s="29">
        <v>0</v>
      </c>
      <c r="S423" s="36">
        <v>0</v>
      </c>
      <c r="T423" s="7" t="s">
        <v>131</v>
      </c>
      <c r="U423" s="7" t="s">
        <v>959</v>
      </c>
      <c r="V423" s="7" t="s">
        <v>959</v>
      </c>
      <c r="W423" s="7" t="s">
        <v>1177</v>
      </c>
      <c r="X423" s="30">
        <v>1</v>
      </c>
      <c r="Y423" s="7" t="s">
        <v>1177</v>
      </c>
      <c r="Z423" s="7" t="s">
        <v>1178</v>
      </c>
      <c r="AA423" s="30">
        <v>0</v>
      </c>
      <c r="AB423" s="36">
        <v>0</v>
      </c>
      <c r="AC423" s="7" t="s">
        <v>1177</v>
      </c>
      <c r="AD423" s="37">
        <v>0</v>
      </c>
      <c r="AE423" s="7" t="s">
        <v>1177</v>
      </c>
      <c r="AF423" s="7" t="s">
        <v>1177</v>
      </c>
      <c r="AG423" s="7" t="s">
        <v>1177</v>
      </c>
      <c r="AH423" s="38"/>
      <c r="AI423" s="36">
        <v>0</v>
      </c>
      <c r="AJ423" s="7" t="s">
        <v>1193</v>
      </c>
      <c r="AK423" s="7" t="s">
        <v>1177</v>
      </c>
      <c r="AL423" s="7" t="s">
        <v>1177</v>
      </c>
      <c r="AM423" s="7" t="s">
        <v>1177</v>
      </c>
      <c r="AN423" s="7" t="s">
        <v>3212</v>
      </c>
      <c r="AO423" s="7" t="s">
        <v>1177</v>
      </c>
      <c r="AP423" s="7" t="s">
        <v>1177</v>
      </c>
      <c r="AQ423" s="7" t="s">
        <v>1177</v>
      </c>
      <c r="AR423" s="29">
        <v>0</v>
      </c>
      <c r="AS423" s="7" t="s">
        <v>1177</v>
      </c>
      <c r="AT423" s="7" t="s">
        <v>1363</v>
      </c>
      <c r="AU423" s="38">
        <v>46275</v>
      </c>
      <c r="AV423" s="39">
        <v>0.62497685185185003</v>
      </c>
    </row>
    <row r="424" spans="1:48" x14ac:dyDescent="0.35">
      <c r="A424" t="str">
        <f t="shared" si="6"/>
        <v>GP008969B833</v>
      </c>
      <c r="B424" s="7" t="s">
        <v>701</v>
      </c>
      <c r="C424" s="7" t="s">
        <v>698</v>
      </c>
      <c r="D424" s="7" t="s">
        <v>697</v>
      </c>
      <c r="E424" s="7" t="s">
        <v>1177</v>
      </c>
      <c r="F424" s="7" t="s">
        <v>128</v>
      </c>
      <c r="G424" s="7" t="s">
        <v>130</v>
      </c>
      <c r="H424" s="7" t="s">
        <v>129</v>
      </c>
      <c r="I424" s="30">
        <v>2</v>
      </c>
      <c r="J424" s="7" t="s">
        <v>1177</v>
      </c>
      <c r="K424" s="7" t="s">
        <v>1178</v>
      </c>
      <c r="L424" s="7" t="s">
        <v>132</v>
      </c>
      <c r="M424" s="7" t="s">
        <v>133</v>
      </c>
      <c r="N424" s="30">
        <v>0</v>
      </c>
      <c r="O424" s="30">
        <v>0</v>
      </c>
      <c r="P424" s="30">
        <v>0</v>
      </c>
      <c r="Q424" s="30">
        <v>0</v>
      </c>
      <c r="R424" s="29">
        <v>0</v>
      </c>
      <c r="S424" s="36">
        <v>0</v>
      </c>
      <c r="T424" s="7" t="s">
        <v>131</v>
      </c>
      <c r="U424" s="7" t="s">
        <v>699</v>
      </c>
      <c r="V424" s="7" t="s">
        <v>699</v>
      </c>
      <c r="W424" s="7" t="s">
        <v>1177</v>
      </c>
      <c r="X424" s="30">
        <v>1</v>
      </c>
      <c r="Y424" s="7" t="s">
        <v>1177</v>
      </c>
      <c r="Z424" s="7" t="s">
        <v>1178</v>
      </c>
      <c r="AA424" s="30">
        <v>0</v>
      </c>
      <c r="AB424" s="36">
        <v>0</v>
      </c>
      <c r="AC424" s="7" t="s">
        <v>1177</v>
      </c>
      <c r="AD424" s="37">
        <v>0</v>
      </c>
      <c r="AE424" s="7" t="s">
        <v>1177</v>
      </c>
      <c r="AF424" s="7" t="s">
        <v>1177</v>
      </c>
      <c r="AG424" s="7" t="s">
        <v>1177</v>
      </c>
      <c r="AH424" s="38"/>
      <c r="AI424" s="36">
        <v>0</v>
      </c>
      <c r="AJ424" s="7" t="s">
        <v>1193</v>
      </c>
      <c r="AK424" s="7" t="s">
        <v>1177</v>
      </c>
      <c r="AL424" s="7" t="s">
        <v>1177</v>
      </c>
      <c r="AM424" s="7" t="s">
        <v>1177</v>
      </c>
      <c r="AN424" s="7" t="s">
        <v>3212</v>
      </c>
      <c r="AO424" s="7" t="s">
        <v>1177</v>
      </c>
      <c r="AP424" s="7" t="s">
        <v>1177</v>
      </c>
      <c r="AQ424" s="7" t="s">
        <v>1177</v>
      </c>
      <c r="AR424" s="29">
        <v>0</v>
      </c>
      <c r="AS424" s="7" t="s">
        <v>1177</v>
      </c>
      <c r="AT424" s="7" t="s">
        <v>1363</v>
      </c>
      <c r="AU424" s="38">
        <v>46275</v>
      </c>
      <c r="AV424" s="39">
        <v>0.62348379629630002</v>
      </c>
    </row>
    <row r="425" spans="1:48" x14ac:dyDescent="0.35">
      <c r="A425" t="str">
        <f t="shared" si="6"/>
        <v>GP009028B825</v>
      </c>
      <c r="B425" s="7" t="s">
        <v>359</v>
      </c>
      <c r="C425" s="7" t="s">
        <v>511</v>
      </c>
      <c r="D425" s="7" t="s">
        <v>16</v>
      </c>
      <c r="E425" s="7" t="s">
        <v>1177</v>
      </c>
      <c r="F425" s="7" t="s">
        <v>128</v>
      </c>
      <c r="G425" s="7" t="s">
        <v>130</v>
      </c>
      <c r="H425" s="7" t="s">
        <v>129</v>
      </c>
      <c r="I425" s="30">
        <v>1</v>
      </c>
      <c r="J425" s="7" t="s">
        <v>1177</v>
      </c>
      <c r="K425" s="7" t="s">
        <v>1178</v>
      </c>
      <c r="L425" s="7" t="s">
        <v>132</v>
      </c>
      <c r="M425" s="7" t="s">
        <v>133</v>
      </c>
      <c r="N425" s="30">
        <v>0</v>
      </c>
      <c r="O425" s="30">
        <v>0</v>
      </c>
      <c r="P425" s="30">
        <v>0</v>
      </c>
      <c r="Q425" s="30">
        <v>0</v>
      </c>
      <c r="R425" s="29">
        <v>0</v>
      </c>
      <c r="S425" s="36">
        <v>0</v>
      </c>
      <c r="T425" s="7" t="s">
        <v>131</v>
      </c>
      <c r="U425" s="7" t="s">
        <v>512</v>
      </c>
      <c r="V425" s="7" t="s">
        <v>512</v>
      </c>
      <c r="W425" s="7" t="s">
        <v>1177</v>
      </c>
      <c r="X425" s="30">
        <v>1</v>
      </c>
      <c r="Y425" s="7" t="s">
        <v>1177</v>
      </c>
      <c r="Z425" s="7" t="s">
        <v>1178</v>
      </c>
      <c r="AA425" s="30">
        <v>0</v>
      </c>
      <c r="AB425" s="36">
        <v>0</v>
      </c>
      <c r="AC425" s="7" t="s">
        <v>1177</v>
      </c>
      <c r="AD425" s="37">
        <v>0</v>
      </c>
      <c r="AE425" s="7" t="s">
        <v>1177</v>
      </c>
      <c r="AF425" s="7" t="s">
        <v>1177</v>
      </c>
      <c r="AG425" s="7" t="s">
        <v>1177</v>
      </c>
      <c r="AH425" s="38"/>
      <c r="AI425" s="36">
        <v>0</v>
      </c>
      <c r="AJ425" s="7" t="s">
        <v>1193</v>
      </c>
      <c r="AK425" s="7" t="s">
        <v>1177</v>
      </c>
      <c r="AL425" s="7" t="s">
        <v>1177</v>
      </c>
      <c r="AM425" s="7" t="s">
        <v>1177</v>
      </c>
      <c r="AN425" s="7" t="s">
        <v>3212</v>
      </c>
      <c r="AO425" s="7" t="s">
        <v>1177</v>
      </c>
      <c r="AP425" s="7" t="s">
        <v>1177</v>
      </c>
      <c r="AQ425" s="7" t="s">
        <v>1177</v>
      </c>
      <c r="AR425" s="29">
        <v>0</v>
      </c>
      <c r="AS425" s="7" t="s">
        <v>1177</v>
      </c>
      <c r="AT425" s="7" t="s">
        <v>1363</v>
      </c>
      <c r="AU425" s="38">
        <v>46275</v>
      </c>
      <c r="AV425" s="39">
        <v>0.60351851851852001</v>
      </c>
    </row>
    <row r="426" spans="1:48" x14ac:dyDescent="0.35">
      <c r="A426" t="str">
        <f t="shared" si="6"/>
        <v>GP009627B825</v>
      </c>
      <c r="B426" s="7" t="s">
        <v>360</v>
      </c>
      <c r="C426" s="7" t="s">
        <v>511</v>
      </c>
      <c r="D426" s="7" t="s">
        <v>16</v>
      </c>
      <c r="E426" s="7" t="s">
        <v>1177</v>
      </c>
      <c r="F426" s="7" t="s">
        <v>128</v>
      </c>
      <c r="G426" s="7" t="s">
        <v>130</v>
      </c>
      <c r="H426" s="7" t="s">
        <v>129</v>
      </c>
      <c r="I426" s="30">
        <v>1</v>
      </c>
      <c r="J426" s="7" t="s">
        <v>1177</v>
      </c>
      <c r="K426" s="7" t="s">
        <v>1178</v>
      </c>
      <c r="L426" s="7" t="s">
        <v>132</v>
      </c>
      <c r="M426" s="7" t="s">
        <v>133</v>
      </c>
      <c r="N426" s="30">
        <v>0</v>
      </c>
      <c r="O426" s="30">
        <v>0</v>
      </c>
      <c r="P426" s="30">
        <v>0</v>
      </c>
      <c r="Q426" s="30">
        <v>0</v>
      </c>
      <c r="R426" s="29">
        <v>0</v>
      </c>
      <c r="S426" s="36">
        <v>0</v>
      </c>
      <c r="T426" s="7" t="s">
        <v>131</v>
      </c>
      <c r="U426" s="7" t="s">
        <v>512</v>
      </c>
      <c r="V426" s="7" t="s">
        <v>512</v>
      </c>
      <c r="W426" s="7" t="s">
        <v>1177</v>
      </c>
      <c r="X426" s="30">
        <v>1</v>
      </c>
      <c r="Y426" s="7" t="s">
        <v>1177</v>
      </c>
      <c r="Z426" s="7" t="s">
        <v>1178</v>
      </c>
      <c r="AA426" s="30">
        <v>0</v>
      </c>
      <c r="AB426" s="36">
        <v>0</v>
      </c>
      <c r="AC426" s="7" t="s">
        <v>1177</v>
      </c>
      <c r="AD426" s="37">
        <v>0</v>
      </c>
      <c r="AE426" s="7" t="s">
        <v>1177</v>
      </c>
      <c r="AF426" s="7" t="s">
        <v>1177</v>
      </c>
      <c r="AG426" s="7" t="s">
        <v>1177</v>
      </c>
      <c r="AH426" s="38"/>
      <c r="AI426" s="36">
        <v>0</v>
      </c>
      <c r="AJ426" s="7" t="s">
        <v>1193</v>
      </c>
      <c r="AK426" s="7" t="s">
        <v>1177</v>
      </c>
      <c r="AL426" s="7" t="s">
        <v>1177</v>
      </c>
      <c r="AM426" s="7" t="s">
        <v>1177</v>
      </c>
      <c r="AN426" s="7" t="s">
        <v>3212</v>
      </c>
      <c r="AO426" s="7" t="s">
        <v>1177</v>
      </c>
      <c r="AP426" s="7" t="s">
        <v>1177</v>
      </c>
      <c r="AQ426" s="7" t="s">
        <v>1177</v>
      </c>
      <c r="AR426" s="29">
        <v>0</v>
      </c>
      <c r="AS426" s="7" t="s">
        <v>1177</v>
      </c>
      <c r="AT426" s="7" t="s">
        <v>1363</v>
      </c>
      <c r="AU426" s="38">
        <v>46275</v>
      </c>
      <c r="AV426" s="39">
        <v>0.60351851851852001</v>
      </c>
    </row>
    <row r="427" spans="1:48" x14ac:dyDescent="0.35">
      <c r="A427" t="str">
        <f t="shared" si="6"/>
        <v>GP009684B825</v>
      </c>
      <c r="B427" s="7" t="s">
        <v>521</v>
      </c>
      <c r="C427" s="7" t="s">
        <v>511</v>
      </c>
      <c r="D427" s="7" t="s">
        <v>16</v>
      </c>
      <c r="E427" s="7" t="s">
        <v>1177</v>
      </c>
      <c r="F427" s="7" t="s">
        <v>128</v>
      </c>
      <c r="G427" s="7" t="s">
        <v>130</v>
      </c>
      <c r="H427" s="7" t="s">
        <v>129</v>
      </c>
      <c r="I427" s="30">
        <v>2</v>
      </c>
      <c r="J427" s="7" t="s">
        <v>1177</v>
      </c>
      <c r="K427" s="7" t="s">
        <v>1178</v>
      </c>
      <c r="L427" s="7" t="s">
        <v>132</v>
      </c>
      <c r="M427" s="7" t="s">
        <v>133</v>
      </c>
      <c r="N427" s="30">
        <v>0</v>
      </c>
      <c r="O427" s="30">
        <v>0</v>
      </c>
      <c r="P427" s="30">
        <v>0</v>
      </c>
      <c r="Q427" s="30">
        <v>0</v>
      </c>
      <c r="R427" s="29">
        <v>0</v>
      </c>
      <c r="S427" s="36">
        <v>0</v>
      </c>
      <c r="T427" s="7" t="s">
        <v>131</v>
      </c>
      <c r="U427" s="7" t="s">
        <v>512</v>
      </c>
      <c r="V427" s="7" t="s">
        <v>512</v>
      </c>
      <c r="W427" s="7" t="s">
        <v>1177</v>
      </c>
      <c r="X427" s="30">
        <v>1</v>
      </c>
      <c r="Y427" s="7" t="s">
        <v>1177</v>
      </c>
      <c r="Z427" s="7" t="s">
        <v>1178</v>
      </c>
      <c r="AA427" s="30">
        <v>0</v>
      </c>
      <c r="AB427" s="36">
        <v>0</v>
      </c>
      <c r="AC427" s="7" t="s">
        <v>1177</v>
      </c>
      <c r="AD427" s="37">
        <v>0</v>
      </c>
      <c r="AE427" s="7" t="s">
        <v>1177</v>
      </c>
      <c r="AF427" s="7" t="s">
        <v>1177</v>
      </c>
      <c r="AG427" s="7" t="s">
        <v>1177</v>
      </c>
      <c r="AH427" s="38"/>
      <c r="AI427" s="36">
        <v>0</v>
      </c>
      <c r="AJ427" s="7" t="s">
        <v>1193</v>
      </c>
      <c r="AK427" s="7" t="s">
        <v>1177</v>
      </c>
      <c r="AL427" s="7" t="s">
        <v>1177</v>
      </c>
      <c r="AM427" s="7" t="s">
        <v>1177</v>
      </c>
      <c r="AN427" s="7" t="s">
        <v>3212</v>
      </c>
      <c r="AO427" s="7" t="s">
        <v>1177</v>
      </c>
      <c r="AP427" s="7" t="s">
        <v>1177</v>
      </c>
      <c r="AQ427" s="7" t="s">
        <v>1177</v>
      </c>
      <c r="AR427" s="29">
        <v>0</v>
      </c>
      <c r="AS427" s="7" t="s">
        <v>1177</v>
      </c>
      <c r="AT427" s="7" t="s">
        <v>1363</v>
      </c>
      <c r="AU427" s="38">
        <v>46275</v>
      </c>
      <c r="AV427" s="39">
        <v>0.62302083333333003</v>
      </c>
    </row>
    <row r="428" spans="1:48" x14ac:dyDescent="0.35">
      <c r="A428" t="str">
        <f t="shared" si="6"/>
        <v>GP009823B825</v>
      </c>
      <c r="B428" s="7" t="s">
        <v>446</v>
      </c>
      <c r="C428" s="7" t="s">
        <v>511</v>
      </c>
      <c r="D428" s="7" t="s">
        <v>16</v>
      </c>
      <c r="E428" s="7" t="s">
        <v>1177</v>
      </c>
      <c r="F428" s="7" t="s">
        <v>128</v>
      </c>
      <c r="G428" s="7" t="s">
        <v>130</v>
      </c>
      <c r="H428" s="7" t="s">
        <v>129</v>
      </c>
      <c r="I428" s="30">
        <v>2</v>
      </c>
      <c r="J428" s="7" t="s">
        <v>1177</v>
      </c>
      <c r="K428" s="7" t="s">
        <v>1178</v>
      </c>
      <c r="L428" s="7" t="s">
        <v>132</v>
      </c>
      <c r="M428" s="7" t="s">
        <v>133</v>
      </c>
      <c r="N428" s="30">
        <v>0</v>
      </c>
      <c r="O428" s="30">
        <v>0</v>
      </c>
      <c r="P428" s="30">
        <v>0</v>
      </c>
      <c r="Q428" s="30">
        <v>0</v>
      </c>
      <c r="R428" s="29">
        <v>0</v>
      </c>
      <c r="S428" s="36">
        <v>0</v>
      </c>
      <c r="T428" s="7" t="s">
        <v>131</v>
      </c>
      <c r="U428" s="7" t="s">
        <v>512</v>
      </c>
      <c r="V428" s="7" t="s">
        <v>512</v>
      </c>
      <c r="W428" s="7" t="s">
        <v>1177</v>
      </c>
      <c r="X428" s="30">
        <v>1</v>
      </c>
      <c r="Y428" s="7" t="s">
        <v>1177</v>
      </c>
      <c r="Z428" s="7" t="s">
        <v>1178</v>
      </c>
      <c r="AA428" s="30">
        <v>0</v>
      </c>
      <c r="AB428" s="36">
        <v>0</v>
      </c>
      <c r="AC428" s="7" t="s">
        <v>1177</v>
      </c>
      <c r="AD428" s="37">
        <v>0</v>
      </c>
      <c r="AE428" s="7" t="s">
        <v>1177</v>
      </c>
      <c r="AF428" s="7" t="s">
        <v>1177</v>
      </c>
      <c r="AG428" s="7" t="s">
        <v>1177</v>
      </c>
      <c r="AH428" s="38"/>
      <c r="AI428" s="36">
        <v>0</v>
      </c>
      <c r="AJ428" s="7" t="s">
        <v>1193</v>
      </c>
      <c r="AK428" s="7" t="s">
        <v>1177</v>
      </c>
      <c r="AL428" s="7" t="s">
        <v>1177</v>
      </c>
      <c r="AM428" s="7" t="s">
        <v>1177</v>
      </c>
      <c r="AN428" s="7" t="s">
        <v>3212</v>
      </c>
      <c r="AO428" s="7" t="s">
        <v>1177</v>
      </c>
      <c r="AP428" s="7" t="s">
        <v>1177</v>
      </c>
      <c r="AQ428" s="7" t="s">
        <v>1177</v>
      </c>
      <c r="AR428" s="29">
        <v>0</v>
      </c>
      <c r="AS428" s="7" t="s">
        <v>1177</v>
      </c>
      <c r="AT428" s="7" t="s">
        <v>1363</v>
      </c>
      <c r="AU428" s="38">
        <v>46275</v>
      </c>
      <c r="AV428" s="39">
        <v>0.60354166666666997</v>
      </c>
    </row>
    <row r="429" spans="1:48" x14ac:dyDescent="0.35">
      <c r="A429" t="str">
        <f t="shared" si="6"/>
        <v>GP009823B832</v>
      </c>
      <c r="B429" s="7" t="s">
        <v>446</v>
      </c>
      <c r="C429" s="7" t="s">
        <v>653</v>
      </c>
      <c r="D429" s="7" t="s">
        <v>19</v>
      </c>
      <c r="E429" s="7" t="s">
        <v>1177</v>
      </c>
      <c r="F429" s="7" t="s">
        <v>128</v>
      </c>
      <c r="G429" s="7" t="s">
        <v>130</v>
      </c>
      <c r="H429" s="7" t="s">
        <v>129</v>
      </c>
      <c r="I429" s="30">
        <v>2</v>
      </c>
      <c r="J429" s="7" t="s">
        <v>1177</v>
      </c>
      <c r="K429" s="7" t="s">
        <v>1178</v>
      </c>
      <c r="L429" s="7" t="s">
        <v>132</v>
      </c>
      <c r="M429" s="7" t="s">
        <v>133</v>
      </c>
      <c r="N429" s="30">
        <v>0</v>
      </c>
      <c r="O429" s="30">
        <v>0</v>
      </c>
      <c r="P429" s="30">
        <v>0</v>
      </c>
      <c r="Q429" s="30">
        <v>0</v>
      </c>
      <c r="R429" s="29">
        <v>0</v>
      </c>
      <c r="S429" s="36">
        <v>0</v>
      </c>
      <c r="T429" s="7" t="s">
        <v>131</v>
      </c>
      <c r="U429" s="7" t="s">
        <v>654</v>
      </c>
      <c r="V429" s="7" t="s">
        <v>654</v>
      </c>
      <c r="W429" s="7" t="s">
        <v>1177</v>
      </c>
      <c r="X429" s="30">
        <v>1</v>
      </c>
      <c r="Y429" s="7" t="s">
        <v>1177</v>
      </c>
      <c r="Z429" s="7" t="s">
        <v>1178</v>
      </c>
      <c r="AA429" s="30">
        <v>0</v>
      </c>
      <c r="AB429" s="36">
        <v>0</v>
      </c>
      <c r="AC429" s="7" t="s">
        <v>1177</v>
      </c>
      <c r="AD429" s="37">
        <v>0</v>
      </c>
      <c r="AE429" s="7" t="s">
        <v>1177</v>
      </c>
      <c r="AF429" s="7" t="s">
        <v>1177</v>
      </c>
      <c r="AG429" s="7" t="s">
        <v>1177</v>
      </c>
      <c r="AH429" s="38"/>
      <c r="AI429" s="36">
        <v>0</v>
      </c>
      <c r="AJ429" s="7" t="s">
        <v>1193</v>
      </c>
      <c r="AK429" s="7" t="s">
        <v>1177</v>
      </c>
      <c r="AL429" s="7" t="s">
        <v>1177</v>
      </c>
      <c r="AM429" s="7" t="s">
        <v>1177</v>
      </c>
      <c r="AN429" s="7" t="s">
        <v>3212</v>
      </c>
      <c r="AO429" s="7" t="s">
        <v>1177</v>
      </c>
      <c r="AP429" s="7" t="s">
        <v>1177</v>
      </c>
      <c r="AQ429" s="7" t="s">
        <v>1177</v>
      </c>
      <c r="AR429" s="29">
        <v>0</v>
      </c>
      <c r="AS429" s="7" t="s">
        <v>1177</v>
      </c>
      <c r="AT429" s="7" t="s">
        <v>1363</v>
      </c>
      <c r="AU429" s="38">
        <v>46275</v>
      </c>
      <c r="AV429" s="39">
        <v>0.60395833333333004</v>
      </c>
    </row>
    <row r="430" spans="1:48" x14ac:dyDescent="0.35">
      <c r="A430" t="str">
        <f t="shared" si="6"/>
        <v>GP009909B833</v>
      </c>
      <c r="B430" s="7" t="s">
        <v>702</v>
      </c>
      <c r="C430" s="7" t="s">
        <v>698</v>
      </c>
      <c r="D430" s="7" t="s">
        <v>697</v>
      </c>
      <c r="E430" s="7" t="s">
        <v>1177</v>
      </c>
      <c r="F430" s="7" t="s">
        <v>128</v>
      </c>
      <c r="G430" s="7" t="s">
        <v>130</v>
      </c>
      <c r="H430" s="7" t="s">
        <v>129</v>
      </c>
      <c r="I430" s="30">
        <v>2</v>
      </c>
      <c r="J430" s="7" t="s">
        <v>1177</v>
      </c>
      <c r="K430" s="7" t="s">
        <v>1178</v>
      </c>
      <c r="L430" s="7" t="s">
        <v>132</v>
      </c>
      <c r="M430" s="7" t="s">
        <v>133</v>
      </c>
      <c r="N430" s="30">
        <v>0</v>
      </c>
      <c r="O430" s="30">
        <v>0</v>
      </c>
      <c r="P430" s="30">
        <v>0</v>
      </c>
      <c r="Q430" s="30">
        <v>0</v>
      </c>
      <c r="R430" s="29">
        <v>0</v>
      </c>
      <c r="S430" s="36">
        <v>0</v>
      </c>
      <c r="T430" s="7" t="s">
        <v>131</v>
      </c>
      <c r="U430" s="7" t="s">
        <v>699</v>
      </c>
      <c r="V430" s="7" t="s">
        <v>699</v>
      </c>
      <c r="W430" s="7" t="s">
        <v>1177</v>
      </c>
      <c r="X430" s="30">
        <v>1</v>
      </c>
      <c r="Y430" s="7" t="s">
        <v>1177</v>
      </c>
      <c r="Z430" s="7" t="s">
        <v>1178</v>
      </c>
      <c r="AA430" s="30">
        <v>0</v>
      </c>
      <c r="AB430" s="36">
        <v>0</v>
      </c>
      <c r="AC430" s="7" t="s">
        <v>1177</v>
      </c>
      <c r="AD430" s="37">
        <v>0</v>
      </c>
      <c r="AE430" s="7" t="s">
        <v>1177</v>
      </c>
      <c r="AF430" s="7" t="s">
        <v>1177</v>
      </c>
      <c r="AG430" s="7" t="s">
        <v>1177</v>
      </c>
      <c r="AH430" s="38"/>
      <c r="AI430" s="36">
        <v>0</v>
      </c>
      <c r="AJ430" s="7" t="s">
        <v>1193</v>
      </c>
      <c r="AK430" s="7" t="s">
        <v>1177</v>
      </c>
      <c r="AL430" s="7" t="s">
        <v>1177</v>
      </c>
      <c r="AM430" s="7" t="s">
        <v>1177</v>
      </c>
      <c r="AN430" s="7" t="s">
        <v>3212</v>
      </c>
      <c r="AO430" s="7" t="s">
        <v>1177</v>
      </c>
      <c r="AP430" s="7" t="s">
        <v>1177</v>
      </c>
      <c r="AQ430" s="7" t="s">
        <v>1177</v>
      </c>
      <c r="AR430" s="29">
        <v>0</v>
      </c>
      <c r="AS430" s="7" t="s">
        <v>1177</v>
      </c>
      <c r="AT430" s="7" t="s">
        <v>1363</v>
      </c>
      <c r="AU430" s="38">
        <v>46275</v>
      </c>
      <c r="AV430" s="39">
        <v>0.60395833333333004</v>
      </c>
    </row>
    <row r="431" spans="1:48" x14ac:dyDescent="0.35">
      <c r="A431" t="str">
        <f t="shared" si="6"/>
        <v>GP010406B867</v>
      </c>
      <c r="B431" s="7" t="s">
        <v>361</v>
      </c>
      <c r="C431" s="7" t="s">
        <v>1059</v>
      </c>
      <c r="D431" s="7" t="s">
        <v>25</v>
      </c>
      <c r="E431" s="7" t="s">
        <v>1177</v>
      </c>
      <c r="F431" s="7" t="s">
        <v>128</v>
      </c>
      <c r="G431" s="7" t="s">
        <v>130</v>
      </c>
      <c r="H431" s="7" t="s">
        <v>129</v>
      </c>
      <c r="I431" s="30">
        <v>2</v>
      </c>
      <c r="J431" s="7" t="s">
        <v>1177</v>
      </c>
      <c r="K431" s="7" t="s">
        <v>1178</v>
      </c>
      <c r="L431" s="7" t="s">
        <v>132</v>
      </c>
      <c r="M431" s="7" t="s">
        <v>133</v>
      </c>
      <c r="N431" s="30">
        <v>0</v>
      </c>
      <c r="O431" s="30">
        <v>0</v>
      </c>
      <c r="P431" s="30">
        <v>0</v>
      </c>
      <c r="Q431" s="30">
        <v>0</v>
      </c>
      <c r="R431" s="29">
        <v>0</v>
      </c>
      <c r="S431" s="36">
        <v>0</v>
      </c>
      <c r="T431" s="7" t="s">
        <v>131</v>
      </c>
      <c r="U431" s="7" t="s">
        <v>1060</v>
      </c>
      <c r="V431" s="7" t="s">
        <v>1060</v>
      </c>
      <c r="W431" s="7" t="s">
        <v>1177</v>
      </c>
      <c r="X431" s="30">
        <v>1</v>
      </c>
      <c r="Y431" s="7" t="s">
        <v>1177</v>
      </c>
      <c r="Z431" s="7" t="s">
        <v>1178</v>
      </c>
      <c r="AA431" s="30">
        <v>0</v>
      </c>
      <c r="AB431" s="36">
        <v>0</v>
      </c>
      <c r="AC431" s="7" t="s">
        <v>1177</v>
      </c>
      <c r="AD431" s="37">
        <v>0</v>
      </c>
      <c r="AE431" s="7" t="s">
        <v>1177</v>
      </c>
      <c r="AF431" s="7" t="s">
        <v>1177</v>
      </c>
      <c r="AG431" s="7" t="s">
        <v>1177</v>
      </c>
      <c r="AH431" s="38"/>
      <c r="AI431" s="36">
        <v>0</v>
      </c>
      <c r="AJ431" s="7" t="s">
        <v>1193</v>
      </c>
      <c r="AK431" s="7" t="s">
        <v>1177</v>
      </c>
      <c r="AL431" s="7" t="s">
        <v>1177</v>
      </c>
      <c r="AM431" s="7" t="s">
        <v>1177</v>
      </c>
      <c r="AN431" s="7" t="s">
        <v>3212</v>
      </c>
      <c r="AO431" s="7" t="s">
        <v>1177</v>
      </c>
      <c r="AP431" s="7" t="s">
        <v>1177</v>
      </c>
      <c r="AQ431" s="7" t="s">
        <v>1177</v>
      </c>
      <c r="AR431" s="29">
        <v>0</v>
      </c>
      <c r="AS431" s="7" t="s">
        <v>1177</v>
      </c>
      <c r="AT431" s="7" t="s">
        <v>1363</v>
      </c>
      <c r="AU431" s="38">
        <v>46275</v>
      </c>
      <c r="AV431" s="39">
        <v>0.62730324074073995</v>
      </c>
    </row>
    <row r="432" spans="1:48" x14ac:dyDescent="0.35">
      <c r="A432" t="str">
        <f t="shared" si="6"/>
        <v>GP010564B825</v>
      </c>
      <c r="B432" s="7" t="s">
        <v>362</v>
      </c>
      <c r="C432" s="7" t="s">
        <v>511</v>
      </c>
      <c r="D432" s="7" t="s">
        <v>16</v>
      </c>
      <c r="E432" s="7" t="s">
        <v>1177</v>
      </c>
      <c r="F432" s="7" t="s">
        <v>128</v>
      </c>
      <c r="G432" s="7" t="s">
        <v>130</v>
      </c>
      <c r="H432" s="7" t="s">
        <v>129</v>
      </c>
      <c r="I432" s="30">
        <v>2</v>
      </c>
      <c r="J432" s="7" t="s">
        <v>1177</v>
      </c>
      <c r="K432" s="7" t="s">
        <v>1178</v>
      </c>
      <c r="L432" s="7" t="s">
        <v>132</v>
      </c>
      <c r="M432" s="7" t="s">
        <v>133</v>
      </c>
      <c r="N432" s="30">
        <v>0</v>
      </c>
      <c r="O432" s="30">
        <v>0</v>
      </c>
      <c r="P432" s="30">
        <v>0</v>
      </c>
      <c r="Q432" s="30">
        <v>0</v>
      </c>
      <c r="R432" s="29">
        <v>0</v>
      </c>
      <c r="S432" s="36">
        <v>0</v>
      </c>
      <c r="T432" s="7" t="s">
        <v>131</v>
      </c>
      <c r="U432" s="7" t="s">
        <v>512</v>
      </c>
      <c r="V432" s="7" t="s">
        <v>512</v>
      </c>
      <c r="W432" s="7" t="s">
        <v>1177</v>
      </c>
      <c r="X432" s="30">
        <v>1</v>
      </c>
      <c r="Y432" s="7" t="s">
        <v>1177</v>
      </c>
      <c r="Z432" s="7" t="s">
        <v>1178</v>
      </c>
      <c r="AA432" s="30">
        <v>0</v>
      </c>
      <c r="AB432" s="36">
        <v>0</v>
      </c>
      <c r="AC432" s="7" t="s">
        <v>1177</v>
      </c>
      <c r="AD432" s="37">
        <v>0</v>
      </c>
      <c r="AE432" s="7" t="s">
        <v>1177</v>
      </c>
      <c r="AF432" s="7" t="s">
        <v>1177</v>
      </c>
      <c r="AG432" s="7" t="s">
        <v>1177</v>
      </c>
      <c r="AH432" s="38"/>
      <c r="AI432" s="36">
        <v>0</v>
      </c>
      <c r="AJ432" s="7" t="s">
        <v>1193</v>
      </c>
      <c r="AK432" s="7" t="s">
        <v>1177</v>
      </c>
      <c r="AL432" s="7" t="s">
        <v>1177</v>
      </c>
      <c r="AM432" s="7" t="s">
        <v>1177</v>
      </c>
      <c r="AN432" s="7" t="s">
        <v>3212</v>
      </c>
      <c r="AO432" s="7" t="s">
        <v>1177</v>
      </c>
      <c r="AP432" s="7" t="s">
        <v>1177</v>
      </c>
      <c r="AQ432" s="7" t="s">
        <v>1177</v>
      </c>
      <c r="AR432" s="29">
        <v>0</v>
      </c>
      <c r="AS432" s="7" t="s">
        <v>1177</v>
      </c>
      <c r="AT432" s="7" t="s">
        <v>1363</v>
      </c>
      <c r="AU432" s="38">
        <v>46275</v>
      </c>
      <c r="AV432" s="39">
        <v>0.60354166666666997</v>
      </c>
    </row>
    <row r="433" spans="1:48" x14ac:dyDescent="0.35">
      <c r="A433" t="str">
        <f t="shared" si="6"/>
        <v>GP010564B857</v>
      </c>
      <c r="B433" s="7" t="s">
        <v>362</v>
      </c>
      <c r="C433" s="7" t="s">
        <v>958</v>
      </c>
      <c r="D433" s="7" t="s">
        <v>23</v>
      </c>
      <c r="E433" s="7" t="s">
        <v>1177</v>
      </c>
      <c r="F433" s="7" t="s">
        <v>128</v>
      </c>
      <c r="G433" s="7" t="s">
        <v>130</v>
      </c>
      <c r="H433" s="7" t="s">
        <v>129</v>
      </c>
      <c r="I433" s="30">
        <v>2</v>
      </c>
      <c r="J433" s="7" t="s">
        <v>1177</v>
      </c>
      <c r="K433" s="7" t="s">
        <v>1178</v>
      </c>
      <c r="L433" s="7" t="s">
        <v>132</v>
      </c>
      <c r="M433" s="7" t="s">
        <v>133</v>
      </c>
      <c r="N433" s="30">
        <v>0</v>
      </c>
      <c r="O433" s="30">
        <v>0</v>
      </c>
      <c r="P433" s="30">
        <v>0</v>
      </c>
      <c r="Q433" s="30">
        <v>0</v>
      </c>
      <c r="R433" s="29">
        <v>0</v>
      </c>
      <c r="S433" s="36">
        <v>0</v>
      </c>
      <c r="T433" s="7" t="s">
        <v>131</v>
      </c>
      <c r="U433" s="7" t="s">
        <v>959</v>
      </c>
      <c r="V433" s="7" t="s">
        <v>959</v>
      </c>
      <c r="W433" s="7" t="s">
        <v>1177</v>
      </c>
      <c r="X433" s="30">
        <v>1</v>
      </c>
      <c r="Y433" s="7" t="s">
        <v>1177</v>
      </c>
      <c r="Z433" s="7" t="s">
        <v>1178</v>
      </c>
      <c r="AA433" s="30">
        <v>0</v>
      </c>
      <c r="AB433" s="36">
        <v>0</v>
      </c>
      <c r="AC433" s="7" t="s">
        <v>1177</v>
      </c>
      <c r="AD433" s="37">
        <v>0</v>
      </c>
      <c r="AE433" s="7" t="s">
        <v>1177</v>
      </c>
      <c r="AF433" s="7" t="s">
        <v>1177</v>
      </c>
      <c r="AG433" s="7" t="s">
        <v>1177</v>
      </c>
      <c r="AH433" s="38"/>
      <c r="AI433" s="36">
        <v>0</v>
      </c>
      <c r="AJ433" s="7" t="s">
        <v>1193</v>
      </c>
      <c r="AK433" s="7" t="s">
        <v>1177</v>
      </c>
      <c r="AL433" s="7" t="s">
        <v>1177</v>
      </c>
      <c r="AM433" s="7" t="s">
        <v>1177</v>
      </c>
      <c r="AN433" s="7" t="s">
        <v>3212</v>
      </c>
      <c r="AO433" s="7" t="s">
        <v>1177</v>
      </c>
      <c r="AP433" s="7" t="s">
        <v>1177</v>
      </c>
      <c r="AQ433" s="7" t="s">
        <v>1177</v>
      </c>
      <c r="AR433" s="29">
        <v>0</v>
      </c>
      <c r="AS433" s="7" t="s">
        <v>1177</v>
      </c>
      <c r="AT433" s="7" t="s">
        <v>1363</v>
      </c>
      <c r="AU433" s="38">
        <v>46275</v>
      </c>
      <c r="AV433" s="39">
        <v>0.60526620370369999</v>
      </c>
    </row>
    <row r="434" spans="1:48" x14ac:dyDescent="0.35">
      <c r="A434" t="str">
        <f t="shared" si="6"/>
        <v>GP010568B825</v>
      </c>
      <c r="B434" s="7" t="s">
        <v>230</v>
      </c>
      <c r="C434" s="7" t="s">
        <v>511</v>
      </c>
      <c r="D434" s="7" t="s">
        <v>16</v>
      </c>
      <c r="E434" s="7" t="s">
        <v>1177</v>
      </c>
      <c r="F434" s="7" t="s">
        <v>128</v>
      </c>
      <c r="G434" s="7" t="s">
        <v>130</v>
      </c>
      <c r="H434" s="7" t="s">
        <v>129</v>
      </c>
      <c r="I434" s="30">
        <v>2</v>
      </c>
      <c r="J434" s="7" t="s">
        <v>1177</v>
      </c>
      <c r="K434" s="7" t="s">
        <v>1178</v>
      </c>
      <c r="L434" s="7" t="s">
        <v>132</v>
      </c>
      <c r="M434" s="7" t="s">
        <v>133</v>
      </c>
      <c r="N434" s="30">
        <v>0</v>
      </c>
      <c r="O434" s="30">
        <v>0</v>
      </c>
      <c r="P434" s="30">
        <v>0</v>
      </c>
      <c r="Q434" s="30">
        <v>0</v>
      </c>
      <c r="R434" s="29">
        <v>0</v>
      </c>
      <c r="S434" s="36">
        <v>0</v>
      </c>
      <c r="T434" s="7" t="s">
        <v>131</v>
      </c>
      <c r="U434" s="7" t="s">
        <v>512</v>
      </c>
      <c r="V434" s="7" t="s">
        <v>512</v>
      </c>
      <c r="W434" s="7" t="s">
        <v>1177</v>
      </c>
      <c r="X434" s="30">
        <v>1</v>
      </c>
      <c r="Y434" s="7" t="s">
        <v>1177</v>
      </c>
      <c r="Z434" s="7" t="s">
        <v>1178</v>
      </c>
      <c r="AA434" s="30">
        <v>0</v>
      </c>
      <c r="AB434" s="36">
        <v>0</v>
      </c>
      <c r="AC434" s="7" t="s">
        <v>1177</v>
      </c>
      <c r="AD434" s="37">
        <v>0</v>
      </c>
      <c r="AE434" s="7" t="s">
        <v>1177</v>
      </c>
      <c r="AF434" s="7" t="s">
        <v>1177</v>
      </c>
      <c r="AG434" s="7" t="s">
        <v>1177</v>
      </c>
      <c r="AH434" s="38"/>
      <c r="AI434" s="36">
        <v>0</v>
      </c>
      <c r="AJ434" s="7" t="s">
        <v>1193</v>
      </c>
      <c r="AK434" s="7" t="s">
        <v>1177</v>
      </c>
      <c r="AL434" s="7" t="s">
        <v>1177</v>
      </c>
      <c r="AM434" s="7" t="s">
        <v>1177</v>
      </c>
      <c r="AN434" s="7" t="s">
        <v>3212</v>
      </c>
      <c r="AO434" s="7" t="s">
        <v>1177</v>
      </c>
      <c r="AP434" s="7" t="s">
        <v>1177</v>
      </c>
      <c r="AQ434" s="7" t="s">
        <v>1177</v>
      </c>
      <c r="AR434" s="29">
        <v>0</v>
      </c>
      <c r="AS434" s="7" t="s">
        <v>1177</v>
      </c>
      <c r="AT434" s="7" t="s">
        <v>1363</v>
      </c>
      <c r="AU434" s="38">
        <v>46275</v>
      </c>
      <c r="AV434" s="39">
        <v>0.60354166666666997</v>
      </c>
    </row>
    <row r="435" spans="1:48" x14ac:dyDescent="0.35">
      <c r="A435" t="str">
        <f t="shared" si="6"/>
        <v>GP010568B832</v>
      </c>
      <c r="B435" s="7" t="s">
        <v>230</v>
      </c>
      <c r="C435" s="7" t="s">
        <v>653</v>
      </c>
      <c r="D435" s="7" t="s">
        <v>19</v>
      </c>
      <c r="E435" s="7" t="s">
        <v>1177</v>
      </c>
      <c r="F435" s="7" t="s">
        <v>128</v>
      </c>
      <c r="G435" s="7" t="s">
        <v>130</v>
      </c>
      <c r="H435" s="7" t="s">
        <v>129</v>
      </c>
      <c r="I435" s="30">
        <v>1</v>
      </c>
      <c r="J435" s="7" t="s">
        <v>1177</v>
      </c>
      <c r="K435" s="7" t="s">
        <v>1178</v>
      </c>
      <c r="L435" s="7" t="s">
        <v>132</v>
      </c>
      <c r="M435" s="7" t="s">
        <v>133</v>
      </c>
      <c r="N435" s="30">
        <v>0</v>
      </c>
      <c r="O435" s="30">
        <v>0</v>
      </c>
      <c r="P435" s="30">
        <v>0</v>
      </c>
      <c r="Q435" s="30">
        <v>0</v>
      </c>
      <c r="R435" s="29">
        <v>0</v>
      </c>
      <c r="S435" s="36">
        <v>0</v>
      </c>
      <c r="T435" s="7" t="s">
        <v>131</v>
      </c>
      <c r="U435" s="7" t="s">
        <v>654</v>
      </c>
      <c r="V435" s="7" t="s">
        <v>654</v>
      </c>
      <c r="W435" s="7" t="s">
        <v>1177</v>
      </c>
      <c r="X435" s="30">
        <v>1</v>
      </c>
      <c r="Y435" s="7" t="s">
        <v>1177</v>
      </c>
      <c r="Z435" s="7" t="s">
        <v>1178</v>
      </c>
      <c r="AA435" s="30">
        <v>0</v>
      </c>
      <c r="AB435" s="36">
        <v>0</v>
      </c>
      <c r="AC435" s="7" t="s">
        <v>1177</v>
      </c>
      <c r="AD435" s="37">
        <v>0</v>
      </c>
      <c r="AE435" s="7" t="s">
        <v>1177</v>
      </c>
      <c r="AF435" s="7" t="s">
        <v>1177</v>
      </c>
      <c r="AG435" s="7" t="s">
        <v>1177</v>
      </c>
      <c r="AH435" s="38"/>
      <c r="AI435" s="36">
        <v>0</v>
      </c>
      <c r="AJ435" s="7" t="s">
        <v>1193</v>
      </c>
      <c r="AK435" s="7" t="s">
        <v>1177</v>
      </c>
      <c r="AL435" s="7" t="s">
        <v>1177</v>
      </c>
      <c r="AM435" s="7" t="s">
        <v>1177</v>
      </c>
      <c r="AN435" s="7" t="s">
        <v>3212</v>
      </c>
      <c r="AO435" s="7" t="s">
        <v>1177</v>
      </c>
      <c r="AP435" s="7" t="s">
        <v>1177</v>
      </c>
      <c r="AQ435" s="7" t="s">
        <v>1177</v>
      </c>
      <c r="AR435" s="29">
        <v>0</v>
      </c>
      <c r="AS435" s="7" t="s">
        <v>1177</v>
      </c>
      <c r="AT435" s="7" t="s">
        <v>1363</v>
      </c>
      <c r="AU435" s="38">
        <v>46275</v>
      </c>
      <c r="AV435" s="39">
        <v>0.60395833333333004</v>
      </c>
    </row>
    <row r="436" spans="1:48" x14ac:dyDescent="0.35">
      <c r="A436" t="str">
        <f t="shared" si="6"/>
        <v>GP010568B838</v>
      </c>
      <c r="B436" s="7" t="s">
        <v>230</v>
      </c>
      <c r="C436" s="7" t="s">
        <v>744</v>
      </c>
      <c r="D436" s="7" t="s">
        <v>48</v>
      </c>
      <c r="E436" s="7" t="s">
        <v>1177</v>
      </c>
      <c r="F436" s="7" t="s">
        <v>128</v>
      </c>
      <c r="G436" s="7" t="s">
        <v>130</v>
      </c>
      <c r="H436" s="7" t="s">
        <v>129</v>
      </c>
      <c r="I436" s="30">
        <v>2</v>
      </c>
      <c r="J436" s="7" t="s">
        <v>1177</v>
      </c>
      <c r="K436" s="7" t="s">
        <v>1178</v>
      </c>
      <c r="L436" s="7" t="s">
        <v>132</v>
      </c>
      <c r="M436" s="7" t="s">
        <v>133</v>
      </c>
      <c r="N436" s="30">
        <v>0</v>
      </c>
      <c r="O436" s="30">
        <v>0</v>
      </c>
      <c r="P436" s="30">
        <v>0</v>
      </c>
      <c r="Q436" s="30">
        <v>0</v>
      </c>
      <c r="R436" s="29">
        <v>0</v>
      </c>
      <c r="S436" s="36">
        <v>0</v>
      </c>
      <c r="T436" s="7" t="s">
        <v>131</v>
      </c>
      <c r="U436" s="7" t="s">
        <v>745</v>
      </c>
      <c r="V436" s="7" t="s">
        <v>745</v>
      </c>
      <c r="W436" s="7" t="s">
        <v>1177</v>
      </c>
      <c r="X436" s="30">
        <v>1</v>
      </c>
      <c r="Y436" s="7" t="s">
        <v>1177</v>
      </c>
      <c r="Z436" s="7" t="s">
        <v>1178</v>
      </c>
      <c r="AA436" s="30">
        <v>0</v>
      </c>
      <c r="AB436" s="36">
        <v>0</v>
      </c>
      <c r="AC436" s="7" t="s">
        <v>1177</v>
      </c>
      <c r="AD436" s="37">
        <v>0</v>
      </c>
      <c r="AE436" s="7" t="s">
        <v>1177</v>
      </c>
      <c r="AF436" s="7" t="s">
        <v>1177</v>
      </c>
      <c r="AG436" s="7" t="s">
        <v>1177</v>
      </c>
      <c r="AH436" s="38"/>
      <c r="AI436" s="36">
        <v>0</v>
      </c>
      <c r="AJ436" s="7" t="s">
        <v>1193</v>
      </c>
      <c r="AK436" s="7" t="s">
        <v>1177</v>
      </c>
      <c r="AL436" s="7" t="s">
        <v>1177</v>
      </c>
      <c r="AM436" s="7" t="s">
        <v>1177</v>
      </c>
      <c r="AN436" s="7" t="s">
        <v>3212</v>
      </c>
      <c r="AO436" s="7" t="s">
        <v>1177</v>
      </c>
      <c r="AP436" s="7" t="s">
        <v>1177</v>
      </c>
      <c r="AQ436" s="7" t="s">
        <v>1177</v>
      </c>
      <c r="AR436" s="29">
        <v>0</v>
      </c>
      <c r="AS436" s="7" t="s">
        <v>1177</v>
      </c>
      <c r="AT436" s="7" t="s">
        <v>1363</v>
      </c>
      <c r="AU436" s="38">
        <v>46275</v>
      </c>
      <c r="AV436" s="39">
        <v>0.60447916666667001</v>
      </c>
    </row>
    <row r="437" spans="1:48" x14ac:dyDescent="0.35">
      <c r="A437" t="str">
        <f t="shared" si="6"/>
        <v>GP010568B856</v>
      </c>
      <c r="B437" s="7" t="s">
        <v>230</v>
      </c>
      <c r="C437" s="7" t="s">
        <v>852</v>
      </c>
      <c r="D437" s="7" t="s">
        <v>21</v>
      </c>
      <c r="E437" s="7" t="s">
        <v>1177</v>
      </c>
      <c r="F437" s="7" t="s">
        <v>128</v>
      </c>
      <c r="G437" s="7" t="s">
        <v>130</v>
      </c>
      <c r="H437" s="7" t="s">
        <v>129</v>
      </c>
      <c r="I437" s="30">
        <v>2</v>
      </c>
      <c r="J437" s="7" t="s">
        <v>1177</v>
      </c>
      <c r="K437" s="7" t="s">
        <v>1178</v>
      </c>
      <c r="L437" s="7" t="s">
        <v>132</v>
      </c>
      <c r="M437" s="7" t="s">
        <v>133</v>
      </c>
      <c r="N437" s="30">
        <v>0</v>
      </c>
      <c r="O437" s="30">
        <v>0</v>
      </c>
      <c r="P437" s="30">
        <v>0</v>
      </c>
      <c r="Q437" s="30">
        <v>0</v>
      </c>
      <c r="R437" s="29">
        <v>0</v>
      </c>
      <c r="S437" s="36">
        <v>0</v>
      </c>
      <c r="T437" s="7" t="s">
        <v>131</v>
      </c>
      <c r="U437" s="7" t="s">
        <v>853</v>
      </c>
      <c r="V437" s="7" t="s">
        <v>853</v>
      </c>
      <c r="W437" s="7" t="s">
        <v>1177</v>
      </c>
      <c r="X437" s="30">
        <v>1</v>
      </c>
      <c r="Y437" s="7" t="s">
        <v>1177</v>
      </c>
      <c r="Z437" s="7" t="s">
        <v>1178</v>
      </c>
      <c r="AA437" s="30">
        <v>0</v>
      </c>
      <c r="AB437" s="36">
        <v>0</v>
      </c>
      <c r="AC437" s="7" t="s">
        <v>1177</v>
      </c>
      <c r="AD437" s="37">
        <v>0</v>
      </c>
      <c r="AE437" s="7" t="s">
        <v>1177</v>
      </c>
      <c r="AF437" s="7" t="s">
        <v>1177</v>
      </c>
      <c r="AG437" s="7" t="s">
        <v>1177</v>
      </c>
      <c r="AH437" s="38"/>
      <c r="AI437" s="36">
        <v>0</v>
      </c>
      <c r="AJ437" s="7" t="s">
        <v>1193</v>
      </c>
      <c r="AK437" s="7" t="s">
        <v>1177</v>
      </c>
      <c r="AL437" s="7" t="s">
        <v>1177</v>
      </c>
      <c r="AM437" s="7" t="s">
        <v>1177</v>
      </c>
      <c r="AN437" s="7" t="s">
        <v>3212</v>
      </c>
      <c r="AO437" s="7" t="s">
        <v>1177</v>
      </c>
      <c r="AP437" s="7" t="s">
        <v>1177</v>
      </c>
      <c r="AQ437" s="7" t="s">
        <v>1177</v>
      </c>
      <c r="AR437" s="29">
        <v>0</v>
      </c>
      <c r="AS437" s="7" t="s">
        <v>1177</v>
      </c>
      <c r="AT437" s="7" t="s">
        <v>1363</v>
      </c>
      <c r="AU437" s="38">
        <v>46275</v>
      </c>
      <c r="AV437" s="39">
        <v>0.60523148148147998</v>
      </c>
    </row>
    <row r="438" spans="1:48" x14ac:dyDescent="0.35">
      <c r="A438" t="str">
        <f t="shared" si="6"/>
        <v>GP010568B857</v>
      </c>
      <c r="B438" s="7" t="s">
        <v>230</v>
      </c>
      <c r="C438" s="7" t="s">
        <v>958</v>
      </c>
      <c r="D438" s="7" t="s">
        <v>23</v>
      </c>
      <c r="E438" s="7" t="s">
        <v>1177</v>
      </c>
      <c r="F438" s="7" t="s">
        <v>128</v>
      </c>
      <c r="G438" s="7" t="s">
        <v>130</v>
      </c>
      <c r="H438" s="7" t="s">
        <v>129</v>
      </c>
      <c r="I438" s="30">
        <v>2</v>
      </c>
      <c r="J438" s="7" t="s">
        <v>1177</v>
      </c>
      <c r="K438" s="7" t="s">
        <v>1178</v>
      </c>
      <c r="L438" s="7" t="s">
        <v>132</v>
      </c>
      <c r="M438" s="7" t="s">
        <v>133</v>
      </c>
      <c r="N438" s="30">
        <v>0</v>
      </c>
      <c r="O438" s="30">
        <v>0</v>
      </c>
      <c r="P438" s="30">
        <v>0</v>
      </c>
      <c r="Q438" s="30">
        <v>0</v>
      </c>
      <c r="R438" s="29">
        <v>0</v>
      </c>
      <c r="S438" s="36">
        <v>0</v>
      </c>
      <c r="T438" s="7" t="s">
        <v>131</v>
      </c>
      <c r="U438" s="7" t="s">
        <v>959</v>
      </c>
      <c r="V438" s="7" t="s">
        <v>959</v>
      </c>
      <c r="W438" s="7" t="s">
        <v>1177</v>
      </c>
      <c r="X438" s="30">
        <v>1</v>
      </c>
      <c r="Y438" s="7" t="s">
        <v>1177</v>
      </c>
      <c r="Z438" s="7" t="s">
        <v>1178</v>
      </c>
      <c r="AA438" s="30">
        <v>0</v>
      </c>
      <c r="AB438" s="36">
        <v>0</v>
      </c>
      <c r="AC438" s="7" t="s">
        <v>1177</v>
      </c>
      <c r="AD438" s="37">
        <v>0</v>
      </c>
      <c r="AE438" s="7" t="s">
        <v>1177</v>
      </c>
      <c r="AF438" s="7" t="s">
        <v>1177</v>
      </c>
      <c r="AG438" s="7" t="s">
        <v>1177</v>
      </c>
      <c r="AH438" s="38"/>
      <c r="AI438" s="36">
        <v>0</v>
      </c>
      <c r="AJ438" s="7" t="s">
        <v>1193</v>
      </c>
      <c r="AK438" s="7" t="s">
        <v>1177</v>
      </c>
      <c r="AL438" s="7" t="s">
        <v>1177</v>
      </c>
      <c r="AM438" s="7" t="s">
        <v>1177</v>
      </c>
      <c r="AN438" s="7" t="s">
        <v>3212</v>
      </c>
      <c r="AO438" s="7" t="s">
        <v>1177</v>
      </c>
      <c r="AP438" s="7" t="s">
        <v>1177</v>
      </c>
      <c r="AQ438" s="7" t="s">
        <v>1177</v>
      </c>
      <c r="AR438" s="29">
        <v>0</v>
      </c>
      <c r="AS438" s="7" t="s">
        <v>1177</v>
      </c>
      <c r="AT438" s="7" t="s">
        <v>1363</v>
      </c>
      <c r="AU438" s="38">
        <v>46275</v>
      </c>
      <c r="AV438" s="39">
        <v>0.60526620370369999</v>
      </c>
    </row>
    <row r="439" spans="1:48" x14ac:dyDescent="0.35">
      <c r="A439" t="str">
        <f t="shared" si="6"/>
        <v>GP010568B865</v>
      </c>
      <c r="B439" s="7" t="s">
        <v>230</v>
      </c>
      <c r="C439" s="7" t="s">
        <v>1039</v>
      </c>
      <c r="D439" s="7" t="s">
        <v>7</v>
      </c>
      <c r="E439" s="7" t="s">
        <v>1177</v>
      </c>
      <c r="F439" s="7" t="s">
        <v>128</v>
      </c>
      <c r="G439" s="7" t="s">
        <v>130</v>
      </c>
      <c r="H439" s="7" t="s">
        <v>129</v>
      </c>
      <c r="I439" s="30">
        <v>2</v>
      </c>
      <c r="J439" s="7" t="s">
        <v>1177</v>
      </c>
      <c r="K439" s="7" t="s">
        <v>1178</v>
      </c>
      <c r="L439" s="7" t="s">
        <v>132</v>
      </c>
      <c r="M439" s="7" t="s">
        <v>133</v>
      </c>
      <c r="N439" s="30">
        <v>0</v>
      </c>
      <c r="O439" s="30">
        <v>0</v>
      </c>
      <c r="P439" s="30">
        <v>0</v>
      </c>
      <c r="Q439" s="30">
        <v>0</v>
      </c>
      <c r="R439" s="29">
        <v>0</v>
      </c>
      <c r="S439" s="36">
        <v>0</v>
      </c>
      <c r="T439" s="7" t="s">
        <v>131</v>
      </c>
      <c r="U439" s="7" t="s">
        <v>1040</v>
      </c>
      <c r="V439" s="7" t="s">
        <v>1040</v>
      </c>
      <c r="W439" s="7" t="s">
        <v>1177</v>
      </c>
      <c r="X439" s="30">
        <v>1</v>
      </c>
      <c r="Y439" s="7" t="s">
        <v>1177</v>
      </c>
      <c r="Z439" s="7" t="s">
        <v>1178</v>
      </c>
      <c r="AA439" s="30">
        <v>0</v>
      </c>
      <c r="AB439" s="36">
        <v>0</v>
      </c>
      <c r="AC439" s="7" t="s">
        <v>1177</v>
      </c>
      <c r="AD439" s="37">
        <v>0</v>
      </c>
      <c r="AE439" s="7" t="s">
        <v>1177</v>
      </c>
      <c r="AF439" s="7" t="s">
        <v>1177</v>
      </c>
      <c r="AG439" s="7" t="s">
        <v>1177</v>
      </c>
      <c r="AH439" s="38"/>
      <c r="AI439" s="36">
        <v>0</v>
      </c>
      <c r="AJ439" s="7" t="s">
        <v>1193</v>
      </c>
      <c r="AK439" s="7" t="s">
        <v>1177</v>
      </c>
      <c r="AL439" s="7" t="s">
        <v>1177</v>
      </c>
      <c r="AM439" s="7" t="s">
        <v>1177</v>
      </c>
      <c r="AN439" s="7" t="s">
        <v>3212</v>
      </c>
      <c r="AO439" s="7" t="s">
        <v>1177</v>
      </c>
      <c r="AP439" s="7" t="s">
        <v>1177</v>
      </c>
      <c r="AQ439" s="7" t="s">
        <v>1177</v>
      </c>
      <c r="AR439" s="29">
        <v>0</v>
      </c>
      <c r="AS439" s="7" t="s">
        <v>1177</v>
      </c>
      <c r="AT439" s="7" t="s">
        <v>1363</v>
      </c>
      <c r="AU439" s="38">
        <v>46275</v>
      </c>
      <c r="AV439" s="39">
        <v>0.60550925925926002</v>
      </c>
    </row>
    <row r="440" spans="1:48" x14ac:dyDescent="0.35">
      <c r="A440" t="str">
        <f t="shared" si="6"/>
        <v>GP011051B856</v>
      </c>
      <c r="B440" s="7" t="s">
        <v>629</v>
      </c>
      <c r="C440" s="7" t="s">
        <v>852</v>
      </c>
      <c r="D440" s="7" t="s">
        <v>21</v>
      </c>
      <c r="E440" s="7" t="s">
        <v>1177</v>
      </c>
      <c r="F440" s="7" t="s">
        <v>128</v>
      </c>
      <c r="G440" s="7" t="s">
        <v>130</v>
      </c>
      <c r="H440" s="7" t="s">
        <v>129</v>
      </c>
      <c r="I440" s="30">
        <v>2</v>
      </c>
      <c r="J440" s="7" t="s">
        <v>1177</v>
      </c>
      <c r="K440" s="7" t="s">
        <v>1178</v>
      </c>
      <c r="L440" s="7" t="s">
        <v>132</v>
      </c>
      <c r="M440" s="7" t="s">
        <v>133</v>
      </c>
      <c r="N440" s="30">
        <v>0</v>
      </c>
      <c r="O440" s="30">
        <v>0</v>
      </c>
      <c r="P440" s="30">
        <v>0</v>
      </c>
      <c r="Q440" s="30">
        <v>0</v>
      </c>
      <c r="R440" s="29">
        <v>0</v>
      </c>
      <c r="S440" s="36">
        <v>0</v>
      </c>
      <c r="T440" s="7" t="s">
        <v>131</v>
      </c>
      <c r="U440" s="7" t="s">
        <v>853</v>
      </c>
      <c r="V440" s="7" t="s">
        <v>853</v>
      </c>
      <c r="W440" s="7" t="s">
        <v>1177</v>
      </c>
      <c r="X440" s="30">
        <v>1</v>
      </c>
      <c r="Y440" s="7" t="s">
        <v>1177</v>
      </c>
      <c r="Z440" s="7" t="s">
        <v>1178</v>
      </c>
      <c r="AA440" s="30">
        <v>0</v>
      </c>
      <c r="AB440" s="36">
        <v>0</v>
      </c>
      <c r="AC440" s="7" t="s">
        <v>1177</v>
      </c>
      <c r="AD440" s="37">
        <v>0</v>
      </c>
      <c r="AE440" s="7" t="s">
        <v>1177</v>
      </c>
      <c r="AF440" s="7" t="s">
        <v>1177</v>
      </c>
      <c r="AG440" s="7" t="s">
        <v>1177</v>
      </c>
      <c r="AH440" s="38"/>
      <c r="AI440" s="36">
        <v>0</v>
      </c>
      <c r="AJ440" s="7" t="s">
        <v>1193</v>
      </c>
      <c r="AK440" s="7" t="s">
        <v>1177</v>
      </c>
      <c r="AL440" s="7" t="s">
        <v>1177</v>
      </c>
      <c r="AM440" s="7" t="s">
        <v>1177</v>
      </c>
      <c r="AN440" s="7" t="s">
        <v>3212</v>
      </c>
      <c r="AO440" s="7" t="s">
        <v>1177</v>
      </c>
      <c r="AP440" s="7" t="s">
        <v>1177</v>
      </c>
      <c r="AQ440" s="7" t="s">
        <v>1177</v>
      </c>
      <c r="AR440" s="29">
        <v>0</v>
      </c>
      <c r="AS440" s="7" t="s">
        <v>1177</v>
      </c>
      <c r="AT440" s="7" t="s">
        <v>1363</v>
      </c>
      <c r="AU440" s="38">
        <v>46275</v>
      </c>
      <c r="AV440" s="39">
        <v>0.62490740740741002</v>
      </c>
    </row>
    <row r="441" spans="1:48" x14ac:dyDescent="0.35">
      <c r="A441" t="str">
        <f t="shared" si="6"/>
        <v>GP011177B832</v>
      </c>
      <c r="B441" s="7" t="s">
        <v>658</v>
      </c>
      <c r="C441" s="7" t="s">
        <v>653</v>
      </c>
      <c r="D441" s="7" t="s">
        <v>19</v>
      </c>
      <c r="E441" s="7" t="s">
        <v>1177</v>
      </c>
      <c r="F441" s="7" t="s">
        <v>128</v>
      </c>
      <c r="G441" s="7" t="s">
        <v>130</v>
      </c>
      <c r="H441" s="7" t="s">
        <v>129</v>
      </c>
      <c r="I441" s="30">
        <v>2</v>
      </c>
      <c r="J441" s="7" t="s">
        <v>1177</v>
      </c>
      <c r="K441" s="7" t="s">
        <v>1178</v>
      </c>
      <c r="L441" s="7" t="s">
        <v>132</v>
      </c>
      <c r="M441" s="7" t="s">
        <v>133</v>
      </c>
      <c r="N441" s="30">
        <v>0</v>
      </c>
      <c r="O441" s="30">
        <v>0</v>
      </c>
      <c r="P441" s="30">
        <v>0</v>
      </c>
      <c r="Q441" s="30">
        <v>0</v>
      </c>
      <c r="R441" s="29">
        <v>0</v>
      </c>
      <c r="S441" s="36">
        <v>0</v>
      </c>
      <c r="T441" s="7" t="s">
        <v>131</v>
      </c>
      <c r="U441" s="7" t="s">
        <v>654</v>
      </c>
      <c r="V441" s="7" t="s">
        <v>654</v>
      </c>
      <c r="W441" s="7" t="s">
        <v>1177</v>
      </c>
      <c r="X441" s="30">
        <v>1</v>
      </c>
      <c r="Y441" s="7" t="s">
        <v>1177</v>
      </c>
      <c r="Z441" s="7" t="s">
        <v>1178</v>
      </c>
      <c r="AA441" s="30">
        <v>0</v>
      </c>
      <c r="AB441" s="36">
        <v>0</v>
      </c>
      <c r="AC441" s="7" t="s">
        <v>1177</v>
      </c>
      <c r="AD441" s="37">
        <v>0</v>
      </c>
      <c r="AE441" s="7" t="s">
        <v>1177</v>
      </c>
      <c r="AF441" s="7" t="s">
        <v>1177</v>
      </c>
      <c r="AG441" s="7" t="s">
        <v>1177</v>
      </c>
      <c r="AH441" s="38"/>
      <c r="AI441" s="36">
        <v>0</v>
      </c>
      <c r="AJ441" s="7" t="s">
        <v>1193</v>
      </c>
      <c r="AK441" s="7" t="s">
        <v>1177</v>
      </c>
      <c r="AL441" s="7" t="s">
        <v>1177</v>
      </c>
      <c r="AM441" s="7" t="s">
        <v>1177</v>
      </c>
      <c r="AN441" s="7" t="s">
        <v>3212</v>
      </c>
      <c r="AO441" s="7" t="s">
        <v>1177</v>
      </c>
      <c r="AP441" s="7" t="s">
        <v>1177</v>
      </c>
      <c r="AQ441" s="7" t="s">
        <v>1177</v>
      </c>
      <c r="AR441" s="29">
        <v>0</v>
      </c>
      <c r="AS441" s="7" t="s">
        <v>1177</v>
      </c>
      <c r="AT441" s="7" t="s">
        <v>1363</v>
      </c>
      <c r="AU441" s="38">
        <v>46275</v>
      </c>
      <c r="AV441" s="39">
        <v>0.62335648148148004</v>
      </c>
    </row>
    <row r="442" spans="1:48" x14ac:dyDescent="0.35">
      <c r="A442" t="str">
        <f t="shared" si="6"/>
        <v>GP011625B825</v>
      </c>
      <c r="B442" s="7" t="s">
        <v>363</v>
      </c>
      <c r="C442" s="7" t="s">
        <v>511</v>
      </c>
      <c r="D442" s="7" t="s">
        <v>16</v>
      </c>
      <c r="E442" s="7" t="s">
        <v>1177</v>
      </c>
      <c r="F442" s="7" t="s">
        <v>128</v>
      </c>
      <c r="G442" s="7" t="s">
        <v>130</v>
      </c>
      <c r="H442" s="7" t="s">
        <v>129</v>
      </c>
      <c r="I442" s="30">
        <v>2</v>
      </c>
      <c r="J442" s="7" t="s">
        <v>1177</v>
      </c>
      <c r="K442" s="7" t="s">
        <v>1178</v>
      </c>
      <c r="L442" s="7" t="s">
        <v>132</v>
      </c>
      <c r="M442" s="7" t="s">
        <v>133</v>
      </c>
      <c r="N442" s="30">
        <v>0</v>
      </c>
      <c r="O442" s="30">
        <v>0</v>
      </c>
      <c r="P442" s="30">
        <v>0</v>
      </c>
      <c r="Q442" s="30">
        <v>0</v>
      </c>
      <c r="R442" s="29">
        <v>0</v>
      </c>
      <c r="S442" s="36">
        <v>0</v>
      </c>
      <c r="T442" s="7" t="s">
        <v>131</v>
      </c>
      <c r="U442" s="7" t="s">
        <v>512</v>
      </c>
      <c r="V442" s="7" t="s">
        <v>512</v>
      </c>
      <c r="W442" s="7" t="s">
        <v>1177</v>
      </c>
      <c r="X442" s="30">
        <v>1</v>
      </c>
      <c r="Y442" s="7" t="s">
        <v>1177</v>
      </c>
      <c r="Z442" s="7" t="s">
        <v>1178</v>
      </c>
      <c r="AA442" s="30">
        <v>0</v>
      </c>
      <c r="AB442" s="36">
        <v>0</v>
      </c>
      <c r="AC442" s="7" t="s">
        <v>1177</v>
      </c>
      <c r="AD442" s="37">
        <v>0</v>
      </c>
      <c r="AE442" s="7" t="s">
        <v>1177</v>
      </c>
      <c r="AF442" s="7" t="s">
        <v>1177</v>
      </c>
      <c r="AG442" s="7" t="s">
        <v>1177</v>
      </c>
      <c r="AH442" s="38"/>
      <c r="AI442" s="36">
        <v>0</v>
      </c>
      <c r="AJ442" s="7" t="s">
        <v>1193</v>
      </c>
      <c r="AK442" s="7" t="s">
        <v>1177</v>
      </c>
      <c r="AL442" s="7" t="s">
        <v>1177</v>
      </c>
      <c r="AM442" s="7" t="s">
        <v>1177</v>
      </c>
      <c r="AN442" s="7" t="s">
        <v>3212</v>
      </c>
      <c r="AO442" s="7" t="s">
        <v>1177</v>
      </c>
      <c r="AP442" s="7" t="s">
        <v>1177</v>
      </c>
      <c r="AQ442" s="7" t="s">
        <v>1177</v>
      </c>
      <c r="AR442" s="29">
        <v>0</v>
      </c>
      <c r="AS442" s="7" t="s">
        <v>1177</v>
      </c>
      <c r="AT442" s="7" t="s">
        <v>1363</v>
      </c>
      <c r="AU442" s="38">
        <v>46275</v>
      </c>
      <c r="AV442" s="39">
        <v>0.60354166666666997</v>
      </c>
    </row>
    <row r="443" spans="1:48" x14ac:dyDescent="0.35">
      <c r="A443" t="str">
        <f t="shared" si="6"/>
        <v>GP011664B864</v>
      </c>
      <c r="B443" s="7" t="s">
        <v>630</v>
      </c>
      <c r="C443" s="7" t="s">
        <v>1010</v>
      </c>
      <c r="D443" s="7" t="s">
        <v>10</v>
      </c>
      <c r="E443" s="7" t="s">
        <v>1177</v>
      </c>
      <c r="F443" s="7" t="s">
        <v>128</v>
      </c>
      <c r="G443" s="7" t="s">
        <v>130</v>
      </c>
      <c r="H443" s="7" t="s">
        <v>129</v>
      </c>
      <c r="I443" s="30">
        <v>2</v>
      </c>
      <c r="J443" s="7" t="s">
        <v>1177</v>
      </c>
      <c r="K443" s="7" t="s">
        <v>1178</v>
      </c>
      <c r="L443" s="7" t="s">
        <v>132</v>
      </c>
      <c r="M443" s="7" t="s">
        <v>133</v>
      </c>
      <c r="N443" s="30">
        <v>0</v>
      </c>
      <c r="O443" s="30">
        <v>0</v>
      </c>
      <c r="P443" s="30">
        <v>0</v>
      </c>
      <c r="Q443" s="30">
        <v>0</v>
      </c>
      <c r="R443" s="29">
        <v>0</v>
      </c>
      <c r="S443" s="36">
        <v>0</v>
      </c>
      <c r="T443" s="7" t="s">
        <v>131</v>
      </c>
      <c r="U443" s="7" t="s">
        <v>1011</v>
      </c>
      <c r="V443" s="7" t="s">
        <v>1011</v>
      </c>
      <c r="W443" s="7" t="s">
        <v>1177</v>
      </c>
      <c r="X443" s="30">
        <v>1</v>
      </c>
      <c r="Y443" s="7" t="s">
        <v>1177</v>
      </c>
      <c r="Z443" s="7" t="s">
        <v>1178</v>
      </c>
      <c r="AA443" s="30">
        <v>0</v>
      </c>
      <c r="AB443" s="36">
        <v>0</v>
      </c>
      <c r="AC443" s="7" t="s">
        <v>1177</v>
      </c>
      <c r="AD443" s="37">
        <v>0</v>
      </c>
      <c r="AE443" s="7" t="s">
        <v>1177</v>
      </c>
      <c r="AF443" s="7" t="s">
        <v>1177</v>
      </c>
      <c r="AG443" s="7" t="s">
        <v>1177</v>
      </c>
      <c r="AH443" s="38"/>
      <c r="AI443" s="36">
        <v>0</v>
      </c>
      <c r="AJ443" s="7" t="s">
        <v>1193</v>
      </c>
      <c r="AK443" s="7" t="s">
        <v>1177</v>
      </c>
      <c r="AL443" s="7" t="s">
        <v>1177</v>
      </c>
      <c r="AM443" s="7" t="s">
        <v>1177</v>
      </c>
      <c r="AN443" s="7" t="s">
        <v>3212</v>
      </c>
      <c r="AO443" s="7" t="s">
        <v>1177</v>
      </c>
      <c r="AP443" s="7" t="s">
        <v>1177</v>
      </c>
      <c r="AQ443" s="7" t="s">
        <v>1177</v>
      </c>
      <c r="AR443" s="29">
        <v>0</v>
      </c>
      <c r="AS443" s="7" t="s">
        <v>1177</v>
      </c>
      <c r="AT443" s="7" t="s">
        <v>1363</v>
      </c>
      <c r="AU443" s="38">
        <v>46275</v>
      </c>
      <c r="AV443" s="39">
        <v>0.62651620370369998</v>
      </c>
    </row>
    <row r="444" spans="1:48" x14ac:dyDescent="0.35">
      <c r="A444" t="str">
        <f t="shared" si="6"/>
        <v>GP011664B865</v>
      </c>
      <c r="B444" s="7" t="s">
        <v>630</v>
      </c>
      <c r="C444" s="7" t="s">
        <v>1039</v>
      </c>
      <c r="D444" s="7" t="s">
        <v>7</v>
      </c>
      <c r="E444" s="7" t="s">
        <v>1177</v>
      </c>
      <c r="F444" s="7" t="s">
        <v>128</v>
      </c>
      <c r="G444" s="7" t="s">
        <v>130</v>
      </c>
      <c r="H444" s="7" t="s">
        <v>129</v>
      </c>
      <c r="I444" s="30">
        <v>6</v>
      </c>
      <c r="J444" s="7" t="s">
        <v>1177</v>
      </c>
      <c r="K444" s="7" t="s">
        <v>1178</v>
      </c>
      <c r="L444" s="7" t="s">
        <v>132</v>
      </c>
      <c r="M444" s="7" t="s">
        <v>133</v>
      </c>
      <c r="N444" s="30">
        <v>0</v>
      </c>
      <c r="O444" s="30">
        <v>0</v>
      </c>
      <c r="P444" s="30">
        <v>0</v>
      </c>
      <c r="Q444" s="30">
        <v>0</v>
      </c>
      <c r="R444" s="29">
        <v>0</v>
      </c>
      <c r="S444" s="36">
        <v>0</v>
      </c>
      <c r="T444" s="7" t="s">
        <v>131</v>
      </c>
      <c r="U444" s="7" t="s">
        <v>1040</v>
      </c>
      <c r="V444" s="7" t="s">
        <v>1040</v>
      </c>
      <c r="W444" s="7" t="s">
        <v>1177</v>
      </c>
      <c r="X444" s="30">
        <v>2</v>
      </c>
      <c r="Y444" s="7" t="s">
        <v>1177</v>
      </c>
      <c r="Z444" s="7" t="s">
        <v>1178</v>
      </c>
      <c r="AA444" s="30">
        <v>0</v>
      </c>
      <c r="AB444" s="36">
        <v>0</v>
      </c>
      <c r="AC444" s="7" t="s">
        <v>1177</v>
      </c>
      <c r="AD444" s="37">
        <v>0</v>
      </c>
      <c r="AE444" s="7" t="s">
        <v>1177</v>
      </c>
      <c r="AF444" s="7" t="s">
        <v>1177</v>
      </c>
      <c r="AG444" s="7" t="s">
        <v>1177</v>
      </c>
      <c r="AH444" s="38"/>
      <c r="AI444" s="36">
        <v>0</v>
      </c>
      <c r="AJ444" s="7" t="s">
        <v>1193</v>
      </c>
      <c r="AK444" s="7" t="s">
        <v>1177</v>
      </c>
      <c r="AL444" s="7" t="s">
        <v>1177</v>
      </c>
      <c r="AM444" s="7" t="s">
        <v>1177</v>
      </c>
      <c r="AN444" s="7" t="s">
        <v>3212</v>
      </c>
      <c r="AO444" s="7" t="s">
        <v>1177</v>
      </c>
      <c r="AP444" s="7" t="s">
        <v>1177</v>
      </c>
      <c r="AQ444" s="7" t="s">
        <v>1177</v>
      </c>
      <c r="AR444" s="29">
        <v>0</v>
      </c>
      <c r="AS444" s="7" t="s">
        <v>1177</v>
      </c>
      <c r="AT444" s="7" t="s">
        <v>1363</v>
      </c>
      <c r="AU444" s="38">
        <v>46275</v>
      </c>
      <c r="AV444" s="39">
        <v>0.62665509259259</v>
      </c>
    </row>
    <row r="445" spans="1:48" x14ac:dyDescent="0.35">
      <c r="A445" t="str">
        <f t="shared" si="6"/>
        <v>GP011681B838</v>
      </c>
      <c r="B445" s="7" t="s">
        <v>153</v>
      </c>
      <c r="C445" s="7" t="s">
        <v>744</v>
      </c>
      <c r="D445" s="7" t="s">
        <v>48</v>
      </c>
      <c r="E445" s="7" t="s">
        <v>1177</v>
      </c>
      <c r="F445" s="7" t="s">
        <v>128</v>
      </c>
      <c r="G445" s="7" t="s">
        <v>130</v>
      </c>
      <c r="H445" s="7" t="s">
        <v>129</v>
      </c>
      <c r="I445" s="30">
        <v>1</v>
      </c>
      <c r="J445" s="7" t="s">
        <v>1177</v>
      </c>
      <c r="K445" s="7" t="s">
        <v>1178</v>
      </c>
      <c r="L445" s="7" t="s">
        <v>132</v>
      </c>
      <c r="M445" s="7" t="s">
        <v>133</v>
      </c>
      <c r="N445" s="30">
        <v>0</v>
      </c>
      <c r="O445" s="30">
        <v>0</v>
      </c>
      <c r="P445" s="30">
        <v>0</v>
      </c>
      <c r="Q445" s="30">
        <v>0</v>
      </c>
      <c r="R445" s="29">
        <v>0</v>
      </c>
      <c r="S445" s="36">
        <v>0</v>
      </c>
      <c r="T445" s="7" t="s">
        <v>131</v>
      </c>
      <c r="U445" s="7" t="s">
        <v>745</v>
      </c>
      <c r="V445" s="7" t="s">
        <v>745</v>
      </c>
      <c r="W445" s="7" t="s">
        <v>1177</v>
      </c>
      <c r="X445" s="30">
        <v>1</v>
      </c>
      <c r="Y445" s="7" t="s">
        <v>1177</v>
      </c>
      <c r="Z445" s="7" t="s">
        <v>1178</v>
      </c>
      <c r="AA445" s="30">
        <v>0</v>
      </c>
      <c r="AB445" s="36">
        <v>0</v>
      </c>
      <c r="AC445" s="7" t="s">
        <v>1177</v>
      </c>
      <c r="AD445" s="37">
        <v>0</v>
      </c>
      <c r="AE445" s="7" t="s">
        <v>1177</v>
      </c>
      <c r="AF445" s="7" t="s">
        <v>1177</v>
      </c>
      <c r="AG445" s="7" t="s">
        <v>1177</v>
      </c>
      <c r="AH445" s="38"/>
      <c r="AI445" s="36">
        <v>0</v>
      </c>
      <c r="AJ445" s="7" t="s">
        <v>1193</v>
      </c>
      <c r="AK445" s="7" t="s">
        <v>1177</v>
      </c>
      <c r="AL445" s="7" t="s">
        <v>1177</v>
      </c>
      <c r="AM445" s="7" t="s">
        <v>1177</v>
      </c>
      <c r="AN445" s="7" t="s">
        <v>3212</v>
      </c>
      <c r="AO445" s="7" t="s">
        <v>1177</v>
      </c>
      <c r="AP445" s="7" t="s">
        <v>1177</v>
      </c>
      <c r="AQ445" s="7" t="s">
        <v>1177</v>
      </c>
      <c r="AR445" s="29">
        <v>0</v>
      </c>
      <c r="AS445" s="7" t="s">
        <v>1177</v>
      </c>
      <c r="AT445" s="7" t="s">
        <v>1363</v>
      </c>
      <c r="AU445" s="38">
        <v>46275</v>
      </c>
      <c r="AV445" s="39">
        <v>0.60449074074074005</v>
      </c>
    </row>
    <row r="446" spans="1:48" x14ac:dyDescent="0.35">
      <c r="A446" t="str">
        <f t="shared" si="6"/>
        <v>GP011826B857</v>
      </c>
      <c r="B446" s="7" t="s">
        <v>965</v>
      </c>
      <c r="C446" s="7" t="s">
        <v>958</v>
      </c>
      <c r="D446" s="7" t="s">
        <v>23</v>
      </c>
      <c r="E446" s="7" t="s">
        <v>1177</v>
      </c>
      <c r="F446" s="7" t="s">
        <v>128</v>
      </c>
      <c r="G446" s="7" t="s">
        <v>130</v>
      </c>
      <c r="H446" s="7" t="s">
        <v>129</v>
      </c>
      <c r="I446" s="30">
        <v>2</v>
      </c>
      <c r="J446" s="7" t="s">
        <v>1177</v>
      </c>
      <c r="K446" s="7" t="s">
        <v>1178</v>
      </c>
      <c r="L446" s="7" t="s">
        <v>132</v>
      </c>
      <c r="M446" s="7" t="s">
        <v>133</v>
      </c>
      <c r="N446" s="30">
        <v>0</v>
      </c>
      <c r="O446" s="30">
        <v>0</v>
      </c>
      <c r="P446" s="30">
        <v>0</v>
      </c>
      <c r="Q446" s="30">
        <v>0</v>
      </c>
      <c r="R446" s="29">
        <v>0</v>
      </c>
      <c r="S446" s="36">
        <v>0</v>
      </c>
      <c r="T446" s="7" t="s">
        <v>131</v>
      </c>
      <c r="U446" s="7" t="s">
        <v>959</v>
      </c>
      <c r="V446" s="7" t="s">
        <v>959</v>
      </c>
      <c r="W446" s="7" t="s">
        <v>1177</v>
      </c>
      <c r="X446" s="30">
        <v>1</v>
      </c>
      <c r="Y446" s="7" t="s">
        <v>1177</v>
      </c>
      <c r="Z446" s="7" t="s">
        <v>1178</v>
      </c>
      <c r="AA446" s="30">
        <v>0</v>
      </c>
      <c r="AB446" s="36">
        <v>0</v>
      </c>
      <c r="AC446" s="7" t="s">
        <v>1177</v>
      </c>
      <c r="AD446" s="37">
        <v>0</v>
      </c>
      <c r="AE446" s="7" t="s">
        <v>1177</v>
      </c>
      <c r="AF446" s="7" t="s">
        <v>1177</v>
      </c>
      <c r="AG446" s="7" t="s">
        <v>1177</v>
      </c>
      <c r="AH446" s="38"/>
      <c r="AI446" s="36">
        <v>0</v>
      </c>
      <c r="AJ446" s="7" t="s">
        <v>1193</v>
      </c>
      <c r="AK446" s="7" t="s">
        <v>1177</v>
      </c>
      <c r="AL446" s="7" t="s">
        <v>1177</v>
      </c>
      <c r="AM446" s="7" t="s">
        <v>1177</v>
      </c>
      <c r="AN446" s="7" t="s">
        <v>3212</v>
      </c>
      <c r="AO446" s="7" t="s">
        <v>1177</v>
      </c>
      <c r="AP446" s="7" t="s">
        <v>1177</v>
      </c>
      <c r="AQ446" s="7" t="s">
        <v>1177</v>
      </c>
      <c r="AR446" s="29">
        <v>0</v>
      </c>
      <c r="AS446" s="7" t="s">
        <v>1177</v>
      </c>
      <c r="AT446" s="7" t="s">
        <v>1363</v>
      </c>
      <c r="AU446" s="38">
        <v>46275</v>
      </c>
      <c r="AV446" s="39">
        <v>0.62497685185185003</v>
      </c>
    </row>
    <row r="447" spans="1:48" x14ac:dyDescent="0.35">
      <c r="A447" t="str">
        <f t="shared" si="6"/>
        <v>GP012554B825</v>
      </c>
      <c r="B447" s="7" t="s">
        <v>522</v>
      </c>
      <c r="C447" s="7" t="s">
        <v>511</v>
      </c>
      <c r="D447" s="7" t="s">
        <v>16</v>
      </c>
      <c r="E447" s="7" t="s">
        <v>1177</v>
      </c>
      <c r="F447" s="7" t="s">
        <v>128</v>
      </c>
      <c r="G447" s="7" t="s">
        <v>130</v>
      </c>
      <c r="H447" s="7" t="s">
        <v>129</v>
      </c>
      <c r="I447" s="30">
        <v>2</v>
      </c>
      <c r="J447" s="7" t="s">
        <v>1177</v>
      </c>
      <c r="K447" s="7" t="s">
        <v>1178</v>
      </c>
      <c r="L447" s="7" t="s">
        <v>132</v>
      </c>
      <c r="M447" s="7" t="s">
        <v>133</v>
      </c>
      <c r="N447" s="30">
        <v>0</v>
      </c>
      <c r="O447" s="30">
        <v>0</v>
      </c>
      <c r="P447" s="30">
        <v>0</v>
      </c>
      <c r="Q447" s="30">
        <v>0</v>
      </c>
      <c r="R447" s="29">
        <v>0</v>
      </c>
      <c r="S447" s="36">
        <v>0</v>
      </c>
      <c r="T447" s="7" t="s">
        <v>131</v>
      </c>
      <c r="U447" s="7" t="s">
        <v>512</v>
      </c>
      <c r="V447" s="7" t="s">
        <v>512</v>
      </c>
      <c r="W447" s="7" t="s">
        <v>1177</v>
      </c>
      <c r="X447" s="30">
        <v>1</v>
      </c>
      <c r="Y447" s="7" t="s">
        <v>1177</v>
      </c>
      <c r="Z447" s="7" t="s">
        <v>1178</v>
      </c>
      <c r="AA447" s="30">
        <v>0</v>
      </c>
      <c r="AB447" s="36">
        <v>0</v>
      </c>
      <c r="AC447" s="7" t="s">
        <v>1177</v>
      </c>
      <c r="AD447" s="37">
        <v>0</v>
      </c>
      <c r="AE447" s="7" t="s">
        <v>1177</v>
      </c>
      <c r="AF447" s="7" t="s">
        <v>1177</v>
      </c>
      <c r="AG447" s="7" t="s">
        <v>1177</v>
      </c>
      <c r="AH447" s="38"/>
      <c r="AI447" s="36">
        <v>0</v>
      </c>
      <c r="AJ447" s="7" t="s">
        <v>1193</v>
      </c>
      <c r="AK447" s="7" t="s">
        <v>1177</v>
      </c>
      <c r="AL447" s="7" t="s">
        <v>1177</v>
      </c>
      <c r="AM447" s="7" t="s">
        <v>1177</v>
      </c>
      <c r="AN447" s="7" t="s">
        <v>3212</v>
      </c>
      <c r="AO447" s="7" t="s">
        <v>1177</v>
      </c>
      <c r="AP447" s="7" t="s">
        <v>1177</v>
      </c>
      <c r="AQ447" s="7" t="s">
        <v>1177</v>
      </c>
      <c r="AR447" s="29">
        <v>0</v>
      </c>
      <c r="AS447" s="7" t="s">
        <v>1177</v>
      </c>
      <c r="AT447" s="7" t="s">
        <v>1363</v>
      </c>
      <c r="AU447" s="38">
        <v>46275</v>
      </c>
      <c r="AV447" s="39">
        <v>0.62302083333333003</v>
      </c>
    </row>
    <row r="448" spans="1:48" x14ac:dyDescent="0.35">
      <c r="A448" t="str">
        <f t="shared" si="6"/>
        <v>GP012777-001B865</v>
      </c>
      <c r="B448" s="7" t="s">
        <v>469</v>
      </c>
      <c r="C448" s="7" t="s">
        <v>1039</v>
      </c>
      <c r="D448" s="7" t="s">
        <v>7</v>
      </c>
      <c r="E448" s="7" t="s">
        <v>1177</v>
      </c>
      <c r="F448" s="7" t="s">
        <v>128</v>
      </c>
      <c r="G448" s="7" t="s">
        <v>130</v>
      </c>
      <c r="H448" s="7" t="s">
        <v>129</v>
      </c>
      <c r="I448" s="30">
        <v>300</v>
      </c>
      <c r="J448" s="7" t="s">
        <v>1177</v>
      </c>
      <c r="K448" s="7" t="s">
        <v>1178</v>
      </c>
      <c r="L448" s="7" t="s">
        <v>132</v>
      </c>
      <c r="M448" s="7" t="s">
        <v>137</v>
      </c>
      <c r="N448" s="30">
        <v>0</v>
      </c>
      <c r="O448" s="30">
        <v>0</v>
      </c>
      <c r="P448" s="30">
        <v>0</v>
      </c>
      <c r="Q448" s="30">
        <v>0</v>
      </c>
      <c r="R448" s="29">
        <v>0</v>
      </c>
      <c r="S448" s="36">
        <v>0</v>
      </c>
      <c r="T448" s="7" t="s">
        <v>131</v>
      </c>
      <c r="U448" s="7" t="s">
        <v>1040</v>
      </c>
      <c r="V448" s="7" t="s">
        <v>1040</v>
      </c>
      <c r="W448" s="7" t="s">
        <v>1177</v>
      </c>
      <c r="X448" s="30">
        <v>75</v>
      </c>
      <c r="Y448" s="7" t="s">
        <v>1177</v>
      </c>
      <c r="Z448" s="7" t="s">
        <v>1178</v>
      </c>
      <c r="AA448" s="30">
        <v>0</v>
      </c>
      <c r="AB448" s="36">
        <v>0</v>
      </c>
      <c r="AC448" s="7" t="s">
        <v>1177</v>
      </c>
      <c r="AD448" s="37">
        <v>0</v>
      </c>
      <c r="AE448" s="7" t="s">
        <v>1177</v>
      </c>
      <c r="AF448" s="7" t="s">
        <v>1177</v>
      </c>
      <c r="AG448" s="7" t="s">
        <v>1177</v>
      </c>
      <c r="AH448" s="38"/>
      <c r="AI448" s="36">
        <v>0</v>
      </c>
      <c r="AJ448" s="7" t="s">
        <v>1193</v>
      </c>
      <c r="AK448" s="7" t="s">
        <v>1177</v>
      </c>
      <c r="AL448" s="7" t="s">
        <v>1177</v>
      </c>
      <c r="AM448" s="7" t="s">
        <v>1177</v>
      </c>
      <c r="AN448" s="7" t="s">
        <v>3212</v>
      </c>
      <c r="AO448" s="7" t="s">
        <v>1177</v>
      </c>
      <c r="AP448" s="7" t="s">
        <v>1177</v>
      </c>
      <c r="AQ448" s="7" t="s">
        <v>1177</v>
      </c>
      <c r="AR448" s="29">
        <v>0</v>
      </c>
      <c r="AS448" s="7" t="s">
        <v>1177</v>
      </c>
      <c r="AT448" s="7" t="s">
        <v>1363</v>
      </c>
      <c r="AU448" s="38">
        <v>46275</v>
      </c>
      <c r="AV448" s="39">
        <v>0.60553240740740999</v>
      </c>
    </row>
    <row r="449" spans="1:48" x14ac:dyDescent="0.35">
      <c r="A449" t="str">
        <f t="shared" si="6"/>
        <v>GP012852B832</v>
      </c>
      <c r="B449" s="7" t="s">
        <v>364</v>
      </c>
      <c r="C449" s="7" t="s">
        <v>653</v>
      </c>
      <c r="D449" s="7" t="s">
        <v>19</v>
      </c>
      <c r="E449" s="7" t="s">
        <v>1177</v>
      </c>
      <c r="F449" s="7" t="s">
        <v>128</v>
      </c>
      <c r="G449" s="7" t="s">
        <v>130</v>
      </c>
      <c r="H449" s="7" t="s">
        <v>129</v>
      </c>
      <c r="I449" s="30">
        <v>1</v>
      </c>
      <c r="J449" s="7" t="s">
        <v>1177</v>
      </c>
      <c r="K449" s="7" t="s">
        <v>1178</v>
      </c>
      <c r="L449" s="7" t="s">
        <v>132</v>
      </c>
      <c r="M449" s="7" t="s">
        <v>133</v>
      </c>
      <c r="N449" s="30">
        <v>0</v>
      </c>
      <c r="O449" s="30">
        <v>0</v>
      </c>
      <c r="P449" s="30">
        <v>0</v>
      </c>
      <c r="Q449" s="30">
        <v>0</v>
      </c>
      <c r="R449" s="29">
        <v>0</v>
      </c>
      <c r="S449" s="36">
        <v>0</v>
      </c>
      <c r="T449" s="7" t="s">
        <v>131</v>
      </c>
      <c r="U449" s="7" t="s">
        <v>654</v>
      </c>
      <c r="V449" s="7" t="s">
        <v>654</v>
      </c>
      <c r="W449" s="7" t="s">
        <v>1177</v>
      </c>
      <c r="X449" s="30">
        <v>1</v>
      </c>
      <c r="Y449" s="7" t="s">
        <v>1177</v>
      </c>
      <c r="Z449" s="7" t="s">
        <v>1178</v>
      </c>
      <c r="AA449" s="30">
        <v>0</v>
      </c>
      <c r="AB449" s="36">
        <v>0</v>
      </c>
      <c r="AC449" s="7" t="s">
        <v>1177</v>
      </c>
      <c r="AD449" s="37">
        <v>0</v>
      </c>
      <c r="AE449" s="7" t="s">
        <v>1177</v>
      </c>
      <c r="AF449" s="7" t="s">
        <v>1177</v>
      </c>
      <c r="AG449" s="7" t="s">
        <v>1177</v>
      </c>
      <c r="AH449" s="38"/>
      <c r="AI449" s="36">
        <v>0</v>
      </c>
      <c r="AJ449" s="7" t="s">
        <v>1193</v>
      </c>
      <c r="AK449" s="7" t="s">
        <v>1177</v>
      </c>
      <c r="AL449" s="7" t="s">
        <v>1177</v>
      </c>
      <c r="AM449" s="7" t="s">
        <v>1177</v>
      </c>
      <c r="AN449" s="7" t="s">
        <v>3212</v>
      </c>
      <c r="AO449" s="7" t="s">
        <v>1177</v>
      </c>
      <c r="AP449" s="7" t="s">
        <v>1177</v>
      </c>
      <c r="AQ449" s="7" t="s">
        <v>1177</v>
      </c>
      <c r="AR449" s="29">
        <v>0</v>
      </c>
      <c r="AS449" s="7" t="s">
        <v>1177</v>
      </c>
      <c r="AT449" s="7" t="s">
        <v>1363</v>
      </c>
      <c r="AU449" s="38">
        <v>46275</v>
      </c>
      <c r="AV449" s="39">
        <v>0.62334490740741</v>
      </c>
    </row>
    <row r="450" spans="1:48" x14ac:dyDescent="0.35">
      <c r="A450" t="str">
        <f t="shared" si="6"/>
        <v>GP013657B825</v>
      </c>
      <c r="B450" s="7" t="s">
        <v>484</v>
      </c>
      <c r="C450" s="7" t="s">
        <v>511</v>
      </c>
      <c r="D450" s="7" t="s">
        <v>16</v>
      </c>
      <c r="E450" s="7" t="s">
        <v>1177</v>
      </c>
      <c r="F450" s="7" t="s">
        <v>128</v>
      </c>
      <c r="G450" s="7" t="s">
        <v>130</v>
      </c>
      <c r="H450" s="7" t="s">
        <v>129</v>
      </c>
      <c r="I450" s="30">
        <v>2</v>
      </c>
      <c r="J450" s="7" t="s">
        <v>1177</v>
      </c>
      <c r="K450" s="7" t="s">
        <v>1178</v>
      </c>
      <c r="L450" s="7" t="s">
        <v>132</v>
      </c>
      <c r="M450" s="7" t="s">
        <v>133</v>
      </c>
      <c r="N450" s="30">
        <v>0</v>
      </c>
      <c r="O450" s="30">
        <v>0</v>
      </c>
      <c r="P450" s="30">
        <v>0</v>
      </c>
      <c r="Q450" s="30">
        <v>0</v>
      </c>
      <c r="R450" s="29">
        <v>0</v>
      </c>
      <c r="S450" s="36">
        <v>0</v>
      </c>
      <c r="T450" s="7" t="s">
        <v>131</v>
      </c>
      <c r="U450" s="7" t="s">
        <v>512</v>
      </c>
      <c r="V450" s="7" t="s">
        <v>512</v>
      </c>
      <c r="W450" s="7" t="s">
        <v>1177</v>
      </c>
      <c r="X450" s="30">
        <v>1</v>
      </c>
      <c r="Y450" s="7" t="s">
        <v>1177</v>
      </c>
      <c r="Z450" s="7" t="s">
        <v>1178</v>
      </c>
      <c r="AA450" s="30">
        <v>0</v>
      </c>
      <c r="AB450" s="36">
        <v>0</v>
      </c>
      <c r="AC450" s="7" t="s">
        <v>1177</v>
      </c>
      <c r="AD450" s="37">
        <v>0</v>
      </c>
      <c r="AE450" s="7" t="s">
        <v>1177</v>
      </c>
      <c r="AF450" s="7" t="s">
        <v>1177</v>
      </c>
      <c r="AG450" s="7" t="s">
        <v>1177</v>
      </c>
      <c r="AH450" s="38"/>
      <c r="AI450" s="36">
        <v>0</v>
      </c>
      <c r="AJ450" s="7" t="s">
        <v>1193</v>
      </c>
      <c r="AK450" s="7" t="s">
        <v>1177</v>
      </c>
      <c r="AL450" s="7" t="s">
        <v>1177</v>
      </c>
      <c r="AM450" s="7" t="s">
        <v>1177</v>
      </c>
      <c r="AN450" s="7" t="s">
        <v>3212</v>
      </c>
      <c r="AO450" s="7" t="s">
        <v>1177</v>
      </c>
      <c r="AP450" s="7" t="s">
        <v>1177</v>
      </c>
      <c r="AQ450" s="7" t="s">
        <v>1177</v>
      </c>
      <c r="AR450" s="29">
        <v>0</v>
      </c>
      <c r="AS450" s="7" t="s">
        <v>1177</v>
      </c>
      <c r="AT450" s="7" t="s">
        <v>1363</v>
      </c>
      <c r="AU450" s="38">
        <v>46275</v>
      </c>
      <c r="AV450" s="39">
        <v>0.62302083333333003</v>
      </c>
    </row>
    <row r="451" spans="1:48" x14ac:dyDescent="0.35">
      <c r="A451" t="str">
        <f t="shared" ref="A451:A514" si="7">_xlfn.CONCAT(B451,D451)</f>
        <v>GP013663B825</v>
      </c>
      <c r="B451" s="7" t="s">
        <v>523</v>
      </c>
      <c r="C451" s="7" t="s">
        <v>511</v>
      </c>
      <c r="D451" s="7" t="s">
        <v>16</v>
      </c>
      <c r="E451" s="7" t="s">
        <v>1177</v>
      </c>
      <c r="F451" s="7" t="s">
        <v>128</v>
      </c>
      <c r="G451" s="7" t="s">
        <v>130</v>
      </c>
      <c r="H451" s="7" t="s">
        <v>129</v>
      </c>
      <c r="I451" s="30">
        <v>2</v>
      </c>
      <c r="J451" s="7" t="s">
        <v>1177</v>
      </c>
      <c r="K451" s="7" t="s">
        <v>1178</v>
      </c>
      <c r="L451" s="7" t="s">
        <v>132</v>
      </c>
      <c r="M451" s="7" t="s">
        <v>133</v>
      </c>
      <c r="N451" s="30">
        <v>0</v>
      </c>
      <c r="O451" s="30">
        <v>0</v>
      </c>
      <c r="P451" s="30">
        <v>0</v>
      </c>
      <c r="Q451" s="30">
        <v>0</v>
      </c>
      <c r="R451" s="29">
        <v>0</v>
      </c>
      <c r="S451" s="36">
        <v>0</v>
      </c>
      <c r="T451" s="7" t="s">
        <v>131</v>
      </c>
      <c r="U451" s="7" t="s">
        <v>512</v>
      </c>
      <c r="V451" s="7" t="s">
        <v>512</v>
      </c>
      <c r="W451" s="7" t="s">
        <v>1177</v>
      </c>
      <c r="X451" s="30">
        <v>1</v>
      </c>
      <c r="Y451" s="7" t="s">
        <v>1177</v>
      </c>
      <c r="Z451" s="7" t="s">
        <v>1178</v>
      </c>
      <c r="AA451" s="30">
        <v>0</v>
      </c>
      <c r="AB451" s="36">
        <v>0</v>
      </c>
      <c r="AC451" s="7" t="s">
        <v>1177</v>
      </c>
      <c r="AD451" s="37">
        <v>0</v>
      </c>
      <c r="AE451" s="7" t="s">
        <v>1177</v>
      </c>
      <c r="AF451" s="7" t="s">
        <v>1177</v>
      </c>
      <c r="AG451" s="7" t="s">
        <v>1177</v>
      </c>
      <c r="AH451" s="38"/>
      <c r="AI451" s="36">
        <v>0</v>
      </c>
      <c r="AJ451" s="7" t="s">
        <v>1193</v>
      </c>
      <c r="AK451" s="7" t="s">
        <v>1177</v>
      </c>
      <c r="AL451" s="7" t="s">
        <v>1177</v>
      </c>
      <c r="AM451" s="7" t="s">
        <v>1177</v>
      </c>
      <c r="AN451" s="7" t="s">
        <v>3212</v>
      </c>
      <c r="AO451" s="7" t="s">
        <v>1177</v>
      </c>
      <c r="AP451" s="7" t="s">
        <v>1177</v>
      </c>
      <c r="AQ451" s="7" t="s">
        <v>1177</v>
      </c>
      <c r="AR451" s="29">
        <v>0</v>
      </c>
      <c r="AS451" s="7" t="s">
        <v>1177</v>
      </c>
      <c r="AT451" s="7" t="s">
        <v>1363</v>
      </c>
      <c r="AU451" s="38">
        <v>46275</v>
      </c>
      <c r="AV451" s="39">
        <v>0.60354166666666997</v>
      </c>
    </row>
    <row r="452" spans="1:48" x14ac:dyDescent="0.35">
      <c r="A452" t="str">
        <f t="shared" si="7"/>
        <v>GP014169B825</v>
      </c>
      <c r="B452" s="7" t="s">
        <v>524</v>
      </c>
      <c r="C452" s="7" t="s">
        <v>511</v>
      </c>
      <c r="D452" s="7" t="s">
        <v>16</v>
      </c>
      <c r="E452" s="7" t="s">
        <v>1177</v>
      </c>
      <c r="F452" s="7" t="s">
        <v>128</v>
      </c>
      <c r="G452" s="7" t="s">
        <v>130</v>
      </c>
      <c r="H452" s="7" t="s">
        <v>129</v>
      </c>
      <c r="I452" s="30">
        <v>2</v>
      </c>
      <c r="J452" s="7" t="s">
        <v>1177</v>
      </c>
      <c r="K452" s="7" t="s">
        <v>1178</v>
      </c>
      <c r="L452" s="7" t="s">
        <v>132</v>
      </c>
      <c r="M452" s="7" t="s">
        <v>133</v>
      </c>
      <c r="N452" s="30">
        <v>0</v>
      </c>
      <c r="O452" s="30">
        <v>0</v>
      </c>
      <c r="P452" s="30">
        <v>0</v>
      </c>
      <c r="Q452" s="30">
        <v>0</v>
      </c>
      <c r="R452" s="29">
        <v>0</v>
      </c>
      <c r="S452" s="36">
        <v>0</v>
      </c>
      <c r="T452" s="7" t="s">
        <v>131</v>
      </c>
      <c r="U452" s="7" t="s">
        <v>512</v>
      </c>
      <c r="V452" s="7" t="s">
        <v>512</v>
      </c>
      <c r="W452" s="7" t="s">
        <v>1177</v>
      </c>
      <c r="X452" s="30">
        <v>1</v>
      </c>
      <c r="Y452" s="7" t="s">
        <v>1177</v>
      </c>
      <c r="Z452" s="7" t="s">
        <v>1178</v>
      </c>
      <c r="AA452" s="30">
        <v>0</v>
      </c>
      <c r="AB452" s="36">
        <v>0</v>
      </c>
      <c r="AC452" s="7" t="s">
        <v>1177</v>
      </c>
      <c r="AD452" s="37">
        <v>0</v>
      </c>
      <c r="AE452" s="7" t="s">
        <v>1177</v>
      </c>
      <c r="AF452" s="7" t="s">
        <v>1177</v>
      </c>
      <c r="AG452" s="7" t="s">
        <v>1177</v>
      </c>
      <c r="AH452" s="38"/>
      <c r="AI452" s="36">
        <v>0</v>
      </c>
      <c r="AJ452" s="7" t="s">
        <v>1193</v>
      </c>
      <c r="AK452" s="7" t="s">
        <v>1177</v>
      </c>
      <c r="AL452" s="7" t="s">
        <v>1177</v>
      </c>
      <c r="AM452" s="7" t="s">
        <v>1177</v>
      </c>
      <c r="AN452" s="7" t="s">
        <v>3212</v>
      </c>
      <c r="AO452" s="7" t="s">
        <v>1177</v>
      </c>
      <c r="AP452" s="7" t="s">
        <v>1177</v>
      </c>
      <c r="AQ452" s="7" t="s">
        <v>1177</v>
      </c>
      <c r="AR452" s="29">
        <v>0</v>
      </c>
      <c r="AS452" s="7" t="s">
        <v>1177</v>
      </c>
      <c r="AT452" s="7" t="s">
        <v>1363</v>
      </c>
      <c r="AU452" s="38">
        <v>46275</v>
      </c>
      <c r="AV452" s="39">
        <v>0.62300925925925998</v>
      </c>
    </row>
    <row r="453" spans="1:48" x14ac:dyDescent="0.35">
      <c r="A453" t="str">
        <f t="shared" si="7"/>
        <v>GP014680B838</v>
      </c>
      <c r="B453" s="7" t="s">
        <v>485</v>
      </c>
      <c r="C453" s="7" t="s">
        <v>744</v>
      </c>
      <c r="D453" s="7" t="s">
        <v>48</v>
      </c>
      <c r="E453" s="7" t="s">
        <v>1177</v>
      </c>
      <c r="F453" s="7" t="s">
        <v>128</v>
      </c>
      <c r="G453" s="7" t="s">
        <v>130</v>
      </c>
      <c r="H453" s="7" t="s">
        <v>129</v>
      </c>
      <c r="I453" s="30">
        <v>2</v>
      </c>
      <c r="J453" s="7" t="s">
        <v>1177</v>
      </c>
      <c r="K453" s="7" t="s">
        <v>1178</v>
      </c>
      <c r="L453" s="7" t="s">
        <v>132</v>
      </c>
      <c r="M453" s="7" t="s">
        <v>133</v>
      </c>
      <c r="N453" s="30">
        <v>0</v>
      </c>
      <c r="O453" s="30">
        <v>0</v>
      </c>
      <c r="P453" s="30">
        <v>0</v>
      </c>
      <c r="Q453" s="30">
        <v>0</v>
      </c>
      <c r="R453" s="29">
        <v>0</v>
      </c>
      <c r="S453" s="36">
        <v>0</v>
      </c>
      <c r="T453" s="7" t="s">
        <v>131</v>
      </c>
      <c r="U453" s="7" t="s">
        <v>745</v>
      </c>
      <c r="V453" s="7" t="s">
        <v>745</v>
      </c>
      <c r="W453" s="7" t="s">
        <v>1177</v>
      </c>
      <c r="X453" s="30">
        <v>1</v>
      </c>
      <c r="Y453" s="7" t="s">
        <v>1177</v>
      </c>
      <c r="Z453" s="7" t="s">
        <v>1178</v>
      </c>
      <c r="AA453" s="30">
        <v>0</v>
      </c>
      <c r="AB453" s="36">
        <v>0</v>
      </c>
      <c r="AC453" s="7" t="s">
        <v>1177</v>
      </c>
      <c r="AD453" s="37">
        <v>0</v>
      </c>
      <c r="AE453" s="7" t="s">
        <v>1177</v>
      </c>
      <c r="AF453" s="7" t="s">
        <v>1177</v>
      </c>
      <c r="AG453" s="7" t="s">
        <v>1177</v>
      </c>
      <c r="AH453" s="38"/>
      <c r="AI453" s="36">
        <v>0</v>
      </c>
      <c r="AJ453" s="7" t="s">
        <v>1193</v>
      </c>
      <c r="AK453" s="7" t="s">
        <v>1177</v>
      </c>
      <c r="AL453" s="7" t="s">
        <v>1177</v>
      </c>
      <c r="AM453" s="7" t="s">
        <v>1177</v>
      </c>
      <c r="AN453" s="7" t="s">
        <v>3212</v>
      </c>
      <c r="AO453" s="7" t="s">
        <v>1177</v>
      </c>
      <c r="AP453" s="7" t="s">
        <v>1177</v>
      </c>
      <c r="AQ453" s="7" t="s">
        <v>1177</v>
      </c>
      <c r="AR453" s="29">
        <v>0</v>
      </c>
      <c r="AS453" s="7" t="s">
        <v>1177</v>
      </c>
      <c r="AT453" s="7" t="s">
        <v>1363</v>
      </c>
      <c r="AU453" s="38">
        <v>46275</v>
      </c>
      <c r="AV453" s="39">
        <v>0.62417824074074002</v>
      </c>
    </row>
    <row r="454" spans="1:48" x14ac:dyDescent="0.35">
      <c r="A454" t="str">
        <f t="shared" si="7"/>
        <v>GP015070B825</v>
      </c>
      <c r="B454" s="7" t="s">
        <v>231</v>
      </c>
      <c r="C454" s="7" t="s">
        <v>511</v>
      </c>
      <c r="D454" s="7" t="s">
        <v>16</v>
      </c>
      <c r="E454" s="7" t="s">
        <v>1177</v>
      </c>
      <c r="F454" s="7" t="s">
        <v>134</v>
      </c>
      <c r="G454" s="7" t="s">
        <v>130</v>
      </c>
      <c r="H454" s="7" t="s">
        <v>129</v>
      </c>
      <c r="I454" s="30">
        <v>6</v>
      </c>
      <c r="J454" s="7" t="s">
        <v>1177</v>
      </c>
      <c r="K454" s="7" t="s">
        <v>1178</v>
      </c>
      <c r="L454" s="7" t="s">
        <v>132</v>
      </c>
      <c r="M454" s="7" t="s">
        <v>133</v>
      </c>
      <c r="N454" s="30">
        <v>0</v>
      </c>
      <c r="O454" s="30">
        <v>0</v>
      </c>
      <c r="P454" s="30">
        <v>0</v>
      </c>
      <c r="Q454" s="30">
        <v>0</v>
      </c>
      <c r="R454" s="29">
        <v>0</v>
      </c>
      <c r="S454" s="36">
        <v>0</v>
      </c>
      <c r="T454" s="7" t="s">
        <v>131</v>
      </c>
      <c r="U454" s="7" t="s">
        <v>512</v>
      </c>
      <c r="V454" s="7" t="s">
        <v>512</v>
      </c>
      <c r="W454" s="7" t="s">
        <v>1177</v>
      </c>
      <c r="X454" s="30">
        <v>6</v>
      </c>
      <c r="Y454" s="7" t="s">
        <v>1177</v>
      </c>
      <c r="Z454" s="7" t="s">
        <v>1178</v>
      </c>
      <c r="AA454" s="30">
        <v>0</v>
      </c>
      <c r="AB454" s="36">
        <v>0</v>
      </c>
      <c r="AC454" s="7" t="s">
        <v>1177</v>
      </c>
      <c r="AD454" s="37">
        <v>0</v>
      </c>
      <c r="AE454" s="7" t="s">
        <v>1177</v>
      </c>
      <c r="AF454" s="7" t="s">
        <v>1177</v>
      </c>
      <c r="AG454" s="7" t="s">
        <v>1177</v>
      </c>
      <c r="AH454" s="38"/>
      <c r="AI454" s="36">
        <v>0</v>
      </c>
      <c r="AJ454" s="7" t="s">
        <v>1193</v>
      </c>
      <c r="AK454" s="7" t="s">
        <v>1177</v>
      </c>
      <c r="AL454" s="7" t="s">
        <v>1177</v>
      </c>
      <c r="AM454" s="7" t="s">
        <v>1177</v>
      </c>
      <c r="AN454" s="7" t="s">
        <v>3212</v>
      </c>
      <c r="AO454" s="7" t="s">
        <v>1177</v>
      </c>
      <c r="AP454" s="7" t="s">
        <v>1177</v>
      </c>
      <c r="AQ454" s="7" t="s">
        <v>1177</v>
      </c>
      <c r="AR454" s="29">
        <v>0</v>
      </c>
      <c r="AS454" s="7" t="s">
        <v>1177</v>
      </c>
      <c r="AT454" s="7" t="s">
        <v>1363</v>
      </c>
      <c r="AU454" s="38">
        <v>46275</v>
      </c>
      <c r="AV454" s="39">
        <v>0.60350694444443997</v>
      </c>
    </row>
    <row r="455" spans="1:48" x14ac:dyDescent="0.35">
      <c r="A455" t="str">
        <f t="shared" si="7"/>
        <v>GP015070B838</v>
      </c>
      <c r="B455" s="7" t="s">
        <v>231</v>
      </c>
      <c r="C455" s="7" t="s">
        <v>744</v>
      </c>
      <c r="D455" s="7" t="s">
        <v>48</v>
      </c>
      <c r="E455" s="7" t="s">
        <v>1177</v>
      </c>
      <c r="F455" s="7" t="s">
        <v>134</v>
      </c>
      <c r="G455" s="7" t="s">
        <v>130</v>
      </c>
      <c r="H455" s="7" t="s">
        <v>129</v>
      </c>
      <c r="I455" s="30">
        <v>5</v>
      </c>
      <c r="J455" s="7" t="s">
        <v>1177</v>
      </c>
      <c r="K455" s="7" t="s">
        <v>1178</v>
      </c>
      <c r="L455" s="7" t="s">
        <v>132</v>
      </c>
      <c r="M455" s="7" t="s">
        <v>133</v>
      </c>
      <c r="N455" s="30">
        <v>0</v>
      </c>
      <c r="O455" s="30">
        <v>0</v>
      </c>
      <c r="P455" s="30">
        <v>0</v>
      </c>
      <c r="Q455" s="30">
        <v>0</v>
      </c>
      <c r="R455" s="29">
        <v>0</v>
      </c>
      <c r="S455" s="36">
        <v>0</v>
      </c>
      <c r="T455" s="7" t="s">
        <v>131</v>
      </c>
      <c r="U455" s="7" t="s">
        <v>745</v>
      </c>
      <c r="V455" s="7" t="s">
        <v>745</v>
      </c>
      <c r="W455" s="7" t="s">
        <v>1177</v>
      </c>
      <c r="X455" s="30">
        <v>5</v>
      </c>
      <c r="Y455" s="7" t="s">
        <v>1177</v>
      </c>
      <c r="Z455" s="7" t="s">
        <v>1178</v>
      </c>
      <c r="AA455" s="30">
        <v>0</v>
      </c>
      <c r="AB455" s="36">
        <v>0</v>
      </c>
      <c r="AC455" s="7" t="s">
        <v>1177</v>
      </c>
      <c r="AD455" s="37">
        <v>0</v>
      </c>
      <c r="AE455" s="7" t="s">
        <v>1177</v>
      </c>
      <c r="AF455" s="7" t="s">
        <v>1177</v>
      </c>
      <c r="AG455" s="7" t="s">
        <v>1177</v>
      </c>
      <c r="AH455" s="38"/>
      <c r="AI455" s="36">
        <v>0</v>
      </c>
      <c r="AJ455" s="7" t="s">
        <v>1193</v>
      </c>
      <c r="AK455" s="7" t="s">
        <v>1177</v>
      </c>
      <c r="AL455" s="7" t="s">
        <v>1177</v>
      </c>
      <c r="AM455" s="7" t="s">
        <v>1177</v>
      </c>
      <c r="AN455" s="7" t="s">
        <v>3212</v>
      </c>
      <c r="AO455" s="7" t="s">
        <v>1177</v>
      </c>
      <c r="AP455" s="7" t="s">
        <v>1177</v>
      </c>
      <c r="AQ455" s="7" t="s">
        <v>1177</v>
      </c>
      <c r="AR455" s="29">
        <v>0</v>
      </c>
      <c r="AS455" s="7" t="s">
        <v>1177</v>
      </c>
      <c r="AT455" s="7" t="s">
        <v>1363</v>
      </c>
      <c r="AU455" s="38">
        <v>46275</v>
      </c>
      <c r="AV455" s="39">
        <v>0.60462962962962996</v>
      </c>
    </row>
    <row r="456" spans="1:48" x14ac:dyDescent="0.35">
      <c r="A456" t="str">
        <f t="shared" si="7"/>
        <v>GP015070B867</v>
      </c>
      <c r="B456" s="7" t="s">
        <v>231</v>
      </c>
      <c r="C456" s="7" t="s">
        <v>1059</v>
      </c>
      <c r="D456" s="7" t="s">
        <v>25</v>
      </c>
      <c r="E456" s="7" t="s">
        <v>1177</v>
      </c>
      <c r="F456" s="7" t="s">
        <v>134</v>
      </c>
      <c r="G456" s="7" t="s">
        <v>130</v>
      </c>
      <c r="H456" s="7" t="s">
        <v>129</v>
      </c>
      <c r="I456" s="30">
        <v>4</v>
      </c>
      <c r="J456" s="7" t="s">
        <v>1177</v>
      </c>
      <c r="K456" s="7" t="s">
        <v>1178</v>
      </c>
      <c r="L456" s="7" t="s">
        <v>132</v>
      </c>
      <c r="M456" s="7" t="s">
        <v>133</v>
      </c>
      <c r="N456" s="30">
        <v>0</v>
      </c>
      <c r="O456" s="30">
        <v>0</v>
      </c>
      <c r="P456" s="30">
        <v>0</v>
      </c>
      <c r="Q456" s="30">
        <v>0</v>
      </c>
      <c r="R456" s="29">
        <v>0</v>
      </c>
      <c r="S456" s="36">
        <v>0</v>
      </c>
      <c r="T456" s="7" t="s">
        <v>131</v>
      </c>
      <c r="U456" s="7" t="s">
        <v>1060</v>
      </c>
      <c r="V456" s="7" t="s">
        <v>1060</v>
      </c>
      <c r="W456" s="7" t="s">
        <v>1177</v>
      </c>
      <c r="X456" s="30">
        <v>4</v>
      </c>
      <c r="Y456" s="7" t="s">
        <v>1177</v>
      </c>
      <c r="Z456" s="7" t="s">
        <v>1178</v>
      </c>
      <c r="AA456" s="30">
        <v>0</v>
      </c>
      <c r="AB456" s="36">
        <v>0</v>
      </c>
      <c r="AC456" s="7" t="s">
        <v>1177</v>
      </c>
      <c r="AD456" s="37">
        <v>0</v>
      </c>
      <c r="AE456" s="7" t="s">
        <v>1177</v>
      </c>
      <c r="AF456" s="7" t="s">
        <v>1177</v>
      </c>
      <c r="AG456" s="7" t="s">
        <v>1177</v>
      </c>
      <c r="AH456" s="38"/>
      <c r="AI456" s="36">
        <v>0</v>
      </c>
      <c r="AJ456" s="7" t="s">
        <v>1193</v>
      </c>
      <c r="AK456" s="7" t="s">
        <v>1177</v>
      </c>
      <c r="AL456" s="7" t="s">
        <v>1177</v>
      </c>
      <c r="AM456" s="7" t="s">
        <v>1177</v>
      </c>
      <c r="AN456" s="7" t="s">
        <v>3212</v>
      </c>
      <c r="AO456" s="7" t="s">
        <v>1177</v>
      </c>
      <c r="AP456" s="7" t="s">
        <v>1177</v>
      </c>
      <c r="AQ456" s="7" t="s">
        <v>1177</v>
      </c>
      <c r="AR456" s="29">
        <v>0</v>
      </c>
      <c r="AS456" s="7" t="s">
        <v>1177</v>
      </c>
      <c r="AT456" s="7" t="s">
        <v>1363</v>
      </c>
      <c r="AU456" s="38">
        <v>46275</v>
      </c>
      <c r="AV456" s="39">
        <v>0.60564814814815005</v>
      </c>
    </row>
    <row r="457" spans="1:48" x14ac:dyDescent="0.35">
      <c r="A457" t="str">
        <f t="shared" si="7"/>
        <v>GP015160B825</v>
      </c>
      <c r="B457" s="7" t="s">
        <v>525</v>
      </c>
      <c r="C457" s="7" t="s">
        <v>511</v>
      </c>
      <c r="D457" s="7" t="s">
        <v>16</v>
      </c>
      <c r="E457" s="7" t="s">
        <v>1177</v>
      </c>
      <c r="F457" s="7" t="s">
        <v>128</v>
      </c>
      <c r="G457" s="7" t="s">
        <v>130</v>
      </c>
      <c r="H457" s="7" t="s">
        <v>129</v>
      </c>
      <c r="I457" s="30">
        <v>2</v>
      </c>
      <c r="J457" s="7" t="s">
        <v>1177</v>
      </c>
      <c r="K457" s="7" t="s">
        <v>1178</v>
      </c>
      <c r="L457" s="7" t="s">
        <v>132</v>
      </c>
      <c r="M457" s="7" t="s">
        <v>133</v>
      </c>
      <c r="N457" s="30">
        <v>0</v>
      </c>
      <c r="O457" s="30">
        <v>0</v>
      </c>
      <c r="P457" s="30">
        <v>0</v>
      </c>
      <c r="Q457" s="30">
        <v>0</v>
      </c>
      <c r="R457" s="29">
        <v>0</v>
      </c>
      <c r="S457" s="36">
        <v>0</v>
      </c>
      <c r="T457" s="7" t="s">
        <v>131</v>
      </c>
      <c r="U457" s="7" t="s">
        <v>512</v>
      </c>
      <c r="V457" s="7" t="s">
        <v>512</v>
      </c>
      <c r="W457" s="7" t="s">
        <v>1177</v>
      </c>
      <c r="X457" s="30">
        <v>1</v>
      </c>
      <c r="Y457" s="7" t="s">
        <v>1177</v>
      </c>
      <c r="Z457" s="7" t="s">
        <v>1178</v>
      </c>
      <c r="AA457" s="30">
        <v>0</v>
      </c>
      <c r="AB457" s="36">
        <v>0</v>
      </c>
      <c r="AC457" s="7" t="s">
        <v>1177</v>
      </c>
      <c r="AD457" s="37">
        <v>0</v>
      </c>
      <c r="AE457" s="7" t="s">
        <v>1177</v>
      </c>
      <c r="AF457" s="7" t="s">
        <v>1177</v>
      </c>
      <c r="AG457" s="7" t="s">
        <v>1177</v>
      </c>
      <c r="AH457" s="38"/>
      <c r="AI457" s="36">
        <v>0</v>
      </c>
      <c r="AJ457" s="7" t="s">
        <v>1193</v>
      </c>
      <c r="AK457" s="7" t="s">
        <v>1177</v>
      </c>
      <c r="AL457" s="7" t="s">
        <v>1177</v>
      </c>
      <c r="AM457" s="7" t="s">
        <v>1177</v>
      </c>
      <c r="AN457" s="7" t="s">
        <v>3212</v>
      </c>
      <c r="AO457" s="7" t="s">
        <v>1177</v>
      </c>
      <c r="AP457" s="7" t="s">
        <v>1177</v>
      </c>
      <c r="AQ457" s="7" t="s">
        <v>1177</v>
      </c>
      <c r="AR457" s="29">
        <v>0</v>
      </c>
      <c r="AS457" s="7" t="s">
        <v>1177</v>
      </c>
      <c r="AT457" s="7" t="s">
        <v>1363</v>
      </c>
      <c r="AU457" s="38">
        <v>46275</v>
      </c>
      <c r="AV457" s="39">
        <v>0.62300925925925998</v>
      </c>
    </row>
    <row r="458" spans="1:48" x14ac:dyDescent="0.35">
      <c r="A458" t="str">
        <f t="shared" si="7"/>
        <v>GP016235B856</v>
      </c>
      <c r="B458" s="7" t="s">
        <v>310</v>
      </c>
      <c r="C458" s="7" t="s">
        <v>852</v>
      </c>
      <c r="D458" s="7" t="s">
        <v>21</v>
      </c>
      <c r="E458" s="7" t="s">
        <v>1177</v>
      </c>
      <c r="F458" s="7" t="s">
        <v>128</v>
      </c>
      <c r="G458" s="7" t="s">
        <v>130</v>
      </c>
      <c r="H458" s="7" t="s">
        <v>129</v>
      </c>
      <c r="I458" s="30">
        <v>2</v>
      </c>
      <c r="J458" s="7" t="s">
        <v>1177</v>
      </c>
      <c r="K458" s="7" t="s">
        <v>1178</v>
      </c>
      <c r="L458" s="7" t="s">
        <v>132</v>
      </c>
      <c r="M458" s="7" t="s">
        <v>133</v>
      </c>
      <c r="N458" s="30">
        <v>0</v>
      </c>
      <c r="O458" s="30">
        <v>0</v>
      </c>
      <c r="P458" s="30">
        <v>0</v>
      </c>
      <c r="Q458" s="30">
        <v>0</v>
      </c>
      <c r="R458" s="29">
        <v>0</v>
      </c>
      <c r="S458" s="36">
        <v>0</v>
      </c>
      <c r="T458" s="7" t="s">
        <v>131</v>
      </c>
      <c r="U458" s="7" t="s">
        <v>853</v>
      </c>
      <c r="V458" s="7" t="s">
        <v>853</v>
      </c>
      <c r="W458" s="7" t="s">
        <v>1177</v>
      </c>
      <c r="X458" s="30">
        <v>1</v>
      </c>
      <c r="Y458" s="7" t="s">
        <v>1177</v>
      </c>
      <c r="Z458" s="7" t="s">
        <v>1178</v>
      </c>
      <c r="AA458" s="30">
        <v>0</v>
      </c>
      <c r="AB458" s="36">
        <v>0</v>
      </c>
      <c r="AC458" s="7" t="s">
        <v>1177</v>
      </c>
      <c r="AD458" s="37">
        <v>0</v>
      </c>
      <c r="AE458" s="7" t="s">
        <v>1177</v>
      </c>
      <c r="AF458" s="7" t="s">
        <v>1177</v>
      </c>
      <c r="AG458" s="7" t="s">
        <v>1177</v>
      </c>
      <c r="AH458" s="38"/>
      <c r="AI458" s="36">
        <v>0</v>
      </c>
      <c r="AJ458" s="7" t="s">
        <v>1193</v>
      </c>
      <c r="AK458" s="7" t="s">
        <v>1177</v>
      </c>
      <c r="AL458" s="7" t="s">
        <v>1177</v>
      </c>
      <c r="AM458" s="7" t="s">
        <v>1177</v>
      </c>
      <c r="AN458" s="7" t="s">
        <v>3212</v>
      </c>
      <c r="AO458" s="7" t="s">
        <v>1177</v>
      </c>
      <c r="AP458" s="7" t="s">
        <v>1177</v>
      </c>
      <c r="AQ458" s="7" t="s">
        <v>1177</v>
      </c>
      <c r="AR458" s="29">
        <v>0</v>
      </c>
      <c r="AS458" s="7" t="s">
        <v>1177</v>
      </c>
      <c r="AT458" s="7" t="s">
        <v>1363</v>
      </c>
      <c r="AU458" s="38">
        <v>46275</v>
      </c>
      <c r="AV458" s="39">
        <v>0.60523148148147998</v>
      </c>
    </row>
    <row r="459" spans="1:48" x14ac:dyDescent="0.35">
      <c r="A459" t="str">
        <f t="shared" si="7"/>
        <v>GP016235B857</v>
      </c>
      <c r="B459" s="7" t="s">
        <v>310</v>
      </c>
      <c r="C459" s="7" t="s">
        <v>958</v>
      </c>
      <c r="D459" s="7" t="s">
        <v>23</v>
      </c>
      <c r="E459" s="7" t="s">
        <v>1177</v>
      </c>
      <c r="F459" s="7" t="s">
        <v>128</v>
      </c>
      <c r="G459" s="7" t="s">
        <v>130</v>
      </c>
      <c r="H459" s="7" t="s">
        <v>129</v>
      </c>
      <c r="I459" s="30">
        <v>2</v>
      </c>
      <c r="J459" s="7" t="s">
        <v>1177</v>
      </c>
      <c r="K459" s="7" t="s">
        <v>1178</v>
      </c>
      <c r="L459" s="7" t="s">
        <v>132</v>
      </c>
      <c r="M459" s="7" t="s">
        <v>133</v>
      </c>
      <c r="N459" s="30">
        <v>0</v>
      </c>
      <c r="O459" s="30">
        <v>0</v>
      </c>
      <c r="P459" s="30">
        <v>0</v>
      </c>
      <c r="Q459" s="30">
        <v>0</v>
      </c>
      <c r="R459" s="29">
        <v>0</v>
      </c>
      <c r="S459" s="36">
        <v>0</v>
      </c>
      <c r="T459" s="7" t="s">
        <v>131</v>
      </c>
      <c r="U459" s="7" t="s">
        <v>959</v>
      </c>
      <c r="V459" s="7" t="s">
        <v>959</v>
      </c>
      <c r="W459" s="7" t="s">
        <v>1177</v>
      </c>
      <c r="X459" s="30">
        <v>1</v>
      </c>
      <c r="Y459" s="7" t="s">
        <v>1177</v>
      </c>
      <c r="Z459" s="7" t="s">
        <v>1178</v>
      </c>
      <c r="AA459" s="30">
        <v>0</v>
      </c>
      <c r="AB459" s="36">
        <v>0</v>
      </c>
      <c r="AC459" s="7" t="s">
        <v>1177</v>
      </c>
      <c r="AD459" s="37">
        <v>0</v>
      </c>
      <c r="AE459" s="7" t="s">
        <v>1177</v>
      </c>
      <c r="AF459" s="7" t="s">
        <v>1177</v>
      </c>
      <c r="AG459" s="7" t="s">
        <v>1177</v>
      </c>
      <c r="AH459" s="38"/>
      <c r="AI459" s="36">
        <v>0</v>
      </c>
      <c r="AJ459" s="7" t="s">
        <v>1193</v>
      </c>
      <c r="AK459" s="7" t="s">
        <v>1177</v>
      </c>
      <c r="AL459" s="7" t="s">
        <v>1177</v>
      </c>
      <c r="AM459" s="7" t="s">
        <v>1177</v>
      </c>
      <c r="AN459" s="7" t="s">
        <v>3212</v>
      </c>
      <c r="AO459" s="7" t="s">
        <v>1177</v>
      </c>
      <c r="AP459" s="7" t="s">
        <v>1177</v>
      </c>
      <c r="AQ459" s="7" t="s">
        <v>1177</v>
      </c>
      <c r="AR459" s="29">
        <v>0</v>
      </c>
      <c r="AS459" s="7" t="s">
        <v>1177</v>
      </c>
      <c r="AT459" s="7" t="s">
        <v>1363</v>
      </c>
      <c r="AU459" s="38">
        <v>46275</v>
      </c>
      <c r="AV459" s="39">
        <v>0.60525462962962995</v>
      </c>
    </row>
    <row r="460" spans="1:48" x14ac:dyDescent="0.35">
      <c r="A460" t="str">
        <f t="shared" si="7"/>
        <v>GP016235B867</v>
      </c>
      <c r="B460" s="7" t="s">
        <v>310</v>
      </c>
      <c r="C460" s="7" t="s">
        <v>1059</v>
      </c>
      <c r="D460" s="7" t="s">
        <v>25</v>
      </c>
      <c r="E460" s="7" t="s">
        <v>1177</v>
      </c>
      <c r="F460" s="7" t="s">
        <v>128</v>
      </c>
      <c r="G460" s="7" t="s">
        <v>130</v>
      </c>
      <c r="H460" s="7" t="s">
        <v>129</v>
      </c>
      <c r="I460" s="30">
        <v>2</v>
      </c>
      <c r="J460" s="7" t="s">
        <v>1177</v>
      </c>
      <c r="K460" s="7" t="s">
        <v>1178</v>
      </c>
      <c r="L460" s="7" t="s">
        <v>132</v>
      </c>
      <c r="M460" s="7" t="s">
        <v>133</v>
      </c>
      <c r="N460" s="30">
        <v>0</v>
      </c>
      <c r="O460" s="30">
        <v>0</v>
      </c>
      <c r="P460" s="30">
        <v>0</v>
      </c>
      <c r="Q460" s="30">
        <v>0</v>
      </c>
      <c r="R460" s="29">
        <v>0</v>
      </c>
      <c r="S460" s="36">
        <v>0</v>
      </c>
      <c r="T460" s="7" t="s">
        <v>131</v>
      </c>
      <c r="U460" s="7" t="s">
        <v>1060</v>
      </c>
      <c r="V460" s="7" t="s">
        <v>1060</v>
      </c>
      <c r="W460" s="7" t="s">
        <v>1177</v>
      </c>
      <c r="X460" s="30">
        <v>1</v>
      </c>
      <c r="Y460" s="7" t="s">
        <v>1177</v>
      </c>
      <c r="Z460" s="7" t="s">
        <v>1178</v>
      </c>
      <c r="AA460" s="30">
        <v>0</v>
      </c>
      <c r="AB460" s="36">
        <v>0</v>
      </c>
      <c r="AC460" s="7" t="s">
        <v>1177</v>
      </c>
      <c r="AD460" s="37">
        <v>0</v>
      </c>
      <c r="AE460" s="7" t="s">
        <v>1177</v>
      </c>
      <c r="AF460" s="7" t="s">
        <v>1177</v>
      </c>
      <c r="AG460" s="7" t="s">
        <v>1177</v>
      </c>
      <c r="AH460" s="38"/>
      <c r="AI460" s="36">
        <v>0</v>
      </c>
      <c r="AJ460" s="7" t="s">
        <v>1193</v>
      </c>
      <c r="AK460" s="7" t="s">
        <v>1177</v>
      </c>
      <c r="AL460" s="7" t="s">
        <v>1177</v>
      </c>
      <c r="AM460" s="7" t="s">
        <v>1177</v>
      </c>
      <c r="AN460" s="7" t="s">
        <v>3212</v>
      </c>
      <c r="AO460" s="7" t="s">
        <v>1177</v>
      </c>
      <c r="AP460" s="7" t="s">
        <v>1177</v>
      </c>
      <c r="AQ460" s="7" t="s">
        <v>1177</v>
      </c>
      <c r="AR460" s="29">
        <v>0</v>
      </c>
      <c r="AS460" s="7" t="s">
        <v>1177</v>
      </c>
      <c r="AT460" s="7" t="s">
        <v>1363</v>
      </c>
      <c r="AU460" s="38">
        <v>46275</v>
      </c>
      <c r="AV460" s="39">
        <v>0.60568287037037005</v>
      </c>
    </row>
    <row r="461" spans="1:48" x14ac:dyDescent="0.35">
      <c r="A461" t="str">
        <f t="shared" si="7"/>
        <v>GP016645B838</v>
      </c>
      <c r="B461" s="7" t="s">
        <v>232</v>
      </c>
      <c r="C461" s="7" t="s">
        <v>744</v>
      </c>
      <c r="D461" s="7" t="s">
        <v>48</v>
      </c>
      <c r="E461" s="7" t="s">
        <v>1177</v>
      </c>
      <c r="F461" s="7" t="s">
        <v>134</v>
      </c>
      <c r="G461" s="7" t="s">
        <v>130</v>
      </c>
      <c r="H461" s="7" t="s">
        <v>129</v>
      </c>
      <c r="I461" s="30">
        <v>2</v>
      </c>
      <c r="J461" s="7" t="s">
        <v>1177</v>
      </c>
      <c r="K461" s="7" t="s">
        <v>1178</v>
      </c>
      <c r="L461" s="7" t="s">
        <v>132</v>
      </c>
      <c r="M461" s="7" t="s">
        <v>133</v>
      </c>
      <c r="N461" s="30">
        <v>0</v>
      </c>
      <c r="O461" s="30">
        <v>0</v>
      </c>
      <c r="P461" s="30">
        <v>0</v>
      </c>
      <c r="Q461" s="30">
        <v>0</v>
      </c>
      <c r="R461" s="29">
        <v>0</v>
      </c>
      <c r="S461" s="36">
        <v>0</v>
      </c>
      <c r="T461" s="7" t="s">
        <v>131</v>
      </c>
      <c r="U461" s="7" t="s">
        <v>745</v>
      </c>
      <c r="V461" s="7" t="s">
        <v>745</v>
      </c>
      <c r="W461" s="7" t="s">
        <v>1177</v>
      </c>
      <c r="X461" s="30">
        <v>2</v>
      </c>
      <c r="Y461" s="7" t="s">
        <v>1177</v>
      </c>
      <c r="Z461" s="7" t="s">
        <v>1178</v>
      </c>
      <c r="AA461" s="30">
        <v>0</v>
      </c>
      <c r="AB461" s="36">
        <v>0</v>
      </c>
      <c r="AC461" s="7" t="s">
        <v>1177</v>
      </c>
      <c r="AD461" s="37">
        <v>0</v>
      </c>
      <c r="AE461" s="7" t="s">
        <v>1177</v>
      </c>
      <c r="AF461" s="7" t="s">
        <v>1177</v>
      </c>
      <c r="AG461" s="7" t="s">
        <v>1177</v>
      </c>
      <c r="AH461" s="38"/>
      <c r="AI461" s="36">
        <v>0</v>
      </c>
      <c r="AJ461" s="7" t="s">
        <v>1193</v>
      </c>
      <c r="AK461" s="7" t="s">
        <v>1177</v>
      </c>
      <c r="AL461" s="7" t="s">
        <v>1177</v>
      </c>
      <c r="AM461" s="7" t="s">
        <v>1177</v>
      </c>
      <c r="AN461" s="7" t="s">
        <v>3212</v>
      </c>
      <c r="AO461" s="7" t="s">
        <v>1177</v>
      </c>
      <c r="AP461" s="7" t="s">
        <v>1177</v>
      </c>
      <c r="AQ461" s="7" t="s">
        <v>1177</v>
      </c>
      <c r="AR461" s="29">
        <v>0</v>
      </c>
      <c r="AS461" s="7" t="s">
        <v>1177</v>
      </c>
      <c r="AT461" s="7" t="s">
        <v>1363</v>
      </c>
      <c r="AU461" s="38">
        <v>46275</v>
      </c>
      <c r="AV461" s="39">
        <v>0.60450231481480998</v>
      </c>
    </row>
    <row r="462" spans="1:48" x14ac:dyDescent="0.35">
      <c r="A462" t="str">
        <f t="shared" si="7"/>
        <v>GP016645B867</v>
      </c>
      <c r="B462" s="7" t="s">
        <v>232</v>
      </c>
      <c r="C462" s="7" t="s">
        <v>1059</v>
      </c>
      <c r="D462" s="7" t="s">
        <v>25</v>
      </c>
      <c r="E462" s="7" t="s">
        <v>1177</v>
      </c>
      <c r="F462" s="7" t="s">
        <v>134</v>
      </c>
      <c r="G462" s="7" t="s">
        <v>130</v>
      </c>
      <c r="H462" s="7" t="s">
        <v>129</v>
      </c>
      <c r="I462" s="30">
        <v>4</v>
      </c>
      <c r="J462" s="7" t="s">
        <v>1177</v>
      </c>
      <c r="K462" s="7" t="s">
        <v>1178</v>
      </c>
      <c r="L462" s="7" t="s">
        <v>132</v>
      </c>
      <c r="M462" s="7" t="s">
        <v>133</v>
      </c>
      <c r="N462" s="30">
        <v>0</v>
      </c>
      <c r="O462" s="30">
        <v>0</v>
      </c>
      <c r="P462" s="30">
        <v>0</v>
      </c>
      <c r="Q462" s="30">
        <v>0</v>
      </c>
      <c r="R462" s="29">
        <v>0</v>
      </c>
      <c r="S462" s="36">
        <v>0</v>
      </c>
      <c r="T462" s="7" t="s">
        <v>131</v>
      </c>
      <c r="U462" s="7" t="s">
        <v>1060</v>
      </c>
      <c r="V462" s="7" t="s">
        <v>1060</v>
      </c>
      <c r="W462" s="7" t="s">
        <v>1177</v>
      </c>
      <c r="X462" s="30">
        <v>4</v>
      </c>
      <c r="Y462" s="7" t="s">
        <v>1177</v>
      </c>
      <c r="Z462" s="7" t="s">
        <v>1178</v>
      </c>
      <c r="AA462" s="30">
        <v>0</v>
      </c>
      <c r="AB462" s="36">
        <v>0</v>
      </c>
      <c r="AC462" s="7" t="s">
        <v>1177</v>
      </c>
      <c r="AD462" s="37">
        <v>0</v>
      </c>
      <c r="AE462" s="7" t="s">
        <v>1177</v>
      </c>
      <c r="AF462" s="7" t="s">
        <v>1177</v>
      </c>
      <c r="AG462" s="7" t="s">
        <v>1177</v>
      </c>
      <c r="AH462" s="38"/>
      <c r="AI462" s="36">
        <v>0</v>
      </c>
      <c r="AJ462" s="7" t="s">
        <v>1193</v>
      </c>
      <c r="AK462" s="7" t="s">
        <v>1177</v>
      </c>
      <c r="AL462" s="7" t="s">
        <v>1177</v>
      </c>
      <c r="AM462" s="7" t="s">
        <v>1177</v>
      </c>
      <c r="AN462" s="7" t="s">
        <v>3212</v>
      </c>
      <c r="AO462" s="7" t="s">
        <v>1177</v>
      </c>
      <c r="AP462" s="7" t="s">
        <v>1177</v>
      </c>
      <c r="AQ462" s="7" t="s">
        <v>1177</v>
      </c>
      <c r="AR462" s="29">
        <v>0</v>
      </c>
      <c r="AS462" s="7" t="s">
        <v>1177</v>
      </c>
      <c r="AT462" s="7" t="s">
        <v>1363</v>
      </c>
      <c r="AU462" s="38">
        <v>46275</v>
      </c>
      <c r="AV462" s="39">
        <v>0.60564814814815005</v>
      </c>
    </row>
    <row r="463" spans="1:48" x14ac:dyDescent="0.35">
      <c r="A463" t="str">
        <f t="shared" si="7"/>
        <v>GP017127B825</v>
      </c>
      <c r="B463" s="7" t="s">
        <v>366</v>
      </c>
      <c r="C463" s="7" t="s">
        <v>511</v>
      </c>
      <c r="D463" s="7" t="s">
        <v>16</v>
      </c>
      <c r="E463" s="7" t="s">
        <v>1177</v>
      </c>
      <c r="F463" s="7" t="s">
        <v>134</v>
      </c>
      <c r="G463" s="7" t="s">
        <v>130</v>
      </c>
      <c r="H463" s="7" t="s">
        <v>129</v>
      </c>
      <c r="I463" s="30">
        <v>2</v>
      </c>
      <c r="J463" s="7" t="s">
        <v>1177</v>
      </c>
      <c r="K463" s="7" t="s">
        <v>1178</v>
      </c>
      <c r="L463" s="7" t="s">
        <v>132</v>
      </c>
      <c r="M463" s="7" t="s">
        <v>133</v>
      </c>
      <c r="N463" s="30">
        <v>0</v>
      </c>
      <c r="O463" s="30">
        <v>0</v>
      </c>
      <c r="P463" s="30">
        <v>0</v>
      </c>
      <c r="Q463" s="30">
        <v>0</v>
      </c>
      <c r="R463" s="29">
        <v>0</v>
      </c>
      <c r="S463" s="36">
        <v>0</v>
      </c>
      <c r="T463" s="7" t="s">
        <v>131</v>
      </c>
      <c r="U463" s="7" t="s">
        <v>512</v>
      </c>
      <c r="V463" s="7" t="s">
        <v>512</v>
      </c>
      <c r="W463" s="7" t="s">
        <v>1177</v>
      </c>
      <c r="X463" s="30">
        <v>2</v>
      </c>
      <c r="Y463" s="7" t="s">
        <v>1177</v>
      </c>
      <c r="Z463" s="7" t="s">
        <v>1178</v>
      </c>
      <c r="AA463" s="30">
        <v>0</v>
      </c>
      <c r="AB463" s="36">
        <v>0</v>
      </c>
      <c r="AC463" s="7" t="s">
        <v>1177</v>
      </c>
      <c r="AD463" s="37">
        <v>0</v>
      </c>
      <c r="AE463" s="7" t="s">
        <v>1177</v>
      </c>
      <c r="AF463" s="7" t="s">
        <v>1177</v>
      </c>
      <c r="AG463" s="7" t="s">
        <v>1177</v>
      </c>
      <c r="AH463" s="38"/>
      <c r="AI463" s="36">
        <v>0</v>
      </c>
      <c r="AJ463" s="7" t="s">
        <v>1193</v>
      </c>
      <c r="AK463" s="7" t="s">
        <v>1177</v>
      </c>
      <c r="AL463" s="7" t="s">
        <v>1177</v>
      </c>
      <c r="AM463" s="7" t="s">
        <v>1177</v>
      </c>
      <c r="AN463" s="7" t="s">
        <v>3212</v>
      </c>
      <c r="AO463" s="7" t="s">
        <v>1177</v>
      </c>
      <c r="AP463" s="7" t="s">
        <v>1177</v>
      </c>
      <c r="AQ463" s="7" t="s">
        <v>1177</v>
      </c>
      <c r="AR463" s="29">
        <v>0</v>
      </c>
      <c r="AS463" s="7" t="s">
        <v>1177</v>
      </c>
      <c r="AT463" s="7" t="s">
        <v>1363</v>
      </c>
      <c r="AU463" s="38">
        <v>46275</v>
      </c>
      <c r="AV463" s="39">
        <v>0.60350694444443997</v>
      </c>
    </row>
    <row r="464" spans="1:48" x14ac:dyDescent="0.35">
      <c r="A464" t="str">
        <f t="shared" si="7"/>
        <v>GP017127B832</v>
      </c>
      <c r="B464" s="7" t="s">
        <v>366</v>
      </c>
      <c r="C464" s="7" t="s">
        <v>653</v>
      </c>
      <c r="D464" s="7" t="s">
        <v>19</v>
      </c>
      <c r="E464" s="7" t="s">
        <v>1177</v>
      </c>
      <c r="F464" s="7" t="s">
        <v>134</v>
      </c>
      <c r="G464" s="7" t="s">
        <v>130</v>
      </c>
      <c r="H464" s="7" t="s">
        <v>129</v>
      </c>
      <c r="I464" s="30">
        <v>2</v>
      </c>
      <c r="J464" s="7" t="s">
        <v>1177</v>
      </c>
      <c r="K464" s="7" t="s">
        <v>1178</v>
      </c>
      <c r="L464" s="7" t="s">
        <v>132</v>
      </c>
      <c r="M464" s="7" t="s">
        <v>133</v>
      </c>
      <c r="N464" s="30">
        <v>0</v>
      </c>
      <c r="O464" s="30">
        <v>0</v>
      </c>
      <c r="P464" s="30">
        <v>0</v>
      </c>
      <c r="Q464" s="30">
        <v>0</v>
      </c>
      <c r="R464" s="29">
        <v>0</v>
      </c>
      <c r="S464" s="36">
        <v>0</v>
      </c>
      <c r="T464" s="7" t="s">
        <v>131</v>
      </c>
      <c r="U464" s="7" t="s">
        <v>654</v>
      </c>
      <c r="V464" s="7" t="s">
        <v>654</v>
      </c>
      <c r="W464" s="7" t="s">
        <v>1177</v>
      </c>
      <c r="X464" s="30">
        <v>2</v>
      </c>
      <c r="Y464" s="7" t="s">
        <v>1177</v>
      </c>
      <c r="Z464" s="7" t="s">
        <v>1178</v>
      </c>
      <c r="AA464" s="30">
        <v>0</v>
      </c>
      <c r="AB464" s="36">
        <v>0</v>
      </c>
      <c r="AC464" s="7" t="s">
        <v>1177</v>
      </c>
      <c r="AD464" s="37">
        <v>0</v>
      </c>
      <c r="AE464" s="7" t="s">
        <v>1177</v>
      </c>
      <c r="AF464" s="7" t="s">
        <v>1177</v>
      </c>
      <c r="AG464" s="7" t="s">
        <v>1177</v>
      </c>
      <c r="AH464" s="38"/>
      <c r="AI464" s="36">
        <v>0</v>
      </c>
      <c r="AJ464" s="7" t="s">
        <v>1193</v>
      </c>
      <c r="AK464" s="7" t="s">
        <v>1177</v>
      </c>
      <c r="AL464" s="7" t="s">
        <v>1177</v>
      </c>
      <c r="AM464" s="7" t="s">
        <v>1177</v>
      </c>
      <c r="AN464" s="7" t="s">
        <v>3212</v>
      </c>
      <c r="AO464" s="7" t="s">
        <v>1177</v>
      </c>
      <c r="AP464" s="7" t="s">
        <v>1177</v>
      </c>
      <c r="AQ464" s="7" t="s">
        <v>1177</v>
      </c>
      <c r="AR464" s="29">
        <v>0</v>
      </c>
      <c r="AS464" s="7" t="s">
        <v>1177</v>
      </c>
      <c r="AT464" s="7" t="s">
        <v>1363</v>
      </c>
      <c r="AU464" s="38">
        <v>46275</v>
      </c>
      <c r="AV464" s="39">
        <v>0.60392361111111004</v>
      </c>
    </row>
    <row r="465" spans="1:48" x14ac:dyDescent="0.35">
      <c r="A465" t="str">
        <f t="shared" si="7"/>
        <v>GP017127B833</v>
      </c>
      <c r="B465" s="7" t="s">
        <v>366</v>
      </c>
      <c r="C465" s="7" t="s">
        <v>698</v>
      </c>
      <c r="D465" s="7" t="s">
        <v>697</v>
      </c>
      <c r="E465" s="7" t="s">
        <v>1177</v>
      </c>
      <c r="F465" s="7" t="s">
        <v>134</v>
      </c>
      <c r="G465" s="7" t="s">
        <v>130</v>
      </c>
      <c r="H465" s="7" t="s">
        <v>129</v>
      </c>
      <c r="I465" s="30">
        <v>2</v>
      </c>
      <c r="J465" s="7" t="s">
        <v>1177</v>
      </c>
      <c r="K465" s="7" t="s">
        <v>1178</v>
      </c>
      <c r="L465" s="7" t="s">
        <v>132</v>
      </c>
      <c r="M465" s="7" t="s">
        <v>133</v>
      </c>
      <c r="N465" s="30">
        <v>0</v>
      </c>
      <c r="O465" s="30">
        <v>0</v>
      </c>
      <c r="P465" s="30">
        <v>0</v>
      </c>
      <c r="Q465" s="30">
        <v>0</v>
      </c>
      <c r="R465" s="29">
        <v>0</v>
      </c>
      <c r="S465" s="36">
        <v>0</v>
      </c>
      <c r="T465" s="7" t="s">
        <v>131</v>
      </c>
      <c r="U465" s="7" t="s">
        <v>699</v>
      </c>
      <c r="V465" s="7" t="s">
        <v>699</v>
      </c>
      <c r="W465" s="7" t="s">
        <v>1177</v>
      </c>
      <c r="X465" s="30">
        <v>2</v>
      </c>
      <c r="Y465" s="7" t="s">
        <v>1177</v>
      </c>
      <c r="Z465" s="7" t="s">
        <v>1178</v>
      </c>
      <c r="AA465" s="30">
        <v>0</v>
      </c>
      <c r="AB465" s="36">
        <v>0</v>
      </c>
      <c r="AC465" s="7" t="s">
        <v>1177</v>
      </c>
      <c r="AD465" s="37">
        <v>0</v>
      </c>
      <c r="AE465" s="7" t="s">
        <v>1177</v>
      </c>
      <c r="AF465" s="7" t="s">
        <v>1177</v>
      </c>
      <c r="AG465" s="7" t="s">
        <v>1177</v>
      </c>
      <c r="AH465" s="38"/>
      <c r="AI465" s="36">
        <v>0</v>
      </c>
      <c r="AJ465" s="7" t="s">
        <v>1193</v>
      </c>
      <c r="AK465" s="7" t="s">
        <v>1177</v>
      </c>
      <c r="AL465" s="7" t="s">
        <v>1177</v>
      </c>
      <c r="AM465" s="7" t="s">
        <v>1177</v>
      </c>
      <c r="AN465" s="7" t="s">
        <v>3212</v>
      </c>
      <c r="AO465" s="7" t="s">
        <v>1177</v>
      </c>
      <c r="AP465" s="7" t="s">
        <v>1177</v>
      </c>
      <c r="AQ465" s="7" t="s">
        <v>1177</v>
      </c>
      <c r="AR465" s="29">
        <v>0</v>
      </c>
      <c r="AS465" s="7" t="s">
        <v>1177</v>
      </c>
      <c r="AT465" s="7" t="s">
        <v>1363</v>
      </c>
      <c r="AU465" s="38">
        <v>46275</v>
      </c>
      <c r="AV465" s="39">
        <v>0.60395833333333004</v>
      </c>
    </row>
    <row r="466" spans="1:48" x14ac:dyDescent="0.35">
      <c r="A466" t="str">
        <f t="shared" si="7"/>
        <v>GP017127B865</v>
      </c>
      <c r="B466" s="7" t="s">
        <v>366</v>
      </c>
      <c r="C466" s="7" t="s">
        <v>1039</v>
      </c>
      <c r="D466" s="7" t="s">
        <v>7</v>
      </c>
      <c r="E466" s="7" t="s">
        <v>1177</v>
      </c>
      <c r="F466" s="7" t="s">
        <v>134</v>
      </c>
      <c r="G466" s="7" t="s">
        <v>130</v>
      </c>
      <c r="H466" s="7" t="s">
        <v>129</v>
      </c>
      <c r="I466" s="30">
        <v>1</v>
      </c>
      <c r="J466" s="7" t="s">
        <v>1177</v>
      </c>
      <c r="K466" s="7" t="s">
        <v>1178</v>
      </c>
      <c r="L466" s="7" t="s">
        <v>132</v>
      </c>
      <c r="M466" s="7" t="s">
        <v>133</v>
      </c>
      <c r="N466" s="30">
        <v>0</v>
      </c>
      <c r="O466" s="30">
        <v>0</v>
      </c>
      <c r="P466" s="30">
        <v>0</v>
      </c>
      <c r="Q466" s="30">
        <v>0</v>
      </c>
      <c r="R466" s="29">
        <v>0</v>
      </c>
      <c r="S466" s="36">
        <v>0</v>
      </c>
      <c r="T466" s="7" t="s">
        <v>131</v>
      </c>
      <c r="U466" s="7" t="s">
        <v>1040</v>
      </c>
      <c r="V466" s="7" t="s">
        <v>1040</v>
      </c>
      <c r="W466" s="7" t="s">
        <v>1177</v>
      </c>
      <c r="X466" s="30">
        <v>1</v>
      </c>
      <c r="Y466" s="7" t="s">
        <v>1177</v>
      </c>
      <c r="Z466" s="7" t="s">
        <v>1178</v>
      </c>
      <c r="AA466" s="30">
        <v>0</v>
      </c>
      <c r="AB466" s="36">
        <v>0</v>
      </c>
      <c r="AC466" s="7" t="s">
        <v>1177</v>
      </c>
      <c r="AD466" s="37">
        <v>0</v>
      </c>
      <c r="AE466" s="7" t="s">
        <v>1177</v>
      </c>
      <c r="AF466" s="7" t="s">
        <v>1177</v>
      </c>
      <c r="AG466" s="7" t="s">
        <v>1177</v>
      </c>
      <c r="AH466" s="38"/>
      <c r="AI466" s="36">
        <v>0</v>
      </c>
      <c r="AJ466" s="7" t="s">
        <v>1193</v>
      </c>
      <c r="AK466" s="7" t="s">
        <v>1177</v>
      </c>
      <c r="AL466" s="7" t="s">
        <v>1177</v>
      </c>
      <c r="AM466" s="7" t="s">
        <v>1177</v>
      </c>
      <c r="AN466" s="7" t="s">
        <v>3212</v>
      </c>
      <c r="AO466" s="7" t="s">
        <v>1177</v>
      </c>
      <c r="AP466" s="7" t="s">
        <v>1177</v>
      </c>
      <c r="AQ466" s="7" t="s">
        <v>1177</v>
      </c>
      <c r="AR466" s="29">
        <v>0</v>
      </c>
      <c r="AS466" s="7" t="s">
        <v>1177</v>
      </c>
      <c r="AT466" s="7" t="s">
        <v>1363</v>
      </c>
      <c r="AU466" s="38">
        <v>46275</v>
      </c>
      <c r="AV466" s="39">
        <v>0.60553240740740999</v>
      </c>
    </row>
    <row r="467" spans="1:48" x14ac:dyDescent="0.35">
      <c r="A467" t="str">
        <f t="shared" si="7"/>
        <v>GP017127B867</v>
      </c>
      <c r="B467" s="7" t="s">
        <v>366</v>
      </c>
      <c r="C467" s="7" t="s">
        <v>1059</v>
      </c>
      <c r="D467" s="7" t="s">
        <v>25</v>
      </c>
      <c r="E467" s="7" t="s">
        <v>1177</v>
      </c>
      <c r="F467" s="7" t="s">
        <v>134</v>
      </c>
      <c r="G467" s="7" t="s">
        <v>130</v>
      </c>
      <c r="H467" s="7" t="s">
        <v>129</v>
      </c>
      <c r="I467" s="30">
        <v>2</v>
      </c>
      <c r="J467" s="7" t="s">
        <v>1177</v>
      </c>
      <c r="K467" s="7" t="s">
        <v>1178</v>
      </c>
      <c r="L467" s="7" t="s">
        <v>132</v>
      </c>
      <c r="M467" s="7" t="s">
        <v>133</v>
      </c>
      <c r="N467" s="30">
        <v>0</v>
      </c>
      <c r="O467" s="30">
        <v>0</v>
      </c>
      <c r="P467" s="30">
        <v>0</v>
      </c>
      <c r="Q467" s="30">
        <v>0</v>
      </c>
      <c r="R467" s="29">
        <v>0</v>
      </c>
      <c r="S467" s="36">
        <v>0</v>
      </c>
      <c r="T467" s="7" t="s">
        <v>131</v>
      </c>
      <c r="U467" s="7" t="s">
        <v>1060</v>
      </c>
      <c r="V467" s="7" t="s">
        <v>1060</v>
      </c>
      <c r="W467" s="7" t="s">
        <v>1177</v>
      </c>
      <c r="X467" s="30">
        <v>2</v>
      </c>
      <c r="Y467" s="7" t="s">
        <v>1177</v>
      </c>
      <c r="Z467" s="7" t="s">
        <v>1178</v>
      </c>
      <c r="AA467" s="30">
        <v>0</v>
      </c>
      <c r="AB467" s="36">
        <v>0</v>
      </c>
      <c r="AC467" s="7" t="s">
        <v>1177</v>
      </c>
      <c r="AD467" s="37">
        <v>0</v>
      </c>
      <c r="AE467" s="7" t="s">
        <v>1177</v>
      </c>
      <c r="AF467" s="7" t="s">
        <v>1177</v>
      </c>
      <c r="AG467" s="7" t="s">
        <v>1177</v>
      </c>
      <c r="AH467" s="38"/>
      <c r="AI467" s="36">
        <v>0</v>
      </c>
      <c r="AJ467" s="7" t="s">
        <v>1193</v>
      </c>
      <c r="AK467" s="7" t="s">
        <v>1177</v>
      </c>
      <c r="AL467" s="7" t="s">
        <v>1177</v>
      </c>
      <c r="AM467" s="7" t="s">
        <v>1177</v>
      </c>
      <c r="AN467" s="7" t="s">
        <v>3212</v>
      </c>
      <c r="AO467" s="7" t="s">
        <v>1177</v>
      </c>
      <c r="AP467" s="7" t="s">
        <v>1177</v>
      </c>
      <c r="AQ467" s="7" t="s">
        <v>1177</v>
      </c>
      <c r="AR467" s="29">
        <v>0</v>
      </c>
      <c r="AS467" s="7" t="s">
        <v>1177</v>
      </c>
      <c r="AT467" s="7" t="s">
        <v>1363</v>
      </c>
      <c r="AU467" s="38">
        <v>46275</v>
      </c>
      <c r="AV467" s="39">
        <v>0.60564814814815005</v>
      </c>
    </row>
    <row r="468" spans="1:48" x14ac:dyDescent="0.35">
      <c r="A468" t="str">
        <f t="shared" si="7"/>
        <v>GP017831B832</v>
      </c>
      <c r="B468" s="7" t="s">
        <v>486</v>
      </c>
      <c r="C468" s="7" t="s">
        <v>653</v>
      </c>
      <c r="D468" s="7" t="s">
        <v>19</v>
      </c>
      <c r="E468" s="7" t="s">
        <v>1177</v>
      </c>
      <c r="F468" s="7" t="s">
        <v>128</v>
      </c>
      <c r="G468" s="7" t="s">
        <v>130</v>
      </c>
      <c r="H468" s="7" t="s">
        <v>129</v>
      </c>
      <c r="I468" s="30">
        <v>2</v>
      </c>
      <c r="J468" s="7" t="s">
        <v>1177</v>
      </c>
      <c r="K468" s="7" t="s">
        <v>1178</v>
      </c>
      <c r="L468" s="7" t="s">
        <v>132</v>
      </c>
      <c r="M468" s="7" t="s">
        <v>133</v>
      </c>
      <c r="N468" s="30">
        <v>0</v>
      </c>
      <c r="O468" s="30">
        <v>0</v>
      </c>
      <c r="P468" s="30">
        <v>0</v>
      </c>
      <c r="Q468" s="30">
        <v>0</v>
      </c>
      <c r="R468" s="29">
        <v>0</v>
      </c>
      <c r="S468" s="36">
        <v>0</v>
      </c>
      <c r="T468" s="7" t="s">
        <v>131</v>
      </c>
      <c r="U468" s="7" t="s">
        <v>654</v>
      </c>
      <c r="V468" s="7" t="s">
        <v>654</v>
      </c>
      <c r="W468" s="7" t="s">
        <v>1177</v>
      </c>
      <c r="X468" s="30">
        <v>1</v>
      </c>
      <c r="Y468" s="7" t="s">
        <v>1177</v>
      </c>
      <c r="Z468" s="7" t="s">
        <v>1178</v>
      </c>
      <c r="AA468" s="30">
        <v>0</v>
      </c>
      <c r="AB468" s="36">
        <v>0</v>
      </c>
      <c r="AC468" s="7" t="s">
        <v>1177</v>
      </c>
      <c r="AD468" s="37">
        <v>0</v>
      </c>
      <c r="AE468" s="7" t="s">
        <v>1177</v>
      </c>
      <c r="AF468" s="7" t="s">
        <v>1177</v>
      </c>
      <c r="AG468" s="7" t="s">
        <v>1177</v>
      </c>
      <c r="AH468" s="38"/>
      <c r="AI468" s="36">
        <v>0</v>
      </c>
      <c r="AJ468" s="7" t="s">
        <v>1193</v>
      </c>
      <c r="AK468" s="7" t="s">
        <v>1177</v>
      </c>
      <c r="AL468" s="7" t="s">
        <v>1177</v>
      </c>
      <c r="AM468" s="7" t="s">
        <v>1177</v>
      </c>
      <c r="AN468" s="7" t="s">
        <v>3212</v>
      </c>
      <c r="AO468" s="7" t="s">
        <v>1177</v>
      </c>
      <c r="AP468" s="7" t="s">
        <v>1177</v>
      </c>
      <c r="AQ468" s="7" t="s">
        <v>1177</v>
      </c>
      <c r="AR468" s="29">
        <v>0</v>
      </c>
      <c r="AS468" s="7" t="s">
        <v>1177</v>
      </c>
      <c r="AT468" s="7" t="s">
        <v>1363</v>
      </c>
      <c r="AU468" s="38">
        <v>46275</v>
      </c>
      <c r="AV468" s="39">
        <v>0.62334490740741</v>
      </c>
    </row>
    <row r="469" spans="1:48" x14ac:dyDescent="0.35">
      <c r="A469" t="str">
        <f t="shared" si="7"/>
        <v>GP018129B838</v>
      </c>
      <c r="B469" s="7" t="s">
        <v>367</v>
      </c>
      <c r="C469" s="7" t="s">
        <v>744</v>
      </c>
      <c r="D469" s="7" t="s">
        <v>48</v>
      </c>
      <c r="E469" s="7" t="s">
        <v>1177</v>
      </c>
      <c r="F469" s="7" t="s">
        <v>128</v>
      </c>
      <c r="G469" s="7" t="s">
        <v>130</v>
      </c>
      <c r="H469" s="7" t="s">
        <v>129</v>
      </c>
      <c r="I469" s="30">
        <v>2</v>
      </c>
      <c r="J469" s="7" t="s">
        <v>1177</v>
      </c>
      <c r="K469" s="7" t="s">
        <v>1178</v>
      </c>
      <c r="L469" s="7" t="s">
        <v>132</v>
      </c>
      <c r="M469" s="7" t="s">
        <v>133</v>
      </c>
      <c r="N469" s="30">
        <v>0</v>
      </c>
      <c r="O469" s="30">
        <v>0</v>
      </c>
      <c r="P469" s="30">
        <v>0</v>
      </c>
      <c r="Q469" s="30">
        <v>0</v>
      </c>
      <c r="R469" s="29">
        <v>0</v>
      </c>
      <c r="S469" s="36">
        <v>0</v>
      </c>
      <c r="T469" s="7" t="s">
        <v>131</v>
      </c>
      <c r="U469" s="7" t="s">
        <v>745</v>
      </c>
      <c r="V469" s="7" t="s">
        <v>745</v>
      </c>
      <c r="W469" s="7" t="s">
        <v>1177</v>
      </c>
      <c r="X469" s="30">
        <v>1</v>
      </c>
      <c r="Y469" s="7" t="s">
        <v>1177</v>
      </c>
      <c r="Z469" s="7" t="s">
        <v>1178</v>
      </c>
      <c r="AA469" s="30">
        <v>0</v>
      </c>
      <c r="AB469" s="36">
        <v>0</v>
      </c>
      <c r="AC469" s="7" t="s">
        <v>1177</v>
      </c>
      <c r="AD469" s="37">
        <v>0</v>
      </c>
      <c r="AE469" s="7" t="s">
        <v>1177</v>
      </c>
      <c r="AF469" s="7" t="s">
        <v>1177</v>
      </c>
      <c r="AG469" s="7" t="s">
        <v>1177</v>
      </c>
      <c r="AH469" s="38"/>
      <c r="AI469" s="36">
        <v>0</v>
      </c>
      <c r="AJ469" s="7" t="s">
        <v>1193</v>
      </c>
      <c r="AK469" s="7" t="s">
        <v>1177</v>
      </c>
      <c r="AL469" s="7" t="s">
        <v>1177</v>
      </c>
      <c r="AM469" s="7" t="s">
        <v>1177</v>
      </c>
      <c r="AN469" s="7" t="s">
        <v>3212</v>
      </c>
      <c r="AO469" s="7" t="s">
        <v>1177</v>
      </c>
      <c r="AP469" s="7" t="s">
        <v>1177</v>
      </c>
      <c r="AQ469" s="7" t="s">
        <v>1177</v>
      </c>
      <c r="AR469" s="29">
        <v>0</v>
      </c>
      <c r="AS469" s="7" t="s">
        <v>1177</v>
      </c>
      <c r="AT469" s="7" t="s">
        <v>1363</v>
      </c>
      <c r="AU469" s="38">
        <v>46275</v>
      </c>
      <c r="AV469" s="39">
        <v>0.60446759259258998</v>
      </c>
    </row>
    <row r="470" spans="1:48" x14ac:dyDescent="0.35">
      <c r="A470" t="str">
        <f t="shared" si="7"/>
        <v>GP018129B867</v>
      </c>
      <c r="B470" s="7" t="s">
        <v>367</v>
      </c>
      <c r="C470" s="7" t="s">
        <v>1059</v>
      </c>
      <c r="D470" s="7" t="s">
        <v>25</v>
      </c>
      <c r="E470" s="7" t="s">
        <v>1177</v>
      </c>
      <c r="F470" s="7" t="s">
        <v>128</v>
      </c>
      <c r="G470" s="7" t="s">
        <v>130</v>
      </c>
      <c r="H470" s="7" t="s">
        <v>129</v>
      </c>
      <c r="I470" s="30">
        <v>1</v>
      </c>
      <c r="J470" s="7" t="s">
        <v>1177</v>
      </c>
      <c r="K470" s="7" t="s">
        <v>1178</v>
      </c>
      <c r="L470" s="7" t="s">
        <v>132</v>
      </c>
      <c r="M470" s="7" t="s">
        <v>133</v>
      </c>
      <c r="N470" s="30">
        <v>0</v>
      </c>
      <c r="O470" s="30">
        <v>0</v>
      </c>
      <c r="P470" s="30">
        <v>0</v>
      </c>
      <c r="Q470" s="30">
        <v>0</v>
      </c>
      <c r="R470" s="29">
        <v>0</v>
      </c>
      <c r="S470" s="36">
        <v>0</v>
      </c>
      <c r="T470" s="7" t="s">
        <v>131</v>
      </c>
      <c r="U470" s="7" t="s">
        <v>1060</v>
      </c>
      <c r="V470" s="7" t="s">
        <v>1060</v>
      </c>
      <c r="W470" s="7" t="s">
        <v>1177</v>
      </c>
      <c r="X470" s="30">
        <v>1</v>
      </c>
      <c r="Y470" s="7" t="s">
        <v>1177</v>
      </c>
      <c r="Z470" s="7" t="s">
        <v>1178</v>
      </c>
      <c r="AA470" s="30">
        <v>0</v>
      </c>
      <c r="AB470" s="36">
        <v>0</v>
      </c>
      <c r="AC470" s="7" t="s">
        <v>1177</v>
      </c>
      <c r="AD470" s="37">
        <v>0</v>
      </c>
      <c r="AE470" s="7" t="s">
        <v>1177</v>
      </c>
      <c r="AF470" s="7" t="s">
        <v>1177</v>
      </c>
      <c r="AG470" s="7" t="s">
        <v>1177</v>
      </c>
      <c r="AH470" s="38"/>
      <c r="AI470" s="36">
        <v>0</v>
      </c>
      <c r="AJ470" s="7" t="s">
        <v>1193</v>
      </c>
      <c r="AK470" s="7" t="s">
        <v>1177</v>
      </c>
      <c r="AL470" s="7" t="s">
        <v>1177</v>
      </c>
      <c r="AM470" s="7" t="s">
        <v>1177</v>
      </c>
      <c r="AN470" s="7" t="s">
        <v>3212</v>
      </c>
      <c r="AO470" s="7" t="s">
        <v>1177</v>
      </c>
      <c r="AP470" s="7" t="s">
        <v>1177</v>
      </c>
      <c r="AQ470" s="7" t="s">
        <v>1177</v>
      </c>
      <c r="AR470" s="29">
        <v>0</v>
      </c>
      <c r="AS470" s="7" t="s">
        <v>1177</v>
      </c>
      <c r="AT470" s="7" t="s">
        <v>1363</v>
      </c>
      <c r="AU470" s="38">
        <v>46275</v>
      </c>
      <c r="AV470" s="39">
        <v>0.60569444444443998</v>
      </c>
    </row>
    <row r="471" spans="1:48" x14ac:dyDescent="0.35">
      <c r="A471" t="str">
        <f t="shared" si="7"/>
        <v>GP018228B825</v>
      </c>
      <c r="B471" s="7" t="s">
        <v>526</v>
      </c>
      <c r="C471" s="7" t="s">
        <v>511</v>
      </c>
      <c r="D471" s="7" t="s">
        <v>16</v>
      </c>
      <c r="E471" s="7" t="s">
        <v>1177</v>
      </c>
      <c r="F471" s="7" t="s">
        <v>128</v>
      </c>
      <c r="G471" s="7" t="s">
        <v>130</v>
      </c>
      <c r="H471" s="7" t="s">
        <v>129</v>
      </c>
      <c r="I471" s="30">
        <v>9</v>
      </c>
      <c r="J471" s="7" t="s">
        <v>1177</v>
      </c>
      <c r="K471" s="7" t="s">
        <v>1178</v>
      </c>
      <c r="L471" s="7" t="s">
        <v>132</v>
      </c>
      <c r="M471" s="7" t="s">
        <v>133</v>
      </c>
      <c r="N471" s="30">
        <v>0</v>
      </c>
      <c r="O471" s="30">
        <v>0</v>
      </c>
      <c r="P471" s="30">
        <v>0</v>
      </c>
      <c r="Q471" s="30">
        <v>0</v>
      </c>
      <c r="R471" s="29">
        <v>0</v>
      </c>
      <c r="S471" s="36">
        <v>0</v>
      </c>
      <c r="T471" s="7" t="s">
        <v>131</v>
      </c>
      <c r="U471" s="7" t="s">
        <v>512</v>
      </c>
      <c r="V471" s="7" t="s">
        <v>512</v>
      </c>
      <c r="W471" s="7" t="s">
        <v>1177</v>
      </c>
      <c r="X471" s="30">
        <v>2</v>
      </c>
      <c r="Y471" s="7" t="s">
        <v>1177</v>
      </c>
      <c r="Z471" s="7" t="s">
        <v>1178</v>
      </c>
      <c r="AA471" s="30">
        <v>0</v>
      </c>
      <c r="AB471" s="36">
        <v>0</v>
      </c>
      <c r="AC471" s="7" t="s">
        <v>1177</v>
      </c>
      <c r="AD471" s="37">
        <v>0</v>
      </c>
      <c r="AE471" s="7" t="s">
        <v>1177</v>
      </c>
      <c r="AF471" s="7" t="s">
        <v>1177</v>
      </c>
      <c r="AG471" s="7" t="s">
        <v>1177</v>
      </c>
      <c r="AH471" s="38"/>
      <c r="AI471" s="36">
        <v>0</v>
      </c>
      <c r="AJ471" s="7" t="s">
        <v>1193</v>
      </c>
      <c r="AK471" s="7" t="s">
        <v>1177</v>
      </c>
      <c r="AL471" s="7" t="s">
        <v>1177</v>
      </c>
      <c r="AM471" s="7" t="s">
        <v>1177</v>
      </c>
      <c r="AN471" s="7" t="s">
        <v>3212</v>
      </c>
      <c r="AO471" s="7" t="s">
        <v>1177</v>
      </c>
      <c r="AP471" s="7" t="s">
        <v>1177</v>
      </c>
      <c r="AQ471" s="7" t="s">
        <v>1177</v>
      </c>
      <c r="AR471" s="29">
        <v>0</v>
      </c>
      <c r="AS471" s="7" t="s">
        <v>1177</v>
      </c>
      <c r="AT471" s="7" t="s">
        <v>1363</v>
      </c>
      <c r="AU471" s="38">
        <v>46275</v>
      </c>
      <c r="AV471" s="39">
        <v>0.60354166666666997</v>
      </c>
    </row>
    <row r="472" spans="1:48" x14ac:dyDescent="0.35">
      <c r="A472" t="str">
        <f t="shared" si="7"/>
        <v>GP018869B867</v>
      </c>
      <c r="B472" s="7" t="s">
        <v>1061</v>
      </c>
      <c r="C472" s="7" t="s">
        <v>1059</v>
      </c>
      <c r="D472" s="7" t="s">
        <v>25</v>
      </c>
      <c r="E472" s="7" t="s">
        <v>1177</v>
      </c>
      <c r="F472" s="7" t="s">
        <v>134</v>
      </c>
      <c r="G472" s="7" t="s">
        <v>130</v>
      </c>
      <c r="H472" s="7" t="s">
        <v>129</v>
      </c>
      <c r="I472" s="30">
        <v>3</v>
      </c>
      <c r="J472" s="7" t="s">
        <v>1177</v>
      </c>
      <c r="K472" s="7" t="s">
        <v>1178</v>
      </c>
      <c r="L472" s="7" t="s">
        <v>132</v>
      </c>
      <c r="M472" s="7" t="s">
        <v>133</v>
      </c>
      <c r="N472" s="30">
        <v>0</v>
      </c>
      <c r="O472" s="30">
        <v>0</v>
      </c>
      <c r="P472" s="30">
        <v>0</v>
      </c>
      <c r="Q472" s="30">
        <v>0</v>
      </c>
      <c r="R472" s="29">
        <v>0</v>
      </c>
      <c r="S472" s="36">
        <v>0</v>
      </c>
      <c r="T472" s="7" t="s">
        <v>131</v>
      </c>
      <c r="U472" s="7" t="s">
        <v>1060</v>
      </c>
      <c r="V472" s="7" t="s">
        <v>1060</v>
      </c>
      <c r="W472" s="7" t="s">
        <v>1177</v>
      </c>
      <c r="X472" s="30">
        <v>3</v>
      </c>
      <c r="Y472" s="7" t="s">
        <v>1177</v>
      </c>
      <c r="Z472" s="7" t="s">
        <v>1178</v>
      </c>
      <c r="AA472" s="30">
        <v>0</v>
      </c>
      <c r="AB472" s="36">
        <v>0</v>
      </c>
      <c r="AC472" s="7" t="s">
        <v>1177</v>
      </c>
      <c r="AD472" s="37">
        <v>0</v>
      </c>
      <c r="AE472" s="7" t="s">
        <v>1177</v>
      </c>
      <c r="AF472" s="7" t="s">
        <v>1177</v>
      </c>
      <c r="AG472" s="7" t="s">
        <v>1177</v>
      </c>
      <c r="AH472" s="38"/>
      <c r="AI472" s="36">
        <v>0</v>
      </c>
      <c r="AJ472" s="7" t="s">
        <v>1193</v>
      </c>
      <c r="AK472" s="7" t="s">
        <v>1177</v>
      </c>
      <c r="AL472" s="7" t="s">
        <v>1177</v>
      </c>
      <c r="AM472" s="7" t="s">
        <v>1177</v>
      </c>
      <c r="AN472" s="7" t="s">
        <v>3212</v>
      </c>
      <c r="AO472" s="7" t="s">
        <v>1177</v>
      </c>
      <c r="AP472" s="7" t="s">
        <v>1177</v>
      </c>
      <c r="AQ472" s="7" t="s">
        <v>1177</v>
      </c>
      <c r="AR472" s="29">
        <v>0</v>
      </c>
      <c r="AS472" s="7" t="s">
        <v>1177</v>
      </c>
      <c r="AT472" s="7" t="s">
        <v>1363</v>
      </c>
      <c r="AU472" s="38">
        <v>46275</v>
      </c>
      <c r="AV472" s="39">
        <v>0.62730324074073995</v>
      </c>
    </row>
    <row r="473" spans="1:48" x14ac:dyDescent="0.35">
      <c r="A473" t="str">
        <f t="shared" si="7"/>
        <v>GP018876B825</v>
      </c>
      <c r="B473" s="7" t="s">
        <v>233</v>
      </c>
      <c r="C473" s="7" t="s">
        <v>511</v>
      </c>
      <c r="D473" s="7" t="s">
        <v>16</v>
      </c>
      <c r="E473" s="7" t="s">
        <v>1177</v>
      </c>
      <c r="F473" s="7" t="s">
        <v>134</v>
      </c>
      <c r="G473" s="7" t="s">
        <v>130</v>
      </c>
      <c r="H473" s="7" t="s">
        <v>129</v>
      </c>
      <c r="I473" s="30">
        <v>4</v>
      </c>
      <c r="J473" s="7" t="s">
        <v>1177</v>
      </c>
      <c r="K473" s="7" t="s">
        <v>1178</v>
      </c>
      <c r="L473" s="7" t="s">
        <v>132</v>
      </c>
      <c r="M473" s="7" t="s">
        <v>133</v>
      </c>
      <c r="N473" s="30">
        <v>0</v>
      </c>
      <c r="O473" s="30">
        <v>0</v>
      </c>
      <c r="P473" s="30">
        <v>0</v>
      </c>
      <c r="Q473" s="30">
        <v>0</v>
      </c>
      <c r="R473" s="29">
        <v>0</v>
      </c>
      <c r="S473" s="36">
        <v>0</v>
      </c>
      <c r="T473" s="7" t="s">
        <v>131</v>
      </c>
      <c r="U473" s="7" t="s">
        <v>512</v>
      </c>
      <c r="V473" s="7" t="s">
        <v>512</v>
      </c>
      <c r="W473" s="7" t="s">
        <v>1177</v>
      </c>
      <c r="X473" s="30">
        <v>4</v>
      </c>
      <c r="Y473" s="7" t="s">
        <v>1177</v>
      </c>
      <c r="Z473" s="7" t="s">
        <v>1178</v>
      </c>
      <c r="AA473" s="30">
        <v>0</v>
      </c>
      <c r="AB473" s="36">
        <v>0</v>
      </c>
      <c r="AC473" s="7" t="s">
        <v>1177</v>
      </c>
      <c r="AD473" s="37">
        <v>0</v>
      </c>
      <c r="AE473" s="7" t="s">
        <v>1177</v>
      </c>
      <c r="AF473" s="7" t="s">
        <v>1177</v>
      </c>
      <c r="AG473" s="7" t="s">
        <v>1177</v>
      </c>
      <c r="AH473" s="38"/>
      <c r="AI473" s="36">
        <v>0</v>
      </c>
      <c r="AJ473" s="7" t="s">
        <v>1193</v>
      </c>
      <c r="AK473" s="7" t="s">
        <v>1177</v>
      </c>
      <c r="AL473" s="7" t="s">
        <v>1177</v>
      </c>
      <c r="AM473" s="7" t="s">
        <v>1177</v>
      </c>
      <c r="AN473" s="7" t="s">
        <v>3212</v>
      </c>
      <c r="AO473" s="7" t="s">
        <v>1177</v>
      </c>
      <c r="AP473" s="7" t="s">
        <v>1177</v>
      </c>
      <c r="AQ473" s="7" t="s">
        <v>1177</v>
      </c>
      <c r="AR473" s="29">
        <v>0</v>
      </c>
      <c r="AS473" s="7" t="s">
        <v>1177</v>
      </c>
      <c r="AT473" s="7" t="s">
        <v>1363</v>
      </c>
      <c r="AU473" s="38">
        <v>46275</v>
      </c>
      <c r="AV473" s="39">
        <v>0.60350694444443997</v>
      </c>
    </row>
    <row r="474" spans="1:48" x14ac:dyDescent="0.35">
      <c r="A474" t="str">
        <f t="shared" si="7"/>
        <v>GP018876B832</v>
      </c>
      <c r="B474" s="7" t="s">
        <v>233</v>
      </c>
      <c r="C474" s="7" t="s">
        <v>653</v>
      </c>
      <c r="D474" s="7" t="s">
        <v>19</v>
      </c>
      <c r="E474" s="7" t="s">
        <v>1177</v>
      </c>
      <c r="F474" s="7" t="s">
        <v>134</v>
      </c>
      <c r="G474" s="7" t="s">
        <v>130</v>
      </c>
      <c r="H474" s="7" t="s">
        <v>129</v>
      </c>
      <c r="I474" s="30">
        <v>2</v>
      </c>
      <c r="J474" s="7" t="s">
        <v>1177</v>
      </c>
      <c r="K474" s="7" t="s">
        <v>1178</v>
      </c>
      <c r="L474" s="7" t="s">
        <v>132</v>
      </c>
      <c r="M474" s="7" t="s">
        <v>133</v>
      </c>
      <c r="N474" s="30">
        <v>0</v>
      </c>
      <c r="O474" s="30">
        <v>0</v>
      </c>
      <c r="P474" s="30">
        <v>0</v>
      </c>
      <c r="Q474" s="30">
        <v>0</v>
      </c>
      <c r="R474" s="29">
        <v>0</v>
      </c>
      <c r="S474" s="36">
        <v>0</v>
      </c>
      <c r="T474" s="7" t="s">
        <v>131</v>
      </c>
      <c r="U474" s="7" t="s">
        <v>654</v>
      </c>
      <c r="V474" s="7" t="s">
        <v>654</v>
      </c>
      <c r="W474" s="7" t="s">
        <v>1177</v>
      </c>
      <c r="X474" s="30">
        <v>2</v>
      </c>
      <c r="Y474" s="7" t="s">
        <v>1177</v>
      </c>
      <c r="Z474" s="7" t="s">
        <v>1178</v>
      </c>
      <c r="AA474" s="30">
        <v>0</v>
      </c>
      <c r="AB474" s="36">
        <v>0</v>
      </c>
      <c r="AC474" s="7" t="s">
        <v>1177</v>
      </c>
      <c r="AD474" s="37">
        <v>0</v>
      </c>
      <c r="AE474" s="7" t="s">
        <v>1177</v>
      </c>
      <c r="AF474" s="7" t="s">
        <v>1177</v>
      </c>
      <c r="AG474" s="7" t="s">
        <v>1177</v>
      </c>
      <c r="AH474" s="38"/>
      <c r="AI474" s="36">
        <v>0</v>
      </c>
      <c r="AJ474" s="7" t="s">
        <v>1193</v>
      </c>
      <c r="AK474" s="7" t="s">
        <v>1177</v>
      </c>
      <c r="AL474" s="7" t="s">
        <v>1177</v>
      </c>
      <c r="AM474" s="7" t="s">
        <v>1177</v>
      </c>
      <c r="AN474" s="7" t="s">
        <v>3212</v>
      </c>
      <c r="AO474" s="7" t="s">
        <v>1177</v>
      </c>
      <c r="AP474" s="7" t="s">
        <v>1177</v>
      </c>
      <c r="AQ474" s="7" t="s">
        <v>1177</v>
      </c>
      <c r="AR474" s="29">
        <v>0</v>
      </c>
      <c r="AS474" s="7" t="s">
        <v>1177</v>
      </c>
      <c r="AT474" s="7" t="s">
        <v>1363</v>
      </c>
      <c r="AU474" s="38">
        <v>46275</v>
      </c>
      <c r="AV474" s="39">
        <v>0.60392361111111004</v>
      </c>
    </row>
    <row r="475" spans="1:48" x14ac:dyDescent="0.35">
      <c r="A475" t="str">
        <f t="shared" si="7"/>
        <v>GP018876B838</v>
      </c>
      <c r="B475" s="7" t="s">
        <v>233</v>
      </c>
      <c r="C475" s="7" t="s">
        <v>744</v>
      </c>
      <c r="D475" s="7" t="s">
        <v>48</v>
      </c>
      <c r="E475" s="7" t="s">
        <v>1177</v>
      </c>
      <c r="F475" s="7" t="s">
        <v>134</v>
      </c>
      <c r="G475" s="7" t="s">
        <v>130</v>
      </c>
      <c r="H475" s="7" t="s">
        <v>129</v>
      </c>
      <c r="I475" s="30">
        <v>2</v>
      </c>
      <c r="J475" s="7" t="s">
        <v>1177</v>
      </c>
      <c r="K475" s="7" t="s">
        <v>1178</v>
      </c>
      <c r="L475" s="7" t="s">
        <v>132</v>
      </c>
      <c r="M475" s="7" t="s">
        <v>133</v>
      </c>
      <c r="N475" s="30">
        <v>0</v>
      </c>
      <c r="O475" s="30">
        <v>0</v>
      </c>
      <c r="P475" s="30">
        <v>0</v>
      </c>
      <c r="Q475" s="30">
        <v>0</v>
      </c>
      <c r="R475" s="29">
        <v>0</v>
      </c>
      <c r="S475" s="36">
        <v>0</v>
      </c>
      <c r="T475" s="7" t="s">
        <v>131</v>
      </c>
      <c r="U475" s="7" t="s">
        <v>745</v>
      </c>
      <c r="V475" s="7" t="s">
        <v>745</v>
      </c>
      <c r="W475" s="7" t="s">
        <v>1177</v>
      </c>
      <c r="X475" s="30">
        <v>2</v>
      </c>
      <c r="Y475" s="7" t="s">
        <v>1177</v>
      </c>
      <c r="Z475" s="7" t="s">
        <v>1178</v>
      </c>
      <c r="AA475" s="30">
        <v>0</v>
      </c>
      <c r="AB475" s="36">
        <v>0</v>
      </c>
      <c r="AC475" s="7" t="s">
        <v>1177</v>
      </c>
      <c r="AD475" s="37">
        <v>0</v>
      </c>
      <c r="AE475" s="7" t="s">
        <v>1177</v>
      </c>
      <c r="AF475" s="7" t="s">
        <v>1177</v>
      </c>
      <c r="AG475" s="7" t="s">
        <v>1177</v>
      </c>
      <c r="AH475" s="38"/>
      <c r="AI475" s="36">
        <v>0</v>
      </c>
      <c r="AJ475" s="7" t="s">
        <v>1193</v>
      </c>
      <c r="AK475" s="7" t="s">
        <v>1177</v>
      </c>
      <c r="AL475" s="7" t="s">
        <v>1177</v>
      </c>
      <c r="AM475" s="7" t="s">
        <v>1177</v>
      </c>
      <c r="AN475" s="7" t="s">
        <v>3212</v>
      </c>
      <c r="AO475" s="7" t="s">
        <v>1177</v>
      </c>
      <c r="AP475" s="7" t="s">
        <v>1177</v>
      </c>
      <c r="AQ475" s="7" t="s">
        <v>1177</v>
      </c>
      <c r="AR475" s="29">
        <v>0</v>
      </c>
      <c r="AS475" s="7" t="s">
        <v>1177</v>
      </c>
      <c r="AT475" s="7" t="s">
        <v>1363</v>
      </c>
      <c r="AU475" s="38">
        <v>46275</v>
      </c>
      <c r="AV475" s="39">
        <v>0.60474537037037002</v>
      </c>
    </row>
    <row r="476" spans="1:48" x14ac:dyDescent="0.35">
      <c r="A476" t="str">
        <f t="shared" si="7"/>
        <v>GP018876B856</v>
      </c>
      <c r="B476" s="7" t="s">
        <v>233</v>
      </c>
      <c r="C476" s="7" t="s">
        <v>852</v>
      </c>
      <c r="D476" s="7" t="s">
        <v>21</v>
      </c>
      <c r="E476" s="7" t="s">
        <v>1177</v>
      </c>
      <c r="F476" s="7" t="s">
        <v>134</v>
      </c>
      <c r="G476" s="7" t="s">
        <v>130</v>
      </c>
      <c r="H476" s="7" t="s">
        <v>129</v>
      </c>
      <c r="I476" s="30">
        <v>6</v>
      </c>
      <c r="J476" s="7" t="s">
        <v>1177</v>
      </c>
      <c r="K476" s="7" t="s">
        <v>1178</v>
      </c>
      <c r="L476" s="7" t="s">
        <v>132</v>
      </c>
      <c r="M476" s="7" t="s">
        <v>133</v>
      </c>
      <c r="N476" s="30">
        <v>0</v>
      </c>
      <c r="O476" s="30">
        <v>0</v>
      </c>
      <c r="P476" s="30">
        <v>0</v>
      </c>
      <c r="Q476" s="30">
        <v>0</v>
      </c>
      <c r="R476" s="29">
        <v>0</v>
      </c>
      <c r="S476" s="36">
        <v>0</v>
      </c>
      <c r="T476" s="7" t="s">
        <v>131</v>
      </c>
      <c r="U476" s="7" t="s">
        <v>853</v>
      </c>
      <c r="V476" s="7" t="s">
        <v>853</v>
      </c>
      <c r="W476" s="7" t="s">
        <v>1177</v>
      </c>
      <c r="X476" s="30">
        <v>6</v>
      </c>
      <c r="Y476" s="7" t="s">
        <v>1177</v>
      </c>
      <c r="Z476" s="7" t="s">
        <v>1178</v>
      </c>
      <c r="AA476" s="30">
        <v>0</v>
      </c>
      <c r="AB476" s="36">
        <v>0</v>
      </c>
      <c r="AC476" s="7" t="s">
        <v>1177</v>
      </c>
      <c r="AD476" s="37">
        <v>0</v>
      </c>
      <c r="AE476" s="7" t="s">
        <v>1177</v>
      </c>
      <c r="AF476" s="7" t="s">
        <v>1177</v>
      </c>
      <c r="AG476" s="7" t="s">
        <v>1177</v>
      </c>
      <c r="AH476" s="38"/>
      <c r="AI476" s="36">
        <v>0</v>
      </c>
      <c r="AJ476" s="7" t="s">
        <v>1193</v>
      </c>
      <c r="AK476" s="7" t="s">
        <v>1177</v>
      </c>
      <c r="AL476" s="7" t="s">
        <v>1177</v>
      </c>
      <c r="AM476" s="7" t="s">
        <v>1177</v>
      </c>
      <c r="AN476" s="7" t="s">
        <v>3212</v>
      </c>
      <c r="AO476" s="7" t="s">
        <v>1177</v>
      </c>
      <c r="AP476" s="7" t="s">
        <v>1177</v>
      </c>
      <c r="AQ476" s="7" t="s">
        <v>1177</v>
      </c>
      <c r="AR476" s="29">
        <v>0</v>
      </c>
      <c r="AS476" s="7" t="s">
        <v>1177</v>
      </c>
      <c r="AT476" s="7" t="s">
        <v>1363</v>
      </c>
      <c r="AU476" s="38">
        <v>46275</v>
      </c>
      <c r="AV476" s="39">
        <v>0.60521990740741005</v>
      </c>
    </row>
    <row r="477" spans="1:48" x14ac:dyDescent="0.35">
      <c r="A477" t="str">
        <f t="shared" si="7"/>
        <v>GP018876B857</v>
      </c>
      <c r="B477" s="7" t="s">
        <v>233</v>
      </c>
      <c r="C477" s="7" t="s">
        <v>958</v>
      </c>
      <c r="D477" s="7" t="s">
        <v>23</v>
      </c>
      <c r="E477" s="7" t="s">
        <v>1177</v>
      </c>
      <c r="F477" s="7" t="s">
        <v>134</v>
      </c>
      <c r="G477" s="7" t="s">
        <v>130</v>
      </c>
      <c r="H477" s="7" t="s">
        <v>129</v>
      </c>
      <c r="I477" s="30">
        <v>6</v>
      </c>
      <c r="J477" s="7" t="s">
        <v>1177</v>
      </c>
      <c r="K477" s="7" t="s">
        <v>1178</v>
      </c>
      <c r="L477" s="7" t="s">
        <v>132</v>
      </c>
      <c r="M477" s="7" t="s">
        <v>133</v>
      </c>
      <c r="N477" s="30">
        <v>0</v>
      </c>
      <c r="O477" s="30">
        <v>0</v>
      </c>
      <c r="P477" s="30">
        <v>0</v>
      </c>
      <c r="Q477" s="30">
        <v>0</v>
      </c>
      <c r="R477" s="29">
        <v>0</v>
      </c>
      <c r="S477" s="36">
        <v>0</v>
      </c>
      <c r="T477" s="7" t="s">
        <v>131</v>
      </c>
      <c r="U477" s="7" t="s">
        <v>959</v>
      </c>
      <c r="V477" s="7" t="s">
        <v>959</v>
      </c>
      <c r="W477" s="7" t="s">
        <v>1177</v>
      </c>
      <c r="X477" s="30">
        <v>6</v>
      </c>
      <c r="Y477" s="7" t="s">
        <v>1177</v>
      </c>
      <c r="Z477" s="7" t="s">
        <v>1178</v>
      </c>
      <c r="AA477" s="30">
        <v>0</v>
      </c>
      <c r="AB477" s="36">
        <v>0</v>
      </c>
      <c r="AC477" s="7" t="s">
        <v>1177</v>
      </c>
      <c r="AD477" s="37">
        <v>0</v>
      </c>
      <c r="AE477" s="7" t="s">
        <v>1177</v>
      </c>
      <c r="AF477" s="7" t="s">
        <v>1177</v>
      </c>
      <c r="AG477" s="7" t="s">
        <v>1177</v>
      </c>
      <c r="AH477" s="38"/>
      <c r="AI477" s="36">
        <v>0</v>
      </c>
      <c r="AJ477" s="7" t="s">
        <v>1193</v>
      </c>
      <c r="AK477" s="7" t="s">
        <v>1177</v>
      </c>
      <c r="AL477" s="7" t="s">
        <v>1177</v>
      </c>
      <c r="AM477" s="7" t="s">
        <v>1177</v>
      </c>
      <c r="AN477" s="7" t="s">
        <v>3212</v>
      </c>
      <c r="AO477" s="7" t="s">
        <v>1177</v>
      </c>
      <c r="AP477" s="7" t="s">
        <v>1177</v>
      </c>
      <c r="AQ477" s="7" t="s">
        <v>1177</v>
      </c>
      <c r="AR477" s="29">
        <v>0</v>
      </c>
      <c r="AS477" s="7" t="s">
        <v>1177</v>
      </c>
      <c r="AT477" s="7" t="s">
        <v>1363</v>
      </c>
      <c r="AU477" s="38">
        <v>46275</v>
      </c>
      <c r="AV477" s="39">
        <v>0.60532407407406996</v>
      </c>
    </row>
    <row r="478" spans="1:48" x14ac:dyDescent="0.35">
      <c r="A478" t="str">
        <f t="shared" si="7"/>
        <v>GP018876B864</v>
      </c>
      <c r="B478" s="7" t="s">
        <v>233</v>
      </c>
      <c r="C478" s="7" t="s">
        <v>1010</v>
      </c>
      <c r="D478" s="7" t="s">
        <v>10</v>
      </c>
      <c r="E478" s="7" t="s">
        <v>1177</v>
      </c>
      <c r="F478" s="7" t="s">
        <v>134</v>
      </c>
      <c r="G478" s="7" t="s">
        <v>130</v>
      </c>
      <c r="H478" s="7" t="s">
        <v>129</v>
      </c>
      <c r="I478" s="30">
        <v>3</v>
      </c>
      <c r="J478" s="7" t="s">
        <v>1177</v>
      </c>
      <c r="K478" s="7" t="s">
        <v>1178</v>
      </c>
      <c r="L478" s="7" t="s">
        <v>132</v>
      </c>
      <c r="M478" s="7" t="s">
        <v>133</v>
      </c>
      <c r="N478" s="30">
        <v>0</v>
      </c>
      <c r="O478" s="30">
        <v>0</v>
      </c>
      <c r="P478" s="30">
        <v>0</v>
      </c>
      <c r="Q478" s="30">
        <v>0</v>
      </c>
      <c r="R478" s="29">
        <v>0</v>
      </c>
      <c r="S478" s="36">
        <v>0</v>
      </c>
      <c r="T478" s="7" t="s">
        <v>131</v>
      </c>
      <c r="U478" s="7" t="s">
        <v>1011</v>
      </c>
      <c r="V478" s="7" t="s">
        <v>1011</v>
      </c>
      <c r="W478" s="7" t="s">
        <v>1177</v>
      </c>
      <c r="X478" s="30">
        <v>3</v>
      </c>
      <c r="Y478" s="7" t="s">
        <v>1177</v>
      </c>
      <c r="Z478" s="7" t="s">
        <v>1178</v>
      </c>
      <c r="AA478" s="30">
        <v>0</v>
      </c>
      <c r="AB478" s="36">
        <v>0</v>
      </c>
      <c r="AC478" s="7" t="s">
        <v>1177</v>
      </c>
      <c r="AD478" s="37">
        <v>0</v>
      </c>
      <c r="AE478" s="7" t="s">
        <v>1177</v>
      </c>
      <c r="AF478" s="7" t="s">
        <v>1177</v>
      </c>
      <c r="AG478" s="7" t="s">
        <v>1177</v>
      </c>
      <c r="AH478" s="38"/>
      <c r="AI478" s="36">
        <v>0</v>
      </c>
      <c r="AJ478" s="7" t="s">
        <v>1193</v>
      </c>
      <c r="AK478" s="7" t="s">
        <v>1177</v>
      </c>
      <c r="AL478" s="7" t="s">
        <v>1177</v>
      </c>
      <c r="AM478" s="7" t="s">
        <v>1177</v>
      </c>
      <c r="AN478" s="7" t="s">
        <v>3212</v>
      </c>
      <c r="AO478" s="7" t="s">
        <v>1177</v>
      </c>
      <c r="AP478" s="7" t="s">
        <v>1177</v>
      </c>
      <c r="AQ478" s="7" t="s">
        <v>1177</v>
      </c>
      <c r="AR478" s="29">
        <v>0</v>
      </c>
      <c r="AS478" s="7" t="s">
        <v>1177</v>
      </c>
      <c r="AT478" s="7" t="s">
        <v>1363</v>
      </c>
      <c r="AU478" s="38">
        <v>46275</v>
      </c>
      <c r="AV478" s="39">
        <v>0.60541666666667004</v>
      </c>
    </row>
    <row r="479" spans="1:48" x14ac:dyDescent="0.35">
      <c r="A479" t="str">
        <f t="shared" si="7"/>
        <v>GP018876B865</v>
      </c>
      <c r="B479" s="7" t="s">
        <v>233</v>
      </c>
      <c r="C479" s="7" t="s">
        <v>1039</v>
      </c>
      <c r="D479" s="7" t="s">
        <v>7</v>
      </c>
      <c r="E479" s="7" t="s">
        <v>1177</v>
      </c>
      <c r="F479" s="7" t="s">
        <v>134</v>
      </c>
      <c r="G479" s="7" t="s">
        <v>130</v>
      </c>
      <c r="H479" s="7" t="s">
        <v>129</v>
      </c>
      <c r="I479" s="30">
        <v>3</v>
      </c>
      <c r="J479" s="7" t="s">
        <v>1177</v>
      </c>
      <c r="K479" s="7" t="s">
        <v>1178</v>
      </c>
      <c r="L479" s="7" t="s">
        <v>132</v>
      </c>
      <c r="M479" s="7" t="s">
        <v>133</v>
      </c>
      <c r="N479" s="30">
        <v>0</v>
      </c>
      <c r="O479" s="30">
        <v>0</v>
      </c>
      <c r="P479" s="30">
        <v>0</v>
      </c>
      <c r="Q479" s="30">
        <v>0</v>
      </c>
      <c r="R479" s="29">
        <v>0</v>
      </c>
      <c r="S479" s="36">
        <v>0</v>
      </c>
      <c r="T479" s="7" t="s">
        <v>131</v>
      </c>
      <c r="U479" s="7" t="s">
        <v>1040</v>
      </c>
      <c r="V479" s="7" t="s">
        <v>1040</v>
      </c>
      <c r="W479" s="7" t="s">
        <v>1177</v>
      </c>
      <c r="X479" s="30">
        <v>3</v>
      </c>
      <c r="Y479" s="7" t="s">
        <v>1177</v>
      </c>
      <c r="Z479" s="7" t="s">
        <v>1178</v>
      </c>
      <c r="AA479" s="30">
        <v>0</v>
      </c>
      <c r="AB479" s="36">
        <v>0</v>
      </c>
      <c r="AC479" s="7" t="s">
        <v>1177</v>
      </c>
      <c r="AD479" s="37">
        <v>0</v>
      </c>
      <c r="AE479" s="7" t="s">
        <v>1177</v>
      </c>
      <c r="AF479" s="7" t="s">
        <v>1177</v>
      </c>
      <c r="AG479" s="7" t="s">
        <v>1177</v>
      </c>
      <c r="AH479" s="38"/>
      <c r="AI479" s="36">
        <v>0</v>
      </c>
      <c r="AJ479" s="7" t="s">
        <v>1193</v>
      </c>
      <c r="AK479" s="7" t="s">
        <v>1177</v>
      </c>
      <c r="AL479" s="7" t="s">
        <v>1177</v>
      </c>
      <c r="AM479" s="7" t="s">
        <v>1177</v>
      </c>
      <c r="AN479" s="7" t="s">
        <v>3212</v>
      </c>
      <c r="AO479" s="7" t="s">
        <v>1177</v>
      </c>
      <c r="AP479" s="7" t="s">
        <v>1177</v>
      </c>
      <c r="AQ479" s="7" t="s">
        <v>1177</v>
      </c>
      <c r="AR479" s="29">
        <v>0</v>
      </c>
      <c r="AS479" s="7" t="s">
        <v>1177</v>
      </c>
      <c r="AT479" s="7" t="s">
        <v>1363</v>
      </c>
      <c r="AU479" s="38">
        <v>46275</v>
      </c>
      <c r="AV479" s="39">
        <v>0.60553240740740999</v>
      </c>
    </row>
    <row r="480" spans="1:48" x14ac:dyDescent="0.35">
      <c r="A480" t="str">
        <f t="shared" si="7"/>
        <v>GP018876B867</v>
      </c>
      <c r="B480" s="7" t="s">
        <v>233</v>
      </c>
      <c r="C480" s="7" t="s">
        <v>1059</v>
      </c>
      <c r="D480" s="7" t="s">
        <v>25</v>
      </c>
      <c r="E480" s="7" t="s">
        <v>1177</v>
      </c>
      <c r="F480" s="7" t="s">
        <v>134</v>
      </c>
      <c r="G480" s="7" t="s">
        <v>130</v>
      </c>
      <c r="H480" s="7" t="s">
        <v>129</v>
      </c>
      <c r="I480" s="30">
        <v>2</v>
      </c>
      <c r="J480" s="7" t="s">
        <v>1177</v>
      </c>
      <c r="K480" s="7" t="s">
        <v>1178</v>
      </c>
      <c r="L480" s="7" t="s">
        <v>132</v>
      </c>
      <c r="M480" s="7" t="s">
        <v>133</v>
      </c>
      <c r="N480" s="30">
        <v>0</v>
      </c>
      <c r="O480" s="30">
        <v>0</v>
      </c>
      <c r="P480" s="30">
        <v>0</v>
      </c>
      <c r="Q480" s="30">
        <v>0</v>
      </c>
      <c r="R480" s="29">
        <v>0</v>
      </c>
      <c r="S480" s="36">
        <v>0</v>
      </c>
      <c r="T480" s="7" t="s">
        <v>131</v>
      </c>
      <c r="U480" s="7" t="s">
        <v>1060</v>
      </c>
      <c r="V480" s="7" t="s">
        <v>1060</v>
      </c>
      <c r="W480" s="7" t="s">
        <v>1177</v>
      </c>
      <c r="X480" s="30">
        <v>2</v>
      </c>
      <c r="Y480" s="7" t="s">
        <v>1177</v>
      </c>
      <c r="Z480" s="7" t="s">
        <v>1178</v>
      </c>
      <c r="AA480" s="30">
        <v>0</v>
      </c>
      <c r="AB480" s="36">
        <v>0</v>
      </c>
      <c r="AC480" s="7" t="s">
        <v>1177</v>
      </c>
      <c r="AD480" s="37">
        <v>0</v>
      </c>
      <c r="AE480" s="7" t="s">
        <v>1177</v>
      </c>
      <c r="AF480" s="7" t="s">
        <v>1177</v>
      </c>
      <c r="AG480" s="7" t="s">
        <v>1177</v>
      </c>
      <c r="AH480" s="38"/>
      <c r="AI480" s="36">
        <v>0</v>
      </c>
      <c r="AJ480" s="7" t="s">
        <v>1193</v>
      </c>
      <c r="AK480" s="7" t="s">
        <v>1177</v>
      </c>
      <c r="AL480" s="7" t="s">
        <v>1177</v>
      </c>
      <c r="AM480" s="7" t="s">
        <v>1177</v>
      </c>
      <c r="AN480" s="7" t="s">
        <v>3212</v>
      </c>
      <c r="AO480" s="7" t="s">
        <v>1177</v>
      </c>
      <c r="AP480" s="7" t="s">
        <v>1177</v>
      </c>
      <c r="AQ480" s="7" t="s">
        <v>1177</v>
      </c>
      <c r="AR480" s="29">
        <v>0</v>
      </c>
      <c r="AS480" s="7" t="s">
        <v>1177</v>
      </c>
      <c r="AT480" s="7" t="s">
        <v>1363</v>
      </c>
      <c r="AU480" s="38">
        <v>46275</v>
      </c>
      <c r="AV480" s="39">
        <v>0.60564814814815005</v>
      </c>
    </row>
    <row r="481" spans="1:48" x14ac:dyDescent="0.35">
      <c r="A481" t="str">
        <f t="shared" si="7"/>
        <v>GP018983B867</v>
      </c>
      <c r="B481" s="7" t="s">
        <v>1062</v>
      </c>
      <c r="C481" s="7" t="s">
        <v>1059</v>
      </c>
      <c r="D481" s="7" t="s">
        <v>25</v>
      </c>
      <c r="E481" s="7" t="s">
        <v>1177</v>
      </c>
      <c r="F481" s="7" t="s">
        <v>128</v>
      </c>
      <c r="G481" s="7" t="s">
        <v>130</v>
      </c>
      <c r="H481" s="7" t="s">
        <v>129</v>
      </c>
      <c r="I481" s="30">
        <v>2</v>
      </c>
      <c r="J481" s="7" t="s">
        <v>1177</v>
      </c>
      <c r="K481" s="7" t="s">
        <v>1178</v>
      </c>
      <c r="L481" s="7" t="s">
        <v>132</v>
      </c>
      <c r="M481" s="7" t="s">
        <v>133</v>
      </c>
      <c r="N481" s="30">
        <v>0</v>
      </c>
      <c r="O481" s="30">
        <v>0</v>
      </c>
      <c r="P481" s="30">
        <v>0</v>
      </c>
      <c r="Q481" s="30">
        <v>0</v>
      </c>
      <c r="R481" s="29">
        <v>0</v>
      </c>
      <c r="S481" s="36">
        <v>0</v>
      </c>
      <c r="T481" s="7" t="s">
        <v>131</v>
      </c>
      <c r="U481" s="7" t="s">
        <v>1060</v>
      </c>
      <c r="V481" s="7" t="s">
        <v>1060</v>
      </c>
      <c r="W481" s="7" t="s">
        <v>1177</v>
      </c>
      <c r="X481" s="30">
        <v>1</v>
      </c>
      <c r="Y481" s="7" t="s">
        <v>1177</v>
      </c>
      <c r="Z481" s="7" t="s">
        <v>1178</v>
      </c>
      <c r="AA481" s="30">
        <v>0</v>
      </c>
      <c r="AB481" s="36">
        <v>0</v>
      </c>
      <c r="AC481" s="7" t="s">
        <v>1177</v>
      </c>
      <c r="AD481" s="37">
        <v>0</v>
      </c>
      <c r="AE481" s="7" t="s">
        <v>1177</v>
      </c>
      <c r="AF481" s="7" t="s">
        <v>1177</v>
      </c>
      <c r="AG481" s="7" t="s">
        <v>1177</v>
      </c>
      <c r="AH481" s="38"/>
      <c r="AI481" s="36">
        <v>0</v>
      </c>
      <c r="AJ481" s="7" t="s">
        <v>1193</v>
      </c>
      <c r="AK481" s="7" t="s">
        <v>1177</v>
      </c>
      <c r="AL481" s="7" t="s">
        <v>1177</v>
      </c>
      <c r="AM481" s="7" t="s">
        <v>1177</v>
      </c>
      <c r="AN481" s="7" t="s">
        <v>3212</v>
      </c>
      <c r="AO481" s="7" t="s">
        <v>1177</v>
      </c>
      <c r="AP481" s="7" t="s">
        <v>1177</v>
      </c>
      <c r="AQ481" s="7" t="s">
        <v>1177</v>
      </c>
      <c r="AR481" s="29">
        <v>0</v>
      </c>
      <c r="AS481" s="7" t="s">
        <v>1177</v>
      </c>
      <c r="AT481" s="7" t="s">
        <v>1363</v>
      </c>
      <c r="AU481" s="38">
        <v>46275</v>
      </c>
      <c r="AV481" s="39">
        <v>0.62730324074073995</v>
      </c>
    </row>
    <row r="482" spans="1:48" x14ac:dyDescent="0.35">
      <c r="A482" t="str">
        <f t="shared" si="7"/>
        <v>GP019007B825</v>
      </c>
      <c r="B482" s="7" t="s">
        <v>311</v>
      </c>
      <c r="C482" s="7" t="s">
        <v>511</v>
      </c>
      <c r="D482" s="7" t="s">
        <v>16</v>
      </c>
      <c r="E482" s="7" t="s">
        <v>1177</v>
      </c>
      <c r="F482" s="7" t="s">
        <v>128</v>
      </c>
      <c r="G482" s="7" t="s">
        <v>130</v>
      </c>
      <c r="H482" s="7" t="s">
        <v>129</v>
      </c>
      <c r="I482" s="30">
        <v>1</v>
      </c>
      <c r="J482" s="7" t="s">
        <v>1177</v>
      </c>
      <c r="K482" s="7" t="s">
        <v>1178</v>
      </c>
      <c r="L482" s="7" t="s">
        <v>132</v>
      </c>
      <c r="M482" s="7" t="s">
        <v>133</v>
      </c>
      <c r="N482" s="30">
        <v>0</v>
      </c>
      <c r="O482" s="30">
        <v>0</v>
      </c>
      <c r="P482" s="30">
        <v>0</v>
      </c>
      <c r="Q482" s="30">
        <v>0</v>
      </c>
      <c r="R482" s="29">
        <v>0</v>
      </c>
      <c r="S482" s="36">
        <v>0</v>
      </c>
      <c r="T482" s="7" t="s">
        <v>131</v>
      </c>
      <c r="U482" s="7" t="s">
        <v>512</v>
      </c>
      <c r="V482" s="7" t="s">
        <v>512</v>
      </c>
      <c r="W482" s="7" t="s">
        <v>1177</v>
      </c>
      <c r="X482" s="30">
        <v>1</v>
      </c>
      <c r="Y482" s="7" t="s">
        <v>1177</v>
      </c>
      <c r="Z482" s="7" t="s">
        <v>1178</v>
      </c>
      <c r="AA482" s="30">
        <v>0</v>
      </c>
      <c r="AB482" s="36">
        <v>0</v>
      </c>
      <c r="AC482" s="7" t="s">
        <v>1177</v>
      </c>
      <c r="AD482" s="37">
        <v>0</v>
      </c>
      <c r="AE482" s="7" t="s">
        <v>1177</v>
      </c>
      <c r="AF482" s="7" t="s">
        <v>1177</v>
      </c>
      <c r="AG482" s="7" t="s">
        <v>1177</v>
      </c>
      <c r="AH482" s="38"/>
      <c r="AI482" s="36">
        <v>0</v>
      </c>
      <c r="AJ482" s="7" t="s">
        <v>1193</v>
      </c>
      <c r="AK482" s="7" t="s">
        <v>1177</v>
      </c>
      <c r="AL482" s="7" t="s">
        <v>1177</v>
      </c>
      <c r="AM482" s="7" t="s">
        <v>1177</v>
      </c>
      <c r="AN482" s="7" t="s">
        <v>3212</v>
      </c>
      <c r="AO482" s="7" t="s">
        <v>1177</v>
      </c>
      <c r="AP482" s="7" t="s">
        <v>1177</v>
      </c>
      <c r="AQ482" s="7" t="s">
        <v>1177</v>
      </c>
      <c r="AR482" s="29">
        <v>0</v>
      </c>
      <c r="AS482" s="7" t="s">
        <v>1177</v>
      </c>
      <c r="AT482" s="7" t="s">
        <v>1363</v>
      </c>
      <c r="AU482" s="38">
        <v>46275</v>
      </c>
      <c r="AV482" s="39">
        <v>0.60354166666666997</v>
      </c>
    </row>
    <row r="483" spans="1:48" x14ac:dyDescent="0.35">
      <c r="A483" t="str">
        <f t="shared" si="7"/>
        <v>GP019452B865</v>
      </c>
      <c r="B483" s="7" t="s">
        <v>789</v>
      </c>
      <c r="C483" s="7" t="s">
        <v>1039</v>
      </c>
      <c r="D483" s="7" t="s">
        <v>7</v>
      </c>
      <c r="E483" s="7" t="s">
        <v>1177</v>
      </c>
      <c r="F483" s="7" t="s">
        <v>128</v>
      </c>
      <c r="G483" s="7" t="s">
        <v>130</v>
      </c>
      <c r="H483" s="7" t="s">
        <v>129</v>
      </c>
      <c r="I483" s="30">
        <v>2</v>
      </c>
      <c r="J483" s="7" t="s">
        <v>1177</v>
      </c>
      <c r="K483" s="7" t="s">
        <v>1178</v>
      </c>
      <c r="L483" s="7" t="s">
        <v>132</v>
      </c>
      <c r="M483" s="7" t="s">
        <v>133</v>
      </c>
      <c r="N483" s="30">
        <v>0</v>
      </c>
      <c r="O483" s="30">
        <v>0</v>
      </c>
      <c r="P483" s="30">
        <v>0</v>
      </c>
      <c r="Q483" s="30">
        <v>0</v>
      </c>
      <c r="R483" s="29">
        <v>0</v>
      </c>
      <c r="S483" s="36">
        <v>0</v>
      </c>
      <c r="T483" s="7" t="s">
        <v>131</v>
      </c>
      <c r="U483" s="7" t="s">
        <v>1040</v>
      </c>
      <c r="V483" s="7" t="s">
        <v>1040</v>
      </c>
      <c r="W483" s="7" t="s">
        <v>1177</v>
      </c>
      <c r="X483" s="30">
        <v>1</v>
      </c>
      <c r="Y483" s="7" t="s">
        <v>1177</v>
      </c>
      <c r="Z483" s="7" t="s">
        <v>1178</v>
      </c>
      <c r="AA483" s="30">
        <v>0</v>
      </c>
      <c r="AB483" s="36">
        <v>0</v>
      </c>
      <c r="AC483" s="7" t="s">
        <v>1177</v>
      </c>
      <c r="AD483" s="37">
        <v>0</v>
      </c>
      <c r="AE483" s="7" t="s">
        <v>1177</v>
      </c>
      <c r="AF483" s="7" t="s">
        <v>1177</v>
      </c>
      <c r="AG483" s="7" t="s">
        <v>1177</v>
      </c>
      <c r="AH483" s="38"/>
      <c r="AI483" s="36">
        <v>0</v>
      </c>
      <c r="AJ483" s="7" t="s">
        <v>1193</v>
      </c>
      <c r="AK483" s="7" t="s">
        <v>1177</v>
      </c>
      <c r="AL483" s="7" t="s">
        <v>1177</v>
      </c>
      <c r="AM483" s="7" t="s">
        <v>1177</v>
      </c>
      <c r="AN483" s="7" t="s">
        <v>3212</v>
      </c>
      <c r="AO483" s="7" t="s">
        <v>1177</v>
      </c>
      <c r="AP483" s="7" t="s">
        <v>1177</v>
      </c>
      <c r="AQ483" s="7" t="s">
        <v>1177</v>
      </c>
      <c r="AR483" s="29">
        <v>0</v>
      </c>
      <c r="AS483" s="7" t="s">
        <v>1177</v>
      </c>
      <c r="AT483" s="7" t="s">
        <v>1363</v>
      </c>
      <c r="AU483" s="38">
        <v>46275</v>
      </c>
      <c r="AV483" s="39">
        <v>0.62665509259259</v>
      </c>
    </row>
    <row r="484" spans="1:48" x14ac:dyDescent="0.35">
      <c r="A484" t="str">
        <f t="shared" si="7"/>
        <v>GP019453B825</v>
      </c>
      <c r="B484" s="7" t="s">
        <v>234</v>
      </c>
      <c r="C484" s="7" t="s">
        <v>511</v>
      </c>
      <c r="D484" s="7" t="s">
        <v>16</v>
      </c>
      <c r="E484" s="7" t="s">
        <v>1177</v>
      </c>
      <c r="F484" s="7" t="s">
        <v>128</v>
      </c>
      <c r="G484" s="7" t="s">
        <v>130</v>
      </c>
      <c r="H484" s="7" t="s">
        <v>129</v>
      </c>
      <c r="I484" s="30">
        <v>1</v>
      </c>
      <c r="J484" s="7" t="s">
        <v>1177</v>
      </c>
      <c r="K484" s="7" t="s">
        <v>1178</v>
      </c>
      <c r="L484" s="7" t="s">
        <v>132</v>
      </c>
      <c r="M484" s="7" t="s">
        <v>133</v>
      </c>
      <c r="N484" s="30">
        <v>0</v>
      </c>
      <c r="O484" s="30">
        <v>0</v>
      </c>
      <c r="P484" s="30">
        <v>0</v>
      </c>
      <c r="Q484" s="30">
        <v>0</v>
      </c>
      <c r="R484" s="29">
        <v>0</v>
      </c>
      <c r="S484" s="36">
        <v>0</v>
      </c>
      <c r="T484" s="7" t="s">
        <v>131</v>
      </c>
      <c r="U484" s="7" t="s">
        <v>512</v>
      </c>
      <c r="V484" s="7" t="s">
        <v>512</v>
      </c>
      <c r="W484" s="7" t="s">
        <v>1177</v>
      </c>
      <c r="X484" s="30">
        <v>1</v>
      </c>
      <c r="Y484" s="7" t="s">
        <v>1177</v>
      </c>
      <c r="Z484" s="7" t="s">
        <v>1178</v>
      </c>
      <c r="AA484" s="30">
        <v>0</v>
      </c>
      <c r="AB484" s="36">
        <v>0</v>
      </c>
      <c r="AC484" s="7" t="s">
        <v>1177</v>
      </c>
      <c r="AD484" s="37">
        <v>0</v>
      </c>
      <c r="AE484" s="7" t="s">
        <v>1177</v>
      </c>
      <c r="AF484" s="7" t="s">
        <v>1177</v>
      </c>
      <c r="AG484" s="7" t="s">
        <v>1177</v>
      </c>
      <c r="AH484" s="38"/>
      <c r="AI484" s="36">
        <v>0</v>
      </c>
      <c r="AJ484" s="7" t="s">
        <v>1193</v>
      </c>
      <c r="AK484" s="7" t="s">
        <v>1177</v>
      </c>
      <c r="AL484" s="7" t="s">
        <v>1177</v>
      </c>
      <c r="AM484" s="7" t="s">
        <v>1177</v>
      </c>
      <c r="AN484" s="7" t="s">
        <v>3212</v>
      </c>
      <c r="AO484" s="7" t="s">
        <v>1177</v>
      </c>
      <c r="AP484" s="7" t="s">
        <v>1177</v>
      </c>
      <c r="AQ484" s="7" t="s">
        <v>1177</v>
      </c>
      <c r="AR484" s="29">
        <v>0</v>
      </c>
      <c r="AS484" s="7" t="s">
        <v>1177</v>
      </c>
      <c r="AT484" s="7" t="s">
        <v>1363</v>
      </c>
      <c r="AU484" s="38">
        <v>46275</v>
      </c>
      <c r="AV484" s="39">
        <v>0.62300925925925998</v>
      </c>
    </row>
    <row r="485" spans="1:48" x14ac:dyDescent="0.35">
      <c r="A485" t="str">
        <f t="shared" si="7"/>
        <v>GP019457B864</v>
      </c>
      <c r="B485" s="7" t="s">
        <v>235</v>
      </c>
      <c r="C485" s="7" t="s">
        <v>1010</v>
      </c>
      <c r="D485" s="7" t="s">
        <v>10</v>
      </c>
      <c r="E485" s="7" t="s">
        <v>1177</v>
      </c>
      <c r="F485" s="7" t="s">
        <v>128</v>
      </c>
      <c r="G485" s="7" t="s">
        <v>130</v>
      </c>
      <c r="H485" s="7" t="s">
        <v>129</v>
      </c>
      <c r="I485" s="30">
        <v>2</v>
      </c>
      <c r="J485" s="7" t="s">
        <v>1177</v>
      </c>
      <c r="K485" s="7" t="s">
        <v>1178</v>
      </c>
      <c r="L485" s="7" t="s">
        <v>132</v>
      </c>
      <c r="M485" s="7" t="s">
        <v>133</v>
      </c>
      <c r="N485" s="30">
        <v>0</v>
      </c>
      <c r="O485" s="30">
        <v>0</v>
      </c>
      <c r="P485" s="30">
        <v>0</v>
      </c>
      <c r="Q485" s="30">
        <v>0</v>
      </c>
      <c r="R485" s="29">
        <v>0</v>
      </c>
      <c r="S485" s="36">
        <v>0</v>
      </c>
      <c r="T485" s="7" t="s">
        <v>131</v>
      </c>
      <c r="U485" s="7" t="s">
        <v>1011</v>
      </c>
      <c r="V485" s="7" t="s">
        <v>1011</v>
      </c>
      <c r="W485" s="7" t="s">
        <v>1177</v>
      </c>
      <c r="X485" s="30">
        <v>1</v>
      </c>
      <c r="Y485" s="7" t="s">
        <v>1177</v>
      </c>
      <c r="Z485" s="7" t="s">
        <v>1178</v>
      </c>
      <c r="AA485" s="30">
        <v>0</v>
      </c>
      <c r="AB485" s="36">
        <v>0</v>
      </c>
      <c r="AC485" s="7" t="s">
        <v>1177</v>
      </c>
      <c r="AD485" s="37">
        <v>0</v>
      </c>
      <c r="AE485" s="7" t="s">
        <v>1177</v>
      </c>
      <c r="AF485" s="7" t="s">
        <v>1177</v>
      </c>
      <c r="AG485" s="7" t="s">
        <v>1177</v>
      </c>
      <c r="AH485" s="38"/>
      <c r="AI485" s="36">
        <v>0</v>
      </c>
      <c r="AJ485" s="7" t="s">
        <v>1193</v>
      </c>
      <c r="AK485" s="7" t="s">
        <v>1177</v>
      </c>
      <c r="AL485" s="7" t="s">
        <v>1177</v>
      </c>
      <c r="AM485" s="7" t="s">
        <v>1177</v>
      </c>
      <c r="AN485" s="7" t="s">
        <v>3212</v>
      </c>
      <c r="AO485" s="7" t="s">
        <v>1177</v>
      </c>
      <c r="AP485" s="7" t="s">
        <v>1177</v>
      </c>
      <c r="AQ485" s="7" t="s">
        <v>1177</v>
      </c>
      <c r="AR485" s="29">
        <v>0</v>
      </c>
      <c r="AS485" s="7" t="s">
        <v>1177</v>
      </c>
      <c r="AT485" s="7" t="s">
        <v>1363</v>
      </c>
      <c r="AU485" s="38">
        <v>46275</v>
      </c>
      <c r="AV485" s="39">
        <v>0.62655092592592998</v>
      </c>
    </row>
    <row r="486" spans="1:48" x14ac:dyDescent="0.35">
      <c r="A486" t="str">
        <f t="shared" si="7"/>
        <v>GP019516B825</v>
      </c>
      <c r="B486" s="7" t="s">
        <v>527</v>
      </c>
      <c r="C486" s="7" t="s">
        <v>511</v>
      </c>
      <c r="D486" s="7" t="s">
        <v>16</v>
      </c>
      <c r="E486" s="7" t="s">
        <v>1177</v>
      </c>
      <c r="F486" s="7" t="s">
        <v>128</v>
      </c>
      <c r="G486" s="7" t="s">
        <v>130</v>
      </c>
      <c r="H486" s="7" t="s">
        <v>129</v>
      </c>
      <c r="I486" s="30">
        <v>2</v>
      </c>
      <c r="J486" s="7" t="s">
        <v>1177</v>
      </c>
      <c r="K486" s="7" t="s">
        <v>1178</v>
      </c>
      <c r="L486" s="7" t="s">
        <v>132</v>
      </c>
      <c r="M486" s="7" t="s">
        <v>133</v>
      </c>
      <c r="N486" s="30">
        <v>0</v>
      </c>
      <c r="O486" s="30">
        <v>0</v>
      </c>
      <c r="P486" s="30">
        <v>0</v>
      </c>
      <c r="Q486" s="30">
        <v>0</v>
      </c>
      <c r="R486" s="29">
        <v>0</v>
      </c>
      <c r="S486" s="36">
        <v>0</v>
      </c>
      <c r="T486" s="7" t="s">
        <v>131</v>
      </c>
      <c r="U486" s="7" t="s">
        <v>512</v>
      </c>
      <c r="V486" s="7" t="s">
        <v>512</v>
      </c>
      <c r="W486" s="7" t="s">
        <v>1177</v>
      </c>
      <c r="X486" s="30">
        <v>1</v>
      </c>
      <c r="Y486" s="7" t="s">
        <v>1177</v>
      </c>
      <c r="Z486" s="7" t="s">
        <v>1178</v>
      </c>
      <c r="AA486" s="30">
        <v>0</v>
      </c>
      <c r="AB486" s="36">
        <v>0</v>
      </c>
      <c r="AC486" s="7" t="s">
        <v>1177</v>
      </c>
      <c r="AD486" s="37">
        <v>0</v>
      </c>
      <c r="AE486" s="7" t="s">
        <v>1177</v>
      </c>
      <c r="AF486" s="7" t="s">
        <v>1177</v>
      </c>
      <c r="AG486" s="7" t="s">
        <v>1177</v>
      </c>
      <c r="AH486" s="38"/>
      <c r="AI486" s="36">
        <v>0</v>
      </c>
      <c r="AJ486" s="7" t="s">
        <v>1193</v>
      </c>
      <c r="AK486" s="7" t="s">
        <v>1177</v>
      </c>
      <c r="AL486" s="7" t="s">
        <v>1177</v>
      </c>
      <c r="AM486" s="7" t="s">
        <v>1177</v>
      </c>
      <c r="AN486" s="7" t="s">
        <v>3212</v>
      </c>
      <c r="AO486" s="7" t="s">
        <v>1177</v>
      </c>
      <c r="AP486" s="7" t="s">
        <v>1177</v>
      </c>
      <c r="AQ486" s="7" t="s">
        <v>1177</v>
      </c>
      <c r="AR486" s="29">
        <v>0</v>
      </c>
      <c r="AS486" s="7" t="s">
        <v>1177</v>
      </c>
      <c r="AT486" s="7" t="s">
        <v>1363</v>
      </c>
      <c r="AU486" s="38">
        <v>46275</v>
      </c>
      <c r="AV486" s="39">
        <v>0.62300925925925998</v>
      </c>
    </row>
    <row r="487" spans="1:48" x14ac:dyDescent="0.35">
      <c r="A487" t="str">
        <f t="shared" si="7"/>
        <v>GP019516B838</v>
      </c>
      <c r="B487" s="7" t="s">
        <v>527</v>
      </c>
      <c r="C487" s="7" t="s">
        <v>744</v>
      </c>
      <c r="D487" s="7" t="s">
        <v>48</v>
      </c>
      <c r="E487" s="7" t="s">
        <v>1177</v>
      </c>
      <c r="F487" s="7" t="s">
        <v>128</v>
      </c>
      <c r="G487" s="7" t="s">
        <v>130</v>
      </c>
      <c r="H487" s="7" t="s">
        <v>129</v>
      </c>
      <c r="I487" s="30">
        <v>2</v>
      </c>
      <c r="J487" s="7" t="s">
        <v>1177</v>
      </c>
      <c r="K487" s="7" t="s">
        <v>1178</v>
      </c>
      <c r="L487" s="7" t="s">
        <v>132</v>
      </c>
      <c r="M487" s="7" t="s">
        <v>133</v>
      </c>
      <c r="N487" s="30">
        <v>0</v>
      </c>
      <c r="O487" s="30">
        <v>0</v>
      </c>
      <c r="P487" s="30">
        <v>0</v>
      </c>
      <c r="Q487" s="30">
        <v>0</v>
      </c>
      <c r="R487" s="29">
        <v>0</v>
      </c>
      <c r="S487" s="36">
        <v>0</v>
      </c>
      <c r="T487" s="7" t="s">
        <v>131</v>
      </c>
      <c r="U487" s="7" t="s">
        <v>745</v>
      </c>
      <c r="V487" s="7" t="s">
        <v>745</v>
      </c>
      <c r="W487" s="7" t="s">
        <v>1177</v>
      </c>
      <c r="X487" s="30">
        <v>1</v>
      </c>
      <c r="Y487" s="7" t="s">
        <v>1177</v>
      </c>
      <c r="Z487" s="7" t="s">
        <v>1178</v>
      </c>
      <c r="AA487" s="30">
        <v>0</v>
      </c>
      <c r="AB487" s="36">
        <v>0</v>
      </c>
      <c r="AC487" s="7" t="s">
        <v>1177</v>
      </c>
      <c r="AD487" s="37">
        <v>0</v>
      </c>
      <c r="AE487" s="7" t="s">
        <v>1177</v>
      </c>
      <c r="AF487" s="7" t="s">
        <v>1177</v>
      </c>
      <c r="AG487" s="7" t="s">
        <v>1177</v>
      </c>
      <c r="AH487" s="38"/>
      <c r="AI487" s="36">
        <v>0</v>
      </c>
      <c r="AJ487" s="7" t="s">
        <v>1193</v>
      </c>
      <c r="AK487" s="7" t="s">
        <v>1177</v>
      </c>
      <c r="AL487" s="7" t="s">
        <v>1177</v>
      </c>
      <c r="AM487" s="7" t="s">
        <v>1177</v>
      </c>
      <c r="AN487" s="7" t="s">
        <v>3212</v>
      </c>
      <c r="AO487" s="7" t="s">
        <v>1177</v>
      </c>
      <c r="AP487" s="7" t="s">
        <v>1177</v>
      </c>
      <c r="AQ487" s="7" t="s">
        <v>1177</v>
      </c>
      <c r="AR487" s="29">
        <v>0</v>
      </c>
      <c r="AS487" s="7" t="s">
        <v>1177</v>
      </c>
      <c r="AT487" s="7" t="s">
        <v>1363</v>
      </c>
      <c r="AU487" s="38">
        <v>46275</v>
      </c>
      <c r="AV487" s="39">
        <v>0.62413194444443998</v>
      </c>
    </row>
    <row r="488" spans="1:48" x14ac:dyDescent="0.35">
      <c r="A488" t="str">
        <f t="shared" si="7"/>
        <v>GP019518B833</v>
      </c>
      <c r="B488" s="7" t="s">
        <v>39</v>
      </c>
      <c r="C488" s="7" t="s">
        <v>698</v>
      </c>
      <c r="D488" s="7" t="s">
        <v>697</v>
      </c>
      <c r="E488" s="7" t="s">
        <v>1177</v>
      </c>
      <c r="F488" s="7" t="s">
        <v>128</v>
      </c>
      <c r="G488" s="7" t="s">
        <v>130</v>
      </c>
      <c r="H488" s="7" t="s">
        <v>129</v>
      </c>
      <c r="I488" s="30">
        <v>2</v>
      </c>
      <c r="J488" s="7" t="s">
        <v>1177</v>
      </c>
      <c r="K488" s="7" t="s">
        <v>1178</v>
      </c>
      <c r="L488" s="7" t="s">
        <v>132</v>
      </c>
      <c r="M488" s="7" t="s">
        <v>133</v>
      </c>
      <c r="N488" s="30">
        <v>0</v>
      </c>
      <c r="O488" s="30">
        <v>0</v>
      </c>
      <c r="P488" s="30">
        <v>0</v>
      </c>
      <c r="Q488" s="30">
        <v>0</v>
      </c>
      <c r="R488" s="29">
        <v>0</v>
      </c>
      <c r="S488" s="36">
        <v>0</v>
      </c>
      <c r="T488" s="7" t="s">
        <v>131</v>
      </c>
      <c r="U488" s="7" t="s">
        <v>699</v>
      </c>
      <c r="V488" s="7" t="s">
        <v>699</v>
      </c>
      <c r="W488" s="7" t="s">
        <v>1177</v>
      </c>
      <c r="X488" s="30">
        <v>1</v>
      </c>
      <c r="Y488" s="7" t="s">
        <v>1177</v>
      </c>
      <c r="Z488" s="7" t="s">
        <v>1178</v>
      </c>
      <c r="AA488" s="30">
        <v>0</v>
      </c>
      <c r="AB488" s="36">
        <v>0</v>
      </c>
      <c r="AC488" s="7" t="s">
        <v>1177</v>
      </c>
      <c r="AD488" s="37">
        <v>0</v>
      </c>
      <c r="AE488" s="7" t="s">
        <v>1177</v>
      </c>
      <c r="AF488" s="7" t="s">
        <v>1177</v>
      </c>
      <c r="AG488" s="7" t="s">
        <v>1177</v>
      </c>
      <c r="AH488" s="38"/>
      <c r="AI488" s="36">
        <v>0</v>
      </c>
      <c r="AJ488" s="7" t="s">
        <v>1193</v>
      </c>
      <c r="AK488" s="7" t="s">
        <v>1177</v>
      </c>
      <c r="AL488" s="7" t="s">
        <v>1177</v>
      </c>
      <c r="AM488" s="7" t="s">
        <v>1177</v>
      </c>
      <c r="AN488" s="7" t="s">
        <v>3212</v>
      </c>
      <c r="AO488" s="7" t="s">
        <v>1177</v>
      </c>
      <c r="AP488" s="7" t="s">
        <v>1177</v>
      </c>
      <c r="AQ488" s="7" t="s">
        <v>1177</v>
      </c>
      <c r="AR488" s="29">
        <v>0</v>
      </c>
      <c r="AS488" s="7" t="s">
        <v>1177</v>
      </c>
      <c r="AT488" s="7" t="s">
        <v>1363</v>
      </c>
      <c r="AU488" s="38">
        <v>46275</v>
      </c>
      <c r="AV488" s="39">
        <v>0.62348379629630002</v>
      </c>
    </row>
    <row r="489" spans="1:48" x14ac:dyDescent="0.35">
      <c r="A489" t="str">
        <f t="shared" si="7"/>
        <v>GP019520B838</v>
      </c>
      <c r="B489" s="7" t="s">
        <v>154</v>
      </c>
      <c r="C489" s="7" t="s">
        <v>744</v>
      </c>
      <c r="D489" s="7" t="s">
        <v>48</v>
      </c>
      <c r="E489" s="7" t="s">
        <v>1177</v>
      </c>
      <c r="F489" s="7" t="s">
        <v>128</v>
      </c>
      <c r="G489" s="7" t="s">
        <v>130</v>
      </c>
      <c r="H489" s="7" t="s">
        <v>129</v>
      </c>
      <c r="I489" s="30">
        <v>2</v>
      </c>
      <c r="J489" s="7" t="s">
        <v>1177</v>
      </c>
      <c r="K489" s="7" t="s">
        <v>1178</v>
      </c>
      <c r="L489" s="7" t="s">
        <v>132</v>
      </c>
      <c r="M489" s="7" t="s">
        <v>133</v>
      </c>
      <c r="N489" s="30">
        <v>0</v>
      </c>
      <c r="O489" s="30">
        <v>0</v>
      </c>
      <c r="P489" s="30">
        <v>0</v>
      </c>
      <c r="Q489" s="30">
        <v>0</v>
      </c>
      <c r="R489" s="29">
        <v>0</v>
      </c>
      <c r="S489" s="36">
        <v>0</v>
      </c>
      <c r="T489" s="7" t="s">
        <v>131</v>
      </c>
      <c r="U489" s="7" t="s">
        <v>745</v>
      </c>
      <c r="V489" s="7" t="s">
        <v>745</v>
      </c>
      <c r="W489" s="7" t="s">
        <v>1177</v>
      </c>
      <c r="X489" s="30">
        <v>1</v>
      </c>
      <c r="Y489" s="7" t="s">
        <v>1177</v>
      </c>
      <c r="Z489" s="7" t="s">
        <v>1178</v>
      </c>
      <c r="AA489" s="30">
        <v>0</v>
      </c>
      <c r="AB489" s="36">
        <v>0</v>
      </c>
      <c r="AC489" s="7" t="s">
        <v>1177</v>
      </c>
      <c r="AD489" s="37">
        <v>0</v>
      </c>
      <c r="AE489" s="7" t="s">
        <v>1177</v>
      </c>
      <c r="AF489" s="7" t="s">
        <v>1177</v>
      </c>
      <c r="AG489" s="7" t="s">
        <v>1177</v>
      </c>
      <c r="AH489" s="38"/>
      <c r="AI489" s="36">
        <v>0</v>
      </c>
      <c r="AJ489" s="7" t="s">
        <v>1193</v>
      </c>
      <c r="AK489" s="7" t="s">
        <v>1177</v>
      </c>
      <c r="AL489" s="7" t="s">
        <v>1177</v>
      </c>
      <c r="AM489" s="7" t="s">
        <v>1177</v>
      </c>
      <c r="AN489" s="7" t="s">
        <v>3212</v>
      </c>
      <c r="AO489" s="7" t="s">
        <v>1177</v>
      </c>
      <c r="AP489" s="7" t="s">
        <v>1177</v>
      </c>
      <c r="AQ489" s="7" t="s">
        <v>1177</v>
      </c>
      <c r="AR489" s="29">
        <v>0</v>
      </c>
      <c r="AS489" s="7" t="s">
        <v>1177</v>
      </c>
      <c r="AT489" s="7" t="s">
        <v>1363</v>
      </c>
      <c r="AU489" s="38">
        <v>46275</v>
      </c>
      <c r="AV489" s="39">
        <v>0.60446759259258998</v>
      </c>
    </row>
    <row r="490" spans="1:48" x14ac:dyDescent="0.35">
      <c r="A490" t="str">
        <f t="shared" si="7"/>
        <v>GP019521B838</v>
      </c>
      <c r="B490" s="7" t="s">
        <v>369</v>
      </c>
      <c r="C490" s="7" t="s">
        <v>744</v>
      </c>
      <c r="D490" s="7" t="s">
        <v>48</v>
      </c>
      <c r="E490" s="7" t="s">
        <v>1177</v>
      </c>
      <c r="F490" s="7" t="s">
        <v>128</v>
      </c>
      <c r="G490" s="7" t="s">
        <v>130</v>
      </c>
      <c r="H490" s="7" t="s">
        <v>129</v>
      </c>
      <c r="I490" s="30">
        <v>2</v>
      </c>
      <c r="J490" s="7" t="s">
        <v>1177</v>
      </c>
      <c r="K490" s="7" t="s">
        <v>1178</v>
      </c>
      <c r="L490" s="7" t="s">
        <v>132</v>
      </c>
      <c r="M490" s="7" t="s">
        <v>133</v>
      </c>
      <c r="N490" s="30">
        <v>0</v>
      </c>
      <c r="O490" s="30">
        <v>0</v>
      </c>
      <c r="P490" s="30">
        <v>0</v>
      </c>
      <c r="Q490" s="30">
        <v>0</v>
      </c>
      <c r="R490" s="29">
        <v>0</v>
      </c>
      <c r="S490" s="36">
        <v>0</v>
      </c>
      <c r="T490" s="7" t="s">
        <v>131</v>
      </c>
      <c r="U490" s="7" t="s">
        <v>745</v>
      </c>
      <c r="V490" s="7" t="s">
        <v>745</v>
      </c>
      <c r="W490" s="7" t="s">
        <v>1177</v>
      </c>
      <c r="X490" s="30">
        <v>1</v>
      </c>
      <c r="Y490" s="7" t="s">
        <v>1177</v>
      </c>
      <c r="Z490" s="7" t="s">
        <v>1178</v>
      </c>
      <c r="AA490" s="30">
        <v>0</v>
      </c>
      <c r="AB490" s="36">
        <v>0</v>
      </c>
      <c r="AC490" s="7" t="s">
        <v>1177</v>
      </c>
      <c r="AD490" s="37">
        <v>0</v>
      </c>
      <c r="AE490" s="7" t="s">
        <v>1177</v>
      </c>
      <c r="AF490" s="7" t="s">
        <v>1177</v>
      </c>
      <c r="AG490" s="7" t="s">
        <v>1177</v>
      </c>
      <c r="AH490" s="38"/>
      <c r="AI490" s="36">
        <v>0</v>
      </c>
      <c r="AJ490" s="7" t="s">
        <v>1193</v>
      </c>
      <c r="AK490" s="7" t="s">
        <v>1177</v>
      </c>
      <c r="AL490" s="7" t="s">
        <v>1177</v>
      </c>
      <c r="AM490" s="7" t="s">
        <v>1177</v>
      </c>
      <c r="AN490" s="7" t="s">
        <v>3212</v>
      </c>
      <c r="AO490" s="7" t="s">
        <v>1177</v>
      </c>
      <c r="AP490" s="7" t="s">
        <v>1177</v>
      </c>
      <c r="AQ490" s="7" t="s">
        <v>1177</v>
      </c>
      <c r="AR490" s="29">
        <v>0</v>
      </c>
      <c r="AS490" s="7" t="s">
        <v>1177</v>
      </c>
      <c r="AT490" s="7" t="s">
        <v>1363</v>
      </c>
      <c r="AU490" s="38">
        <v>46275</v>
      </c>
      <c r="AV490" s="39">
        <v>0.60446759259258998</v>
      </c>
    </row>
    <row r="491" spans="1:48" x14ac:dyDescent="0.35">
      <c r="A491" t="str">
        <f t="shared" si="7"/>
        <v>GP021038-001B825</v>
      </c>
      <c r="B491" s="7" t="s">
        <v>370</v>
      </c>
      <c r="C491" s="7" t="s">
        <v>511</v>
      </c>
      <c r="D491" s="7" t="s">
        <v>16</v>
      </c>
      <c r="E491" s="7" t="s">
        <v>1177</v>
      </c>
      <c r="F491" s="7" t="s">
        <v>128</v>
      </c>
      <c r="G491" s="7" t="s">
        <v>130</v>
      </c>
      <c r="H491" s="7" t="s">
        <v>129</v>
      </c>
      <c r="I491" s="30">
        <v>19</v>
      </c>
      <c r="J491" s="7" t="s">
        <v>1177</v>
      </c>
      <c r="K491" s="7" t="s">
        <v>1178</v>
      </c>
      <c r="L491" s="7" t="s">
        <v>132</v>
      </c>
      <c r="M491" s="7" t="s">
        <v>371</v>
      </c>
      <c r="N491" s="30">
        <v>0</v>
      </c>
      <c r="O491" s="30">
        <v>0</v>
      </c>
      <c r="P491" s="30">
        <v>0</v>
      </c>
      <c r="Q491" s="30">
        <v>0</v>
      </c>
      <c r="R491" s="29">
        <v>0</v>
      </c>
      <c r="S491" s="36">
        <v>0</v>
      </c>
      <c r="T491" s="7" t="s">
        <v>131</v>
      </c>
      <c r="U491" s="7" t="s">
        <v>512</v>
      </c>
      <c r="V491" s="7" t="s">
        <v>512</v>
      </c>
      <c r="W491" s="7" t="s">
        <v>1177</v>
      </c>
      <c r="X491" s="30">
        <v>5</v>
      </c>
      <c r="Y491" s="7" t="s">
        <v>1177</v>
      </c>
      <c r="Z491" s="7" t="s">
        <v>1178</v>
      </c>
      <c r="AA491" s="30">
        <v>0</v>
      </c>
      <c r="AB491" s="36">
        <v>0</v>
      </c>
      <c r="AC491" s="7" t="s">
        <v>1177</v>
      </c>
      <c r="AD491" s="37">
        <v>0</v>
      </c>
      <c r="AE491" s="7" t="s">
        <v>1177</v>
      </c>
      <c r="AF491" s="7" t="s">
        <v>1177</v>
      </c>
      <c r="AG491" s="7" t="s">
        <v>1177</v>
      </c>
      <c r="AH491" s="38"/>
      <c r="AI491" s="36">
        <v>0</v>
      </c>
      <c r="AJ491" s="7" t="s">
        <v>1193</v>
      </c>
      <c r="AK491" s="7" t="s">
        <v>1177</v>
      </c>
      <c r="AL491" s="7" t="s">
        <v>1177</v>
      </c>
      <c r="AM491" s="7" t="s">
        <v>1177</v>
      </c>
      <c r="AN491" s="7" t="s">
        <v>3212</v>
      </c>
      <c r="AO491" s="7" t="s">
        <v>1177</v>
      </c>
      <c r="AP491" s="7" t="s">
        <v>1177</v>
      </c>
      <c r="AQ491" s="7" t="s">
        <v>1177</v>
      </c>
      <c r="AR491" s="29">
        <v>0</v>
      </c>
      <c r="AS491" s="7" t="s">
        <v>1177</v>
      </c>
      <c r="AT491" s="7" t="s">
        <v>1363</v>
      </c>
      <c r="AU491" s="38">
        <v>46275</v>
      </c>
      <c r="AV491" s="39">
        <v>0.60350694444443997</v>
      </c>
    </row>
    <row r="492" spans="1:48" x14ac:dyDescent="0.35">
      <c r="A492" t="str">
        <f t="shared" si="7"/>
        <v>GP021313B825</v>
      </c>
      <c r="B492" s="7" t="s">
        <v>155</v>
      </c>
      <c r="C492" s="7" t="s">
        <v>511</v>
      </c>
      <c r="D492" s="7" t="s">
        <v>16</v>
      </c>
      <c r="E492" s="7" t="s">
        <v>1177</v>
      </c>
      <c r="F492" s="7" t="s">
        <v>128</v>
      </c>
      <c r="G492" s="7" t="s">
        <v>130</v>
      </c>
      <c r="H492" s="7" t="s">
        <v>129</v>
      </c>
      <c r="I492" s="30">
        <v>2</v>
      </c>
      <c r="J492" s="7" t="s">
        <v>1177</v>
      </c>
      <c r="K492" s="7" t="s">
        <v>1178</v>
      </c>
      <c r="L492" s="7" t="s">
        <v>132</v>
      </c>
      <c r="M492" s="7" t="s">
        <v>133</v>
      </c>
      <c r="N492" s="30">
        <v>0</v>
      </c>
      <c r="O492" s="30">
        <v>0</v>
      </c>
      <c r="P492" s="30">
        <v>0</v>
      </c>
      <c r="Q492" s="30">
        <v>0</v>
      </c>
      <c r="R492" s="29">
        <v>0</v>
      </c>
      <c r="S492" s="36">
        <v>0</v>
      </c>
      <c r="T492" s="7" t="s">
        <v>131</v>
      </c>
      <c r="U492" s="7" t="s">
        <v>512</v>
      </c>
      <c r="V492" s="7" t="s">
        <v>512</v>
      </c>
      <c r="W492" s="7" t="s">
        <v>1177</v>
      </c>
      <c r="X492" s="30">
        <v>1</v>
      </c>
      <c r="Y492" s="7" t="s">
        <v>1177</v>
      </c>
      <c r="Z492" s="7" t="s">
        <v>1178</v>
      </c>
      <c r="AA492" s="30">
        <v>0</v>
      </c>
      <c r="AB492" s="36">
        <v>0</v>
      </c>
      <c r="AC492" s="7" t="s">
        <v>1177</v>
      </c>
      <c r="AD492" s="37">
        <v>0</v>
      </c>
      <c r="AE492" s="7" t="s">
        <v>1177</v>
      </c>
      <c r="AF492" s="7" t="s">
        <v>1177</v>
      </c>
      <c r="AG492" s="7" t="s">
        <v>1177</v>
      </c>
      <c r="AH492" s="38"/>
      <c r="AI492" s="36">
        <v>0</v>
      </c>
      <c r="AJ492" s="7" t="s">
        <v>1193</v>
      </c>
      <c r="AK492" s="7" t="s">
        <v>1177</v>
      </c>
      <c r="AL492" s="7" t="s">
        <v>1177</v>
      </c>
      <c r="AM492" s="7" t="s">
        <v>1177</v>
      </c>
      <c r="AN492" s="7" t="s">
        <v>3212</v>
      </c>
      <c r="AO492" s="7" t="s">
        <v>1177</v>
      </c>
      <c r="AP492" s="7" t="s">
        <v>1177</v>
      </c>
      <c r="AQ492" s="7" t="s">
        <v>1177</v>
      </c>
      <c r="AR492" s="29">
        <v>0</v>
      </c>
      <c r="AS492" s="7" t="s">
        <v>1177</v>
      </c>
      <c r="AT492" s="7" t="s">
        <v>1363</v>
      </c>
      <c r="AU492" s="38">
        <v>46275</v>
      </c>
      <c r="AV492" s="39">
        <v>0.60354166666666997</v>
      </c>
    </row>
    <row r="493" spans="1:48" x14ac:dyDescent="0.35">
      <c r="A493" t="str">
        <f t="shared" si="7"/>
        <v>GP021313B832</v>
      </c>
      <c r="B493" s="7" t="s">
        <v>155</v>
      </c>
      <c r="C493" s="7" t="s">
        <v>653</v>
      </c>
      <c r="D493" s="7" t="s">
        <v>19</v>
      </c>
      <c r="E493" s="7" t="s">
        <v>1177</v>
      </c>
      <c r="F493" s="7" t="s">
        <v>128</v>
      </c>
      <c r="G493" s="7" t="s">
        <v>130</v>
      </c>
      <c r="H493" s="7" t="s">
        <v>129</v>
      </c>
      <c r="I493" s="30">
        <v>2</v>
      </c>
      <c r="J493" s="7" t="s">
        <v>1177</v>
      </c>
      <c r="K493" s="7" t="s">
        <v>1178</v>
      </c>
      <c r="L493" s="7" t="s">
        <v>132</v>
      </c>
      <c r="M493" s="7" t="s">
        <v>133</v>
      </c>
      <c r="N493" s="30">
        <v>0</v>
      </c>
      <c r="O493" s="30">
        <v>0</v>
      </c>
      <c r="P493" s="30">
        <v>0</v>
      </c>
      <c r="Q493" s="30">
        <v>0</v>
      </c>
      <c r="R493" s="29">
        <v>0</v>
      </c>
      <c r="S493" s="36">
        <v>0</v>
      </c>
      <c r="T493" s="7" t="s">
        <v>131</v>
      </c>
      <c r="U493" s="7" t="s">
        <v>654</v>
      </c>
      <c r="V493" s="7" t="s">
        <v>654</v>
      </c>
      <c r="W493" s="7" t="s">
        <v>1177</v>
      </c>
      <c r="X493" s="30">
        <v>1</v>
      </c>
      <c r="Y493" s="7" t="s">
        <v>1177</v>
      </c>
      <c r="Z493" s="7" t="s">
        <v>1178</v>
      </c>
      <c r="AA493" s="30">
        <v>0</v>
      </c>
      <c r="AB493" s="36">
        <v>0</v>
      </c>
      <c r="AC493" s="7" t="s">
        <v>1177</v>
      </c>
      <c r="AD493" s="37">
        <v>0</v>
      </c>
      <c r="AE493" s="7" t="s">
        <v>1177</v>
      </c>
      <c r="AF493" s="7" t="s">
        <v>1177</v>
      </c>
      <c r="AG493" s="7" t="s">
        <v>1177</v>
      </c>
      <c r="AH493" s="38"/>
      <c r="AI493" s="36">
        <v>0</v>
      </c>
      <c r="AJ493" s="7" t="s">
        <v>1193</v>
      </c>
      <c r="AK493" s="7" t="s">
        <v>1177</v>
      </c>
      <c r="AL493" s="7" t="s">
        <v>1177</v>
      </c>
      <c r="AM493" s="7" t="s">
        <v>1177</v>
      </c>
      <c r="AN493" s="7" t="s">
        <v>3212</v>
      </c>
      <c r="AO493" s="7" t="s">
        <v>1177</v>
      </c>
      <c r="AP493" s="7" t="s">
        <v>1177</v>
      </c>
      <c r="AQ493" s="7" t="s">
        <v>1177</v>
      </c>
      <c r="AR493" s="29">
        <v>0</v>
      </c>
      <c r="AS493" s="7" t="s">
        <v>1177</v>
      </c>
      <c r="AT493" s="7" t="s">
        <v>1363</v>
      </c>
      <c r="AU493" s="38">
        <v>46275</v>
      </c>
      <c r="AV493" s="39">
        <v>0.60394675925926</v>
      </c>
    </row>
    <row r="494" spans="1:48" x14ac:dyDescent="0.35">
      <c r="A494" t="str">
        <f t="shared" si="7"/>
        <v>GP021978-001B832</v>
      </c>
      <c r="B494" s="7" t="s">
        <v>659</v>
      </c>
      <c r="C494" s="7" t="s">
        <v>653</v>
      </c>
      <c r="D494" s="7" t="s">
        <v>19</v>
      </c>
      <c r="E494" s="7" t="s">
        <v>1177</v>
      </c>
      <c r="F494" s="7" t="s">
        <v>134</v>
      </c>
      <c r="G494" s="7" t="s">
        <v>130</v>
      </c>
      <c r="H494" s="7" t="s">
        <v>162</v>
      </c>
      <c r="I494" s="30">
        <v>1</v>
      </c>
      <c r="J494" s="7" t="s">
        <v>1177</v>
      </c>
      <c r="K494" s="7" t="s">
        <v>1178</v>
      </c>
      <c r="L494" s="7" t="s">
        <v>132</v>
      </c>
      <c r="M494" s="7" t="s">
        <v>133</v>
      </c>
      <c r="N494" s="30">
        <v>0</v>
      </c>
      <c r="O494" s="30">
        <v>0</v>
      </c>
      <c r="P494" s="30">
        <v>0</v>
      </c>
      <c r="Q494" s="30">
        <v>0</v>
      </c>
      <c r="R494" s="29">
        <v>0</v>
      </c>
      <c r="S494" s="36">
        <v>0</v>
      </c>
      <c r="T494" s="7" t="s">
        <v>1177</v>
      </c>
      <c r="U494" s="7" t="s">
        <v>654</v>
      </c>
      <c r="V494" s="7" t="s">
        <v>654</v>
      </c>
      <c r="W494" s="7" t="s">
        <v>1177</v>
      </c>
      <c r="X494" s="30">
        <v>1</v>
      </c>
      <c r="Y494" s="7" t="s">
        <v>1177</v>
      </c>
      <c r="Z494" s="7" t="s">
        <v>1178</v>
      </c>
      <c r="AA494" s="30">
        <v>0</v>
      </c>
      <c r="AB494" s="36">
        <v>0</v>
      </c>
      <c r="AC494" s="7" t="s">
        <v>1177</v>
      </c>
      <c r="AD494" s="37">
        <v>0</v>
      </c>
      <c r="AE494" s="7" t="s">
        <v>1177</v>
      </c>
      <c r="AF494" s="7" t="s">
        <v>1177</v>
      </c>
      <c r="AG494" s="7" t="s">
        <v>1177</v>
      </c>
      <c r="AH494" s="38"/>
      <c r="AI494" s="36">
        <v>0</v>
      </c>
      <c r="AJ494" s="7" t="s">
        <v>1193</v>
      </c>
      <c r="AK494" s="7" t="s">
        <v>1177</v>
      </c>
      <c r="AL494" s="7" t="s">
        <v>1177</v>
      </c>
      <c r="AM494" s="7" t="s">
        <v>1177</v>
      </c>
      <c r="AN494" s="7" t="s">
        <v>3212</v>
      </c>
      <c r="AO494" s="7" t="s">
        <v>1177</v>
      </c>
      <c r="AP494" s="7" t="s">
        <v>1177</v>
      </c>
      <c r="AQ494" s="7" t="s">
        <v>1177</v>
      </c>
      <c r="AR494" s="29">
        <v>0</v>
      </c>
      <c r="AS494" s="7" t="s">
        <v>1177</v>
      </c>
      <c r="AT494" s="7" t="s">
        <v>1363</v>
      </c>
      <c r="AU494" s="38">
        <v>46275</v>
      </c>
      <c r="AV494" s="39">
        <v>0.60392361111111004</v>
      </c>
    </row>
    <row r="495" spans="1:48" x14ac:dyDescent="0.35">
      <c r="A495" t="str">
        <f t="shared" si="7"/>
        <v>GP021978-003B833</v>
      </c>
      <c r="B495" s="7" t="s">
        <v>463</v>
      </c>
      <c r="C495" s="7" t="s">
        <v>698</v>
      </c>
      <c r="D495" s="7" t="s">
        <v>697</v>
      </c>
      <c r="E495" s="7" t="s">
        <v>1177</v>
      </c>
      <c r="F495" s="7" t="s">
        <v>134</v>
      </c>
      <c r="G495" s="7" t="s">
        <v>130</v>
      </c>
      <c r="H495" s="7" t="s">
        <v>162</v>
      </c>
      <c r="I495" s="30">
        <v>2</v>
      </c>
      <c r="J495" s="7" t="s">
        <v>1177</v>
      </c>
      <c r="K495" s="7" t="s">
        <v>1178</v>
      </c>
      <c r="L495" s="7" t="s">
        <v>132</v>
      </c>
      <c r="M495" s="7" t="s">
        <v>133</v>
      </c>
      <c r="N495" s="30">
        <v>0</v>
      </c>
      <c r="O495" s="30">
        <v>0</v>
      </c>
      <c r="P495" s="30">
        <v>0</v>
      </c>
      <c r="Q495" s="30">
        <v>0</v>
      </c>
      <c r="R495" s="29">
        <v>0</v>
      </c>
      <c r="S495" s="36">
        <v>0</v>
      </c>
      <c r="T495" s="7" t="s">
        <v>1177</v>
      </c>
      <c r="U495" s="7" t="s">
        <v>699</v>
      </c>
      <c r="V495" s="7" t="s">
        <v>699</v>
      </c>
      <c r="W495" s="7" t="s">
        <v>1177</v>
      </c>
      <c r="X495" s="30">
        <v>2</v>
      </c>
      <c r="Y495" s="7" t="s">
        <v>1177</v>
      </c>
      <c r="Z495" s="7" t="s">
        <v>1178</v>
      </c>
      <c r="AA495" s="30">
        <v>0</v>
      </c>
      <c r="AB495" s="36">
        <v>0</v>
      </c>
      <c r="AC495" s="7" t="s">
        <v>1177</v>
      </c>
      <c r="AD495" s="37">
        <v>0</v>
      </c>
      <c r="AE495" s="7" t="s">
        <v>1177</v>
      </c>
      <c r="AF495" s="7" t="s">
        <v>1177</v>
      </c>
      <c r="AG495" s="7" t="s">
        <v>1177</v>
      </c>
      <c r="AH495" s="38"/>
      <c r="AI495" s="36">
        <v>0</v>
      </c>
      <c r="AJ495" s="7" t="s">
        <v>1193</v>
      </c>
      <c r="AK495" s="7" t="s">
        <v>1177</v>
      </c>
      <c r="AL495" s="7" t="s">
        <v>1177</v>
      </c>
      <c r="AM495" s="7" t="s">
        <v>1177</v>
      </c>
      <c r="AN495" s="7" t="s">
        <v>3212</v>
      </c>
      <c r="AO495" s="7" t="s">
        <v>1177</v>
      </c>
      <c r="AP495" s="7" t="s">
        <v>1177</v>
      </c>
      <c r="AQ495" s="7" t="s">
        <v>1177</v>
      </c>
      <c r="AR495" s="29">
        <v>0</v>
      </c>
      <c r="AS495" s="7" t="s">
        <v>1177</v>
      </c>
      <c r="AT495" s="7" t="s">
        <v>1363</v>
      </c>
      <c r="AU495" s="38">
        <v>46275</v>
      </c>
      <c r="AV495" s="39">
        <v>0.60396990740740997</v>
      </c>
    </row>
    <row r="496" spans="1:48" x14ac:dyDescent="0.35">
      <c r="A496" t="str">
        <f t="shared" si="7"/>
        <v>GP022119B825</v>
      </c>
      <c r="B496" s="7" t="s">
        <v>156</v>
      </c>
      <c r="C496" s="7" t="s">
        <v>511</v>
      </c>
      <c r="D496" s="7" t="s">
        <v>16</v>
      </c>
      <c r="E496" s="7" t="s">
        <v>1177</v>
      </c>
      <c r="F496" s="7" t="s">
        <v>128</v>
      </c>
      <c r="G496" s="7" t="s">
        <v>130</v>
      </c>
      <c r="H496" s="7" t="s">
        <v>129</v>
      </c>
      <c r="I496" s="30">
        <v>2</v>
      </c>
      <c r="J496" s="7" t="s">
        <v>1177</v>
      </c>
      <c r="K496" s="7" t="s">
        <v>1178</v>
      </c>
      <c r="L496" s="7" t="s">
        <v>132</v>
      </c>
      <c r="M496" s="7" t="s">
        <v>133</v>
      </c>
      <c r="N496" s="30">
        <v>0</v>
      </c>
      <c r="O496" s="30">
        <v>0</v>
      </c>
      <c r="P496" s="30">
        <v>0</v>
      </c>
      <c r="Q496" s="30">
        <v>0</v>
      </c>
      <c r="R496" s="29">
        <v>0</v>
      </c>
      <c r="S496" s="36">
        <v>0</v>
      </c>
      <c r="T496" s="7" t="s">
        <v>131</v>
      </c>
      <c r="U496" s="7" t="s">
        <v>512</v>
      </c>
      <c r="V496" s="7" t="s">
        <v>512</v>
      </c>
      <c r="W496" s="7" t="s">
        <v>1177</v>
      </c>
      <c r="X496" s="30">
        <v>1</v>
      </c>
      <c r="Y496" s="7" t="s">
        <v>1177</v>
      </c>
      <c r="Z496" s="7" t="s">
        <v>1178</v>
      </c>
      <c r="AA496" s="30">
        <v>0</v>
      </c>
      <c r="AB496" s="36">
        <v>0</v>
      </c>
      <c r="AC496" s="7" t="s">
        <v>1177</v>
      </c>
      <c r="AD496" s="37">
        <v>0</v>
      </c>
      <c r="AE496" s="7" t="s">
        <v>1177</v>
      </c>
      <c r="AF496" s="7" t="s">
        <v>1177</v>
      </c>
      <c r="AG496" s="7" t="s">
        <v>1177</v>
      </c>
      <c r="AH496" s="38"/>
      <c r="AI496" s="36">
        <v>0</v>
      </c>
      <c r="AJ496" s="7" t="s">
        <v>1193</v>
      </c>
      <c r="AK496" s="7" t="s">
        <v>1177</v>
      </c>
      <c r="AL496" s="7" t="s">
        <v>1177</v>
      </c>
      <c r="AM496" s="7" t="s">
        <v>1177</v>
      </c>
      <c r="AN496" s="7" t="s">
        <v>3212</v>
      </c>
      <c r="AO496" s="7" t="s">
        <v>1177</v>
      </c>
      <c r="AP496" s="7" t="s">
        <v>1177</v>
      </c>
      <c r="AQ496" s="7" t="s">
        <v>1177</v>
      </c>
      <c r="AR496" s="29">
        <v>0</v>
      </c>
      <c r="AS496" s="7" t="s">
        <v>1177</v>
      </c>
      <c r="AT496" s="7" t="s">
        <v>1363</v>
      </c>
      <c r="AU496" s="38">
        <v>46275</v>
      </c>
      <c r="AV496" s="39">
        <v>0.60354166666666997</v>
      </c>
    </row>
    <row r="497" spans="1:48" x14ac:dyDescent="0.35">
      <c r="A497" t="str">
        <f t="shared" si="7"/>
        <v>GP022119-001B832</v>
      </c>
      <c r="B497" s="7" t="s">
        <v>236</v>
      </c>
      <c r="C497" s="7" t="s">
        <v>653</v>
      </c>
      <c r="D497" s="7" t="s">
        <v>19</v>
      </c>
      <c r="E497" s="7" t="s">
        <v>1177</v>
      </c>
      <c r="F497" s="7" t="s">
        <v>128</v>
      </c>
      <c r="G497" s="7" t="s">
        <v>130</v>
      </c>
      <c r="H497" s="7" t="s">
        <v>129</v>
      </c>
      <c r="I497" s="30">
        <v>2</v>
      </c>
      <c r="J497" s="7" t="s">
        <v>1177</v>
      </c>
      <c r="K497" s="7" t="s">
        <v>1178</v>
      </c>
      <c r="L497" s="7" t="s">
        <v>132</v>
      </c>
      <c r="M497" s="7" t="s">
        <v>1177</v>
      </c>
      <c r="N497" s="30">
        <v>0</v>
      </c>
      <c r="O497" s="30">
        <v>0</v>
      </c>
      <c r="P497" s="30">
        <v>0</v>
      </c>
      <c r="Q497" s="30">
        <v>0</v>
      </c>
      <c r="R497" s="29">
        <v>0</v>
      </c>
      <c r="S497" s="36">
        <v>0</v>
      </c>
      <c r="T497" s="7" t="s">
        <v>131</v>
      </c>
      <c r="U497" s="7" t="s">
        <v>654</v>
      </c>
      <c r="V497" s="7" t="s">
        <v>654</v>
      </c>
      <c r="W497" s="7" t="s">
        <v>1177</v>
      </c>
      <c r="X497" s="30">
        <v>1</v>
      </c>
      <c r="Y497" s="7" t="s">
        <v>1177</v>
      </c>
      <c r="Z497" s="7" t="s">
        <v>1178</v>
      </c>
      <c r="AA497" s="30">
        <v>0</v>
      </c>
      <c r="AB497" s="36">
        <v>0</v>
      </c>
      <c r="AC497" s="7" t="s">
        <v>1177</v>
      </c>
      <c r="AD497" s="37">
        <v>0</v>
      </c>
      <c r="AE497" s="7" t="s">
        <v>1177</v>
      </c>
      <c r="AF497" s="7" t="s">
        <v>1177</v>
      </c>
      <c r="AG497" s="7" t="s">
        <v>1177</v>
      </c>
      <c r="AH497" s="38"/>
      <c r="AI497" s="36">
        <v>0</v>
      </c>
      <c r="AJ497" s="7" t="s">
        <v>1193</v>
      </c>
      <c r="AK497" s="7" t="s">
        <v>1177</v>
      </c>
      <c r="AL497" s="7" t="s">
        <v>1177</v>
      </c>
      <c r="AM497" s="7" t="s">
        <v>1177</v>
      </c>
      <c r="AN497" s="7" t="s">
        <v>3212</v>
      </c>
      <c r="AO497" s="7" t="s">
        <v>1177</v>
      </c>
      <c r="AP497" s="7" t="s">
        <v>1177</v>
      </c>
      <c r="AQ497" s="7" t="s">
        <v>1177</v>
      </c>
      <c r="AR497" s="29">
        <v>0</v>
      </c>
      <c r="AS497" s="7" t="s">
        <v>1177</v>
      </c>
      <c r="AT497" s="7" t="s">
        <v>1363</v>
      </c>
      <c r="AU497" s="38">
        <v>46275</v>
      </c>
      <c r="AV497" s="39">
        <v>0.60393518518518996</v>
      </c>
    </row>
    <row r="498" spans="1:48" x14ac:dyDescent="0.35">
      <c r="A498" t="str">
        <f t="shared" si="7"/>
        <v>GP023013B857</v>
      </c>
      <c r="B498" s="7" t="s">
        <v>372</v>
      </c>
      <c r="C498" s="7" t="s">
        <v>958</v>
      </c>
      <c r="D498" s="7" t="s">
        <v>23</v>
      </c>
      <c r="E498" s="7" t="s">
        <v>1177</v>
      </c>
      <c r="F498" s="7" t="s">
        <v>128</v>
      </c>
      <c r="G498" s="7" t="s">
        <v>130</v>
      </c>
      <c r="H498" s="7" t="s">
        <v>129</v>
      </c>
      <c r="I498" s="30">
        <v>2</v>
      </c>
      <c r="J498" s="7" t="s">
        <v>1177</v>
      </c>
      <c r="K498" s="7" t="s">
        <v>1178</v>
      </c>
      <c r="L498" s="7" t="s">
        <v>132</v>
      </c>
      <c r="M498" s="7" t="s">
        <v>133</v>
      </c>
      <c r="N498" s="30">
        <v>0</v>
      </c>
      <c r="O498" s="30">
        <v>0</v>
      </c>
      <c r="P498" s="30">
        <v>0</v>
      </c>
      <c r="Q498" s="30">
        <v>0</v>
      </c>
      <c r="R498" s="29">
        <v>0</v>
      </c>
      <c r="S498" s="36">
        <v>0</v>
      </c>
      <c r="T498" s="7" t="s">
        <v>131</v>
      </c>
      <c r="U498" s="7" t="s">
        <v>959</v>
      </c>
      <c r="V498" s="7" t="s">
        <v>959</v>
      </c>
      <c r="W498" s="7" t="s">
        <v>1177</v>
      </c>
      <c r="X498" s="30">
        <v>1</v>
      </c>
      <c r="Y498" s="7" t="s">
        <v>1177</v>
      </c>
      <c r="Z498" s="7" t="s">
        <v>1178</v>
      </c>
      <c r="AA498" s="30">
        <v>0</v>
      </c>
      <c r="AB498" s="36">
        <v>0</v>
      </c>
      <c r="AC498" s="7" t="s">
        <v>1177</v>
      </c>
      <c r="AD498" s="37">
        <v>0</v>
      </c>
      <c r="AE498" s="7" t="s">
        <v>1177</v>
      </c>
      <c r="AF498" s="7" t="s">
        <v>1177</v>
      </c>
      <c r="AG498" s="7" t="s">
        <v>1177</v>
      </c>
      <c r="AH498" s="38"/>
      <c r="AI498" s="36">
        <v>0</v>
      </c>
      <c r="AJ498" s="7" t="s">
        <v>1193</v>
      </c>
      <c r="AK498" s="7" t="s">
        <v>1177</v>
      </c>
      <c r="AL498" s="7" t="s">
        <v>1177</v>
      </c>
      <c r="AM498" s="7" t="s">
        <v>1177</v>
      </c>
      <c r="AN498" s="7" t="s">
        <v>3212</v>
      </c>
      <c r="AO498" s="7" t="s">
        <v>1177</v>
      </c>
      <c r="AP498" s="7" t="s">
        <v>1177</v>
      </c>
      <c r="AQ498" s="7" t="s">
        <v>1177</v>
      </c>
      <c r="AR498" s="29">
        <v>0</v>
      </c>
      <c r="AS498" s="7" t="s">
        <v>1177</v>
      </c>
      <c r="AT498" s="7" t="s">
        <v>1363</v>
      </c>
      <c r="AU498" s="38">
        <v>46275</v>
      </c>
      <c r="AV498" s="39">
        <v>0.60525462962962995</v>
      </c>
    </row>
    <row r="499" spans="1:48" x14ac:dyDescent="0.35">
      <c r="A499" t="str">
        <f t="shared" si="7"/>
        <v>GP023013B867</v>
      </c>
      <c r="B499" s="7" t="s">
        <v>372</v>
      </c>
      <c r="C499" s="7" t="s">
        <v>1059</v>
      </c>
      <c r="D499" s="7" t="s">
        <v>25</v>
      </c>
      <c r="E499" s="7" t="s">
        <v>1177</v>
      </c>
      <c r="F499" s="7" t="s">
        <v>128</v>
      </c>
      <c r="G499" s="7" t="s">
        <v>130</v>
      </c>
      <c r="H499" s="7" t="s">
        <v>129</v>
      </c>
      <c r="I499" s="30">
        <v>1</v>
      </c>
      <c r="J499" s="7" t="s">
        <v>1177</v>
      </c>
      <c r="K499" s="7" t="s">
        <v>1178</v>
      </c>
      <c r="L499" s="7" t="s">
        <v>132</v>
      </c>
      <c r="M499" s="7" t="s">
        <v>133</v>
      </c>
      <c r="N499" s="30">
        <v>0</v>
      </c>
      <c r="O499" s="30">
        <v>0</v>
      </c>
      <c r="P499" s="30">
        <v>0</v>
      </c>
      <c r="Q499" s="30">
        <v>0</v>
      </c>
      <c r="R499" s="29">
        <v>0</v>
      </c>
      <c r="S499" s="36">
        <v>0</v>
      </c>
      <c r="T499" s="7" t="s">
        <v>131</v>
      </c>
      <c r="U499" s="7" t="s">
        <v>1060</v>
      </c>
      <c r="V499" s="7" t="s">
        <v>1060</v>
      </c>
      <c r="W499" s="7" t="s">
        <v>1177</v>
      </c>
      <c r="X499" s="30">
        <v>1</v>
      </c>
      <c r="Y499" s="7" t="s">
        <v>1177</v>
      </c>
      <c r="Z499" s="7" t="s">
        <v>1178</v>
      </c>
      <c r="AA499" s="30">
        <v>0</v>
      </c>
      <c r="AB499" s="36">
        <v>0</v>
      </c>
      <c r="AC499" s="7" t="s">
        <v>1177</v>
      </c>
      <c r="AD499" s="37">
        <v>0</v>
      </c>
      <c r="AE499" s="7" t="s">
        <v>1177</v>
      </c>
      <c r="AF499" s="7" t="s">
        <v>1177</v>
      </c>
      <c r="AG499" s="7" t="s">
        <v>1177</v>
      </c>
      <c r="AH499" s="38"/>
      <c r="AI499" s="36">
        <v>0</v>
      </c>
      <c r="AJ499" s="7" t="s">
        <v>1193</v>
      </c>
      <c r="AK499" s="7" t="s">
        <v>1177</v>
      </c>
      <c r="AL499" s="7" t="s">
        <v>1177</v>
      </c>
      <c r="AM499" s="7" t="s">
        <v>1177</v>
      </c>
      <c r="AN499" s="7" t="s">
        <v>3212</v>
      </c>
      <c r="AO499" s="7" t="s">
        <v>1177</v>
      </c>
      <c r="AP499" s="7" t="s">
        <v>1177</v>
      </c>
      <c r="AQ499" s="7" t="s">
        <v>1177</v>
      </c>
      <c r="AR499" s="29">
        <v>0</v>
      </c>
      <c r="AS499" s="7" t="s">
        <v>1177</v>
      </c>
      <c r="AT499" s="7" t="s">
        <v>1363</v>
      </c>
      <c r="AU499" s="38">
        <v>46275</v>
      </c>
      <c r="AV499" s="39">
        <v>0.60569444444443998</v>
      </c>
    </row>
    <row r="500" spans="1:48" x14ac:dyDescent="0.35">
      <c r="A500" t="str">
        <f t="shared" si="7"/>
        <v>GP023271B825</v>
      </c>
      <c r="B500" s="7" t="s">
        <v>373</v>
      </c>
      <c r="C500" s="7" t="s">
        <v>511</v>
      </c>
      <c r="D500" s="7" t="s">
        <v>16</v>
      </c>
      <c r="E500" s="7" t="s">
        <v>1177</v>
      </c>
      <c r="F500" s="7" t="s">
        <v>128</v>
      </c>
      <c r="G500" s="7" t="s">
        <v>130</v>
      </c>
      <c r="H500" s="7" t="s">
        <v>129</v>
      </c>
      <c r="I500" s="30">
        <v>1</v>
      </c>
      <c r="J500" s="7" t="s">
        <v>1177</v>
      </c>
      <c r="K500" s="7" t="s">
        <v>1178</v>
      </c>
      <c r="L500" s="7" t="s">
        <v>132</v>
      </c>
      <c r="M500" s="7" t="s">
        <v>133</v>
      </c>
      <c r="N500" s="30">
        <v>0</v>
      </c>
      <c r="O500" s="30">
        <v>0</v>
      </c>
      <c r="P500" s="30">
        <v>0</v>
      </c>
      <c r="Q500" s="30">
        <v>0</v>
      </c>
      <c r="R500" s="29">
        <v>0</v>
      </c>
      <c r="S500" s="36">
        <v>0</v>
      </c>
      <c r="T500" s="7" t="s">
        <v>131</v>
      </c>
      <c r="U500" s="7" t="s">
        <v>512</v>
      </c>
      <c r="V500" s="7" t="s">
        <v>512</v>
      </c>
      <c r="W500" s="7" t="s">
        <v>1177</v>
      </c>
      <c r="X500" s="30">
        <v>1</v>
      </c>
      <c r="Y500" s="7" t="s">
        <v>1177</v>
      </c>
      <c r="Z500" s="7" t="s">
        <v>1178</v>
      </c>
      <c r="AA500" s="30">
        <v>0</v>
      </c>
      <c r="AB500" s="36">
        <v>0</v>
      </c>
      <c r="AC500" s="7" t="s">
        <v>1177</v>
      </c>
      <c r="AD500" s="37">
        <v>0</v>
      </c>
      <c r="AE500" s="7" t="s">
        <v>1177</v>
      </c>
      <c r="AF500" s="7" t="s">
        <v>1177</v>
      </c>
      <c r="AG500" s="7" t="s">
        <v>1177</v>
      </c>
      <c r="AH500" s="38"/>
      <c r="AI500" s="36">
        <v>0</v>
      </c>
      <c r="AJ500" s="7" t="s">
        <v>1193</v>
      </c>
      <c r="AK500" s="7" t="s">
        <v>1177</v>
      </c>
      <c r="AL500" s="7" t="s">
        <v>1177</v>
      </c>
      <c r="AM500" s="7" t="s">
        <v>1177</v>
      </c>
      <c r="AN500" s="7" t="s">
        <v>3212</v>
      </c>
      <c r="AO500" s="7" t="s">
        <v>1177</v>
      </c>
      <c r="AP500" s="7" t="s">
        <v>1177</v>
      </c>
      <c r="AQ500" s="7" t="s">
        <v>1177</v>
      </c>
      <c r="AR500" s="29">
        <v>0</v>
      </c>
      <c r="AS500" s="7" t="s">
        <v>1177</v>
      </c>
      <c r="AT500" s="7" t="s">
        <v>1363</v>
      </c>
      <c r="AU500" s="38">
        <v>46275</v>
      </c>
      <c r="AV500" s="39">
        <v>0.60354166666666997</v>
      </c>
    </row>
    <row r="501" spans="1:48" x14ac:dyDescent="0.35">
      <c r="A501" t="str">
        <f t="shared" si="7"/>
        <v>GP023660B832</v>
      </c>
      <c r="B501" s="7" t="s">
        <v>660</v>
      </c>
      <c r="C501" s="7" t="s">
        <v>653</v>
      </c>
      <c r="D501" s="7" t="s">
        <v>19</v>
      </c>
      <c r="E501" s="7" t="s">
        <v>1177</v>
      </c>
      <c r="F501" s="7" t="s">
        <v>128</v>
      </c>
      <c r="G501" s="7" t="s">
        <v>130</v>
      </c>
      <c r="H501" s="7" t="s">
        <v>129</v>
      </c>
      <c r="I501" s="30">
        <v>2</v>
      </c>
      <c r="J501" s="7" t="s">
        <v>1177</v>
      </c>
      <c r="K501" s="7" t="s">
        <v>1178</v>
      </c>
      <c r="L501" s="7" t="s">
        <v>132</v>
      </c>
      <c r="M501" s="7" t="s">
        <v>133</v>
      </c>
      <c r="N501" s="30">
        <v>0</v>
      </c>
      <c r="O501" s="30">
        <v>0</v>
      </c>
      <c r="P501" s="30">
        <v>0</v>
      </c>
      <c r="Q501" s="30">
        <v>0</v>
      </c>
      <c r="R501" s="29">
        <v>0</v>
      </c>
      <c r="S501" s="36">
        <v>0</v>
      </c>
      <c r="T501" s="7" t="s">
        <v>131</v>
      </c>
      <c r="U501" s="7" t="s">
        <v>654</v>
      </c>
      <c r="V501" s="7" t="s">
        <v>654</v>
      </c>
      <c r="W501" s="7" t="s">
        <v>1177</v>
      </c>
      <c r="X501" s="30">
        <v>1</v>
      </c>
      <c r="Y501" s="7" t="s">
        <v>1177</v>
      </c>
      <c r="Z501" s="7" t="s">
        <v>1178</v>
      </c>
      <c r="AA501" s="30">
        <v>0</v>
      </c>
      <c r="AB501" s="36">
        <v>0</v>
      </c>
      <c r="AC501" s="7" t="s">
        <v>1177</v>
      </c>
      <c r="AD501" s="37">
        <v>0</v>
      </c>
      <c r="AE501" s="7" t="s">
        <v>1177</v>
      </c>
      <c r="AF501" s="7" t="s">
        <v>1177</v>
      </c>
      <c r="AG501" s="7" t="s">
        <v>1177</v>
      </c>
      <c r="AH501" s="38"/>
      <c r="AI501" s="36">
        <v>0</v>
      </c>
      <c r="AJ501" s="7" t="s">
        <v>1193</v>
      </c>
      <c r="AK501" s="7" t="s">
        <v>1177</v>
      </c>
      <c r="AL501" s="7" t="s">
        <v>1177</v>
      </c>
      <c r="AM501" s="7" t="s">
        <v>1177</v>
      </c>
      <c r="AN501" s="7" t="s">
        <v>3212</v>
      </c>
      <c r="AO501" s="7" t="s">
        <v>1177</v>
      </c>
      <c r="AP501" s="7" t="s">
        <v>1177</v>
      </c>
      <c r="AQ501" s="7" t="s">
        <v>1177</v>
      </c>
      <c r="AR501" s="29">
        <v>0</v>
      </c>
      <c r="AS501" s="7" t="s">
        <v>1177</v>
      </c>
      <c r="AT501" s="7" t="s">
        <v>1363</v>
      </c>
      <c r="AU501" s="38">
        <v>46275</v>
      </c>
      <c r="AV501" s="39">
        <v>0.62341435185185001</v>
      </c>
    </row>
    <row r="502" spans="1:48" x14ac:dyDescent="0.35">
      <c r="A502" t="str">
        <f t="shared" si="7"/>
        <v>GP023855B838</v>
      </c>
      <c r="B502" s="7" t="s">
        <v>238</v>
      </c>
      <c r="C502" s="7" t="s">
        <v>744</v>
      </c>
      <c r="D502" s="7" t="s">
        <v>48</v>
      </c>
      <c r="E502" s="7" t="s">
        <v>1177</v>
      </c>
      <c r="F502" s="7" t="s">
        <v>128</v>
      </c>
      <c r="G502" s="7" t="s">
        <v>130</v>
      </c>
      <c r="H502" s="7" t="s">
        <v>129</v>
      </c>
      <c r="I502" s="30">
        <v>3</v>
      </c>
      <c r="J502" s="7" t="s">
        <v>1177</v>
      </c>
      <c r="K502" s="7" t="s">
        <v>1178</v>
      </c>
      <c r="L502" s="7" t="s">
        <v>132</v>
      </c>
      <c r="M502" s="7" t="s">
        <v>133</v>
      </c>
      <c r="N502" s="30">
        <v>0</v>
      </c>
      <c r="O502" s="30">
        <v>0</v>
      </c>
      <c r="P502" s="30">
        <v>0</v>
      </c>
      <c r="Q502" s="30">
        <v>0</v>
      </c>
      <c r="R502" s="29">
        <v>0</v>
      </c>
      <c r="S502" s="36">
        <v>0</v>
      </c>
      <c r="T502" s="7" t="s">
        <v>131</v>
      </c>
      <c r="U502" s="7" t="s">
        <v>745</v>
      </c>
      <c r="V502" s="7" t="s">
        <v>745</v>
      </c>
      <c r="W502" s="7" t="s">
        <v>1177</v>
      </c>
      <c r="X502" s="30">
        <v>1</v>
      </c>
      <c r="Y502" s="7" t="s">
        <v>1177</v>
      </c>
      <c r="Z502" s="7" t="s">
        <v>1178</v>
      </c>
      <c r="AA502" s="30">
        <v>0</v>
      </c>
      <c r="AB502" s="36">
        <v>0</v>
      </c>
      <c r="AC502" s="7" t="s">
        <v>1177</v>
      </c>
      <c r="AD502" s="37">
        <v>0</v>
      </c>
      <c r="AE502" s="7" t="s">
        <v>1177</v>
      </c>
      <c r="AF502" s="7" t="s">
        <v>1177</v>
      </c>
      <c r="AG502" s="7" t="s">
        <v>1177</v>
      </c>
      <c r="AH502" s="38"/>
      <c r="AI502" s="36">
        <v>0</v>
      </c>
      <c r="AJ502" s="7" t="s">
        <v>1193</v>
      </c>
      <c r="AK502" s="7" t="s">
        <v>1177</v>
      </c>
      <c r="AL502" s="7" t="s">
        <v>1177</v>
      </c>
      <c r="AM502" s="7" t="s">
        <v>1177</v>
      </c>
      <c r="AN502" s="7" t="s">
        <v>3212</v>
      </c>
      <c r="AO502" s="7" t="s">
        <v>1177</v>
      </c>
      <c r="AP502" s="7" t="s">
        <v>1177</v>
      </c>
      <c r="AQ502" s="7" t="s">
        <v>1177</v>
      </c>
      <c r="AR502" s="29">
        <v>0</v>
      </c>
      <c r="AS502" s="7" t="s">
        <v>1177</v>
      </c>
      <c r="AT502" s="7" t="s">
        <v>1363</v>
      </c>
      <c r="AU502" s="38">
        <v>46275</v>
      </c>
      <c r="AV502" s="39">
        <v>0.60438657407407004</v>
      </c>
    </row>
    <row r="503" spans="1:48" x14ac:dyDescent="0.35">
      <c r="A503" t="str">
        <f t="shared" si="7"/>
        <v>GP023862B825</v>
      </c>
      <c r="B503" s="7" t="s">
        <v>239</v>
      </c>
      <c r="C503" s="7" t="s">
        <v>511</v>
      </c>
      <c r="D503" s="7" t="s">
        <v>16</v>
      </c>
      <c r="E503" s="7" t="s">
        <v>1177</v>
      </c>
      <c r="F503" s="7" t="s">
        <v>128</v>
      </c>
      <c r="G503" s="7" t="s">
        <v>130</v>
      </c>
      <c r="H503" s="7" t="s">
        <v>129</v>
      </c>
      <c r="I503" s="30">
        <v>2</v>
      </c>
      <c r="J503" s="7" t="s">
        <v>1177</v>
      </c>
      <c r="K503" s="7" t="s">
        <v>1178</v>
      </c>
      <c r="L503" s="7" t="s">
        <v>132</v>
      </c>
      <c r="M503" s="7" t="s">
        <v>133</v>
      </c>
      <c r="N503" s="30">
        <v>0</v>
      </c>
      <c r="O503" s="30">
        <v>0</v>
      </c>
      <c r="P503" s="30">
        <v>0</v>
      </c>
      <c r="Q503" s="30">
        <v>0</v>
      </c>
      <c r="R503" s="29">
        <v>0</v>
      </c>
      <c r="S503" s="36">
        <v>0</v>
      </c>
      <c r="T503" s="7" t="s">
        <v>131</v>
      </c>
      <c r="U503" s="7" t="s">
        <v>512</v>
      </c>
      <c r="V503" s="7" t="s">
        <v>512</v>
      </c>
      <c r="W503" s="7" t="s">
        <v>1177</v>
      </c>
      <c r="X503" s="30">
        <v>1</v>
      </c>
      <c r="Y503" s="7" t="s">
        <v>1177</v>
      </c>
      <c r="Z503" s="7" t="s">
        <v>1178</v>
      </c>
      <c r="AA503" s="30">
        <v>0</v>
      </c>
      <c r="AB503" s="36">
        <v>0</v>
      </c>
      <c r="AC503" s="7" t="s">
        <v>1177</v>
      </c>
      <c r="AD503" s="37">
        <v>0</v>
      </c>
      <c r="AE503" s="7" t="s">
        <v>1177</v>
      </c>
      <c r="AF503" s="7" t="s">
        <v>1177</v>
      </c>
      <c r="AG503" s="7" t="s">
        <v>1177</v>
      </c>
      <c r="AH503" s="38"/>
      <c r="AI503" s="36">
        <v>0</v>
      </c>
      <c r="AJ503" s="7" t="s">
        <v>1193</v>
      </c>
      <c r="AK503" s="7" t="s">
        <v>1177</v>
      </c>
      <c r="AL503" s="7" t="s">
        <v>1177</v>
      </c>
      <c r="AM503" s="7" t="s">
        <v>1177</v>
      </c>
      <c r="AN503" s="7" t="s">
        <v>3212</v>
      </c>
      <c r="AO503" s="7" t="s">
        <v>1177</v>
      </c>
      <c r="AP503" s="7" t="s">
        <v>1177</v>
      </c>
      <c r="AQ503" s="7" t="s">
        <v>1177</v>
      </c>
      <c r="AR503" s="29">
        <v>0</v>
      </c>
      <c r="AS503" s="7" t="s">
        <v>1177</v>
      </c>
      <c r="AT503" s="7" t="s">
        <v>1363</v>
      </c>
      <c r="AU503" s="38">
        <v>46275</v>
      </c>
      <c r="AV503" s="39">
        <v>0.60354166666666997</v>
      </c>
    </row>
    <row r="504" spans="1:48" x14ac:dyDescent="0.35">
      <c r="A504" t="str">
        <f t="shared" si="7"/>
        <v>GP023866B825</v>
      </c>
      <c r="B504" s="7" t="s">
        <v>447</v>
      </c>
      <c r="C504" s="7" t="s">
        <v>511</v>
      </c>
      <c r="D504" s="7" t="s">
        <v>16</v>
      </c>
      <c r="E504" s="7" t="s">
        <v>1177</v>
      </c>
      <c r="F504" s="7" t="s">
        <v>128</v>
      </c>
      <c r="G504" s="7" t="s">
        <v>130</v>
      </c>
      <c r="H504" s="7" t="s">
        <v>129</v>
      </c>
      <c r="I504" s="30">
        <v>1</v>
      </c>
      <c r="J504" s="7" t="s">
        <v>1177</v>
      </c>
      <c r="K504" s="7" t="s">
        <v>1178</v>
      </c>
      <c r="L504" s="7" t="s">
        <v>132</v>
      </c>
      <c r="M504" s="7" t="s">
        <v>133</v>
      </c>
      <c r="N504" s="30">
        <v>0</v>
      </c>
      <c r="O504" s="30">
        <v>0</v>
      </c>
      <c r="P504" s="30">
        <v>0</v>
      </c>
      <c r="Q504" s="30">
        <v>0</v>
      </c>
      <c r="R504" s="29">
        <v>0</v>
      </c>
      <c r="S504" s="36">
        <v>0</v>
      </c>
      <c r="T504" s="7" t="s">
        <v>131</v>
      </c>
      <c r="U504" s="7" t="s">
        <v>512</v>
      </c>
      <c r="V504" s="7" t="s">
        <v>512</v>
      </c>
      <c r="W504" s="7" t="s">
        <v>1177</v>
      </c>
      <c r="X504" s="30">
        <v>1</v>
      </c>
      <c r="Y504" s="7" t="s">
        <v>1177</v>
      </c>
      <c r="Z504" s="7" t="s">
        <v>1178</v>
      </c>
      <c r="AA504" s="30">
        <v>0</v>
      </c>
      <c r="AB504" s="36">
        <v>0</v>
      </c>
      <c r="AC504" s="7" t="s">
        <v>1177</v>
      </c>
      <c r="AD504" s="37">
        <v>0</v>
      </c>
      <c r="AE504" s="7" t="s">
        <v>1177</v>
      </c>
      <c r="AF504" s="7" t="s">
        <v>1177</v>
      </c>
      <c r="AG504" s="7" t="s">
        <v>1177</v>
      </c>
      <c r="AH504" s="38"/>
      <c r="AI504" s="36">
        <v>0</v>
      </c>
      <c r="AJ504" s="7" t="s">
        <v>1193</v>
      </c>
      <c r="AK504" s="7" t="s">
        <v>1177</v>
      </c>
      <c r="AL504" s="7" t="s">
        <v>1177</v>
      </c>
      <c r="AM504" s="7" t="s">
        <v>1177</v>
      </c>
      <c r="AN504" s="7" t="s">
        <v>3212</v>
      </c>
      <c r="AO504" s="7" t="s">
        <v>1177</v>
      </c>
      <c r="AP504" s="7" t="s">
        <v>1177</v>
      </c>
      <c r="AQ504" s="7" t="s">
        <v>1177</v>
      </c>
      <c r="AR504" s="29">
        <v>0</v>
      </c>
      <c r="AS504" s="7" t="s">
        <v>1177</v>
      </c>
      <c r="AT504" s="7" t="s">
        <v>1363</v>
      </c>
      <c r="AU504" s="38">
        <v>46275</v>
      </c>
      <c r="AV504" s="39">
        <v>0.60354166666666997</v>
      </c>
    </row>
    <row r="505" spans="1:48" x14ac:dyDescent="0.35">
      <c r="A505" t="str">
        <f t="shared" si="7"/>
        <v>GP023866B832</v>
      </c>
      <c r="B505" s="7" t="s">
        <v>447</v>
      </c>
      <c r="C505" s="7" t="s">
        <v>653</v>
      </c>
      <c r="D505" s="7" t="s">
        <v>19</v>
      </c>
      <c r="E505" s="7" t="s">
        <v>1177</v>
      </c>
      <c r="F505" s="7" t="s">
        <v>128</v>
      </c>
      <c r="G505" s="7" t="s">
        <v>130</v>
      </c>
      <c r="H505" s="7" t="s">
        <v>129</v>
      </c>
      <c r="I505" s="30">
        <v>1</v>
      </c>
      <c r="J505" s="7" t="s">
        <v>1177</v>
      </c>
      <c r="K505" s="7" t="s">
        <v>1178</v>
      </c>
      <c r="L505" s="7" t="s">
        <v>132</v>
      </c>
      <c r="M505" s="7" t="s">
        <v>133</v>
      </c>
      <c r="N505" s="30">
        <v>0</v>
      </c>
      <c r="O505" s="30">
        <v>0</v>
      </c>
      <c r="P505" s="30">
        <v>0</v>
      </c>
      <c r="Q505" s="30">
        <v>0</v>
      </c>
      <c r="R505" s="29">
        <v>0</v>
      </c>
      <c r="S505" s="36">
        <v>0</v>
      </c>
      <c r="T505" s="7" t="s">
        <v>131</v>
      </c>
      <c r="U505" s="7" t="s">
        <v>654</v>
      </c>
      <c r="V505" s="7" t="s">
        <v>654</v>
      </c>
      <c r="W505" s="7" t="s">
        <v>1177</v>
      </c>
      <c r="X505" s="30">
        <v>1</v>
      </c>
      <c r="Y505" s="7" t="s">
        <v>1177</v>
      </c>
      <c r="Z505" s="7" t="s">
        <v>1178</v>
      </c>
      <c r="AA505" s="30">
        <v>0</v>
      </c>
      <c r="AB505" s="36">
        <v>0</v>
      </c>
      <c r="AC505" s="7" t="s">
        <v>1177</v>
      </c>
      <c r="AD505" s="37">
        <v>0</v>
      </c>
      <c r="AE505" s="7" t="s">
        <v>1177</v>
      </c>
      <c r="AF505" s="7" t="s">
        <v>1177</v>
      </c>
      <c r="AG505" s="7" t="s">
        <v>1177</v>
      </c>
      <c r="AH505" s="38"/>
      <c r="AI505" s="36">
        <v>0</v>
      </c>
      <c r="AJ505" s="7" t="s">
        <v>1193</v>
      </c>
      <c r="AK505" s="7" t="s">
        <v>1177</v>
      </c>
      <c r="AL505" s="7" t="s">
        <v>1177</v>
      </c>
      <c r="AM505" s="7" t="s">
        <v>1177</v>
      </c>
      <c r="AN505" s="7" t="s">
        <v>3212</v>
      </c>
      <c r="AO505" s="7" t="s">
        <v>1177</v>
      </c>
      <c r="AP505" s="7" t="s">
        <v>1177</v>
      </c>
      <c r="AQ505" s="7" t="s">
        <v>1177</v>
      </c>
      <c r="AR505" s="29">
        <v>0</v>
      </c>
      <c r="AS505" s="7" t="s">
        <v>1177</v>
      </c>
      <c r="AT505" s="7" t="s">
        <v>1363</v>
      </c>
      <c r="AU505" s="38">
        <v>46275</v>
      </c>
      <c r="AV505" s="39">
        <v>0.60394675925926</v>
      </c>
    </row>
    <row r="506" spans="1:48" x14ac:dyDescent="0.35">
      <c r="A506" t="str">
        <f t="shared" si="7"/>
        <v>GP023867B825</v>
      </c>
      <c r="B506" s="7" t="s">
        <v>240</v>
      </c>
      <c r="C506" s="7" t="s">
        <v>511</v>
      </c>
      <c r="D506" s="7" t="s">
        <v>16</v>
      </c>
      <c r="E506" s="7" t="s">
        <v>1177</v>
      </c>
      <c r="F506" s="7" t="s">
        <v>128</v>
      </c>
      <c r="G506" s="7" t="s">
        <v>130</v>
      </c>
      <c r="H506" s="7" t="s">
        <v>129</v>
      </c>
      <c r="I506" s="30">
        <v>2</v>
      </c>
      <c r="J506" s="7" t="s">
        <v>1177</v>
      </c>
      <c r="K506" s="7" t="s">
        <v>1178</v>
      </c>
      <c r="L506" s="7" t="s">
        <v>132</v>
      </c>
      <c r="M506" s="7" t="s">
        <v>133</v>
      </c>
      <c r="N506" s="30">
        <v>0</v>
      </c>
      <c r="O506" s="30">
        <v>0</v>
      </c>
      <c r="P506" s="30">
        <v>0</v>
      </c>
      <c r="Q506" s="30">
        <v>0</v>
      </c>
      <c r="R506" s="29">
        <v>0</v>
      </c>
      <c r="S506" s="36">
        <v>0</v>
      </c>
      <c r="T506" s="7" t="s">
        <v>131</v>
      </c>
      <c r="U506" s="7" t="s">
        <v>512</v>
      </c>
      <c r="V506" s="7" t="s">
        <v>512</v>
      </c>
      <c r="W506" s="7" t="s">
        <v>1177</v>
      </c>
      <c r="X506" s="30">
        <v>1</v>
      </c>
      <c r="Y506" s="7" t="s">
        <v>1177</v>
      </c>
      <c r="Z506" s="7" t="s">
        <v>1178</v>
      </c>
      <c r="AA506" s="30">
        <v>0</v>
      </c>
      <c r="AB506" s="36">
        <v>0</v>
      </c>
      <c r="AC506" s="7" t="s">
        <v>1177</v>
      </c>
      <c r="AD506" s="37">
        <v>0</v>
      </c>
      <c r="AE506" s="7" t="s">
        <v>1177</v>
      </c>
      <c r="AF506" s="7" t="s">
        <v>1177</v>
      </c>
      <c r="AG506" s="7" t="s">
        <v>1177</v>
      </c>
      <c r="AH506" s="38"/>
      <c r="AI506" s="36">
        <v>0</v>
      </c>
      <c r="AJ506" s="7" t="s">
        <v>1193</v>
      </c>
      <c r="AK506" s="7" t="s">
        <v>1177</v>
      </c>
      <c r="AL506" s="7" t="s">
        <v>1177</v>
      </c>
      <c r="AM506" s="7" t="s">
        <v>1177</v>
      </c>
      <c r="AN506" s="7" t="s">
        <v>3212</v>
      </c>
      <c r="AO506" s="7" t="s">
        <v>1177</v>
      </c>
      <c r="AP506" s="7" t="s">
        <v>1177</v>
      </c>
      <c r="AQ506" s="7" t="s">
        <v>1177</v>
      </c>
      <c r="AR506" s="29">
        <v>0</v>
      </c>
      <c r="AS506" s="7" t="s">
        <v>1177</v>
      </c>
      <c r="AT506" s="7" t="s">
        <v>1363</v>
      </c>
      <c r="AU506" s="38">
        <v>46275</v>
      </c>
      <c r="AV506" s="39">
        <v>0.60353009259259005</v>
      </c>
    </row>
    <row r="507" spans="1:48" x14ac:dyDescent="0.35">
      <c r="A507" t="str">
        <f t="shared" si="7"/>
        <v>GP023867B832</v>
      </c>
      <c r="B507" s="7" t="s">
        <v>240</v>
      </c>
      <c r="C507" s="7" t="s">
        <v>653</v>
      </c>
      <c r="D507" s="7" t="s">
        <v>19</v>
      </c>
      <c r="E507" s="7" t="s">
        <v>1177</v>
      </c>
      <c r="F507" s="7" t="s">
        <v>128</v>
      </c>
      <c r="G507" s="7" t="s">
        <v>130</v>
      </c>
      <c r="H507" s="7" t="s">
        <v>129</v>
      </c>
      <c r="I507" s="30">
        <v>4</v>
      </c>
      <c r="J507" s="7" t="s">
        <v>1177</v>
      </c>
      <c r="K507" s="7" t="s">
        <v>1178</v>
      </c>
      <c r="L507" s="7" t="s">
        <v>132</v>
      </c>
      <c r="M507" s="7" t="s">
        <v>133</v>
      </c>
      <c r="N507" s="30">
        <v>0</v>
      </c>
      <c r="O507" s="30">
        <v>0</v>
      </c>
      <c r="P507" s="30">
        <v>0</v>
      </c>
      <c r="Q507" s="30">
        <v>0</v>
      </c>
      <c r="R507" s="29">
        <v>0</v>
      </c>
      <c r="S507" s="36">
        <v>0</v>
      </c>
      <c r="T507" s="7" t="s">
        <v>131</v>
      </c>
      <c r="U507" s="7" t="s">
        <v>654</v>
      </c>
      <c r="V507" s="7" t="s">
        <v>654</v>
      </c>
      <c r="W507" s="7" t="s">
        <v>1177</v>
      </c>
      <c r="X507" s="30">
        <v>1</v>
      </c>
      <c r="Y507" s="7" t="s">
        <v>1177</v>
      </c>
      <c r="Z507" s="7" t="s">
        <v>1178</v>
      </c>
      <c r="AA507" s="30">
        <v>0</v>
      </c>
      <c r="AB507" s="36">
        <v>0</v>
      </c>
      <c r="AC507" s="7" t="s">
        <v>1177</v>
      </c>
      <c r="AD507" s="37">
        <v>0</v>
      </c>
      <c r="AE507" s="7" t="s">
        <v>1177</v>
      </c>
      <c r="AF507" s="7" t="s">
        <v>1177</v>
      </c>
      <c r="AG507" s="7" t="s">
        <v>1177</v>
      </c>
      <c r="AH507" s="38"/>
      <c r="AI507" s="36">
        <v>0</v>
      </c>
      <c r="AJ507" s="7" t="s">
        <v>1193</v>
      </c>
      <c r="AK507" s="7" t="s">
        <v>1177</v>
      </c>
      <c r="AL507" s="7" t="s">
        <v>1177</v>
      </c>
      <c r="AM507" s="7" t="s">
        <v>1177</v>
      </c>
      <c r="AN507" s="7" t="s">
        <v>3212</v>
      </c>
      <c r="AO507" s="7" t="s">
        <v>1177</v>
      </c>
      <c r="AP507" s="7" t="s">
        <v>1177</v>
      </c>
      <c r="AQ507" s="7" t="s">
        <v>1177</v>
      </c>
      <c r="AR507" s="29">
        <v>0</v>
      </c>
      <c r="AS507" s="7" t="s">
        <v>1177</v>
      </c>
      <c r="AT507" s="7" t="s">
        <v>1363</v>
      </c>
      <c r="AU507" s="38">
        <v>46275</v>
      </c>
      <c r="AV507" s="39">
        <v>0.60394675925926</v>
      </c>
    </row>
    <row r="508" spans="1:48" x14ac:dyDescent="0.35">
      <c r="A508" t="str">
        <f t="shared" si="7"/>
        <v>GP023867B838</v>
      </c>
      <c r="B508" s="7" t="s">
        <v>240</v>
      </c>
      <c r="C508" s="7" t="s">
        <v>744</v>
      </c>
      <c r="D508" s="7" t="s">
        <v>48</v>
      </c>
      <c r="E508" s="7" t="s">
        <v>1177</v>
      </c>
      <c r="F508" s="7" t="s">
        <v>128</v>
      </c>
      <c r="G508" s="7" t="s">
        <v>130</v>
      </c>
      <c r="H508" s="7" t="s">
        <v>129</v>
      </c>
      <c r="I508" s="30">
        <v>3</v>
      </c>
      <c r="J508" s="7" t="s">
        <v>1177</v>
      </c>
      <c r="K508" s="7" t="s">
        <v>1178</v>
      </c>
      <c r="L508" s="7" t="s">
        <v>132</v>
      </c>
      <c r="M508" s="7" t="s">
        <v>133</v>
      </c>
      <c r="N508" s="30">
        <v>0</v>
      </c>
      <c r="O508" s="30">
        <v>0</v>
      </c>
      <c r="P508" s="30">
        <v>0</v>
      </c>
      <c r="Q508" s="30">
        <v>0</v>
      </c>
      <c r="R508" s="29">
        <v>0</v>
      </c>
      <c r="S508" s="36">
        <v>0</v>
      </c>
      <c r="T508" s="7" t="s">
        <v>131</v>
      </c>
      <c r="U508" s="7" t="s">
        <v>745</v>
      </c>
      <c r="V508" s="7" t="s">
        <v>745</v>
      </c>
      <c r="W508" s="7" t="s">
        <v>1177</v>
      </c>
      <c r="X508" s="30">
        <v>1</v>
      </c>
      <c r="Y508" s="7" t="s">
        <v>1177</v>
      </c>
      <c r="Z508" s="7" t="s">
        <v>1178</v>
      </c>
      <c r="AA508" s="30">
        <v>0</v>
      </c>
      <c r="AB508" s="36">
        <v>0</v>
      </c>
      <c r="AC508" s="7" t="s">
        <v>1177</v>
      </c>
      <c r="AD508" s="37">
        <v>0</v>
      </c>
      <c r="AE508" s="7" t="s">
        <v>1177</v>
      </c>
      <c r="AF508" s="7" t="s">
        <v>1177</v>
      </c>
      <c r="AG508" s="7" t="s">
        <v>1177</v>
      </c>
      <c r="AH508" s="38"/>
      <c r="AI508" s="36">
        <v>0</v>
      </c>
      <c r="AJ508" s="7" t="s">
        <v>1193</v>
      </c>
      <c r="AK508" s="7" t="s">
        <v>1177</v>
      </c>
      <c r="AL508" s="7" t="s">
        <v>1177</v>
      </c>
      <c r="AM508" s="7" t="s">
        <v>1177</v>
      </c>
      <c r="AN508" s="7" t="s">
        <v>3212</v>
      </c>
      <c r="AO508" s="7" t="s">
        <v>1177</v>
      </c>
      <c r="AP508" s="7" t="s">
        <v>1177</v>
      </c>
      <c r="AQ508" s="7" t="s">
        <v>1177</v>
      </c>
      <c r="AR508" s="29">
        <v>0</v>
      </c>
      <c r="AS508" s="7" t="s">
        <v>1177</v>
      </c>
      <c r="AT508" s="7" t="s">
        <v>1363</v>
      </c>
      <c r="AU508" s="38">
        <v>46275</v>
      </c>
      <c r="AV508" s="39">
        <v>0.60442129629630004</v>
      </c>
    </row>
    <row r="509" spans="1:48" x14ac:dyDescent="0.35">
      <c r="A509" t="str">
        <f t="shared" si="7"/>
        <v>GP023876B825</v>
      </c>
      <c r="B509" s="7" t="s">
        <v>528</v>
      </c>
      <c r="C509" s="7" t="s">
        <v>511</v>
      </c>
      <c r="D509" s="7" t="s">
        <v>16</v>
      </c>
      <c r="E509" s="7" t="s">
        <v>1177</v>
      </c>
      <c r="F509" s="7" t="s">
        <v>128</v>
      </c>
      <c r="G509" s="7" t="s">
        <v>130</v>
      </c>
      <c r="H509" s="7" t="s">
        <v>129</v>
      </c>
      <c r="I509" s="30">
        <v>2</v>
      </c>
      <c r="J509" s="7" t="s">
        <v>1177</v>
      </c>
      <c r="K509" s="7" t="s">
        <v>1178</v>
      </c>
      <c r="L509" s="7" t="s">
        <v>132</v>
      </c>
      <c r="M509" s="7" t="s">
        <v>133</v>
      </c>
      <c r="N509" s="30">
        <v>0</v>
      </c>
      <c r="O509" s="30">
        <v>0</v>
      </c>
      <c r="P509" s="30">
        <v>0</v>
      </c>
      <c r="Q509" s="30">
        <v>0</v>
      </c>
      <c r="R509" s="29">
        <v>0</v>
      </c>
      <c r="S509" s="36">
        <v>0</v>
      </c>
      <c r="T509" s="7" t="s">
        <v>131</v>
      </c>
      <c r="U509" s="7" t="s">
        <v>512</v>
      </c>
      <c r="V509" s="7" t="s">
        <v>512</v>
      </c>
      <c r="W509" s="7" t="s">
        <v>1177</v>
      </c>
      <c r="X509" s="30">
        <v>1</v>
      </c>
      <c r="Y509" s="7" t="s">
        <v>1177</v>
      </c>
      <c r="Z509" s="7" t="s">
        <v>1178</v>
      </c>
      <c r="AA509" s="30">
        <v>0</v>
      </c>
      <c r="AB509" s="36">
        <v>0</v>
      </c>
      <c r="AC509" s="7" t="s">
        <v>1177</v>
      </c>
      <c r="AD509" s="37">
        <v>0</v>
      </c>
      <c r="AE509" s="7" t="s">
        <v>1177</v>
      </c>
      <c r="AF509" s="7" t="s">
        <v>1177</v>
      </c>
      <c r="AG509" s="7" t="s">
        <v>1177</v>
      </c>
      <c r="AH509" s="38"/>
      <c r="AI509" s="36">
        <v>0</v>
      </c>
      <c r="AJ509" s="7" t="s">
        <v>1193</v>
      </c>
      <c r="AK509" s="7" t="s">
        <v>1177</v>
      </c>
      <c r="AL509" s="7" t="s">
        <v>1177</v>
      </c>
      <c r="AM509" s="7" t="s">
        <v>1177</v>
      </c>
      <c r="AN509" s="7" t="s">
        <v>3212</v>
      </c>
      <c r="AO509" s="7" t="s">
        <v>1177</v>
      </c>
      <c r="AP509" s="7" t="s">
        <v>1177</v>
      </c>
      <c r="AQ509" s="7" t="s">
        <v>1177</v>
      </c>
      <c r="AR509" s="29">
        <v>0</v>
      </c>
      <c r="AS509" s="7" t="s">
        <v>1177</v>
      </c>
      <c r="AT509" s="7" t="s">
        <v>1363</v>
      </c>
      <c r="AU509" s="38">
        <v>46275</v>
      </c>
      <c r="AV509" s="39">
        <v>0.60353009259259005</v>
      </c>
    </row>
    <row r="510" spans="1:48" x14ac:dyDescent="0.35">
      <c r="A510" t="str">
        <f t="shared" si="7"/>
        <v>GP023881B825</v>
      </c>
      <c r="B510" s="7" t="s">
        <v>241</v>
      </c>
      <c r="C510" s="7" t="s">
        <v>511</v>
      </c>
      <c r="D510" s="7" t="s">
        <v>16</v>
      </c>
      <c r="E510" s="7" t="s">
        <v>1177</v>
      </c>
      <c r="F510" s="7" t="s">
        <v>128</v>
      </c>
      <c r="G510" s="7" t="s">
        <v>130</v>
      </c>
      <c r="H510" s="7" t="s">
        <v>129</v>
      </c>
      <c r="I510" s="30">
        <v>2</v>
      </c>
      <c r="J510" s="7" t="s">
        <v>1177</v>
      </c>
      <c r="K510" s="7" t="s">
        <v>1178</v>
      </c>
      <c r="L510" s="7" t="s">
        <v>132</v>
      </c>
      <c r="M510" s="7" t="s">
        <v>133</v>
      </c>
      <c r="N510" s="30">
        <v>0</v>
      </c>
      <c r="O510" s="30">
        <v>0</v>
      </c>
      <c r="P510" s="30">
        <v>0</v>
      </c>
      <c r="Q510" s="30">
        <v>0</v>
      </c>
      <c r="R510" s="29">
        <v>0</v>
      </c>
      <c r="S510" s="36">
        <v>0</v>
      </c>
      <c r="T510" s="7" t="s">
        <v>131</v>
      </c>
      <c r="U510" s="7" t="s">
        <v>512</v>
      </c>
      <c r="V510" s="7" t="s">
        <v>512</v>
      </c>
      <c r="W510" s="7" t="s">
        <v>1177</v>
      </c>
      <c r="X510" s="30">
        <v>1</v>
      </c>
      <c r="Y510" s="7" t="s">
        <v>1177</v>
      </c>
      <c r="Z510" s="7" t="s">
        <v>1178</v>
      </c>
      <c r="AA510" s="30">
        <v>0</v>
      </c>
      <c r="AB510" s="36">
        <v>0</v>
      </c>
      <c r="AC510" s="7" t="s">
        <v>1177</v>
      </c>
      <c r="AD510" s="37">
        <v>0</v>
      </c>
      <c r="AE510" s="7" t="s">
        <v>1177</v>
      </c>
      <c r="AF510" s="7" t="s">
        <v>1177</v>
      </c>
      <c r="AG510" s="7" t="s">
        <v>1177</v>
      </c>
      <c r="AH510" s="38"/>
      <c r="AI510" s="36">
        <v>0</v>
      </c>
      <c r="AJ510" s="7" t="s">
        <v>1193</v>
      </c>
      <c r="AK510" s="7" t="s">
        <v>1177</v>
      </c>
      <c r="AL510" s="7" t="s">
        <v>1177</v>
      </c>
      <c r="AM510" s="7" t="s">
        <v>1177</v>
      </c>
      <c r="AN510" s="7" t="s">
        <v>3212</v>
      </c>
      <c r="AO510" s="7" t="s">
        <v>1177</v>
      </c>
      <c r="AP510" s="7" t="s">
        <v>1177</v>
      </c>
      <c r="AQ510" s="7" t="s">
        <v>1177</v>
      </c>
      <c r="AR510" s="29">
        <v>0</v>
      </c>
      <c r="AS510" s="7" t="s">
        <v>1177</v>
      </c>
      <c r="AT510" s="7" t="s">
        <v>1363</v>
      </c>
      <c r="AU510" s="38">
        <v>46275</v>
      </c>
      <c r="AV510" s="39">
        <v>0.60353009259259005</v>
      </c>
    </row>
    <row r="511" spans="1:48" x14ac:dyDescent="0.35">
      <c r="A511" t="str">
        <f t="shared" si="7"/>
        <v>GP023882B825</v>
      </c>
      <c r="B511" s="7" t="s">
        <v>41</v>
      </c>
      <c r="C511" s="7" t="s">
        <v>511</v>
      </c>
      <c r="D511" s="7" t="s">
        <v>16</v>
      </c>
      <c r="E511" s="7" t="s">
        <v>1177</v>
      </c>
      <c r="F511" s="7" t="s">
        <v>128</v>
      </c>
      <c r="G511" s="7" t="s">
        <v>130</v>
      </c>
      <c r="H511" s="7" t="s">
        <v>129</v>
      </c>
      <c r="I511" s="30">
        <v>2</v>
      </c>
      <c r="J511" s="7" t="s">
        <v>1177</v>
      </c>
      <c r="K511" s="7" t="s">
        <v>1178</v>
      </c>
      <c r="L511" s="7" t="s">
        <v>132</v>
      </c>
      <c r="M511" s="7" t="s">
        <v>133</v>
      </c>
      <c r="N511" s="30">
        <v>0</v>
      </c>
      <c r="O511" s="30">
        <v>0</v>
      </c>
      <c r="P511" s="30">
        <v>0</v>
      </c>
      <c r="Q511" s="30">
        <v>0</v>
      </c>
      <c r="R511" s="29">
        <v>0</v>
      </c>
      <c r="S511" s="36">
        <v>0</v>
      </c>
      <c r="T511" s="7" t="s">
        <v>131</v>
      </c>
      <c r="U511" s="7" t="s">
        <v>512</v>
      </c>
      <c r="V511" s="7" t="s">
        <v>512</v>
      </c>
      <c r="W511" s="7" t="s">
        <v>1177</v>
      </c>
      <c r="X511" s="30">
        <v>1</v>
      </c>
      <c r="Y511" s="7" t="s">
        <v>1177</v>
      </c>
      <c r="Z511" s="7" t="s">
        <v>1178</v>
      </c>
      <c r="AA511" s="30">
        <v>0</v>
      </c>
      <c r="AB511" s="36">
        <v>0</v>
      </c>
      <c r="AC511" s="7" t="s">
        <v>1177</v>
      </c>
      <c r="AD511" s="37">
        <v>0</v>
      </c>
      <c r="AE511" s="7" t="s">
        <v>1177</v>
      </c>
      <c r="AF511" s="7" t="s">
        <v>1177</v>
      </c>
      <c r="AG511" s="7" t="s">
        <v>1177</v>
      </c>
      <c r="AH511" s="38"/>
      <c r="AI511" s="36">
        <v>0</v>
      </c>
      <c r="AJ511" s="7" t="s">
        <v>1193</v>
      </c>
      <c r="AK511" s="7" t="s">
        <v>1177</v>
      </c>
      <c r="AL511" s="7" t="s">
        <v>1177</v>
      </c>
      <c r="AM511" s="7" t="s">
        <v>1177</v>
      </c>
      <c r="AN511" s="7" t="s">
        <v>3212</v>
      </c>
      <c r="AO511" s="7" t="s">
        <v>1177</v>
      </c>
      <c r="AP511" s="7" t="s">
        <v>1177</v>
      </c>
      <c r="AQ511" s="7" t="s">
        <v>1177</v>
      </c>
      <c r="AR511" s="29">
        <v>0</v>
      </c>
      <c r="AS511" s="7" t="s">
        <v>1177</v>
      </c>
      <c r="AT511" s="7" t="s">
        <v>1363</v>
      </c>
      <c r="AU511" s="38">
        <v>46275</v>
      </c>
      <c r="AV511" s="39">
        <v>0.60353009259259005</v>
      </c>
    </row>
    <row r="512" spans="1:48" x14ac:dyDescent="0.35">
      <c r="A512" t="str">
        <f t="shared" si="7"/>
        <v>GP023882B832</v>
      </c>
      <c r="B512" s="7" t="s">
        <v>41</v>
      </c>
      <c r="C512" s="7" t="s">
        <v>653</v>
      </c>
      <c r="D512" s="7" t="s">
        <v>19</v>
      </c>
      <c r="E512" s="7" t="s">
        <v>1177</v>
      </c>
      <c r="F512" s="7" t="s">
        <v>128</v>
      </c>
      <c r="G512" s="7" t="s">
        <v>130</v>
      </c>
      <c r="H512" s="7" t="s">
        <v>129</v>
      </c>
      <c r="I512" s="30">
        <v>2</v>
      </c>
      <c r="J512" s="7" t="s">
        <v>1177</v>
      </c>
      <c r="K512" s="7" t="s">
        <v>1178</v>
      </c>
      <c r="L512" s="7" t="s">
        <v>132</v>
      </c>
      <c r="M512" s="7" t="s">
        <v>133</v>
      </c>
      <c r="N512" s="30">
        <v>0</v>
      </c>
      <c r="O512" s="30">
        <v>0</v>
      </c>
      <c r="P512" s="30">
        <v>0</v>
      </c>
      <c r="Q512" s="30">
        <v>0</v>
      </c>
      <c r="R512" s="29">
        <v>0</v>
      </c>
      <c r="S512" s="36">
        <v>0</v>
      </c>
      <c r="T512" s="7" t="s">
        <v>131</v>
      </c>
      <c r="U512" s="7" t="s">
        <v>654</v>
      </c>
      <c r="V512" s="7" t="s">
        <v>654</v>
      </c>
      <c r="W512" s="7" t="s">
        <v>1177</v>
      </c>
      <c r="X512" s="30">
        <v>1</v>
      </c>
      <c r="Y512" s="7" t="s">
        <v>1177</v>
      </c>
      <c r="Z512" s="7" t="s">
        <v>1178</v>
      </c>
      <c r="AA512" s="30">
        <v>0</v>
      </c>
      <c r="AB512" s="36">
        <v>0</v>
      </c>
      <c r="AC512" s="7" t="s">
        <v>1177</v>
      </c>
      <c r="AD512" s="37">
        <v>0</v>
      </c>
      <c r="AE512" s="7" t="s">
        <v>1177</v>
      </c>
      <c r="AF512" s="7" t="s">
        <v>1177</v>
      </c>
      <c r="AG512" s="7" t="s">
        <v>1177</v>
      </c>
      <c r="AH512" s="38"/>
      <c r="AI512" s="36">
        <v>0</v>
      </c>
      <c r="AJ512" s="7" t="s">
        <v>1193</v>
      </c>
      <c r="AK512" s="7" t="s">
        <v>1177</v>
      </c>
      <c r="AL512" s="7" t="s">
        <v>1177</v>
      </c>
      <c r="AM512" s="7" t="s">
        <v>1177</v>
      </c>
      <c r="AN512" s="7" t="s">
        <v>3212</v>
      </c>
      <c r="AO512" s="7" t="s">
        <v>1177</v>
      </c>
      <c r="AP512" s="7" t="s">
        <v>1177</v>
      </c>
      <c r="AQ512" s="7" t="s">
        <v>1177</v>
      </c>
      <c r="AR512" s="29">
        <v>0</v>
      </c>
      <c r="AS512" s="7" t="s">
        <v>1177</v>
      </c>
      <c r="AT512" s="7" t="s">
        <v>1363</v>
      </c>
      <c r="AU512" s="38">
        <v>46275</v>
      </c>
      <c r="AV512" s="39">
        <v>0.60387731481481</v>
      </c>
    </row>
    <row r="513" spans="1:48" x14ac:dyDescent="0.35">
      <c r="A513" t="str">
        <f t="shared" si="7"/>
        <v>GP023882B838</v>
      </c>
      <c r="B513" s="7" t="s">
        <v>41</v>
      </c>
      <c r="C513" s="7" t="s">
        <v>744</v>
      </c>
      <c r="D513" s="7" t="s">
        <v>48</v>
      </c>
      <c r="E513" s="7" t="s">
        <v>1177</v>
      </c>
      <c r="F513" s="7" t="s">
        <v>128</v>
      </c>
      <c r="G513" s="7" t="s">
        <v>130</v>
      </c>
      <c r="H513" s="7" t="s">
        <v>129</v>
      </c>
      <c r="I513" s="30">
        <v>2</v>
      </c>
      <c r="J513" s="7" t="s">
        <v>1177</v>
      </c>
      <c r="K513" s="7" t="s">
        <v>1178</v>
      </c>
      <c r="L513" s="7" t="s">
        <v>132</v>
      </c>
      <c r="M513" s="7" t="s">
        <v>133</v>
      </c>
      <c r="N513" s="30">
        <v>0</v>
      </c>
      <c r="O513" s="30">
        <v>0</v>
      </c>
      <c r="P513" s="30">
        <v>0</v>
      </c>
      <c r="Q513" s="30">
        <v>0</v>
      </c>
      <c r="R513" s="29">
        <v>0</v>
      </c>
      <c r="S513" s="36">
        <v>0</v>
      </c>
      <c r="T513" s="7" t="s">
        <v>131</v>
      </c>
      <c r="U513" s="7" t="s">
        <v>745</v>
      </c>
      <c r="V513" s="7" t="s">
        <v>745</v>
      </c>
      <c r="W513" s="7" t="s">
        <v>1177</v>
      </c>
      <c r="X513" s="30">
        <v>1</v>
      </c>
      <c r="Y513" s="7" t="s">
        <v>1177</v>
      </c>
      <c r="Z513" s="7" t="s">
        <v>1178</v>
      </c>
      <c r="AA513" s="30">
        <v>0</v>
      </c>
      <c r="AB513" s="36">
        <v>0</v>
      </c>
      <c r="AC513" s="7" t="s">
        <v>1177</v>
      </c>
      <c r="AD513" s="37">
        <v>0</v>
      </c>
      <c r="AE513" s="7" t="s">
        <v>1177</v>
      </c>
      <c r="AF513" s="7" t="s">
        <v>1177</v>
      </c>
      <c r="AG513" s="7" t="s">
        <v>1177</v>
      </c>
      <c r="AH513" s="38"/>
      <c r="AI513" s="36">
        <v>0</v>
      </c>
      <c r="AJ513" s="7" t="s">
        <v>1193</v>
      </c>
      <c r="AK513" s="7" t="s">
        <v>1177</v>
      </c>
      <c r="AL513" s="7" t="s">
        <v>1177</v>
      </c>
      <c r="AM513" s="7" t="s">
        <v>1177</v>
      </c>
      <c r="AN513" s="7" t="s">
        <v>3212</v>
      </c>
      <c r="AO513" s="7" t="s">
        <v>1177</v>
      </c>
      <c r="AP513" s="7" t="s">
        <v>1177</v>
      </c>
      <c r="AQ513" s="7" t="s">
        <v>1177</v>
      </c>
      <c r="AR513" s="29">
        <v>0</v>
      </c>
      <c r="AS513" s="7" t="s">
        <v>1177</v>
      </c>
      <c r="AT513" s="7" t="s">
        <v>1363</v>
      </c>
      <c r="AU513" s="38">
        <v>46275</v>
      </c>
      <c r="AV513" s="39">
        <v>0.60444444444444001</v>
      </c>
    </row>
    <row r="514" spans="1:48" x14ac:dyDescent="0.35">
      <c r="A514" t="str">
        <f t="shared" si="7"/>
        <v>GP023886B825</v>
      </c>
      <c r="B514" s="7" t="s">
        <v>312</v>
      </c>
      <c r="C514" s="7" t="s">
        <v>511</v>
      </c>
      <c r="D514" s="7" t="s">
        <v>16</v>
      </c>
      <c r="E514" s="7" t="s">
        <v>1177</v>
      </c>
      <c r="F514" s="7" t="s">
        <v>128</v>
      </c>
      <c r="G514" s="7" t="s">
        <v>130</v>
      </c>
      <c r="H514" s="7" t="s">
        <v>129</v>
      </c>
      <c r="I514" s="30">
        <v>2</v>
      </c>
      <c r="J514" s="7" t="s">
        <v>1177</v>
      </c>
      <c r="K514" s="7" t="s">
        <v>1178</v>
      </c>
      <c r="L514" s="7" t="s">
        <v>132</v>
      </c>
      <c r="M514" s="7" t="s">
        <v>133</v>
      </c>
      <c r="N514" s="30">
        <v>0</v>
      </c>
      <c r="O514" s="30">
        <v>0</v>
      </c>
      <c r="P514" s="30">
        <v>0</v>
      </c>
      <c r="Q514" s="30">
        <v>0</v>
      </c>
      <c r="R514" s="29">
        <v>0</v>
      </c>
      <c r="S514" s="36">
        <v>0</v>
      </c>
      <c r="T514" s="7" t="s">
        <v>131</v>
      </c>
      <c r="U514" s="7" t="s">
        <v>512</v>
      </c>
      <c r="V514" s="7" t="s">
        <v>512</v>
      </c>
      <c r="W514" s="7" t="s">
        <v>1177</v>
      </c>
      <c r="X514" s="30">
        <v>1</v>
      </c>
      <c r="Y514" s="7" t="s">
        <v>1177</v>
      </c>
      <c r="Z514" s="7" t="s">
        <v>1178</v>
      </c>
      <c r="AA514" s="30">
        <v>0</v>
      </c>
      <c r="AB514" s="36">
        <v>0</v>
      </c>
      <c r="AC514" s="7" t="s">
        <v>1177</v>
      </c>
      <c r="AD514" s="37">
        <v>0</v>
      </c>
      <c r="AE514" s="7" t="s">
        <v>1177</v>
      </c>
      <c r="AF514" s="7" t="s">
        <v>1177</v>
      </c>
      <c r="AG514" s="7" t="s">
        <v>1177</v>
      </c>
      <c r="AH514" s="38"/>
      <c r="AI514" s="36">
        <v>0</v>
      </c>
      <c r="AJ514" s="7" t="s">
        <v>1193</v>
      </c>
      <c r="AK514" s="7" t="s">
        <v>1177</v>
      </c>
      <c r="AL514" s="7" t="s">
        <v>1177</v>
      </c>
      <c r="AM514" s="7" t="s">
        <v>1177</v>
      </c>
      <c r="AN514" s="7" t="s">
        <v>3212</v>
      </c>
      <c r="AO514" s="7" t="s">
        <v>1177</v>
      </c>
      <c r="AP514" s="7" t="s">
        <v>1177</v>
      </c>
      <c r="AQ514" s="7" t="s">
        <v>1177</v>
      </c>
      <c r="AR514" s="29">
        <v>0</v>
      </c>
      <c r="AS514" s="7" t="s">
        <v>1177</v>
      </c>
      <c r="AT514" s="7" t="s">
        <v>1363</v>
      </c>
      <c r="AU514" s="38">
        <v>46275</v>
      </c>
      <c r="AV514" s="39">
        <v>0.60353009259259005</v>
      </c>
    </row>
    <row r="515" spans="1:48" x14ac:dyDescent="0.35">
      <c r="A515" t="str">
        <f t="shared" ref="A515:A578" si="8">_xlfn.CONCAT(B515,D515)</f>
        <v>GP023886B838</v>
      </c>
      <c r="B515" s="7" t="s">
        <v>312</v>
      </c>
      <c r="C515" s="7" t="s">
        <v>744</v>
      </c>
      <c r="D515" s="7" t="s">
        <v>48</v>
      </c>
      <c r="E515" s="7" t="s">
        <v>1177</v>
      </c>
      <c r="F515" s="7" t="s">
        <v>128</v>
      </c>
      <c r="G515" s="7" t="s">
        <v>130</v>
      </c>
      <c r="H515" s="7" t="s">
        <v>129</v>
      </c>
      <c r="I515" s="30">
        <v>2</v>
      </c>
      <c r="J515" s="7" t="s">
        <v>1177</v>
      </c>
      <c r="K515" s="7" t="s">
        <v>1178</v>
      </c>
      <c r="L515" s="7" t="s">
        <v>132</v>
      </c>
      <c r="M515" s="7" t="s">
        <v>133</v>
      </c>
      <c r="N515" s="30">
        <v>0</v>
      </c>
      <c r="O515" s="30">
        <v>0</v>
      </c>
      <c r="P515" s="30">
        <v>0</v>
      </c>
      <c r="Q515" s="30">
        <v>0</v>
      </c>
      <c r="R515" s="29">
        <v>0</v>
      </c>
      <c r="S515" s="36">
        <v>0</v>
      </c>
      <c r="T515" s="7" t="s">
        <v>131</v>
      </c>
      <c r="U515" s="7" t="s">
        <v>745</v>
      </c>
      <c r="V515" s="7" t="s">
        <v>745</v>
      </c>
      <c r="W515" s="7" t="s">
        <v>1177</v>
      </c>
      <c r="X515" s="30">
        <v>1</v>
      </c>
      <c r="Y515" s="7" t="s">
        <v>1177</v>
      </c>
      <c r="Z515" s="7" t="s">
        <v>1178</v>
      </c>
      <c r="AA515" s="30">
        <v>0</v>
      </c>
      <c r="AB515" s="36">
        <v>0</v>
      </c>
      <c r="AC515" s="7" t="s">
        <v>1177</v>
      </c>
      <c r="AD515" s="37">
        <v>0</v>
      </c>
      <c r="AE515" s="7" t="s">
        <v>1177</v>
      </c>
      <c r="AF515" s="7" t="s">
        <v>1177</v>
      </c>
      <c r="AG515" s="7" t="s">
        <v>1177</v>
      </c>
      <c r="AH515" s="38"/>
      <c r="AI515" s="36">
        <v>0</v>
      </c>
      <c r="AJ515" s="7" t="s">
        <v>1193</v>
      </c>
      <c r="AK515" s="7" t="s">
        <v>1177</v>
      </c>
      <c r="AL515" s="7" t="s">
        <v>1177</v>
      </c>
      <c r="AM515" s="7" t="s">
        <v>1177</v>
      </c>
      <c r="AN515" s="7" t="s">
        <v>3212</v>
      </c>
      <c r="AO515" s="7" t="s">
        <v>1177</v>
      </c>
      <c r="AP515" s="7" t="s">
        <v>1177</v>
      </c>
      <c r="AQ515" s="7" t="s">
        <v>1177</v>
      </c>
      <c r="AR515" s="29">
        <v>0</v>
      </c>
      <c r="AS515" s="7" t="s">
        <v>1177</v>
      </c>
      <c r="AT515" s="7" t="s">
        <v>1363</v>
      </c>
      <c r="AU515" s="38">
        <v>46275</v>
      </c>
      <c r="AV515" s="39">
        <v>0.60444444444444001</v>
      </c>
    </row>
    <row r="516" spans="1:48" x14ac:dyDescent="0.35">
      <c r="A516" t="str">
        <f t="shared" si="8"/>
        <v>GP023893B825</v>
      </c>
      <c r="B516" s="7" t="s">
        <v>529</v>
      </c>
      <c r="C516" s="7" t="s">
        <v>511</v>
      </c>
      <c r="D516" s="7" t="s">
        <v>16</v>
      </c>
      <c r="E516" s="7" t="s">
        <v>1177</v>
      </c>
      <c r="F516" s="7" t="s">
        <v>128</v>
      </c>
      <c r="G516" s="7" t="s">
        <v>130</v>
      </c>
      <c r="H516" s="7" t="s">
        <v>129</v>
      </c>
      <c r="I516" s="30">
        <v>2</v>
      </c>
      <c r="J516" s="7" t="s">
        <v>1177</v>
      </c>
      <c r="K516" s="7" t="s">
        <v>1178</v>
      </c>
      <c r="L516" s="7" t="s">
        <v>132</v>
      </c>
      <c r="M516" s="7" t="s">
        <v>133</v>
      </c>
      <c r="N516" s="30">
        <v>0</v>
      </c>
      <c r="O516" s="30">
        <v>0</v>
      </c>
      <c r="P516" s="30">
        <v>0</v>
      </c>
      <c r="Q516" s="30">
        <v>0</v>
      </c>
      <c r="R516" s="29">
        <v>0</v>
      </c>
      <c r="S516" s="36">
        <v>0</v>
      </c>
      <c r="T516" s="7" t="s">
        <v>131</v>
      </c>
      <c r="U516" s="7" t="s">
        <v>512</v>
      </c>
      <c r="V516" s="7" t="s">
        <v>512</v>
      </c>
      <c r="W516" s="7" t="s">
        <v>1177</v>
      </c>
      <c r="X516" s="30">
        <v>1</v>
      </c>
      <c r="Y516" s="7" t="s">
        <v>1177</v>
      </c>
      <c r="Z516" s="7" t="s">
        <v>1178</v>
      </c>
      <c r="AA516" s="30">
        <v>0</v>
      </c>
      <c r="AB516" s="36">
        <v>0</v>
      </c>
      <c r="AC516" s="7" t="s">
        <v>1177</v>
      </c>
      <c r="AD516" s="37">
        <v>0</v>
      </c>
      <c r="AE516" s="7" t="s">
        <v>1177</v>
      </c>
      <c r="AF516" s="7" t="s">
        <v>1177</v>
      </c>
      <c r="AG516" s="7" t="s">
        <v>1177</v>
      </c>
      <c r="AH516" s="38"/>
      <c r="AI516" s="36">
        <v>0</v>
      </c>
      <c r="AJ516" s="7" t="s">
        <v>1193</v>
      </c>
      <c r="AK516" s="7" t="s">
        <v>1177</v>
      </c>
      <c r="AL516" s="7" t="s">
        <v>1177</v>
      </c>
      <c r="AM516" s="7" t="s">
        <v>1177</v>
      </c>
      <c r="AN516" s="7" t="s">
        <v>3212</v>
      </c>
      <c r="AO516" s="7" t="s">
        <v>1177</v>
      </c>
      <c r="AP516" s="7" t="s">
        <v>1177</v>
      </c>
      <c r="AQ516" s="7" t="s">
        <v>1177</v>
      </c>
      <c r="AR516" s="29">
        <v>0</v>
      </c>
      <c r="AS516" s="7" t="s">
        <v>1177</v>
      </c>
      <c r="AT516" s="7" t="s">
        <v>1363</v>
      </c>
      <c r="AU516" s="38">
        <v>46275</v>
      </c>
      <c r="AV516" s="39">
        <v>0.60353009259259005</v>
      </c>
    </row>
    <row r="517" spans="1:48" x14ac:dyDescent="0.35">
      <c r="A517" t="str">
        <f t="shared" si="8"/>
        <v>GP023893B838</v>
      </c>
      <c r="B517" s="7" t="s">
        <v>529</v>
      </c>
      <c r="C517" s="7" t="s">
        <v>744</v>
      </c>
      <c r="D517" s="7" t="s">
        <v>48</v>
      </c>
      <c r="E517" s="7" t="s">
        <v>1177</v>
      </c>
      <c r="F517" s="7" t="s">
        <v>128</v>
      </c>
      <c r="G517" s="7" t="s">
        <v>130</v>
      </c>
      <c r="H517" s="7" t="s">
        <v>129</v>
      </c>
      <c r="I517" s="30">
        <v>2</v>
      </c>
      <c r="J517" s="7" t="s">
        <v>1177</v>
      </c>
      <c r="K517" s="7" t="s">
        <v>1178</v>
      </c>
      <c r="L517" s="7" t="s">
        <v>132</v>
      </c>
      <c r="M517" s="7" t="s">
        <v>133</v>
      </c>
      <c r="N517" s="30">
        <v>0</v>
      </c>
      <c r="O517" s="30">
        <v>0</v>
      </c>
      <c r="P517" s="30">
        <v>0</v>
      </c>
      <c r="Q517" s="30">
        <v>0</v>
      </c>
      <c r="R517" s="29">
        <v>0</v>
      </c>
      <c r="S517" s="36">
        <v>0</v>
      </c>
      <c r="T517" s="7" t="s">
        <v>131</v>
      </c>
      <c r="U517" s="7" t="s">
        <v>745</v>
      </c>
      <c r="V517" s="7" t="s">
        <v>745</v>
      </c>
      <c r="W517" s="7" t="s">
        <v>1177</v>
      </c>
      <c r="X517" s="30">
        <v>1</v>
      </c>
      <c r="Y517" s="7" t="s">
        <v>1177</v>
      </c>
      <c r="Z517" s="7" t="s">
        <v>1178</v>
      </c>
      <c r="AA517" s="30">
        <v>0</v>
      </c>
      <c r="AB517" s="36">
        <v>0</v>
      </c>
      <c r="AC517" s="7" t="s">
        <v>1177</v>
      </c>
      <c r="AD517" s="37">
        <v>0</v>
      </c>
      <c r="AE517" s="7" t="s">
        <v>1177</v>
      </c>
      <c r="AF517" s="7" t="s">
        <v>1177</v>
      </c>
      <c r="AG517" s="7" t="s">
        <v>1177</v>
      </c>
      <c r="AH517" s="38"/>
      <c r="AI517" s="36">
        <v>0</v>
      </c>
      <c r="AJ517" s="7" t="s">
        <v>1193</v>
      </c>
      <c r="AK517" s="7" t="s">
        <v>1177</v>
      </c>
      <c r="AL517" s="7" t="s">
        <v>1177</v>
      </c>
      <c r="AM517" s="7" t="s">
        <v>1177</v>
      </c>
      <c r="AN517" s="7" t="s">
        <v>3212</v>
      </c>
      <c r="AO517" s="7" t="s">
        <v>1177</v>
      </c>
      <c r="AP517" s="7" t="s">
        <v>1177</v>
      </c>
      <c r="AQ517" s="7" t="s">
        <v>1177</v>
      </c>
      <c r="AR517" s="29">
        <v>0</v>
      </c>
      <c r="AS517" s="7" t="s">
        <v>1177</v>
      </c>
      <c r="AT517" s="7" t="s">
        <v>1363</v>
      </c>
      <c r="AU517" s="38">
        <v>46275</v>
      </c>
      <c r="AV517" s="39">
        <v>0.60445601851852004</v>
      </c>
    </row>
    <row r="518" spans="1:48" x14ac:dyDescent="0.35">
      <c r="A518" t="str">
        <f t="shared" si="8"/>
        <v>GP023901B838</v>
      </c>
      <c r="B518" s="7" t="s">
        <v>747</v>
      </c>
      <c r="C518" s="7" t="s">
        <v>744</v>
      </c>
      <c r="D518" s="7" t="s">
        <v>48</v>
      </c>
      <c r="E518" s="7" t="s">
        <v>1177</v>
      </c>
      <c r="F518" s="7" t="s">
        <v>128</v>
      </c>
      <c r="G518" s="7" t="s">
        <v>130</v>
      </c>
      <c r="H518" s="7" t="s">
        <v>129</v>
      </c>
      <c r="I518" s="30">
        <v>2</v>
      </c>
      <c r="J518" s="7" t="s">
        <v>1177</v>
      </c>
      <c r="K518" s="7" t="s">
        <v>1178</v>
      </c>
      <c r="L518" s="7" t="s">
        <v>132</v>
      </c>
      <c r="M518" s="7" t="s">
        <v>133</v>
      </c>
      <c r="N518" s="30">
        <v>0</v>
      </c>
      <c r="O518" s="30">
        <v>0</v>
      </c>
      <c r="P518" s="30">
        <v>0</v>
      </c>
      <c r="Q518" s="30">
        <v>0</v>
      </c>
      <c r="R518" s="29">
        <v>0</v>
      </c>
      <c r="S518" s="36">
        <v>0</v>
      </c>
      <c r="T518" s="7" t="s">
        <v>131</v>
      </c>
      <c r="U518" s="7" t="s">
        <v>745</v>
      </c>
      <c r="V518" s="7" t="s">
        <v>745</v>
      </c>
      <c r="W518" s="7" t="s">
        <v>1177</v>
      </c>
      <c r="X518" s="30">
        <v>1</v>
      </c>
      <c r="Y518" s="7" t="s">
        <v>1177</v>
      </c>
      <c r="Z518" s="7" t="s">
        <v>1178</v>
      </c>
      <c r="AA518" s="30">
        <v>0</v>
      </c>
      <c r="AB518" s="36">
        <v>0</v>
      </c>
      <c r="AC518" s="7" t="s">
        <v>1177</v>
      </c>
      <c r="AD518" s="37">
        <v>0</v>
      </c>
      <c r="AE518" s="7" t="s">
        <v>1177</v>
      </c>
      <c r="AF518" s="7" t="s">
        <v>1177</v>
      </c>
      <c r="AG518" s="7" t="s">
        <v>1177</v>
      </c>
      <c r="AH518" s="38"/>
      <c r="AI518" s="36">
        <v>0</v>
      </c>
      <c r="AJ518" s="7" t="s">
        <v>1193</v>
      </c>
      <c r="AK518" s="7" t="s">
        <v>1177</v>
      </c>
      <c r="AL518" s="7" t="s">
        <v>1177</v>
      </c>
      <c r="AM518" s="7" t="s">
        <v>1177</v>
      </c>
      <c r="AN518" s="7" t="s">
        <v>3212</v>
      </c>
      <c r="AO518" s="7" t="s">
        <v>1177</v>
      </c>
      <c r="AP518" s="7" t="s">
        <v>1177</v>
      </c>
      <c r="AQ518" s="7" t="s">
        <v>1177</v>
      </c>
      <c r="AR518" s="29">
        <v>0</v>
      </c>
      <c r="AS518" s="7" t="s">
        <v>1177</v>
      </c>
      <c r="AT518" s="7" t="s">
        <v>1363</v>
      </c>
      <c r="AU518" s="38">
        <v>46275</v>
      </c>
      <c r="AV518" s="39">
        <v>0.60443287037036997</v>
      </c>
    </row>
    <row r="519" spans="1:48" x14ac:dyDescent="0.35">
      <c r="A519" t="str">
        <f t="shared" si="8"/>
        <v>GP023906B832</v>
      </c>
      <c r="B519" s="7" t="s">
        <v>661</v>
      </c>
      <c r="C519" s="7" t="s">
        <v>653</v>
      </c>
      <c r="D519" s="7" t="s">
        <v>19</v>
      </c>
      <c r="E519" s="7" t="s">
        <v>1177</v>
      </c>
      <c r="F519" s="7" t="s">
        <v>128</v>
      </c>
      <c r="G519" s="7" t="s">
        <v>130</v>
      </c>
      <c r="H519" s="7" t="s">
        <v>129</v>
      </c>
      <c r="I519" s="30">
        <v>2</v>
      </c>
      <c r="J519" s="7" t="s">
        <v>1177</v>
      </c>
      <c r="K519" s="7" t="s">
        <v>1178</v>
      </c>
      <c r="L519" s="7" t="s">
        <v>132</v>
      </c>
      <c r="M519" s="7" t="s">
        <v>133</v>
      </c>
      <c r="N519" s="30">
        <v>0</v>
      </c>
      <c r="O519" s="30">
        <v>0</v>
      </c>
      <c r="P519" s="30">
        <v>0</v>
      </c>
      <c r="Q519" s="30">
        <v>0</v>
      </c>
      <c r="R519" s="29">
        <v>0</v>
      </c>
      <c r="S519" s="36">
        <v>0</v>
      </c>
      <c r="T519" s="7" t="s">
        <v>131</v>
      </c>
      <c r="U519" s="7" t="s">
        <v>654</v>
      </c>
      <c r="V519" s="7" t="s">
        <v>654</v>
      </c>
      <c r="W519" s="7" t="s">
        <v>1177</v>
      </c>
      <c r="X519" s="30">
        <v>1</v>
      </c>
      <c r="Y519" s="7" t="s">
        <v>1177</v>
      </c>
      <c r="Z519" s="7" t="s">
        <v>1178</v>
      </c>
      <c r="AA519" s="30">
        <v>0</v>
      </c>
      <c r="AB519" s="36">
        <v>0</v>
      </c>
      <c r="AC519" s="7" t="s">
        <v>1177</v>
      </c>
      <c r="AD519" s="37">
        <v>0</v>
      </c>
      <c r="AE519" s="7" t="s">
        <v>1177</v>
      </c>
      <c r="AF519" s="7" t="s">
        <v>1177</v>
      </c>
      <c r="AG519" s="7" t="s">
        <v>1177</v>
      </c>
      <c r="AH519" s="38"/>
      <c r="AI519" s="36">
        <v>0</v>
      </c>
      <c r="AJ519" s="7" t="s">
        <v>1193</v>
      </c>
      <c r="AK519" s="7" t="s">
        <v>1177</v>
      </c>
      <c r="AL519" s="7" t="s">
        <v>1177</v>
      </c>
      <c r="AM519" s="7" t="s">
        <v>1177</v>
      </c>
      <c r="AN519" s="7" t="s">
        <v>3212</v>
      </c>
      <c r="AO519" s="7" t="s">
        <v>1177</v>
      </c>
      <c r="AP519" s="7" t="s">
        <v>1177</v>
      </c>
      <c r="AQ519" s="7" t="s">
        <v>1177</v>
      </c>
      <c r="AR519" s="29">
        <v>0</v>
      </c>
      <c r="AS519" s="7" t="s">
        <v>1177</v>
      </c>
      <c r="AT519" s="7" t="s">
        <v>1363</v>
      </c>
      <c r="AU519" s="38">
        <v>46275</v>
      </c>
      <c r="AV519" s="39">
        <v>0.62341435185185001</v>
      </c>
    </row>
    <row r="520" spans="1:48" x14ac:dyDescent="0.35">
      <c r="A520" t="str">
        <f t="shared" si="8"/>
        <v>GP023907B832</v>
      </c>
      <c r="B520" s="7" t="s">
        <v>662</v>
      </c>
      <c r="C520" s="7" t="s">
        <v>653</v>
      </c>
      <c r="D520" s="7" t="s">
        <v>19</v>
      </c>
      <c r="E520" s="7" t="s">
        <v>1177</v>
      </c>
      <c r="F520" s="7" t="s">
        <v>128</v>
      </c>
      <c r="G520" s="7" t="s">
        <v>130</v>
      </c>
      <c r="H520" s="7" t="s">
        <v>129</v>
      </c>
      <c r="I520" s="30">
        <v>2</v>
      </c>
      <c r="J520" s="7" t="s">
        <v>1177</v>
      </c>
      <c r="K520" s="7" t="s">
        <v>1178</v>
      </c>
      <c r="L520" s="7" t="s">
        <v>132</v>
      </c>
      <c r="M520" s="7" t="s">
        <v>133</v>
      </c>
      <c r="N520" s="30">
        <v>0</v>
      </c>
      <c r="O520" s="30">
        <v>0</v>
      </c>
      <c r="P520" s="30">
        <v>0</v>
      </c>
      <c r="Q520" s="30">
        <v>0</v>
      </c>
      <c r="R520" s="29">
        <v>0</v>
      </c>
      <c r="S520" s="36">
        <v>0</v>
      </c>
      <c r="T520" s="7" t="s">
        <v>131</v>
      </c>
      <c r="U520" s="7" t="s">
        <v>654</v>
      </c>
      <c r="V520" s="7" t="s">
        <v>654</v>
      </c>
      <c r="W520" s="7" t="s">
        <v>1177</v>
      </c>
      <c r="X520" s="30">
        <v>1</v>
      </c>
      <c r="Y520" s="7" t="s">
        <v>1177</v>
      </c>
      <c r="Z520" s="7" t="s">
        <v>1178</v>
      </c>
      <c r="AA520" s="30">
        <v>0</v>
      </c>
      <c r="AB520" s="36">
        <v>0</v>
      </c>
      <c r="AC520" s="7" t="s">
        <v>1177</v>
      </c>
      <c r="AD520" s="37">
        <v>0</v>
      </c>
      <c r="AE520" s="7" t="s">
        <v>1177</v>
      </c>
      <c r="AF520" s="7" t="s">
        <v>1177</v>
      </c>
      <c r="AG520" s="7" t="s">
        <v>1177</v>
      </c>
      <c r="AH520" s="38"/>
      <c r="AI520" s="36">
        <v>0</v>
      </c>
      <c r="AJ520" s="7" t="s">
        <v>1193</v>
      </c>
      <c r="AK520" s="7" t="s">
        <v>1177</v>
      </c>
      <c r="AL520" s="7" t="s">
        <v>1177</v>
      </c>
      <c r="AM520" s="7" t="s">
        <v>1177</v>
      </c>
      <c r="AN520" s="7" t="s">
        <v>3212</v>
      </c>
      <c r="AO520" s="7" t="s">
        <v>1177</v>
      </c>
      <c r="AP520" s="7" t="s">
        <v>1177</v>
      </c>
      <c r="AQ520" s="7" t="s">
        <v>1177</v>
      </c>
      <c r="AR520" s="29">
        <v>0</v>
      </c>
      <c r="AS520" s="7" t="s">
        <v>1177</v>
      </c>
      <c r="AT520" s="7" t="s">
        <v>1363</v>
      </c>
      <c r="AU520" s="38">
        <v>46275</v>
      </c>
      <c r="AV520" s="39">
        <v>0.60388888888889003</v>
      </c>
    </row>
    <row r="521" spans="1:48" x14ac:dyDescent="0.35">
      <c r="A521" t="str">
        <f t="shared" si="8"/>
        <v>GP023907B833</v>
      </c>
      <c r="B521" s="7" t="s">
        <v>662</v>
      </c>
      <c r="C521" s="7" t="s">
        <v>698</v>
      </c>
      <c r="D521" s="7" t="s">
        <v>697</v>
      </c>
      <c r="E521" s="7" t="s">
        <v>1177</v>
      </c>
      <c r="F521" s="7" t="s">
        <v>128</v>
      </c>
      <c r="G521" s="7" t="s">
        <v>130</v>
      </c>
      <c r="H521" s="7" t="s">
        <v>129</v>
      </c>
      <c r="I521" s="30">
        <v>2</v>
      </c>
      <c r="J521" s="7" t="s">
        <v>1177</v>
      </c>
      <c r="K521" s="7" t="s">
        <v>1178</v>
      </c>
      <c r="L521" s="7" t="s">
        <v>132</v>
      </c>
      <c r="M521" s="7" t="s">
        <v>133</v>
      </c>
      <c r="N521" s="30">
        <v>0</v>
      </c>
      <c r="O521" s="30">
        <v>0</v>
      </c>
      <c r="P521" s="30">
        <v>0</v>
      </c>
      <c r="Q521" s="30">
        <v>0</v>
      </c>
      <c r="R521" s="29">
        <v>0</v>
      </c>
      <c r="S521" s="36">
        <v>0</v>
      </c>
      <c r="T521" s="7" t="s">
        <v>131</v>
      </c>
      <c r="U521" s="7" t="s">
        <v>699</v>
      </c>
      <c r="V521" s="7" t="s">
        <v>699</v>
      </c>
      <c r="W521" s="7" t="s">
        <v>1177</v>
      </c>
      <c r="X521" s="30">
        <v>1</v>
      </c>
      <c r="Y521" s="7" t="s">
        <v>1177</v>
      </c>
      <c r="Z521" s="7" t="s">
        <v>1178</v>
      </c>
      <c r="AA521" s="30">
        <v>0</v>
      </c>
      <c r="AB521" s="36">
        <v>0</v>
      </c>
      <c r="AC521" s="7" t="s">
        <v>1177</v>
      </c>
      <c r="AD521" s="37">
        <v>0</v>
      </c>
      <c r="AE521" s="7" t="s">
        <v>1177</v>
      </c>
      <c r="AF521" s="7" t="s">
        <v>1177</v>
      </c>
      <c r="AG521" s="7" t="s">
        <v>1177</v>
      </c>
      <c r="AH521" s="38"/>
      <c r="AI521" s="36">
        <v>0</v>
      </c>
      <c r="AJ521" s="7" t="s">
        <v>1193</v>
      </c>
      <c r="AK521" s="7" t="s">
        <v>1177</v>
      </c>
      <c r="AL521" s="7" t="s">
        <v>1177</v>
      </c>
      <c r="AM521" s="7" t="s">
        <v>1177</v>
      </c>
      <c r="AN521" s="7" t="s">
        <v>3212</v>
      </c>
      <c r="AO521" s="7" t="s">
        <v>1177</v>
      </c>
      <c r="AP521" s="7" t="s">
        <v>1177</v>
      </c>
      <c r="AQ521" s="7" t="s">
        <v>1177</v>
      </c>
      <c r="AR521" s="29">
        <v>0</v>
      </c>
      <c r="AS521" s="7" t="s">
        <v>1177</v>
      </c>
      <c r="AT521" s="7" t="s">
        <v>1363</v>
      </c>
      <c r="AU521" s="38">
        <v>46275</v>
      </c>
      <c r="AV521" s="39">
        <v>0.60396990740740997</v>
      </c>
    </row>
    <row r="522" spans="1:48" x14ac:dyDescent="0.35">
      <c r="A522" t="str">
        <f t="shared" si="8"/>
        <v>GP023908B832</v>
      </c>
      <c r="B522" s="7" t="s">
        <v>663</v>
      </c>
      <c r="C522" s="7" t="s">
        <v>653</v>
      </c>
      <c r="D522" s="7" t="s">
        <v>19</v>
      </c>
      <c r="E522" s="7" t="s">
        <v>1177</v>
      </c>
      <c r="F522" s="7" t="s">
        <v>128</v>
      </c>
      <c r="G522" s="7" t="s">
        <v>130</v>
      </c>
      <c r="H522" s="7" t="s">
        <v>129</v>
      </c>
      <c r="I522" s="30">
        <v>2</v>
      </c>
      <c r="J522" s="7" t="s">
        <v>1177</v>
      </c>
      <c r="K522" s="7" t="s">
        <v>1178</v>
      </c>
      <c r="L522" s="7" t="s">
        <v>132</v>
      </c>
      <c r="M522" s="7" t="s">
        <v>133</v>
      </c>
      <c r="N522" s="30">
        <v>0</v>
      </c>
      <c r="O522" s="30">
        <v>0</v>
      </c>
      <c r="P522" s="30">
        <v>0</v>
      </c>
      <c r="Q522" s="30">
        <v>0</v>
      </c>
      <c r="R522" s="29">
        <v>0</v>
      </c>
      <c r="S522" s="36">
        <v>0</v>
      </c>
      <c r="T522" s="7" t="s">
        <v>131</v>
      </c>
      <c r="U522" s="7" t="s">
        <v>654</v>
      </c>
      <c r="V522" s="7" t="s">
        <v>654</v>
      </c>
      <c r="W522" s="7" t="s">
        <v>1177</v>
      </c>
      <c r="X522" s="30">
        <v>1</v>
      </c>
      <c r="Y522" s="7" t="s">
        <v>1177</v>
      </c>
      <c r="Z522" s="7" t="s">
        <v>1178</v>
      </c>
      <c r="AA522" s="30">
        <v>0</v>
      </c>
      <c r="AB522" s="36">
        <v>0</v>
      </c>
      <c r="AC522" s="7" t="s">
        <v>1177</v>
      </c>
      <c r="AD522" s="37">
        <v>0</v>
      </c>
      <c r="AE522" s="7" t="s">
        <v>1177</v>
      </c>
      <c r="AF522" s="7" t="s">
        <v>1177</v>
      </c>
      <c r="AG522" s="7" t="s">
        <v>1177</v>
      </c>
      <c r="AH522" s="38"/>
      <c r="AI522" s="36">
        <v>0</v>
      </c>
      <c r="AJ522" s="7" t="s">
        <v>1193</v>
      </c>
      <c r="AK522" s="7" t="s">
        <v>1177</v>
      </c>
      <c r="AL522" s="7" t="s">
        <v>1177</v>
      </c>
      <c r="AM522" s="7" t="s">
        <v>1177</v>
      </c>
      <c r="AN522" s="7" t="s">
        <v>3212</v>
      </c>
      <c r="AO522" s="7" t="s">
        <v>1177</v>
      </c>
      <c r="AP522" s="7" t="s">
        <v>1177</v>
      </c>
      <c r="AQ522" s="7" t="s">
        <v>1177</v>
      </c>
      <c r="AR522" s="29">
        <v>0</v>
      </c>
      <c r="AS522" s="7" t="s">
        <v>1177</v>
      </c>
      <c r="AT522" s="7" t="s">
        <v>1363</v>
      </c>
      <c r="AU522" s="38">
        <v>46275</v>
      </c>
      <c r="AV522" s="39">
        <v>0.62340277777777997</v>
      </c>
    </row>
    <row r="523" spans="1:48" x14ac:dyDescent="0.35">
      <c r="A523" t="str">
        <f t="shared" si="8"/>
        <v>GP023908B833</v>
      </c>
      <c r="B523" s="7" t="s">
        <v>663</v>
      </c>
      <c r="C523" s="7" t="s">
        <v>698</v>
      </c>
      <c r="D523" s="7" t="s">
        <v>697</v>
      </c>
      <c r="E523" s="7" t="s">
        <v>1177</v>
      </c>
      <c r="F523" s="7" t="s">
        <v>128</v>
      </c>
      <c r="G523" s="7" t="s">
        <v>130</v>
      </c>
      <c r="H523" s="7" t="s">
        <v>129</v>
      </c>
      <c r="I523" s="30">
        <v>2</v>
      </c>
      <c r="J523" s="7" t="s">
        <v>1177</v>
      </c>
      <c r="K523" s="7" t="s">
        <v>1178</v>
      </c>
      <c r="L523" s="7" t="s">
        <v>132</v>
      </c>
      <c r="M523" s="7" t="s">
        <v>133</v>
      </c>
      <c r="N523" s="30">
        <v>0</v>
      </c>
      <c r="O523" s="30">
        <v>0</v>
      </c>
      <c r="P523" s="30">
        <v>0</v>
      </c>
      <c r="Q523" s="30">
        <v>0</v>
      </c>
      <c r="R523" s="29">
        <v>0</v>
      </c>
      <c r="S523" s="36">
        <v>0</v>
      </c>
      <c r="T523" s="7" t="s">
        <v>131</v>
      </c>
      <c r="U523" s="7" t="s">
        <v>699</v>
      </c>
      <c r="V523" s="7" t="s">
        <v>699</v>
      </c>
      <c r="W523" s="7" t="s">
        <v>1177</v>
      </c>
      <c r="X523" s="30">
        <v>1</v>
      </c>
      <c r="Y523" s="7" t="s">
        <v>1177</v>
      </c>
      <c r="Z523" s="7" t="s">
        <v>1178</v>
      </c>
      <c r="AA523" s="30">
        <v>0</v>
      </c>
      <c r="AB523" s="36">
        <v>0</v>
      </c>
      <c r="AC523" s="7" t="s">
        <v>1177</v>
      </c>
      <c r="AD523" s="37">
        <v>0</v>
      </c>
      <c r="AE523" s="7" t="s">
        <v>1177</v>
      </c>
      <c r="AF523" s="7" t="s">
        <v>1177</v>
      </c>
      <c r="AG523" s="7" t="s">
        <v>1177</v>
      </c>
      <c r="AH523" s="38"/>
      <c r="AI523" s="36">
        <v>0</v>
      </c>
      <c r="AJ523" s="7" t="s">
        <v>1193</v>
      </c>
      <c r="AK523" s="7" t="s">
        <v>1177</v>
      </c>
      <c r="AL523" s="7" t="s">
        <v>1177</v>
      </c>
      <c r="AM523" s="7" t="s">
        <v>1177</v>
      </c>
      <c r="AN523" s="7" t="s">
        <v>3212</v>
      </c>
      <c r="AO523" s="7" t="s">
        <v>1177</v>
      </c>
      <c r="AP523" s="7" t="s">
        <v>1177</v>
      </c>
      <c r="AQ523" s="7" t="s">
        <v>1177</v>
      </c>
      <c r="AR523" s="29">
        <v>0</v>
      </c>
      <c r="AS523" s="7" t="s">
        <v>1177</v>
      </c>
      <c r="AT523" s="7" t="s">
        <v>1363</v>
      </c>
      <c r="AU523" s="38">
        <v>46275</v>
      </c>
      <c r="AV523" s="39">
        <v>0.62348379629630002</v>
      </c>
    </row>
    <row r="524" spans="1:48" x14ac:dyDescent="0.35">
      <c r="A524" t="str">
        <f t="shared" si="8"/>
        <v>GP023916B825</v>
      </c>
      <c r="B524" s="7" t="s">
        <v>464</v>
      </c>
      <c r="C524" s="7" t="s">
        <v>511</v>
      </c>
      <c r="D524" s="7" t="s">
        <v>16</v>
      </c>
      <c r="E524" s="7" t="s">
        <v>1177</v>
      </c>
      <c r="F524" s="7" t="s">
        <v>128</v>
      </c>
      <c r="G524" s="7" t="s">
        <v>130</v>
      </c>
      <c r="H524" s="7" t="s">
        <v>129</v>
      </c>
      <c r="I524" s="30">
        <v>1</v>
      </c>
      <c r="J524" s="7" t="s">
        <v>1177</v>
      </c>
      <c r="K524" s="7" t="s">
        <v>1178</v>
      </c>
      <c r="L524" s="7" t="s">
        <v>132</v>
      </c>
      <c r="M524" s="7" t="s">
        <v>133</v>
      </c>
      <c r="N524" s="30">
        <v>0</v>
      </c>
      <c r="O524" s="30">
        <v>0</v>
      </c>
      <c r="P524" s="30">
        <v>0</v>
      </c>
      <c r="Q524" s="30">
        <v>0</v>
      </c>
      <c r="R524" s="29">
        <v>0</v>
      </c>
      <c r="S524" s="36">
        <v>0</v>
      </c>
      <c r="T524" s="7" t="s">
        <v>131</v>
      </c>
      <c r="U524" s="7" t="s">
        <v>512</v>
      </c>
      <c r="V524" s="7" t="s">
        <v>512</v>
      </c>
      <c r="W524" s="7" t="s">
        <v>1177</v>
      </c>
      <c r="X524" s="30">
        <v>1</v>
      </c>
      <c r="Y524" s="7" t="s">
        <v>1177</v>
      </c>
      <c r="Z524" s="7" t="s">
        <v>1178</v>
      </c>
      <c r="AA524" s="30">
        <v>0</v>
      </c>
      <c r="AB524" s="36">
        <v>0</v>
      </c>
      <c r="AC524" s="7" t="s">
        <v>1177</v>
      </c>
      <c r="AD524" s="37">
        <v>0</v>
      </c>
      <c r="AE524" s="7" t="s">
        <v>1177</v>
      </c>
      <c r="AF524" s="7" t="s">
        <v>1177</v>
      </c>
      <c r="AG524" s="7" t="s">
        <v>1177</v>
      </c>
      <c r="AH524" s="38"/>
      <c r="AI524" s="36">
        <v>0</v>
      </c>
      <c r="AJ524" s="7" t="s">
        <v>1193</v>
      </c>
      <c r="AK524" s="7" t="s">
        <v>1177</v>
      </c>
      <c r="AL524" s="7" t="s">
        <v>1177</v>
      </c>
      <c r="AM524" s="7" t="s">
        <v>1177</v>
      </c>
      <c r="AN524" s="7" t="s">
        <v>3212</v>
      </c>
      <c r="AO524" s="7" t="s">
        <v>1177</v>
      </c>
      <c r="AP524" s="7" t="s">
        <v>1177</v>
      </c>
      <c r="AQ524" s="7" t="s">
        <v>1177</v>
      </c>
      <c r="AR524" s="29">
        <v>0</v>
      </c>
      <c r="AS524" s="7" t="s">
        <v>1177</v>
      </c>
      <c r="AT524" s="7" t="s">
        <v>1363</v>
      </c>
      <c r="AU524" s="38">
        <v>46275</v>
      </c>
      <c r="AV524" s="39">
        <v>0.60353009259259005</v>
      </c>
    </row>
    <row r="525" spans="1:48" x14ac:dyDescent="0.35">
      <c r="A525" t="str">
        <f t="shared" si="8"/>
        <v>GP023920B825</v>
      </c>
      <c r="B525" s="7" t="s">
        <v>530</v>
      </c>
      <c r="C525" s="7" t="s">
        <v>511</v>
      </c>
      <c r="D525" s="7" t="s">
        <v>16</v>
      </c>
      <c r="E525" s="7" t="s">
        <v>1177</v>
      </c>
      <c r="F525" s="7" t="s">
        <v>128</v>
      </c>
      <c r="G525" s="7" t="s">
        <v>130</v>
      </c>
      <c r="H525" s="7" t="s">
        <v>129</v>
      </c>
      <c r="I525" s="30">
        <v>1</v>
      </c>
      <c r="J525" s="7" t="s">
        <v>1177</v>
      </c>
      <c r="K525" s="7" t="s">
        <v>1178</v>
      </c>
      <c r="L525" s="7" t="s">
        <v>132</v>
      </c>
      <c r="M525" s="7" t="s">
        <v>133</v>
      </c>
      <c r="N525" s="30">
        <v>0</v>
      </c>
      <c r="O525" s="30">
        <v>0</v>
      </c>
      <c r="P525" s="30">
        <v>0</v>
      </c>
      <c r="Q525" s="30">
        <v>0</v>
      </c>
      <c r="R525" s="29">
        <v>0</v>
      </c>
      <c r="S525" s="36">
        <v>0</v>
      </c>
      <c r="T525" s="7" t="s">
        <v>131</v>
      </c>
      <c r="U525" s="7" t="s">
        <v>512</v>
      </c>
      <c r="V525" s="7" t="s">
        <v>512</v>
      </c>
      <c r="W525" s="7" t="s">
        <v>1177</v>
      </c>
      <c r="X525" s="30">
        <v>1</v>
      </c>
      <c r="Y525" s="7" t="s">
        <v>1177</v>
      </c>
      <c r="Z525" s="7" t="s">
        <v>1178</v>
      </c>
      <c r="AA525" s="30">
        <v>0</v>
      </c>
      <c r="AB525" s="36">
        <v>0</v>
      </c>
      <c r="AC525" s="7" t="s">
        <v>1177</v>
      </c>
      <c r="AD525" s="37">
        <v>0</v>
      </c>
      <c r="AE525" s="7" t="s">
        <v>1177</v>
      </c>
      <c r="AF525" s="7" t="s">
        <v>1177</v>
      </c>
      <c r="AG525" s="7" t="s">
        <v>1177</v>
      </c>
      <c r="AH525" s="38"/>
      <c r="AI525" s="36">
        <v>0</v>
      </c>
      <c r="AJ525" s="7" t="s">
        <v>1193</v>
      </c>
      <c r="AK525" s="7" t="s">
        <v>1177</v>
      </c>
      <c r="AL525" s="7" t="s">
        <v>1177</v>
      </c>
      <c r="AM525" s="7" t="s">
        <v>1177</v>
      </c>
      <c r="AN525" s="7" t="s">
        <v>3212</v>
      </c>
      <c r="AO525" s="7" t="s">
        <v>1177</v>
      </c>
      <c r="AP525" s="7" t="s">
        <v>1177</v>
      </c>
      <c r="AQ525" s="7" t="s">
        <v>1177</v>
      </c>
      <c r="AR525" s="29">
        <v>0</v>
      </c>
      <c r="AS525" s="7" t="s">
        <v>1177</v>
      </c>
      <c r="AT525" s="7" t="s">
        <v>1363</v>
      </c>
      <c r="AU525" s="38">
        <v>46275</v>
      </c>
      <c r="AV525" s="39">
        <v>0.60353009259259005</v>
      </c>
    </row>
    <row r="526" spans="1:48" x14ac:dyDescent="0.35">
      <c r="A526" t="str">
        <f t="shared" si="8"/>
        <v>GP023920B864</v>
      </c>
      <c r="B526" s="7" t="s">
        <v>530</v>
      </c>
      <c r="C526" s="7" t="s">
        <v>1010</v>
      </c>
      <c r="D526" s="7" t="s">
        <v>10</v>
      </c>
      <c r="E526" s="7" t="s">
        <v>1177</v>
      </c>
      <c r="F526" s="7" t="s">
        <v>128</v>
      </c>
      <c r="G526" s="7" t="s">
        <v>130</v>
      </c>
      <c r="H526" s="7" t="s">
        <v>129</v>
      </c>
      <c r="I526" s="30">
        <v>2</v>
      </c>
      <c r="J526" s="7" t="s">
        <v>1177</v>
      </c>
      <c r="K526" s="7" t="s">
        <v>1178</v>
      </c>
      <c r="L526" s="7" t="s">
        <v>132</v>
      </c>
      <c r="M526" s="7" t="s">
        <v>133</v>
      </c>
      <c r="N526" s="30">
        <v>0</v>
      </c>
      <c r="O526" s="30">
        <v>0</v>
      </c>
      <c r="P526" s="30">
        <v>0</v>
      </c>
      <c r="Q526" s="30">
        <v>0</v>
      </c>
      <c r="R526" s="29">
        <v>0</v>
      </c>
      <c r="S526" s="36">
        <v>0</v>
      </c>
      <c r="T526" s="7" t="s">
        <v>131</v>
      </c>
      <c r="U526" s="7" t="s">
        <v>1011</v>
      </c>
      <c r="V526" s="7" t="s">
        <v>1011</v>
      </c>
      <c r="W526" s="7" t="s">
        <v>1177</v>
      </c>
      <c r="X526" s="30">
        <v>1</v>
      </c>
      <c r="Y526" s="7" t="s">
        <v>1177</v>
      </c>
      <c r="Z526" s="7" t="s">
        <v>1178</v>
      </c>
      <c r="AA526" s="30">
        <v>0</v>
      </c>
      <c r="AB526" s="36">
        <v>0</v>
      </c>
      <c r="AC526" s="7" t="s">
        <v>1177</v>
      </c>
      <c r="AD526" s="37">
        <v>0</v>
      </c>
      <c r="AE526" s="7" t="s">
        <v>1177</v>
      </c>
      <c r="AF526" s="7" t="s">
        <v>1177</v>
      </c>
      <c r="AG526" s="7" t="s">
        <v>1177</v>
      </c>
      <c r="AH526" s="38"/>
      <c r="AI526" s="36">
        <v>0</v>
      </c>
      <c r="AJ526" s="7" t="s">
        <v>1193</v>
      </c>
      <c r="AK526" s="7" t="s">
        <v>1177</v>
      </c>
      <c r="AL526" s="7" t="s">
        <v>1177</v>
      </c>
      <c r="AM526" s="7" t="s">
        <v>1177</v>
      </c>
      <c r="AN526" s="7" t="s">
        <v>3212</v>
      </c>
      <c r="AO526" s="7" t="s">
        <v>1177</v>
      </c>
      <c r="AP526" s="7" t="s">
        <v>1177</v>
      </c>
      <c r="AQ526" s="7" t="s">
        <v>1177</v>
      </c>
      <c r="AR526" s="29">
        <v>0</v>
      </c>
      <c r="AS526" s="7" t="s">
        <v>1177</v>
      </c>
      <c r="AT526" s="7" t="s">
        <v>1363</v>
      </c>
      <c r="AU526" s="38">
        <v>46275</v>
      </c>
      <c r="AV526" s="39">
        <v>0.60540509259259001</v>
      </c>
    </row>
    <row r="527" spans="1:48" x14ac:dyDescent="0.35">
      <c r="A527" t="str">
        <f t="shared" si="8"/>
        <v>GP024297B825</v>
      </c>
      <c r="B527" s="7" t="s">
        <v>374</v>
      </c>
      <c r="C527" s="7" t="s">
        <v>511</v>
      </c>
      <c r="D527" s="7" t="s">
        <v>16</v>
      </c>
      <c r="E527" s="7" t="s">
        <v>1177</v>
      </c>
      <c r="F527" s="7" t="s">
        <v>134</v>
      </c>
      <c r="G527" s="7" t="s">
        <v>130</v>
      </c>
      <c r="H527" s="7" t="s">
        <v>129</v>
      </c>
      <c r="I527" s="30">
        <v>2</v>
      </c>
      <c r="J527" s="7" t="s">
        <v>1177</v>
      </c>
      <c r="K527" s="7" t="s">
        <v>1178</v>
      </c>
      <c r="L527" s="7" t="s">
        <v>132</v>
      </c>
      <c r="M527" s="7" t="s">
        <v>133</v>
      </c>
      <c r="N527" s="30">
        <v>0</v>
      </c>
      <c r="O527" s="30">
        <v>0</v>
      </c>
      <c r="P527" s="30">
        <v>0</v>
      </c>
      <c r="Q527" s="30">
        <v>0</v>
      </c>
      <c r="R527" s="29">
        <v>0</v>
      </c>
      <c r="S527" s="36">
        <v>0</v>
      </c>
      <c r="T527" s="7" t="s">
        <v>131</v>
      </c>
      <c r="U527" s="7" t="s">
        <v>512</v>
      </c>
      <c r="V527" s="7" t="s">
        <v>512</v>
      </c>
      <c r="W527" s="7" t="s">
        <v>1177</v>
      </c>
      <c r="X527" s="30">
        <v>2</v>
      </c>
      <c r="Y527" s="7" t="s">
        <v>1177</v>
      </c>
      <c r="Z527" s="7" t="s">
        <v>1178</v>
      </c>
      <c r="AA527" s="30">
        <v>0</v>
      </c>
      <c r="AB527" s="36">
        <v>0</v>
      </c>
      <c r="AC527" s="7" t="s">
        <v>1177</v>
      </c>
      <c r="AD527" s="37">
        <v>0</v>
      </c>
      <c r="AE527" s="7" t="s">
        <v>1177</v>
      </c>
      <c r="AF527" s="7" t="s">
        <v>1177</v>
      </c>
      <c r="AG527" s="7" t="s">
        <v>1177</v>
      </c>
      <c r="AH527" s="38"/>
      <c r="AI527" s="36">
        <v>0</v>
      </c>
      <c r="AJ527" s="7" t="s">
        <v>1193</v>
      </c>
      <c r="AK527" s="7" t="s">
        <v>1177</v>
      </c>
      <c r="AL527" s="7" t="s">
        <v>1177</v>
      </c>
      <c r="AM527" s="7" t="s">
        <v>1177</v>
      </c>
      <c r="AN527" s="7" t="s">
        <v>3212</v>
      </c>
      <c r="AO527" s="7" t="s">
        <v>1177</v>
      </c>
      <c r="AP527" s="7" t="s">
        <v>1177</v>
      </c>
      <c r="AQ527" s="7" t="s">
        <v>1177</v>
      </c>
      <c r="AR527" s="29">
        <v>0</v>
      </c>
      <c r="AS527" s="7" t="s">
        <v>1177</v>
      </c>
      <c r="AT527" s="7" t="s">
        <v>1363</v>
      </c>
      <c r="AU527" s="38">
        <v>46275</v>
      </c>
      <c r="AV527" s="39">
        <v>0.60353009259259005</v>
      </c>
    </row>
    <row r="528" spans="1:48" x14ac:dyDescent="0.35">
      <c r="A528" t="str">
        <f t="shared" si="8"/>
        <v>GP024297B833</v>
      </c>
      <c r="B528" s="7" t="s">
        <v>374</v>
      </c>
      <c r="C528" s="7" t="s">
        <v>698</v>
      </c>
      <c r="D528" s="7" t="s">
        <v>697</v>
      </c>
      <c r="E528" s="7" t="s">
        <v>1177</v>
      </c>
      <c r="F528" s="7" t="s">
        <v>134</v>
      </c>
      <c r="G528" s="7" t="s">
        <v>130</v>
      </c>
      <c r="H528" s="7" t="s">
        <v>129</v>
      </c>
      <c r="I528" s="30">
        <v>2</v>
      </c>
      <c r="J528" s="7" t="s">
        <v>1177</v>
      </c>
      <c r="K528" s="7" t="s">
        <v>1178</v>
      </c>
      <c r="L528" s="7" t="s">
        <v>132</v>
      </c>
      <c r="M528" s="7" t="s">
        <v>133</v>
      </c>
      <c r="N528" s="30">
        <v>0</v>
      </c>
      <c r="O528" s="30">
        <v>0</v>
      </c>
      <c r="P528" s="30">
        <v>0</v>
      </c>
      <c r="Q528" s="30">
        <v>0</v>
      </c>
      <c r="R528" s="29">
        <v>0</v>
      </c>
      <c r="S528" s="36">
        <v>0</v>
      </c>
      <c r="T528" s="7" t="s">
        <v>131</v>
      </c>
      <c r="U528" s="7" t="s">
        <v>699</v>
      </c>
      <c r="V528" s="7" t="s">
        <v>699</v>
      </c>
      <c r="W528" s="7" t="s">
        <v>1177</v>
      </c>
      <c r="X528" s="30">
        <v>2</v>
      </c>
      <c r="Y528" s="7" t="s">
        <v>1177</v>
      </c>
      <c r="Z528" s="7" t="s">
        <v>1178</v>
      </c>
      <c r="AA528" s="30">
        <v>0</v>
      </c>
      <c r="AB528" s="36">
        <v>0</v>
      </c>
      <c r="AC528" s="7" t="s">
        <v>1177</v>
      </c>
      <c r="AD528" s="37">
        <v>0</v>
      </c>
      <c r="AE528" s="7" t="s">
        <v>1177</v>
      </c>
      <c r="AF528" s="7" t="s">
        <v>1177</v>
      </c>
      <c r="AG528" s="7" t="s">
        <v>1177</v>
      </c>
      <c r="AH528" s="38"/>
      <c r="AI528" s="36">
        <v>0</v>
      </c>
      <c r="AJ528" s="7" t="s">
        <v>1193</v>
      </c>
      <c r="AK528" s="7" t="s">
        <v>1177</v>
      </c>
      <c r="AL528" s="7" t="s">
        <v>1177</v>
      </c>
      <c r="AM528" s="7" t="s">
        <v>1177</v>
      </c>
      <c r="AN528" s="7" t="s">
        <v>3212</v>
      </c>
      <c r="AO528" s="7" t="s">
        <v>1177</v>
      </c>
      <c r="AP528" s="7" t="s">
        <v>1177</v>
      </c>
      <c r="AQ528" s="7" t="s">
        <v>1177</v>
      </c>
      <c r="AR528" s="29">
        <v>0</v>
      </c>
      <c r="AS528" s="7" t="s">
        <v>1177</v>
      </c>
      <c r="AT528" s="7" t="s">
        <v>1363</v>
      </c>
      <c r="AU528" s="38">
        <v>46275</v>
      </c>
      <c r="AV528" s="39">
        <v>0.60396990740740997</v>
      </c>
    </row>
    <row r="529" spans="1:48" x14ac:dyDescent="0.35">
      <c r="A529" t="str">
        <f t="shared" si="8"/>
        <v>GP024618B825</v>
      </c>
      <c r="B529" s="7" t="s">
        <v>531</v>
      </c>
      <c r="C529" s="7" t="s">
        <v>511</v>
      </c>
      <c r="D529" s="7" t="s">
        <v>16</v>
      </c>
      <c r="E529" s="7" t="s">
        <v>1177</v>
      </c>
      <c r="F529" s="7" t="s">
        <v>128</v>
      </c>
      <c r="G529" s="7" t="s">
        <v>130</v>
      </c>
      <c r="H529" s="7" t="s">
        <v>129</v>
      </c>
      <c r="I529" s="30">
        <v>2</v>
      </c>
      <c r="J529" s="7" t="s">
        <v>1177</v>
      </c>
      <c r="K529" s="7" t="s">
        <v>1178</v>
      </c>
      <c r="L529" s="7" t="s">
        <v>132</v>
      </c>
      <c r="M529" s="7" t="s">
        <v>133</v>
      </c>
      <c r="N529" s="30">
        <v>0</v>
      </c>
      <c r="O529" s="30">
        <v>0</v>
      </c>
      <c r="P529" s="30">
        <v>0</v>
      </c>
      <c r="Q529" s="30">
        <v>0</v>
      </c>
      <c r="R529" s="29">
        <v>0</v>
      </c>
      <c r="S529" s="36">
        <v>0</v>
      </c>
      <c r="T529" s="7" t="s">
        <v>131</v>
      </c>
      <c r="U529" s="7" t="s">
        <v>512</v>
      </c>
      <c r="V529" s="7" t="s">
        <v>512</v>
      </c>
      <c r="W529" s="7" t="s">
        <v>1177</v>
      </c>
      <c r="X529" s="30">
        <v>1</v>
      </c>
      <c r="Y529" s="7" t="s">
        <v>1177</v>
      </c>
      <c r="Z529" s="7" t="s">
        <v>1178</v>
      </c>
      <c r="AA529" s="30">
        <v>0</v>
      </c>
      <c r="AB529" s="36">
        <v>0</v>
      </c>
      <c r="AC529" s="7" t="s">
        <v>1177</v>
      </c>
      <c r="AD529" s="37">
        <v>0</v>
      </c>
      <c r="AE529" s="7" t="s">
        <v>1177</v>
      </c>
      <c r="AF529" s="7" t="s">
        <v>1177</v>
      </c>
      <c r="AG529" s="7" t="s">
        <v>1177</v>
      </c>
      <c r="AH529" s="38"/>
      <c r="AI529" s="36">
        <v>0</v>
      </c>
      <c r="AJ529" s="7" t="s">
        <v>1193</v>
      </c>
      <c r="AK529" s="7" t="s">
        <v>1177</v>
      </c>
      <c r="AL529" s="7" t="s">
        <v>1177</v>
      </c>
      <c r="AM529" s="7" t="s">
        <v>1177</v>
      </c>
      <c r="AN529" s="7" t="s">
        <v>3212</v>
      </c>
      <c r="AO529" s="7" t="s">
        <v>1177</v>
      </c>
      <c r="AP529" s="7" t="s">
        <v>1177</v>
      </c>
      <c r="AQ529" s="7" t="s">
        <v>1177</v>
      </c>
      <c r="AR529" s="29">
        <v>0</v>
      </c>
      <c r="AS529" s="7" t="s">
        <v>1177</v>
      </c>
      <c r="AT529" s="7" t="s">
        <v>1363</v>
      </c>
      <c r="AU529" s="38">
        <v>46275</v>
      </c>
      <c r="AV529" s="39">
        <v>0.62300925925925998</v>
      </c>
    </row>
    <row r="530" spans="1:48" x14ac:dyDescent="0.35">
      <c r="A530" t="str">
        <f t="shared" si="8"/>
        <v>GP025889B857</v>
      </c>
      <c r="B530" s="7" t="s">
        <v>242</v>
      </c>
      <c r="C530" s="7" t="s">
        <v>958</v>
      </c>
      <c r="D530" s="7" t="s">
        <v>23</v>
      </c>
      <c r="E530" s="7" t="s">
        <v>1177</v>
      </c>
      <c r="F530" s="7" t="s">
        <v>128</v>
      </c>
      <c r="G530" s="7" t="s">
        <v>130</v>
      </c>
      <c r="H530" s="7" t="s">
        <v>129</v>
      </c>
      <c r="I530" s="30">
        <v>1</v>
      </c>
      <c r="J530" s="7" t="s">
        <v>1177</v>
      </c>
      <c r="K530" s="7" t="s">
        <v>1178</v>
      </c>
      <c r="L530" s="7" t="s">
        <v>132</v>
      </c>
      <c r="M530" s="7" t="s">
        <v>133</v>
      </c>
      <c r="N530" s="30">
        <v>0</v>
      </c>
      <c r="O530" s="30">
        <v>0</v>
      </c>
      <c r="P530" s="30">
        <v>0</v>
      </c>
      <c r="Q530" s="30">
        <v>0</v>
      </c>
      <c r="R530" s="29">
        <v>0</v>
      </c>
      <c r="S530" s="36">
        <v>0</v>
      </c>
      <c r="T530" s="7" t="s">
        <v>131</v>
      </c>
      <c r="U530" s="7" t="s">
        <v>959</v>
      </c>
      <c r="V530" s="7" t="s">
        <v>959</v>
      </c>
      <c r="W530" s="7" t="s">
        <v>1177</v>
      </c>
      <c r="X530" s="30">
        <v>1</v>
      </c>
      <c r="Y530" s="7" t="s">
        <v>1177</v>
      </c>
      <c r="Z530" s="7" t="s">
        <v>1178</v>
      </c>
      <c r="AA530" s="30">
        <v>0</v>
      </c>
      <c r="AB530" s="36">
        <v>0</v>
      </c>
      <c r="AC530" s="7" t="s">
        <v>1177</v>
      </c>
      <c r="AD530" s="37">
        <v>0</v>
      </c>
      <c r="AE530" s="7" t="s">
        <v>1177</v>
      </c>
      <c r="AF530" s="7" t="s">
        <v>1177</v>
      </c>
      <c r="AG530" s="7" t="s">
        <v>1177</v>
      </c>
      <c r="AH530" s="38"/>
      <c r="AI530" s="36">
        <v>0</v>
      </c>
      <c r="AJ530" s="7" t="s">
        <v>1193</v>
      </c>
      <c r="AK530" s="7" t="s">
        <v>1177</v>
      </c>
      <c r="AL530" s="7" t="s">
        <v>1177</v>
      </c>
      <c r="AM530" s="7" t="s">
        <v>1177</v>
      </c>
      <c r="AN530" s="7" t="s">
        <v>3212</v>
      </c>
      <c r="AO530" s="7" t="s">
        <v>1177</v>
      </c>
      <c r="AP530" s="7" t="s">
        <v>1177</v>
      </c>
      <c r="AQ530" s="7" t="s">
        <v>1177</v>
      </c>
      <c r="AR530" s="29">
        <v>0</v>
      </c>
      <c r="AS530" s="7" t="s">
        <v>1177</v>
      </c>
      <c r="AT530" s="7" t="s">
        <v>1363</v>
      </c>
      <c r="AU530" s="38">
        <v>46275</v>
      </c>
      <c r="AV530" s="39">
        <v>0.60524305555556002</v>
      </c>
    </row>
    <row r="531" spans="1:48" x14ac:dyDescent="0.35">
      <c r="A531" t="str">
        <f t="shared" si="8"/>
        <v>GP025889B867</v>
      </c>
      <c r="B531" s="7" t="s">
        <v>242</v>
      </c>
      <c r="C531" s="7" t="s">
        <v>1059</v>
      </c>
      <c r="D531" s="7" t="s">
        <v>25</v>
      </c>
      <c r="E531" s="7" t="s">
        <v>1177</v>
      </c>
      <c r="F531" s="7" t="s">
        <v>128</v>
      </c>
      <c r="G531" s="7" t="s">
        <v>130</v>
      </c>
      <c r="H531" s="7" t="s">
        <v>129</v>
      </c>
      <c r="I531" s="30">
        <v>1</v>
      </c>
      <c r="J531" s="7" t="s">
        <v>1177</v>
      </c>
      <c r="K531" s="7" t="s">
        <v>1178</v>
      </c>
      <c r="L531" s="7" t="s">
        <v>132</v>
      </c>
      <c r="M531" s="7" t="s">
        <v>133</v>
      </c>
      <c r="N531" s="30">
        <v>0</v>
      </c>
      <c r="O531" s="30">
        <v>0</v>
      </c>
      <c r="P531" s="30">
        <v>0</v>
      </c>
      <c r="Q531" s="30">
        <v>0</v>
      </c>
      <c r="R531" s="29">
        <v>0</v>
      </c>
      <c r="S531" s="36">
        <v>0</v>
      </c>
      <c r="T531" s="7" t="s">
        <v>131</v>
      </c>
      <c r="U531" s="7" t="s">
        <v>1060</v>
      </c>
      <c r="V531" s="7" t="s">
        <v>1060</v>
      </c>
      <c r="W531" s="7" t="s">
        <v>1177</v>
      </c>
      <c r="X531" s="30">
        <v>1</v>
      </c>
      <c r="Y531" s="7" t="s">
        <v>1177</v>
      </c>
      <c r="Z531" s="7" t="s">
        <v>1178</v>
      </c>
      <c r="AA531" s="30">
        <v>0</v>
      </c>
      <c r="AB531" s="36">
        <v>0</v>
      </c>
      <c r="AC531" s="7" t="s">
        <v>1177</v>
      </c>
      <c r="AD531" s="37">
        <v>0</v>
      </c>
      <c r="AE531" s="7" t="s">
        <v>1177</v>
      </c>
      <c r="AF531" s="7" t="s">
        <v>1177</v>
      </c>
      <c r="AG531" s="7" t="s">
        <v>1177</v>
      </c>
      <c r="AH531" s="38"/>
      <c r="AI531" s="36">
        <v>0</v>
      </c>
      <c r="AJ531" s="7" t="s">
        <v>1193</v>
      </c>
      <c r="AK531" s="7" t="s">
        <v>1177</v>
      </c>
      <c r="AL531" s="7" t="s">
        <v>1177</v>
      </c>
      <c r="AM531" s="7" t="s">
        <v>1177</v>
      </c>
      <c r="AN531" s="7" t="s">
        <v>3212</v>
      </c>
      <c r="AO531" s="7" t="s">
        <v>1177</v>
      </c>
      <c r="AP531" s="7" t="s">
        <v>1177</v>
      </c>
      <c r="AQ531" s="7" t="s">
        <v>1177</v>
      </c>
      <c r="AR531" s="29">
        <v>0</v>
      </c>
      <c r="AS531" s="7" t="s">
        <v>1177</v>
      </c>
      <c r="AT531" s="7" t="s">
        <v>1363</v>
      </c>
      <c r="AU531" s="38">
        <v>46275</v>
      </c>
      <c r="AV531" s="39">
        <v>0.60569444444443998</v>
      </c>
    </row>
    <row r="532" spans="1:48" x14ac:dyDescent="0.35">
      <c r="A532" t="str">
        <f t="shared" si="8"/>
        <v>GP026644B825</v>
      </c>
      <c r="B532" s="7" t="s">
        <v>532</v>
      </c>
      <c r="C532" s="7" t="s">
        <v>511</v>
      </c>
      <c r="D532" s="7" t="s">
        <v>16</v>
      </c>
      <c r="E532" s="7" t="s">
        <v>1177</v>
      </c>
      <c r="F532" s="7" t="s">
        <v>128</v>
      </c>
      <c r="G532" s="7" t="s">
        <v>130</v>
      </c>
      <c r="H532" s="7" t="s">
        <v>129</v>
      </c>
      <c r="I532" s="30">
        <v>2</v>
      </c>
      <c r="J532" s="7" t="s">
        <v>1177</v>
      </c>
      <c r="K532" s="7" t="s">
        <v>1178</v>
      </c>
      <c r="L532" s="7" t="s">
        <v>132</v>
      </c>
      <c r="M532" s="7" t="s">
        <v>133</v>
      </c>
      <c r="N532" s="30">
        <v>0</v>
      </c>
      <c r="O532" s="30">
        <v>0</v>
      </c>
      <c r="P532" s="30">
        <v>0</v>
      </c>
      <c r="Q532" s="30">
        <v>0</v>
      </c>
      <c r="R532" s="29">
        <v>0</v>
      </c>
      <c r="S532" s="36">
        <v>0</v>
      </c>
      <c r="T532" s="7" t="s">
        <v>131</v>
      </c>
      <c r="U532" s="7" t="s">
        <v>512</v>
      </c>
      <c r="V532" s="7" t="s">
        <v>512</v>
      </c>
      <c r="W532" s="7" t="s">
        <v>1177</v>
      </c>
      <c r="X532" s="30">
        <v>1</v>
      </c>
      <c r="Y532" s="7" t="s">
        <v>1177</v>
      </c>
      <c r="Z532" s="7" t="s">
        <v>1178</v>
      </c>
      <c r="AA532" s="30">
        <v>0</v>
      </c>
      <c r="AB532" s="36">
        <v>0</v>
      </c>
      <c r="AC532" s="7" t="s">
        <v>1177</v>
      </c>
      <c r="AD532" s="37">
        <v>0</v>
      </c>
      <c r="AE532" s="7" t="s">
        <v>1177</v>
      </c>
      <c r="AF532" s="7" t="s">
        <v>1177</v>
      </c>
      <c r="AG532" s="7" t="s">
        <v>1177</v>
      </c>
      <c r="AH532" s="38"/>
      <c r="AI532" s="36">
        <v>0</v>
      </c>
      <c r="AJ532" s="7" t="s">
        <v>1193</v>
      </c>
      <c r="AK532" s="7" t="s">
        <v>1177</v>
      </c>
      <c r="AL532" s="7" t="s">
        <v>1177</v>
      </c>
      <c r="AM532" s="7" t="s">
        <v>1177</v>
      </c>
      <c r="AN532" s="7" t="s">
        <v>3212</v>
      </c>
      <c r="AO532" s="7" t="s">
        <v>1177</v>
      </c>
      <c r="AP532" s="7" t="s">
        <v>1177</v>
      </c>
      <c r="AQ532" s="7" t="s">
        <v>1177</v>
      </c>
      <c r="AR532" s="29">
        <v>0</v>
      </c>
      <c r="AS532" s="7" t="s">
        <v>1177</v>
      </c>
      <c r="AT532" s="7" t="s">
        <v>1363</v>
      </c>
      <c r="AU532" s="38">
        <v>46275</v>
      </c>
      <c r="AV532" s="39">
        <v>0.62300925925925998</v>
      </c>
    </row>
    <row r="533" spans="1:48" x14ac:dyDescent="0.35">
      <c r="A533" t="str">
        <f t="shared" si="8"/>
        <v>GP026649B857</v>
      </c>
      <c r="B533" s="7" t="s">
        <v>488</v>
      </c>
      <c r="C533" s="7" t="s">
        <v>958</v>
      </c>
      <c r="D533" s="7" t="s">
        <v>23</v>
      </c>
      <c r="E533" s="7" t="s">
        <v>1177</v>
      </c>
      <c r="F533" s="7" t="s">
        <v>128</v>
      </c>
      <c r="G533" s="7" t="s">
        <v>130</v>
      </c>
      <c r="H533" s="7" t="s">
        <v>129</v>
      </c>
      <c r="I533" s="30">
        <v>5</v>
      </c>
      <c r="J533" s="7" t="s">
        <v>1177</v>
      </c>
      <c r="K533" s="7" t="s">
        <v>1178</v>
      </c>
      <c r="L533" s="7" t="s">
        <v>132</v>
      </c>
      <c r="M533" s="7" t="s">
        <v>133</v>
      </c>
      <c r="N533" s="30">
        <v>0</v>
      </c>
      <c r="O533" s="30">
        <v>0</v>
      </c>
      <c r="P533" s="30">
        <v>0</v>
      </c>
      <c r="Q533" s="30">
        <v>0</v>
      </c>
      <c r="R533" s="29">
        <v>0</v>
      </c>
      <c r="S533" s="36">
        <v>0</v>
      </c>
      <c r="T533" s="7" t="s">
        <v>131</v>
      </c>
      <c r="U533" s="7" t="s">
        <v>959</v>
      </c>
      <c r="V533" s="7" t="s">
        <v>959</v>
      </c>
      <c r="W533" s="7" t="s">
        <v>1177</v>
      </c>
      <c r="X533" s="30">
        <v>1</v>
      </c>
      <c r="Y533" s="7" t="s">
        <v>1177</v>
      </c>
      <c r="Z533" s="7" t="s">
        <v>1178</v>
      </c>
      <c r="AA533" s="30">
        <v>0</v>
      </c>
      <c r="AB533" s="36">
        <v>0</v>
      </c>
      <c r="AC533" s="7" t="s">
        <v>1177</v>
      </c>
      <c r="AD533" s="37">
        <v>0</v>
      </c>
      <c r="AE533" s="7" t="s">
        <v>1177</v>
      </c>
      <c r="AF533" s="7" t="s">
        <v>1177</v>
      </c>
      <c r="AG533" s="7" t="s">
        <v>1177</v>
      </c>
      <c r="AH533" s="38"/>
      <c r="AI533" s="36">
        <v>0</v>
      </c>
      <c r="AJ533" s="7" t="s">
        <v>1193</v>
      </c>
      <c r="AK533" s="7" t="s">
        <v>1177</v>
      </c>
      <c r="AL533" s="7" t="s">
        <v>1177</v>
      </c>
      <c r="AM533" s="7" t="s">
        <v>1177</v>
      </c>
      <c r="AN533" s="7" t="s">
        <v>3212</v>
      </c>
      <c r="AO533" s="7" t="s">
        <v>1177</v>
      </c>
      <c r="AP533" s="7" t="s">
        <v>1177</v>
      </c>
      <c r="AQ533" s="7" t="s">
        <v>1177</v>
      </c>
      <c r="AR533" s="29">
        <v>0</v>
      </c>
      <c r="AS533" s="7" t="s">
        <v>1177</v>
      </c>
      <c r="AT533" s="7" t="s">
        <v>1363</v>
      </c>
      <c r="AU533" s="38">
        <v>46275</v>
      </c>
      <c r="AV533" s="39">
        <v>0.62497685185185003</v>
      </c>
    </row>
    <row r="534" spans="1:48" x14ac:dyDescent="0.35">
      <c r="A534" t="str">
        <f t="shared" si="8"/>
        <v>GP026649B867</v>
      </c>
      <c r="B534" s="7" t="s">
        <v>488</v>
      </c>
      <c r="C534" s="7" t="s">
        <v>1059</v>
      </c>
      <c r="D534" s="7" t="s">
        <v>25</v>
      </c>
      <c r="E534" s="7" t="s">
        <v>1177</v>
      </c>
      <c r="F534" s="7" t="s">
        <v>128</v>
      </c>
      <c r="G534" s="7" t="s">
        <v>130</v>
      </c>
      <c r="H534" s="7" t="s">
        <v>129</v>
      </c>
      <c r="I534" s="30">
        <v>14</v>
      </c>
      <c r="J534" s="7" t="s">
        <v>1177</v>
      </c>
      <c r="K534" s="7" t="s">
        <v>1178</v>
      </c>
      <c r="L534" s="7" t="s">
        <v>132</v>
      </c>
      <c r="M534" s="7" t="s">
        <v>133</v>
      </c>
      <c r="N534" s="30">
        <v>0</v>
      </c>
      <c r="O534" s="30">
        <v>0</v>
      </c>
      <c r="P534" s="30">
        <v>0</v>
      </c>
      <c r="Q534" s="30">
        <v>0</v>
      </c>
      <c r="R534" s="29">
        <v>0</v>
      </c>
      <c r="S534" s="36">
        <v>0</v>
      </c>
      <c r="T534" s="7" t="s">
        <v>131</v>
      </c>
      <c r="U534" s="7" t="s">
        <v>1060</v>
      </c>
      <c r="V534" s="7" t="s">
        <v>1060</v>
      </c>
      <c r="W534" s="7" t="s">
        <v>1177</v>
      </c>
      <c r="X534" s="30">
        <v>4</v>
      </c>
      <c r="Y534" s="7" t="s">
        <v>1177</v>
      </c>
      <c r="Z534" s="7" t="s">
        <v>1178</v>
      </c>
      <c r="AA534" s="30">
        <v>0</v>
      </c>
      <c r="AB534" s="36">
        <v>0</v>
      </c>
      <c r="AC534" s="7" t="s">
        <v>1177</v>
      </c>
      <c r="AD534" s="37">
        <v>0</v>
      </c>
      <c r="AE534" s="7" t="s">
        <v>1177</v>
      </c>
      <c r="AF534" s="7" t="s">
        <v>1177</v>
      </c>
      <c r="AG534" s="7" t="s">
        <v>1177</v>
      </c>
      <c r="AH534" s="38"/>
      <c r="AI534" s="36">
        <v>0</v>
      </c>
      <c r="AJ534" s="7" t="s">
        <v>1193</v>
      </c>
      <c r="AK534" s="7" t="s">
        <v>1177</v>
      </c>
      <c r="AL534" s="7" t="s">
        <v>1177</v>
      </c>
      <c r="AM534" s="7" t="s">
        <v>1177</v>
      </c>
      <c r="AN534" s="7" t="s">
        <v>3212</v>
      </c>
      <c r="AO534" s="7" t="s">
        <v>1177</v>
      </c>
      <c r="AP534" s="7" t="s">
        <v>1177</v>
      </c>
      <c r="AQ534" s="7" t="s">
        <v>1177</v>
      </c>
      <c r="AR534" s="29">
        <v>0</v>
      </c>
      <c r="AS534" s="7" t="s">
        <v>1177</v>
      </c>
      <c r="AT534" s="7" t="s">
        <v>1363</v>
      </c>
      <c r="AU534" s="38">
        <v>46275</v>
      </c>
      <c r="AV534" s="39">
        <v>0.62737268518518996</v>
      </c>
    </row>
    <row r="535" spans="1:48" x14ac:dyDescent="0.35">
      <c r="A535" t="str">
        <f t="shared" si="8"/>
        <v>GP027711B857</v>
      </c>
      <c r="B535" s="7" t="s">
        <v>966</v>
      </c>
      <c r="C535" s="7" t="s">
        <v>958</v>
      </c>
      <c r="D535" s="7" t="s">
        <v>23</v>
      </c>
      <c r="E535" s="7" t="s">
        <v>1177</v>
      </c>
      <c r="F535" s="7" t="s">
        <v>128</v>
      </c>
      <c r="G535" s="7" t="s">
        <v>130</v>
      </c>
      <c r="H535" s="7" t="s">
        <v>129</v>
      </c>
      <c r="I535" s="30">
        <v>2</v>
      </c>
      <c r="J535" s="7" t="s">
        <v>1177</v>
      </c>
      <c r="K535" s="7" t="s">
        <v>1178</v>
      </c>
      <c r="L535" s="7" t="s">
        <v>132</v>
      </c>
      <c r="M535" s="7" t="s">
        <v>133</v>
      </c>
      <c r="N535" s="30">
        <v>0</v>
      </c>
      <c r="O535" s="30">
        <v>0</v>
      </c>
      <c r="P535" s="30">
        <v>0</v>
      </c>
      <c r="Q535" s="30">
        <v>0</v>
      </c>
      <c r="R535" s="29">
        <v>0</v>
      </c>
      <c r="S535" s="36">
        <v>0</v>
      </c>
      <c r="T535" s="7" t="s">
        <v>131</v>
      </c>
      <c r="U535" s="7" t="s">
        <v>959</v>
      </c>
      <c r="V535" s="7" t="s">
        <v>959</v>
      </c>
      <c r="W535" s="7" t="s">
        <v>1177</v>
      </c>
      <c r="X535" s="30">
        <v>1</v>
      </c>
      <c r="Y535" s="7" t="s">
        <v>1177</v>
      </c>
      <c r="Z535" s="7" t="s">
        <v>1178</v>
      </c>
      <c r="AA535" s="30">
        <v>0</v>
      </c>
      <c r="AB535" s="36">
        <v>0</v>
      </c>
      <c r="AC535" s="7" t="s">
        <v>1177</v>
      </c>
      <c r="AD535" s="37">
        <v>0</v>
      </c>
      <c r="AE535" s="7" t="s">
        <v>1177</v>
      </c>
      <c r="AF535" s="7" t="s">
        <v>1177</v>
      </c>
      <c r="AG535" s="7" t="s">
        <v>1177</v>
      </c>
      <c r="AH535" s="38"/>
      <c r="AI535" s="36">
        <v>0</v>
      </c>
      <c r="AJ535" s="7" t="s">
        <v>1193</v>
      </c>
      <c r="AK535" s="7" t="s">
        <v>1177</v>
      </c>
      <c r="AL535" s="7" t="s">
        <v>1177</v>
      </c>
      <c r="AM535" s="7" t="s">
        <v>1177</v>
      </c>
      <c r="AN535" s="7" t="s">
        <v>3212</v>
      </c>
      <c r="AO535" s="7" t="s">
        <v>1177</v>
      </c>
      <c r="AP535" s="7" t="s">
        <v>1177</v>
      </c>
      <c r="AQ535" s="7" t="s">
        <v>1177</v>
      </c>
      <c r="AR535" s="29">
        <v>0</v>
      </c>
      <c r="AS535" s="7" t="s">
        <v>1177</v>
      </c>
      <c r="AT535" s="7" t="s">
        <v>1363</v>
      </c>
      <c r="AU535" s="38">
        <v>46275</v>
      </c>
      <c r="AV535" s="39">
        <v>0.62497685185185003</v>
      </c>
    </row>
    <row r="536" spans="1:48" x14ac:dyDescent="0.35">
      <c r="A536" t="str">
        <f t="shared" si="8"/>
        <v>GP027711B867</v>
      </c>
      <c r="B536" s="7" t="s">
        <v>966</v>
      </c>
      <c r="C536" s="7" t="s">
        <v>1059</v>
      </c>
      <c r="D536" s="7" t="s">
        <v>25</v>
      </c>
      <c r="E536" s="7" t="s">
        <v>1177</v>
      </c>
      <c r="F536" s="7" t="s">
        <v>128</v>
      </c>
      <c r="G536" s="7" t="s">
        <v>130</v>
      </c>
      <c r="H536" s="7" t="s">
        <v>129</v>
      </c>
      <c r="I536" s="30">
        <v>2</v>
      </c>
      <c r="J536" s="7" t="s">
        <v>1177</v>
      </c>
      <c r="K536" s="7" t="s">
        <v>1178</v>
      </c>
      <c r="L536" s="7" t="s">
        <v>132</v>
      </c>
      <c r="M536" s="7" t="s">
        <v>133</v>
      </c>
      <c r="N536" s="30">
        <v>0</v>
      </c>
      <c r="O536" s="30">
        <v>0</v>
      </c>
      <c r="P536" s="30">
        <v>0</v>
      </c>
      <c r="Q536" s="30">
        <v>0</v>
      </c>
      <c r="R536" s="29">
        <v>0</v>
      </c>
      <c r="S536" s="36">
        <v>0</v>
      </c>
      <c r="T536" s="7" t="s">
        <v>131</v>
      </c>
      <c r="U536" s="7" t="s">
        <v>1060</v>
      </c>
      <c r="V536" s="7" t="s">
        <v>1060</v>
      </c>
      <c r="W536" s="7" t="s">
        <v>1177</v>
      </c>
      <c r="X536" s="30">
        <v>1</v>
      </c>
      <c r="Y536" s="7" t="s">
        <v>1177</v>
      </c>
      <c r="Z536" s="7" t="s">
        <v>1178</v>
      </c>
      <c r="AA536" s="30">
        <v>0</v>
      </c>
      <c r="AB536" s="36">
        <v>0</v>
      </c>
      <c r="AC536" s="7" t="s">
        <v>1177</v>
      </c>
      <c r="AD536" s="37">
        <v>0</v>
      </c>
      <c r="AE536" s="7" t="s">
        <v>1177</v>
      </c>
      <c r="AF536" s="7" t="s">
        <v>1177</v>
      </c>
      <c r="AG536" s="7" t="s">
        <v>1177</v>
      </c>
      <c r="AH536" s="38"/>
      <c r="AI536" s="36">
        <v>0</v>
      </c>
      <c r="AJ536" s="7" t="s">
        <v>1193</v>
      </c>
      <c r="AK536" s="7" t="s">
        <v>1177</v>
      </c>
      <c r="AL536" s="7" t="s">
        <v>1177</v>
      </c>
      <c r="AM536" s="7" t="s">
        <v>1177</v>
      </c>
      <c r="AN536" s="7" t="s">
        <v>3212</v>
      </c>
      <c r="AO536" s="7" t="s">
        <v>1177</v>
      </c>
      <c r="AP536" s="7" t="s">
        <v>1177</v>
      </c>
      <c r="AQ536" s="7" t="s">
        <v>1177</v>
      </c>
      <c r="AR536" s="29">
        <v>0</v>
      </c>
      <c r="AS536" s="7" t="s">
        <v>1177</v>
      </c>
      <c r="AT536" s="7" t="s">
        <v>1363</v>
      </c>
      <c r="AU536" s="38">
        <v>46275</v>
      </c>
      <c r="AV536" s="39">
        <v>0.62737268518518996</v>
      </c>
    </row>
    <row r="537" spans="1:48" x14ac:dyDescent="0.35">
      <c r="A537" t="str">
        <f t="shared" si="8"/>
        <v>GP030206B825</v>
      </c>
      <c r="B537" s="7" t="s">
        <v>533</v>
      </c>
      <c r="C537" s="7" t="s">
        <v>511</v>
      </c>
      <c r="D537" s="7" t="s">
        <v>16</v>
      </c>
      <c r="E537" s="7" t="s">
        <v>1177</v>
      </c>
      <c r="F537" s="7" t="s">
        <v>128</v>
      </c>
      <c r="G537" s="7" t="s">
        <v>130</v>
      </c>
      <c r="H537" s="7" t="s">
        <v>129</v>
      </c>
      <c r="I537" s="30">
        <v>2</v>
      </c>
      <c r="J537" s="7" t="s">
        <v>1177</v>
      </c>
      <c r="K537" s="7" t="s">
        <v>1178</v>
      </c>
      <c r="L537" s="7" t="s">
        <v>132</v>
      </c>
      <c r="M537" s="7" t="s">
        <v>133</v>
      </c>
      <c r="N537" s="30">
        <v>0</v>
      </c>
      <c r="O537" s="30">
        <v>0</v>
      </c>
      <c r="P537" s="30">
        <v>0</v>
      </c>
      <c r="Q537" s="30">
        <v>0</v>
      </c>
      <c r="R537" s="29">
        <v>0</v>
      </c>
      <c r="S537" s="36">
        <v>0</v>
      </c>
      <c r="T537" s="7" t="s">
        <v>131</v>
      </c>
      <c r="U537" s="7" t="s">
        <v>512</v>
      </c>
      <c r="V537" s="7" t="s">
        <v>512</v>
      </c>
      <c r="W537" s="7" t="s">
        <v>1177</v>
      </c>
      <c r="X537" s="30">
        <v>1</v>
      </c>
      <c r="Y537" s="7" t="s">
        <v>1177</v>
      </c>
      <c r="Z537" s="7" t="s">
        <v>1178</v>
      </c>
      <c r="AA537" s="30">
        <v>0</v>
      </c>
      <c r="AB537" s="36">
        <v>0</v>
      </c>
      <c r="AC537" s="7" t="s">
        <v>1177</v>
      </c>
      <c r="AD537" s="37">
        <v>0</v>
      </c>
      <c r="AE537" s="7" t="s">
        <v>1177</v>
      </c>
      <c r="AF537" s="7" t="s">
        <v>1177</v>
      </c>
      <c r="AG537" s="7" t="s">
        <v>1177</v>
      </c>
      <c r="AH537" s="38"/>
      <c r="AI537" s="36">
        <v>0</v>
      </c>
      <c r="AJ537" s="7" t="s">
        <v>1193</v>
      </c>
      <c r="AK537" s="7" t="s">
        <v>1177</v>
      </c>
      <c r="AL537" s="7" t="s">
        <v>1177</v>
      </c>
      <c r="AM537" s="7" t="s">
        <v>1177</v>
      </c>
      <c r="AN537" s="7" t="s">
        <v>3212</v>
      </c>
      <c r="AO537" s="7" t="s">
        <v>1177</v>
      </c>
      <c r="AP537" s="7" t="s">
        <v>1177</v>
      </c>
      <c r="AQ537" s="7" t="s">
        <v>1177</v>
      </c>
      <c r="AR537" s="29">
        <v>0</v>
      </c>
      <c r="AS537" s="7" t="s">
        <v>1177</v>
      </c>
      <c r="AT537" s="7" t="s">
        <v>1363</v>
      </c>
      <c r="AU537" s="38">
        <v>46275</v>
      </c>
      <c r="AV537" s="39">
        <v>0.62300925925925998</v>
      </c>
    </row>
    <row r="538" spans="1:48" x14ac:dyDescent="0.35">
      <c r="A538" t="str">
        <f t="shared" si="8"/>
        <v>GP030255B825</v>
      </c>
      <c r="B538" s="7" t="s">
        <v>457</v>
      </c>
      <c r="C538" s="7" t="s">
        <v>511</v>
      </c>
      <c r="D538" s="7" t="s">
        <v>16</v>
      </c>
      <c r="E538" s="7" t="s">
        <v>1177</v>
      </c>
      <c r="F538" s="7" t="s">
        <v>128</v>
      </c>
      <c r="G538" s="7" t="s">
        <v>130</v>
      </c>
      <c r="H538" s="7" t="s">
        <v>129</v>
      </c>
      <c r="I538" s="30">
        <v>2</v>
      </c>
      <c r="J538" s="7" t="s">
        <v>1177</v>
      </c>
      <c r="K538" s="7" t="s">
        <v>1178</v>
      </c>
      <c r="L538" s="7" t="s">
        <v>132</v>
      </c>
      <c r="M538" s="7" t="s">
        <v>133</v>
      </c>
      <c r="N538" s="30">
        <v>0</v>
      </c>
      <c r="O538" s="30">
        <v>0</v>
      </c>
      <c r="P538" s="30">
        <v>0</v>
      </c>
      <c r="Q538" s="30">
        <v>0</v>
      </c>
      <c r="R538" s="29">
        <v>0</v>
      </c>
      <c r="S538" s="36">
        <v>0</v>
      </c>
      <c r="T538" s="7" t="s">
        <v>131</v>
      </c>
      <c r="U538" s="7" t="s">
        <v>512</v>
      </c>
      <c r="V538" s="7" t="s">
        <v>512</v>
      </c>
      <c r="W538" s="7" t="s">
        <v>1177</v>
      </c>
      <c r="X538" s="30">
        <v>1</v>
      </c>
      <c r="Y538" s="7" t="s">
        <v>1177</v>
      </c>
      <c r="Z538" s="7" t="s">
        <v>1178</v>
      </c>
      <c r="AA538" s="30">
        <v>0</v>
      </c>
      <c r="AB538" s="36">
        <v>0</v>
      </c>
      <c r="AC538" s="7" t="s">
        <v>1177</v>
      </c>
      <c r="AD538" s="37">
        <v>0</v>
      </c>
      <c r="AE538" s="7" t="s">
        <v>1177</v>
      </c>
      <c r="AF538" s="7" t="s">
        <v>1177</v>
      </c>
      <c r="AG538" s="7" t="s">
        <v>1177</v>
      </c>
      <c r="AH538" s="38"/>
      <c r="AI538" s="36">
        <v>0</v>
      </c>
      <c r="AJ538" s="7" t="s">
        <v>1193</v>
      </c>
      <c r="AK538" s="7" t="s">
        <v>1177</v>
      </c>
      <c r="AL538" s="7" t="s">
        <v>1177</v>
      </c>
      <c r="AM538" s="7" t="s">
        <v>1177</v>
      </c>
      <c r="AN538" s="7" t="s">
        <v>3212</v>
      </c>
      <c r="AO538" s="7" t="s">
        <v>1177</v>
      </c>
      <c r="AP538" s="7" t="s">
        <v>1177</v>
      </c>
      <c r="AQ538" s="7" t="s">
        <v>1177</v>
      </c>
      <c r="AR538" s="29">
        <v>0</v>
      </c>
      <c r="AS538" s="7" t="s">
        <v>1177</v>
      </c>
      <c r="AT538" s="7" t="s">
        <v>1363</v>
      </c>
      <c r="AU538" s="38">
        <v>46275</v>
      </c>
      <c r="AV538" s="39">
        <v>0.60353009259259005</v>
      </c>
    </row>
    <row r="539" spans="1:48" x14ac:dyDescent="0.35">
      <c r="A539" t="str">
        <f t="shared" si="8"/>
        <v>GP030262B825</v>
      </c>
      <c r="B539" s="7" t="s">
        <v>534</v>
      </c>
      <c r="C539" s="7" t="s">
        <v>511</v>
      </c>
      <c r="D539" s="7" t="s">
        <v>16</v>
      </c>
      <c r="E539" s="7" t="s">
        <v>1177</v>
      </c>
      <c r="F539" s="7" t="s">
        <v>128</v>
      </c>
      <c r="G539" s="7" t="s">
        <v>130</v>
      </c>
      <c r="H539" s="7" t="s">
        <v>129</v>
      </c>
      <c r="I539" s="30">
        <v>2</v>
      </c>
      <c r="J539" s="7" t="s">
        <v>1177</v>
      </c>
      <c r="K539" s="7" t="s">
        <v>1178</v>
      </c>
      <c r="L539" s="7" t="s">
        <v>132</v>
      </c>
      <c r="M539" s="7" t="s">
        <v>133</v>
      </c>
      <c r="N539" s="30">
        <v>0</v>
      </c>
      <c r="O539" s="30">
        <v>0</v>
      </c>
      <c r="P539" s="30">
        <v>0</v>
      </c>
      <c r="Q539" s="30">
        <v>0</v>
      </c>
      <c r="R539" s="29">
        <v>0</v>
      </c>
      <c r="S539" s="36">
        <v>0</v>
      </c>
      <c r="T539" s="7" t="s">
        <v>131</v>
      </c>
      <c r="U539" s="7" t="s">
        <v>512</v>
      </c>
      <c r="V539" s="7" t="s">
        <v>512</v>
      </c>
      <c r="W539" s="7" t="s">
        <v>1177</v>
      </c>
      <c r="X539" s="30">
        <v>1</v>
      </c>
      <c r="Y539" s="7" t="s">
        <v>1177</v>
      </c>
      <c r="Z539" s="7" t="s">
        <v>1178</v>
      </c>
      <c r="AA539" s="30">
        <v>0</v>
      </c>
      <c r="AB539" s="36">
        <v>0</v>
      </c>
      <c r="AC539" s="7" t="s">
        <v>1177</v>
      </c>
      <c r="AD539" s="37">
        <v>0</v>
      </c>
      <c r="AE539" s="7" t="s">
        <v>1177</v>
      </c>
      <c r="AF539" s="7" t="s">
        <v>1177</v>
      </c>
      <c r="AG539" s="7" t="s">
        <v>1177</v>
      </c>
      <c r="AH539" s="38"/>
      <c r="AI539" s="36">
        <v>0</v>
      </c>
      <c r="AJ539" s="7" t="s">
        <v>1193</v>
      </c>
      <c r="AK539" s="7" t="s">
        <v>1177</v>
      </c>
      <c r="AL539" s="7" t="s">
        <v>1177</v>
      </c>
      <c r="AM539" s="7" t="s">
        <v>1177</v>
      </c>
      <c r="AN539" s="7" t="s">
        <v>3212</v>
      </c>
      <c r="AO539" s="7" t="s">
        <v>1177</v>
      </c>
      <c r="AP539" s="7" t="s">
        <v>1177</v>
      </c>
      <c r="AQ539" s="7" t="s">
        <v>1177</v>
      </c>
      <c r="AR539" s="29">
        <v>0</v>
      </c>
      <c r="AS539" s="7" t="s">
        <v>1177</v>
      </c>
      <c r="AT539" s="7" t="s">
        <v>1363</v>
      </c>
      <c r="AU539" s="38">
        <v>46275</v>
      </c>
      <c r="AV539" s="39">
        <v>0.60354166666666997</v>
      </c>
    </row>
    <row r="540" spans="1:48" x14ac:dyDescent="0.35">
      <c r="A540" t="str">
        <f t="shared" si="8"/>
        <v>GP030307B856</v>
      </c>
      <c r="B540" s="7" t="s">
        <v>854</v>
      </c>
      <c r="C540" s="7" t="s">
        <v>852</v>
      </c>
      <c r="D540" s="7" t="s">
        <v>21</v>
      </c>
      <c r="E540" s="7" t="s">
        <v>1177</v>
      </c>
      <c r="F540" s="7" t="s">
        <v>128</v>
      </c>
      <c r="G540" s="7" t="s">
        <v>130</v>
      </c>
      <c r="H540" s="7" t="s">
        <v>129</v>
      </c>
      <c r="I540" s="30">
        <v>2</v>
      </c>
      <c r="J540" s="7" t="s">
        <v>1177</v>
      </c>
      <c r="K540" s="7" t="s">
        <v>1178</v>
      </c>
      <c r="L540" s="7" t="s">
        <v>132</v>
      </c>
      <c r="M540" s="7" t="s">
        <v>133</v>
      </c>
      <c r="N540" s="30">
        <v>0</v>
      </c>
      <c r="O540" s="30">
        <v>0</v>
      </c>
      <c r="P540" s="30">
        <v>0</v>
      </c>
      <c r="Q540" s="30">
        <v>0</v>
      </c>
      <c r="R540" s="29">
        <v>0</v>
      </c>
      <c r="S540" s="36">
        <v>0</v>
      </c>
      <c r="T540" s="7" t="s">
        <v>131</v>
      </c>
      <c r="U540" s="7" t="s">
        <v>853</v>
      </c>
      <c r="V540" s="7" t="s">
        <v>853</v>
      </c>
      <c r="W540" s="7" t="s">
        <v>1177</v>
      </c>
      <c r="X540" s="30">
        <v>1</v>
      </c>
      <c r="Y540" s="7" t="s">
        <v>1177</v>
      </c>
      <c r="Z540" s="7" t="s">
        <v>1178</v>
      </c>
      <c r="AA540" s="30">
        <v>0</v>
      </c>
      <c r="AB540" s="36">
        <v>0</v>
      </c>
      <c r="AC540" s="7" t="s">
        <v>1177</v>
      </c>
      <c r="AD540" s="37">
        <v>0</v>
      </c>
      <c r="AE540" s="7" t="s">
        <v>1177</v>
      </c>
      <c r="AF540" s="7" t="s">
        <v>1177</v>
      </c>
      <c r="AG540" s="7" t="s">
        <v>1177</v>
      </c>
      <c r="AH540" s="38"/>
      <c r="AI540" s="36">
        <v>0</v>
      </c>
      <c r="AJ540" s="7" t="s">
        <v>1193</v>
      </c>
      <c r="AK540" s="7" t="s">
        <v>1177</v>
      </c>
      <c r="AL540" s="7" t="s">
        <v>1177</v>
      </c>
      <c r="AM540" s="7" t="s">
        <v>1177</v>
      </c>
      <c r="AN540" s="7" t="s">
        <v>3212</v>
      </c>
      <c r="AO540" s="7" t="s">
        <v>1177</v>
      </c>
      <c r="AP540" s="7" t="s">
        <v>1177</v>
      </c>
      <c r="AQ540" s="7" t="s">
        <v>1177</v>
      </c>
      <c r="AR540" s="29">
        <v>0</v>
      </c>
      <c r="AS540" s="7" t="s">
        <v>1177</v>
      </c>
      <c r="AT540" s="7" t="s">
        <v>1363</v>
      </c>
      <c r="AU540" s="38">
        <v>46275</v>
      </c>
      <c r="AV540" s="39">
        <v>0.62490740740741002</v>
      </c>
    </row>
    <row r="541" spans="1:48" x14ac:dyDescent="0.35">
      <c r="A541" t="str">
        <f t="shared" si="8"/>
        <v>GP030468B832</v>
      </c>
      <c r="B541" s="7" t="s">
        <v>489</v>
      </c>
      <c r="C541" s="7" t="s">
        <v>653</v>
      </c>
      <c r="D541" s="7" t="s">
        <v>19</v>
      </c>
      <c r="E541" s="7" t="s">
        <v>1177</v>
      </c>
      <c r="F541" s="7" t="s">
        <v>128</v>
      </c>
      <c r="G541" s="7" t="s">
        <v>130</v>
      </c>
      <c r="H541" s="7" t="s">
        <v>129</v>
      </c>
      <c r="I541" s="30">
        <v>2</v>
      </c>
      <c r="J541" s="7" t="s">
        <v>1177</v>
      </c>
      <c r="K541" s="7" t="s">
        <v>1178</v>
      </c>
      <c r="L541" s="7" t="s">
        <v>132</v>
      </c>
      <c r="M541" s="7" t="s">
        <v>133</v>
      </c>
      <c r="N541" s="30">
        <v>0</v>
      </c>
      <c r="O541" s="30">
        <v>0</v>
      </c>
      <c r="P541" s="30">
        <v>0</v>
      </c>
      <c r="Q541" s="30">
        <v>0</v>
      </c>
      <c r="R541" s="29">
        <v>0</v>
      </c>
      <c r="S541" s="36">
        <v>0</v>
      </c>
      <c r="T541" s="7" t="s">
        <v>131</v>
      </c>
      <c r="U541" s="7" t="s">
        <v>654</v>
      </c>
      <c r="V541" s="7" t="s">
        <v>654</v>
      </c>
      <c r="W541" s="7" t="s">
        <v>1177</v>
      </c>
      <c r="X541" s="30">
        <v>1</v>
      </c>
      <c r="Y541" s="7" t="s">
        <v>1177</v>
      </c>
      <c r="Z541" s="7" t="s">
        <v>1178</v>
      </c>
      <c r="AA541" s="30">
        <v>0</v>
      </c>
      <c r="AB541" s="36">
        <v>0</v>
      </c>
      <c r="AC541" s="7" t="s">
        <v>1177</v>
      </c>
      <c r="AD541" s="37">
        <v>0</v>
      </c>
      <c r="AE541" s="7" t="s">
        <v>1177</v>
      </c>
      <c r="AF541" s="7" t="s">
        <v>1177</v>
      </c>
      <c r="AG541" s="7" t="s">
        <v>1177</v>
      </c>
      <c r="AH541" s="38"/>
      <c r="AI541" s="36">
        <v>0</v>
      </c>
      <c r="AJ541" s="7" t="s">
        <v>1193</v>
      </c>
      <c r="AK541" s="7" t="s">
        <v>1177</v>
      </c>
      <c r="AL541" s="7" t="s">
        <v>1177</v>
      </c>
      <c r="AM541" s="7" t="s">
        <v>1177</v>
      </c>
      <c r="AN541" s="7" t="s">
        <v>3212</v>
      </c>
      <c r="AO541" s="7" t="s">
        <v>1177</v>
      </c>
      <c r="AP541" s="7" t="s">
        <v>1177</v>
      </c>
      <c r="AQ541" s="7" t="s">
        <v>1177</v>
      </c>
      <c r="AR541" s="29">
        <v>0</v>
      </c>
      <c r="AS541" s="7" t="s">
        <v>1177</v>
      </c>
      <c r="AT541" s="7" t="s">
        <v>1363</v>
      </c>
      <c r="AU541" s="38">
        <v>46275</v>
      </c>
      <c r="AV541" s="39">
        <v>0.60388888888889003</v>
      </c>
    </row>
    <row r="542" spans="1:48" x14ac:dyDescent="0.35">
      <c r="A542" t="str">
        <f t="shared" si="8"/>
        <v>GP030486B838</v>
      </c>
      <c r="B542" s="7" t="s">
        <v>631</v>
      </c>
      <c r="C542" s="7" t="s">
        <v>744</v>
      </c>
      <c r="D542" s="7" t="s">
        <v>48</v>
      </c>
      <c r="E542" s="7" t="s">
        <v>1177</v>
      </c>
      <c r="F542" s="7" t="s">
        <v>128</v>
      </c>
      <c r="G542" s="7" t="s">
        <v>130</v>
      </c>
      <c r="H542" s="7" t="s">
        <v>129</v>
      </c>
      <c r="I542" s="30">
        <v>2</v>
      </c>
      <c r="J542" s="7" t="s">
        <v>1177</v>
      </c>
      <c r="K542" s="7" t="s">
        <v>1178</v>
      </c>
      <c r="L542" s="7" t="s">
        <v>132</v>
      </c>
      <c r="M542" s="7" t="s">
        <v>133</v>
      </c>
      <c r="N542" s="30">
        <v>0</v>
      </c>
      <c r="O542" s="30">
        <v>0</v>
      </c>
      <c r="P542" s="30">
        <v>0</v>
      </c>
      <c r="Q542" s="30">
        <v>0</v>
      </c>
      <c r="R542" s="29">
        <v>0</v>
      </c>
      <c r="S542" s="36">
        <v>0</v>
      </c>
      <c r="T542" s="7" t="s">
        <v>131</v>
      </c>
      <c r="U542" s="7" t="s">
        <v>745</v>
      </c>
      <c r="V542" s="7" t="s">
        <v>745</v>
      </c>
      <c r="W542" s="7" t="s">
        <v>1177</v>
      </c>
      <c r="X542" s="30">
        <v>1</v>
      </c>
      <c r="Y542" s="7" t="s">
        <v>1177</v>
      </c>
      <c r="Z542" s="7" t="s">
        <v>1178</v>
      </c>
      <c r="AA542" s="30">
        <v>0</v>
      </c>
      <c r="AB542" s="36">
        <v>0</v>
      </c>
      <c r="AC542" s="7" t="s">
        <v>1177</v>
      </c>
      <c r="AD542" s="37">
        <v>0</v>
      </c>
      <c r="AE542" s="7" t="s">
        <v>1177</v>
      </c>
      <c r="AF542" s="7" t="s">
        <v>1177</v>
      </c>
      <c r="AG542" s="7" t="s">
        <v>1177</v>
      </c>
      <c r="AH542" s="38"/>
      <c r="AI542" s="36">
        <v>0</v>
      </c>
      <c r="AJ542" s="7" t="s">
        <v>1193</v>
      </c>
      <c r="AK542" s="7" t="s">
        <v>1177</v>
      </c>
      <c r="AL542" s="7" t="s">
        <v>1177</v>
      </c>
      <c r="AM542" s="7" t="s">
        <v>1177</v>
      </c>
      <c r="AN542" s="7" t="s">
        <v>3212</v>
      </c>
      <c r="AO542" s="7" t="s">
        <v>1177</v>
      </c>
      <c r="AP542" s="7" t="s">
        <v>1177</v>
      </c>
      <c r="AQ542" s="7" t="s">
        <v>1177</v>
      </c>
      <c r="AR542" s="29">
        <v>0</v>
      </c>
      <c r="AS542" s="7" t="s">
        <v>1177</v>
      </c>
      <c r="AT542" s="7" t="s">
        <v>1363</v>
      </c>
      <c r="AU542" s="38">
        <v>46275</v>
      </c>
      <c r="AV542" s="39">
        <v>0.62413194444443998</v>
      </c>
    </row>
    <row r="543" spans="1:48" x14ac:dyDescent="0.35">
      <c r="A543" t="str">
        <f t="shared" si="8"/>
        <v>GP030621B825</v>
      </c>
      <c r="B543" s="7" t="s">
        <v>535</v>
      </c>
      <c r="C543" s="7" t="s">
        <v>511</v>
      </c>
      <c r="D543" s="7" t="s">
        <v>16</v>
      </c>
      <c r="E543" s="7" t="s">
        <v>1177</v>
      </c>
      <c r="F543" s="7" t="s">
        <v>128</v>
      </c>
      <c r="G543" s="7" t="s">
        <v>130</v>
      </c>
      <c r="H543" s="7" t="s">
        <v>129</v>
      </c>
      <c r="I543" s="30">
        <v>2</v>
      </c>
      <c r="J543" s="7" t="s">
        <v>1177</v>
      </c>
      <c r="K543" s="7" t="s">
        <v>1178</v>
      </c>
      <c r="L543" s="7" t="s">
        <v>132</v>
      </c>
      <c r="M543" s="7" t="s">
        <v>133</v>
      </c>
      <c r="N543" s="30">
        <v>0</v>
      </c>
      <c r="O543" s="30">
        <v>0</v>
      </c>
      <c r="P543" s="30">
        <v>0</v>
      </c>
      <c r="Q543" s="30">
        <v>0</v>
      </c>
      <c r="R543" s="29">
        <v>0</v>
      </c>
      <c r="S543" s="36">
        <v>0</v>
      </c>
      <c r="T543" s="7" t="s">
        <v>131</v>
      </c>
      <c r="U543" s="7" t="s">
        <v>512</v>
      </c>
      <c r="V543" s="7" t="s">
        <v>512</v>
      </c>
      <c r="W543" s="7" t="s">
        <v>1177</v>
      </c>
      <c r="X543" s="30">
        <v>1</v>
      </c>
      <c r="Y543" s="7" t="s">
        <v>1177</v>
      </c>
      <c r="Z543" s="7" t="s">
        <v>1178</v>
      </c>
      <c r="AA543" s="30">
        <v>0</v>
      </c>
      <c r="AB543" s="36">
        <v>0</v>
      </c>
      <c r="AC543" s="7" t="s">
        <v>1177</v>
      </c>
      <c r="AD543" s="37">
        <v>0</v>
      </c>
      <c r="AE543" s="7" t="s">
        <v>1177</v>
      </c>
      <c r="AF543" s="7" t="s">
        <v>1177</v>
      </c>
      <c r="AG543" s="7" t="s">
        <v>1177</v>
      </c>
      <c r="AH543" s="38"/>
      <c r="AI543" s="36">
        <v>0</v>
      </c>
      <c r="AJ543" s="7" t="s">
        <v>1193</v>
      </c>
      <c r="AK543" s="7" t="s">
        <v>1177</v>
      </c>
      <c r="AL543" s="7" t="s">
        <v>1177</v>
      </c>
      <c r="AM543" s="7" t="s">
        <v>1177</v>
      </c>
      <c r="AN543" s="7" t="s">
        <v>3212</v>
      </c>
      <c r="AO543" s="7" t="s">
        <v>1177</v>
      </c>
      <c r="AP543" s="7" t="s">
        <v>1177</v>
      </c>
      <c r="AQ543" s="7" t="s">
        <v>1177</v>
      </c>
      <c r="AR543" s="29">
        <v>0</v>
      </c>
      <c r="AS543" s="7" t="s">
        <v>1177</v>
      </c>
      <c r="AT543" s="7" t="s">
        <v>1363</v>
      </c>
      <c r="AU543" s="38">
        <v>46275</v>
      </c>
      <c r="AV543" s="39">
        <v>0.60354166666666997</v>
      </c>
    </row>
    <row r="544" spans="1:48" x14ac:dyDescent="0.35">
      <c r="A544" t="str">
        <f t="shared" si="8"/>
        <v>GP030621B832</v>
      </c>
      <c r="B544" s="7" t="s">
        <v>535</v>
      </c>
      <c r="C544" s="7" t="s">
        <v>653</v>
      </c>
      <c r="D544" s="7" t="s">
        <v>19</v>
      </c>
      <c r="E544" s="7" t="s">
        <v>1177</v>
      </c>
      <c r="F544" s="7" t="s">
        <v>128</v>
      </c>
      <c r="G544" s="7" t="s">
        <v>130</v>
      </c>
      <c r="H544" s="7" t="s">
        <v>129</v>
      </c>
      <c r="I544" s="30">
        <v>2</v>
      </c>
      <c r="J544" s="7" t="s">
        <v>1177</v>
      </c>
      <c r="K544" s="7" t="s">
        <v>1178</v>
      </c>
      <c r="L544" s="7" t="s">
        <v>132</v>
      </c>
      <c r="M544" s="7" t="s">
        <v>133</v>
      </c>
      <c r="N544" s="30">
        <v>0</v>
      </c>
      <c r="O544" s="30">
        <v>0</v>
      </c>
      <c r="P544" s="30">
        <v>0</v>
      </c>
      <c r="Q544" s="30">
        <v>0</v>
      </c>
      <c r="R544" s="29">
        <v>0</v>
      </c>
      <c r="S544" s="36">
        <v>0</v>
      </c>
      <c r="T544" s="7" t="s">
        <v>131</v>
      </c>
      <c r="U544" s="7" t="s">
        <v>654</v>
      </c>
      <c r="V544" s="7" t="s">
        <v>654</v>
      </c>
      <c r="W544" s="7" t="s">
        <v>1177</v>
      </c>
      <c r="X544" s="30">
        <v>1</v>
      </c>
      <c r="Y544" s="7" t="s">
        <v>1177</v>
      </c>
      <c r="Z544" s="7" t="s">
        <v>1178</v>
      </c>
      <c r="AA544" s="30">
        <v>0</v>
      </c>
      <c r="AB544" s="36">
        <v>0</v>
      </c>
      <c r="AC544" s="7" t="s">
        <v>1177</v>
      </c>
      <c r="AD544" s="37">
        <v>0</v>
      </c>
      <c r="AE544" s="7" t="s">
        <v>1177</v>
      </c>
      <c r="AF544" s="7" t="s">
        <v>1177</v>
      </c>
      <c r="AG544" s="7" t="s">
        <v>1177</v>
      </c>
      <c r="AH544" s="38"/>
      <c r="AI544" s="36">
        <v>0</v>
      </c>
      <c r="AJ544" s="7" t="s">
        <v>1193</v>
      </c>
      <c r="AK544" s="7" t="s">
        <v>1177</v>
      </c>
      <c r="AL544" s="7" t="s">
        <v>1177</v>
      </c>
      <c r="AM544" s="7" t="s">
        <v>1177</v>
      </c>
      <c r="AN544" s="7" t="s">
        <v>3212</v>
      </c>
      <c r="AO544" s="7" t="s">
        <v>1177</v>
      </c>
      <c r="AP544" s="7" t="s">
        <v>1177</v>
      </c>
      <c r="AQ544" s="7" t="s">
        <v>1177</v>
      </c>
      <c r="AR544" s="29">
        <v>0</v>
      </c>
      <c r="AS544" s="7" t="s">
        <v>1177</v>
      </c>
      <c r="AT544" s="7" t="s">
        <v>1363</v>
      </c>
      <c r="AU544" s="38">
        <v>46275</v>
      </c>
      <c r="AV544" s="39">
        <v>0.60388888888889003</v>
      </c>
    </row>
    <row r="545" spans="1:48" x14ac:dyDescent="0.35">
      <c r="A545" t="str">
        <f t="shared" si="8"/>
        <v>GP030621B838</v>
      </c>
      <c r="B545" s="7" t="s">
        <v>535</v>
      </c>
      <c r="C545" s="7" t="s">
        <v>744</v>
      </c>
      <c r="D545" s="7" t="s">
        <v>48</v>
      </c>
      <c r="E545" s="7" t="s">
        <v>1177</v>
      </c>
      <c r="F545" s="7" t="s">
        <v>128</v>
      </c>
      <c r="G545" s="7" t="s">
        <v>130</v>
      </c>
      <c r="H545" s="7" t="s">
        <v>129</v>
      </c>
      <c r="I545" s="30">
        <v>4</v>
      </c>
      <c r="J545" s="7" t="s">
        <v>1177</v>
      </c>
      <c r="K545" s="7" t="s">
        <v>1178</v>
      </c>
      <c r="L545" s="7" t="s">
        <v>132</v>
      </c>
      <c r="M545" s="7" t="s">
        <v>133</v>
      </c>
      <c r="N545" s="30">
        <v>0</v>
      </c>
      <c r="O545" s="30">
        <v>0</v>
      </c>
      <c r="P545" s="30">
        <v>0</v>
      </c>
      <c r="Q545" s="30">
        <v>0</v>
      </c>
      <c r="R545" s="29">
        <v>0</v>
      </c>
      <c r="S545" s="36">
        <v>0</v>
      </c>
      <c r="T545" s="7" t="s">
        <v>131</v>
      </c>
      <c r="U545" s="7" t="s">
        <v>745</v>
      </c>
      <c r="V545" s="7" t="s">
        <v>745</v>
      </c>
      <c r="W545" s="7" t="s">
        <v>1177</v>
      </c>
      <c r="X545" s="30">
        <v>1</v>
      </c>
      <c r="Y545" s="7" t="s">
        <v>1177</v>
      </c>
      <c r="Z545" s="7" t="s">
        <v>1178</v>
      </c>
      <c r="AA545" s="30">
        <v>0</v>
      </c>
      <c r="AB545" s="36">
        <v>0</v>
      </c>
      <c r="AC545" s="7" t="s">
        <v>1177</v>
      </c>
      <c r="AD545" s="37">
        <v>0</v>
      </c>
      <c r="AE545" s="7" t="s">
        <v>1177</v>
      </c>
      <c r="AF545" s="7" t="s">
        <v>1177</v>
      </c>
      <c r="AG545" s="7" t="s">
        <v>1177</v>
      </c>
      <c r="AH545" s="38"/>
      <c r="AI545" s="36">
        <v>0</v>
      </c>
      <c r="AJ545" s="7" t="s">
        <v>1193</v>
      </c>
      <c r="AK545" s="7" t="s">
        <v>1177</v>
      </c>
      <c r="AL545" s="7" t="s">
        <v>1177</v>
      </c>
      <c r="AM545" s="7" t="s">
        <v>1177</v>
      </c>
      <c r="AN545" s="7" t="s">
        <v>3212</v>
      </c>
      <c r="AO545" s="7" t="s">
        <v>1177</v>
      </c>
      <c r="AP545" s="7" t="s">
        <v>1177</v>
      </c>
      <c r="AQ545" s="7" t="s">
        <v>1177</v>
      </c>
      <c r="AR545" s="29">
        <v>0</v>
      </c>
      <c r="AS545" s="7" t="s">
        <v>1177</v>
      </c>
      <c r="AT545" s="7" t="s">
        <v>1363</v>
      </c>
      <c r="AU545" s="38">
        <v>46275</v>
      </c>
      <c r="AV545" s="39">
        <v>0.60462962962962996</v>
      </c>
    </row>
    <row r="546" spans="1:48" x14ac:dyDescent="0.35">
      <c r="A546" t="str">
        <f t="shared" si="8"/>
        <v>GP030622B832</v>
      </c>
      <c r="B546" s="7" t="s">
        <v>379</v>
      </c>
      <c r="C546" s="7" t="s">
        <v>653</v>
      </c>
      <c r="D546" s="7" t="s">
        <v>19</v>
      </c>
      <c r="E546" s="7" t="s">
        <v>1177</v>
      </c>
      <c r="F546" s="7" t="s">
        <v>128</v>
      </c>
      <c r="G546" s="7" t="s">
        <v>130</v>
      </c>
      <c r="H546" s="7" t="s">
        <v>129</v>
      </c>
      <c r="I546" s="30">
        <v>2</v>
      </c>
      <c r="J546" s="7" t="s">
        <v>1177</v>
      </c>
      <c r="K546" s="7" t="s">
        <v>1178</v>
      </c>
      <c r="L546" s="7" t="s">
        <v>132</v>
      </c>
      <c r="M546" s="7" t="s">
        <v>133</v>
      </c>
      <c r="N546" s="30">
        <v>0</v>
      </c>
      <c r="O546" s="30">
        <v>0</v>
      </c>
      <c r="P546" s="30">
        <v>0</v>
      </c>
      <c r="Q546" s="30">
        <v>0</v>
      </c>
      <c r="R546" s="29">
        <v>0</v>
      </c>
      <c r="S546" s="36">
        <v>0</v>
      </c>
      <c r="T546" s="7" t="s">
        <v>131</v>
      </c>
      <c r="U546" s="7" t="s">
        <v>654</v>
      </c>
      <c r="V546" s="7" t="s">
        <v>654</v>
      </c>
      <c r="W546" s="7" t="s">
        <v>1177</v>
      </c>
      <c r="X546" s="30">
        <v>1</v>
      </c>
      <c r="Y546" s="7" t="s">
        <v>1177</v>
      </c>
      <c r="Z546" s="7" t="s">
        <v>1178</v>
      </c>
      <c r="AA546" s="30">
        <v>0</v>
      </c>
      <c r="AB546" s="36">
        <v>0</v>
      </c>
      <c r="AC546" s="7" t="s">
        <v>1177</v>
      </c>
      <c r="AD546" s="37">
        <v>0</v>
      </c>
      <c r="AE546" s="7" t="s">
        <v>1177</v>
      </c>
      <c r="AF546" s="7" t="s">
        <v>1177</v>
      </c>
      <c r="AG546" s="7" t="s">
        <v>1177</v>
      </c>
      <c r="AH546" s="38"/>
      <c r="AI546" s="36">
        <v>0</v>
      </c>
      <c r="AJ546" s="7" t="s">
        <v>1193</v>
      </c>
      <c r="AK546" s="7" t="s">
        <v>1177</v>
      </c>
      <c r="AL546" s="7" t="s">
        <v>1177</v>
      </c>
      <c r="AM546" s="7" t="s">
        <v>1177</v>
      </c>
      <c r="AN546" s="7" t="s">
        <v>3212</v>
      </c>
      <c r="AO546" s="7" t="s">
        <v>1177</v>
      </c>
      <c r="AP546" s="7" t="s">
        <v>1177</v>
      </c>
      <c r="AQ546" s="7" t="s">
        <v>1177</v>
      </c>
      <c r="AR546" s="29">
        <v>0</v>
      </c>
      <c r="AS546" s="7" t="s">
        <v>1177</v>
      </c>
      <c r="AT546" s="7" t="s">
        <v>1363</v>
      </c>
      <c r="AU546" s="38">
        <v>46275</v>
      </c>
      <c r="AV546" s="39">
        <v>0.60388888888889003</v>
      </c>
    </row>
    <row r="547" spans="1:48" x14ac:dyDescent="0.35">
      <c r="A547" t="str">
        <f t="shared" si="8"/>
        <v>GP031912B825</v>
      </c>
      <c r="B547" s="7" t="s">
        <v>380</v>
      </c>
      <c r="C547" s="7" t="s">
        <v>511</v>
      </c>
      <c r="D547" s="7" t="s">
        <v>16</v>
      </c>
      <c r="E547" s="7" t="s">
        <v>1177</v>
      </c>
      <c r="F547" s="7" t="s">
        <v>128</v>
      </c>
      <c r="G547" s="7" t="s">
        <v>130</v>
      </c>
      <c r="H547" s="7" t="s">
        <v>129</v>
      </c>
      <c r="I547" s="30">
        <v>2</v>
      </c>
      <c r="J547" s="7" t="s">
        <v>1177</v>
      </c>
      <c r="K547" s="7" t="s">
        <v>1178</v>
      </c>
      <c r="L547" s="7" t="s">
        <v>132</v>
      </c>
      <c r="M547" s="7" t="s">
        <v>133</v>
      </c>
      <c r="N547" s="30">
        <v>0</v>
      </c>
      <c r="O547" s="30">
        <v>0</v>
      </c>
      <c r="P547" s="30">
        <v>0</v>
      </c>
      <c r="Q547" s="30">
        <v>0</v>
      </c>
      <c r="R547" s="29">
        <v>0</v>
      </c>
      <c r="S547" s="36">
        <v>0</v>
      </c>
      <c r="T547" s="7" t="s">
        <v>131</v>
      </c>
      <c r="U547" s="7" t="s">
        <v>512</v>
      </c>
      <c r="V547" s="7" t="s">
        <v>512</v>
      </c>
      <c r="W547" s="7" t="s">
        <v>1177</v>
      </c>
      <c r="X547" s="30">
        <v>1</v>
      </c>
      <c r="Y547" s="7" t="s">
        <v>1177</v>
      </c>
      <c r="Z547" s="7" t="s">
        <v>1178</v>
      </c>
      <c r="AA547" s="30">
        <v>0</v>
      </c>
      <c r="AB547" s="36">
        <v>0</v>
      </c>
      <c r="AC547" s="7" t="s">
        <v>1177</v>
      </c>
      <c r="AD547" s="37">
        <v>0</v>
      </c>
      <c r="AE547" s="7" t="s">
        <v>1177</v>
      </c>
      <c r="AF547" s="7" t="s">
        <v>1177</v>
      </c>
      <c r="AG547" s="7" t="s">
        <v>1177</v>
      </c>
      <c r="AH547" s="38"/>
      <c r="AI547" s="36">
        <v>0</v>
      </c>
      <c r="AJ547" s="7" t="s">
        <v>1193</v>
      </c>
      <c r="AK547" s="7" t="s">
        <v>1177</v>
      </c>
      <c r="AL547" s="7" t="s">
        <v>1177</v>
      </c>
      <c r="AM547" s="7" t="s">
        <v>1177</v>
      </c>
      <c r="AN547" s="7" t="s">
        <v>3212</v>
      </c>
      <c r="AO547" s="7" t="s">
        <v>1177</v>
      </c>
      <c r="AP547" s="7" t="s">
        <v>1177</v>
      </c>
      <c r="AQ547" s="7" t="s">
        <v>1177</v>
      </c>
      <c r="AR547" s="29">
        <v>0</v>
      </c>
      <c r="AS547" s="7" t="s">
        <v>1177</v>
      </c>
      <c r="AT547" s="7" t="s">
        <v>1363</v>
      </c>
      <c r="AU547" s="38">
        <v>46275</v>
      </c>
      <c r="AV547" s="39">
        <v>0.60354166666666997</v>
      </c>
    </row>
    <row r="548" spans="1:48" x14ac:dyDescent="0.35">
      <c r="A548" t="str">
        <f t="shared" si="8"/>
        <v>GP031912B838</v>
      </c>
      <c r="B548" s="7" t="s">
        <v>380</v>
      </c>
      <c r="C548" s="7" t="s">
        <v>744</v>
      </c>
      <c r="D548" s="7" t="s">
        <v>48</v>
      </c>
      <c r="E548" s="7" t="s">
        <v>1177</v>
      </c>
      <c r="F548" s="7" t="s">
        <v>128</v>
      </c>
      <c r="G548" s="7" t="s">
        <v>130</v>
      </c>
      <c r="H548" s="7" t="s">
        <v>129</v>
      </c>
      <c r="I548" s="30">
        <v>2</v>
      </c>
      <c r="J548" s="7" t="s">
        <v>1177</v>
      </c>
      <c r="K548" s="7" t="s">
        <v>1178</v>
      </c>
      <c r="L548" s="7" t="s">
        <v>132</v>
      </c>
      <c r="M548" s="7" t="s">
        <v>133</v>
      </c>
      <c r="N548" s="30">
        <v>0</v>
      </c>
      <c r="O548" s="30">
        <v>0</v>
      </c>
      <c r="P548" s="30">
        <v>0</v>
      </c>
      <c r="Q548" s="30">
        <v>0</v>
      </c>
      <c r="R548" s="29">
        <v>0</v>
      </c>
      <c r="S548" s="36">
        <v>0</v>
      </c>
      <c r="T548" s="7" t="s">
        <v>131</v>
      </c>
      <c r="U548" s="7" t="s">
        <v>745</v>
      </c>
      <c r="V548" s="7" t="s">
        <v>745</v>
      </c>
      <c r="W548" s="7" t="s">
        <v>1177</v>
      </c>
      <c r="X548" s="30">
        <v>1</v>
      </c>
      <c r="Y548" s="7" t="s">
        <v>1177</v>
      </c>
      <c r="Z548" s="7" t="s">
        <v>1178</v>
      </c>
      <c r="AA548" s="30">
        <v>0</v>
      </c>
      <c r="AB548" s="36">
        <v>0</v>
      </c>
      <c r="AC548" s="7" t="s">
        <v>1177</v>
      </c>
      <c r="AD548" s="37">
        <v>0</v>
      </c>
      <c r="AE548" s="7" t="s">
        <v>1177</v>
      </c>
      <c r="AF548" s="7" t="s">
        <v>1177</v>
      </c>
      <c r="AG548" s="7" t="s">
        <v>1177</v>
      </c>
      <c r="AH548" s="38"/>
      <c r="AI548" s="36">
        <v>0</v>
      </c>
      <c r="AJ548" s="7" t="s">
        <v>1193</v>
      </c>
      <c r="AK548" s="7" t="s">
        <v>1177</v>
      </c>
      <c r="AL548" s="7" t="s">
        <v>1177</v>
      </c>
      <c r="AM548" s="7" t="s">
        <v>1177</v>
      </c>
      <c r="AN548" s="7" t="s">
        <v>3212</v>
      </c>
      <c r="AO548" s="7" t="s">
        <v>1177</v>
      </c>
      <c r="AP548" s="7" t="s">
        <v>1177</v>
      </c>
      <c r="AQ548" s="7" t="s">
        <v>1177</v>
      </c>
      <c r="AR548" s="29">
        <v>0</v>
      </c>
      <c r="AS548" s="7" t="s">
        <v>1177</v>
      </c>
      <c r="AT548" s="7" t="s">
        <v>1363</v>
      </c>
      <c r="AU548" s="38">
        <v>46275</v>
      </c>
      <c r="AV548" s="39">
        <v>0.60474537037037002</v>
      </c>
    </row>
    <row r="549" spans="1:48" x14ac:dyDescent="0.35">
      <c r="A549" t="str">
        <f t="shared" si="8"/>
        <v>GP034619B825</v>
      </c>
      <c r="B549" s="7" t="s">
        <v>381</v>
      </c>
      <c r="C549" s="7" t="s">
        <v>511</v>
      </c>
      <c r="D549" s="7" t="s">
        <v>16</v>
      </c>
      <c r="E549" s="7" t="s">
        <v>1177</v>
      </c>
      <c r="F549" s="7" t="s">
        <v>128</v>
      </c>
      <c r="G549" s="7" t="s">
        <v>130</v>
      </c>
      <c r="H549" s="7" t="s">
        <v>129</v>
      </c>
      <c r="I549" s="30">
        <v>2</v>
      </c>
      <c r="J549" s="7" t="s">
        <v>1177</v>
      </c>
      <c r="K549" s="7" t="s">
        <v>1178</v>
      </c>
      <c r="L549" s="7" t="s">
        <v>132</v>
      </c>
      <c r="M549" s="7" t="s">
        <v>133</v>
      </c>
      <c r="N549" s="30">
        <v>0</v>
      </c>
      <c r="O549" s="30">
        <v>0</v>
      </c>
      <c r="P549" s="30">
        <v>0</v>
      </c>
      <c r="Q549" s="30">
        <v>0</v>
      </c>
      <c r="R549" s="29">
        <v>0</v>
      </c>
      <c r="S549" s="36">
        <v>0</v>
      </c>
      <c r="T549" s="7" t="s">
        <v>131</v>
      </c>
      <c r="U549" s="7" t="s">
        <v>512</v>
      </c>
      <c r="V549" s="7" t="s">
        <v>512</v>
      </c>
      <c r="W549" s="7" t="s">
        <v>1177</v>
      </c>
      <c r="X549" s="30">
        <v>1</v>
      </c>
      <c r="Y549" s="7" t="s">
        <v>1177</v>
      </c>
      <c r="Z549" s="7" t="s">
        <v>1178</v>
      </c>
      <c r="AA549" s="30">
        <v>0</v>
      </c>
      <c r="AB549" s="36">
        <v>0</v>
      </c>
      <c r="AC549" s="7" t="s">
        <v>1177</v>
      </c>
      <c r="AD549" s="37">
        <v>0</v>
      </c>
      <c r="AE549" s="7" t="s">
        <v>1177</v>
      </c>
      <c r="AF549" s="7" t="s">
        <v>1177</v>
      </c>
      <c r="AG549" s="7" t="s">
        <v>1177</v>
      </c>
      <c r="AH549" s="38"/>
      <c r="AI549" s="36">
        <v>0</v>
      </c>
      <c r="AJ549" s="7" t="s">
        <v>1193</v>
      </c>
      <c r="AK549" s="7" t="s">
        <v>1177</v>
      </c>
      <c r="AL549" s="7" t="s">
        <v>1177</v>
      </c>
      <c r="AM549" s="7" t="s">
        <v>1177</v>
      </c>
      <c r="AN549" s="7" t="s">
        <v>3212</v>
      </c>
      <c r="AO549" s="7" t="s">
        <v>1177</v>
      </c>
      <c r="AP549" s="7" t="s">
        <v>1177</v>
      </c>
      <c r="AQ549" s="7" t="s">
        <v>1177</v>
      </c>
      <c r="AR549" s="29">
        <v>0</v>
      </c>
      <c r="AS549" s="7" t="s">
        <v>1177</v>
      </c>
      <c r="AT549" s="7" t="s">
        <v>1363</v>
      </c>
      <c r="AU549" s="38">
        <v>46275</v>
      </c>
      <c r="AV549" s="39">
        <v>0.62300925925925998</v>
      </c>
    </row>
    <row r="550" spans="1:48" x14ac:dyDescent="0.35">
      <c r="A550" t="str">
        <f t="shared" si="8"/>
        <v>GP036343B832</v>
      </c>
      <c r="B550" s="7" t="s">
        <v>471</v>
      </c>
      <c r="C550" s="7" t="s">
        <v>653</v>
      </c>
      <c r="D550" s="7" t="s">
        <v>19</v>
      </c>
      <c r="E550" s="7" t="s">
        <v>1177</v>
      </c>
      <c r="F550" s="7" t="s">
        <v>134</v>
      </c>
      <c r="G550" s="7" t="s">
        <v>130</v>
      </c>
      <c r="H550" s="7" t="s">
        <v>129</v>
      </c>
      <c r="I550" s="30">
        <v>1</v>
      </c>
      <c r="J550" s="7" t="s">
        <v>1177</v>
      </c>
      <c r="K550" s="7" t="s">
        <v>1178</v>
      </c>
      <c r="L550" s="7" t="s">
        <v>132</v>
      </c>
      <c r="M550" s="7" t="s">
        <v>133</v>
      </c>
      <c r="N550" s="30">
        <v>0</v>
      </c>
      <c r="O550" s="30">
        <v>0</v>
      </c>
      <c r="P550" s="30">
        <v>0</v>
      </c>
      <c r="Q550" s="30">
        <v>0</v>
      </c>
      <c r="R550" s="29">
        <v>0</v>
      </c>
      <c r="S550" s="36">
        <v>0</v>
      </c>
      <c r="T550" s="7" t="s">
        <v>131</v>
      </c>
      <c r="U550" s="7" t="s">
        <v>654</v>
      </c>
      <c r="V550" s="7" t="s">
        <v>654</v>
      </c>
      <c r="W550" s="7" t="s">
        <v>1177</v>
      </c>
      <c r="X550" s="30">
        <v>1</v>
      </c>
      <c r="Y550" s="7" t="s">
        <v>1177</v>
      </c>
      <c r="Z550" s="7" t="s">
        <v>1178</v>
      </c>
      <c r="AA550" s="30">
        <v>0</v>
      </c>
      <c r="AB550" s="36">
        <v>0</v>
      </c>
      <c r="AC550" s="7" t="s">
        <v>1177</v>
      </c>
      <c r="AD550" s="37">
        <v>0</v>
      </c>
      <c r="AE550" s="7" t="s">
        <v>1177</v>
      </c>
      <c r="AF550" s="7" t="s">
        <v>1177</v>
      </c>
      <c r="AG550" s="7" t="s">
        <v>1177</v>
      </c>
      <c r="AH550" s="38"/>
      <c r="AI550" s="36">
        <v>0</v>
      </c>
      <c r="AJ550" s="7" t="s">
        <v>1193</v>
      </c>
      <c r="AK550" s="7" t="s">
        <v>1177</v>
      </c>
      <c r="AL550" s="7" t="s">
        <v>1177</v>
      </c>
      <c r="AM550" s="7" t="s">
        <v>1177</v>
      </c>
      <c r="AN550" s="7" t="s">
        <v>3212</v>
      </c>
      <c r="AO550" s="7" t="s">
        <v>1177</v>
      </c>
      <c r="AP550" s="7" t="s">
        <v>1177</v>
      </c>
      <c r="AQ550" s="7" t="s">
        <v>1177</v>
      </c>
      <c r="AR550" s="29">
        <v>0</v>
      </c>
      <c r="AS550" s="7" t="s">
        <v>1177</v>
      </c>
      <c r="AT550" s="7" t="s">
        <v>1363</v>
      </c>
      <c r="AU550" s="38">
        <v>46275</v>
      </c>
      <c r="AV550" s="39">
        <v>0.60391203703703999</v>
      </c>
    </row>
    <row r="551" spans="1:48" x14ac:dyDescent="0.35">
      <c r="A551" t="str">
        <f t="shared" si="8"/>
        <v>GP036343B833</v>
      </c>
      <c r="B551" s="7" t="s">
        <v>471</v>
      </c>
      <c r="C551" s="7" t="s">
        <v>698</v>
      </c>
      <c r="D551" s="7" t="s">
        <v>697</v>
      </c>
      <c r="E551" s="7" t="s">
        <v>1177</v>
      </c>
      <c r="F551" s="7" t="s">
        <v>134</v>
      </c>
      <c r="G551" s="7" t="s">
        <v>130</v>
      </c>
      <c r="H551" s="7" t="s">
        <v>129</v>
      </c>
      <c r="I551" s="30">
        <v>1</v>
      </c>
      <c r="J551" s="7" t="s">
        <v>1177</v>
      </c>
      <c r="K551" s="7" t="s">
        <v>1178</v>
      </c>
      <c r="L551" s="7" t="s">
        <v>132</v>
      </c>
      <c r="M551" s="7" t="s">
        <v>133</v>
      </c>
      <c r="N551" s="30">
        <v>0</v>
      </c>
      <c r="O551" s="30">
        <v>0</v>
      </c>
      <c r="P551" s="30">
        <v>0</v>
      </c>
      <c r="Q551" s="30">
        <v>0</v>
      </c>
      <c r="R551" s="29">
        <v>0</v>
      </c>
      <c r="S551" s="36">
        <v>0</v>
      </c>
      <c r="T551" s="7" t="s">
        <v>131</v>
      </c>
      <c r="U551" s="7" t="s">
        <v>699</v>
      </c>
      <c r="V551" s="7" t="s">
        <v>699</v>
      </c>
      <c r="W551" s="7" t="s">
        <v>1177</v>
      </c>
      <c r="X551" s="30">
        <v>1</v>
      </c>
      <c r="Y551" s="7" t="s">
        <v>1177</v>
      </c>
      <c r="Z551" s="7" t="s">
        <v>1178</v>
      </c>
      <c r="AA551" s="30">
        <v>0</v>
      </c>
      <c r="AB551" s="36">
        <v>0</v>
      </c>
      <c r="AC551" s="7" t="s">
        <v>1177</v>
      </c>
      <c r="AD551" s="37">
        <v>0</v>
      </c>
      <c r="AE551" s="7" t="s">
        <v>1177</v>
      </c>
      <c r="AF551" s="7" t="s">
        <v>1177</v>
      </c>
      <c r="AG551" s="7" t="s">
        <v>1177</v>
      </c>
      <c r="AH551" s="38"/>
      <c r="AI551" s="36">
        <v>0</v>
      </c>
      <c r="AJ551" s="7" t="s">
        <v>1193</v>
      </c>
      <c r="AK551" s="7" t="s">
        <v>1177</v>
      </c>
      <c r="AL551" s="7" t="s">
        <v>1177</v>
      </c>
      <c r="AM551" s="7" t="s">
        <v>1177</v>
      </c>
      <c r="AN551" s="7" t="s">
        <v>3212</v>
      </c>
      <c r="AO551" s="7" t="s">
        <v>1177</v>
      </c>
      <c r="AP551" s="7" t="s">
        <v>1177</v>
      </c>
      <c r="AQ551" s="7" t="s">
        <v>1177</v>
      </c>
      <c r="AR551" s="29">
        <v>0</v>
      </c>
      <c r="AS551" s="7" t="s">
        <v>1177</v>
      </c>
      <c r="AT551" s="7" t="s">
        <v>1363</v>
      </c>
      <c r="AU551" s="38">
        <v>46275</v>
      </c>
      <c r="AV551" s="39">
        <v>0.60396990740740997</v>
      </c>
    </row>
    <row r="552" spans="1:48" x14ac:dyDescent="0.35">
      <c r="A552" t="str">
        <f t="shared" si="8"/>
        <v>GP036343B838</v>
      </c>
      <c r="B552" s="7" t="s">
        <v>471</v>
      </c>
      <c r="C552" s="7" t="s">
        <v>744</v>
      </c>
      <c r="D552" s="7" t="s">
        <v>48</v>
      </c>
      <c r="E552" s="7" t="s">
        <v>1177</v>
      </c>
      <c r="F552" s="7" t="s">
        <v>134</v>
      </c>
      <c r="G552" s="7" t="s">
        <v>130</v>
      </c>
      <c r="H552" s="7" t="s">
        <v>129</v>
      </c>
      <c r="I552" s="30">
        <v>1</v>
      </c>
      <c r="J552" s="7" t="s">
        <v>1177</v>
      </c>
      <c r="K552" s="7" t="s">
        <v>1178</v>
      </c>
      <c r="L552" s="7" t="s">
        <v>132</v>
      </c>
      <c r="M552" s="7" t="s">
        <v>133</v>
      </c>
      <c r="N552" s="30">
        <v>0</v>
      </c>
      <c r="O552" s="30">
        <v>0</v>
      </c>
      <c r="P552" s="30">
        <v>0</v>
      </c>
      <c r="Q552" s="30">
        <v>0</v>
      </c>
      <c r="R552" s="29">
        <v>0</v>
      </c>
      <c r="S552" s="36">
        <v>0</v>
      </c>
      <c r="T552" s="7" t="s">
        <v>131</v>
      </c>
      <c r="U552" s="7" t="s">
        <v>745</v>
      </c>
      <c r="V552" s="7" t="s">
        <v>745</v>
      </c>
      <c r="W552" s="7" t="s">
        <v>1177</v>
      </c>
      <c r="X552" s="30">
        <v>1</v>
      </c>
      <c r="Y552" s="7" t="s">
        <v>1177</v>
      </c>
      <c r="Z552" s="7" t="s">
        <v>1178</v>
      </c>
      <c r="AA552" s="30">
        <v>0</v>
      </c>
      <c r="AB552" s="36">
        <v>0</v>
      </c>
      <c r="AC552" s="7" t="s">
        <v>1177</v>
      </c>
      <c r="AD552" s="37">
        <v>0</v>
      </c>
      <c r="AE552" s="7" t="s">
        <v>1177</v>
      </c>
      <c r="AF552" s="7" t="s">
        <v>1177</v>
      </c>
      <c r="AG552" s="7" t="s">
        <v>1177</v>
      </c>
      <c r="AH552" s="38"/>
      <c r="AI552" s="36">
        <v>0</v>
      </c>
      <c r="AJ552" s="7" t="s">
        <v>1193</v>
      </c>
      <c r="AK552" s="7" t="s">
        <v>1177</v>
      </c>
      <c r="AL552" s="7" t="s">
        <v>1177</v>
      </c>
      <c r="AM552" s="7" t="s">
        <v>1177</v>
      </c>
      <c r="AN552" s="7" t="s">
        <v>3212</v>
      </c>
      <c r="AO552" s="7" t="s">
        <v>1177</v>
      </c>
      <c r="AP552" s="7" t="s">
        <v>1177</v>
      </c>
      <c r="AQ552" s="7" t="s">
        <v>1177</v>
      </c>
      <c r="AR552" s="29">
        <v>0</v>
      </c>
      <c r="AS552" s="7" t="s">
        <v>1177</v>
      </c>
      <c r="AT552" s="7" t="s">
        <v>1363</v>
      </c>
      <c r="AU552" s="38">
        <v>46275</v>
      </c>
      <c r="AV552" s="39">
        <v>0.60471064814815001</v>
      </c>
    </row>
    <row r="553" spans="1:48" x14ac:dyDescent="0.35">
      <c r="A553" t="str">
        <f t="shared" si="8"/>
        <v>GP036343B857</v>
      </c>
      <c r="B553" s="7" t="s">
        <v>471</v>
      </c>
      <c r="C553" s="7" t="s">
        <v>958</v>
      </c>
      <c r="D553" s="7" t="s">
        <v>23</v>
      </c>
      <c r="E553" s="7" t="s">
        <v>1177</v>
      </c>
      <c r="F553" s="7" t="s">
        <v>134</v>
      </c>
      <c r="G553" s="7" t="s">
        <v>130</v>
      </c>
      <c r="H553" s="7" t="s">
        <v>129</v>
      </c>
      <c r="I553" s="30">
        <v>1</v>
      </c>
      <c r="J553" s="7" t="s">
        <v>1177</v>
      </c>
      <c r="K553" s="7" t="s">
        <v>1178</v>
      </c>
      <c r="L553" s="7" t="s">
        <v>132</v>
      </c>
      <c r="M553" s="7" t="s">
        <v>133</v>
      </c>
      <c r="N553" s="30">
        <v>0</v>
      </c>
      <c r="O553" s="30">
        <v>0</v>
      </c>
      <c r="P553" s="30">
        <v>0</v>
      </c>
      <c r="Q553" s="30">
        <v>0</v>
      </c>
      <c r="R553" s="29">
        <v>0</v>
      </c>
      <c r="S553" s="36">
        <v>0</v>
      </c>
      <c r="T553" s="7" t="s">
        <v>131</v>
      </c>
      <c r="U553" s="7" t="s">
        <v>959</v>
      </c>
      <c r="V553" s="7" t="s">
        <v>959</v>
      </c>
      <c r="W553" s="7" t="s">
        <v>1177</v>
      </c>
      <c r="X553" s="30">
        <v>1</v>
      </c>
      <c r="Y553" s="7" t="s">
        <v>1177</v>
      </c>
      <c r="Z553" s="7" t="s">
        <v>1178</v>
      </c>
      <c r="AA553" s="30">
        <v>0</v>
      </c>
      <c r="AB553" s="36">
        <v>0</v>
      </c>
      <c r="AC553" s="7" t="s">
        <v>1177</v>
      </c>
      <c r="AD553" s="37">
        <v>0</v>
      </c>
      <c r="AE553" s="7" t="s">
        <v>1177</v>
      </c>
      <c r="AF553" s="7" t="s">
        <v>1177</v>
      </c>
      <c r="AG553" s="7" t="s">
        <v>1177</v>
      </c>
      <c r="AH553" s="38"/>
      <c r="AI553" s="36">
        <v>0</v>
      </c>
      <c r="AJ553" s="7" t="s">
        <v>1193</v>
      </c>
      <c r="AK553" s="7" t="s">
        <v>1177</v>
      </c>
      <c r="AL553" s="7" t="s">
        <v>1177</v>
      </c>
      <c r="AM553" s="7" t="s">
        <v>1177</v>
      </c>
      <c r="AN553" s="7" t="s">
        <v>3212</v>
      </c>
      <c r="AO553" s="7" t="s">
        <v>1177</v>
      </c>
      <c r="AP553" s="7" t="s">
        <v>1177</v>
      </c>
      <c r="AQ553" s="7" t="s">
        <v>1177</v>
      </c>
      <c r="AR553" s="29">
        <v>0</v>
      </c>
      <c r="AS553" s="7" t="s">
        <v>1177</v>
      </c>
      <c r="AT553" s="7" t="s">
        <v>1363</v>
      </c>
      <c r="AU553" s="38">
        <v>46275</v>
      </c>
      <c r="AV553" s="39">
        <v>0.60530092592592999</v>
      </c>
    </row>
    <row r="554" spans="1:48" x14ac:dyDescent="0.35">
      <c r="A554" t="str">
        <f t="shared" si="8"/>
        <v>GP036514B825</v>
      </c>
      <c r="B554" s="7" t="s">
        <v>536</v>
      </c>
      <c r="C554" s="7" t="s">
        <v>511</v>
      </c>
      <c r="D554" s="7" t="s">
        <v>16</v>
      </c>
      <c r="E554" s="7" t="s">
        <v>1177</v>
      </c>
      <c r="F554" s="7" t="s">
        <v>128</v>
      </c>
      <c r="G554" s="7" t="s">
        <v>130</v>
      </c>
      <c r="H554" s="7" t="s">
        <v>129</v>
      </c>
      <c r="I554" s="30">
        <v>2</v>
      </c>
      <c r="J554" s="7" t="s">
        <v>1177</v>
      </c>
      <c r="K554" s="7" t="s">
        <v>1178</v>
      </c>
      <c r="L554" s="7" t="s">
        <v>132</v>
      </c>
      <c r="M554" s="7" t="s">
        <v>133</v>
      </c>
      <c r="N554" s="30">
        <v>0</v>
      </c>
      <c r="O554" s="30">
        <v>0</v>
      </c>
      <c r="P554" s="30">
        <v>0</v>
      </c>
      <c r="Q554" s="30">
        <v>0</v>
      </c>
      <c r="R554" s="29">
        <v>0</v>
      </c>
      <c r="S554" s="36">
        <v>0</v>
      </c>
      <c r="T554" s="7" t="s">
        <v>131</v>
      </c>
      <c r="U554" s="7" t="s">
        <v>512</v>
      </c>
      <c r="V554" s="7" t="s">
        <v>512</v>
      </c>
      <c r="W554" s="7" t="s">
        <v>1177</v>
      </c>
      <c r="X554" s="30">
        <v>1</v>
      </c>
      <c r="Y554" s="7" t="s">
        <v>1177</v>
      </c>
      <c r="Z554" s="7" t="s">
        <v>1178</v>
      </c>
      <c r="AA554" s="30">
        <v>0</v>
      </c>
      <c r="AB554" s="36">
        <v>0</v>
      </c>
      <c r="AC554" s="7" t="s">
        <v>1177</v>
      </c>
      <c r="AD554" s="37">
        <v>0</v>
      </c>
      <c r="AE554" s="7" t="s">
        <v>1177</v>
      </c>
      <c r="AF554" s="7" t="s">
        <v>1177</v>
      </c>
      <c r="AG554" s="7" t="s">
        <v>1177</v>
      </c>
      <c r="AH554" s="38"/>
      <c r="AI554" s="36">
        <v>0</v>
      </c>
      <c r="AJ554" s="7" t="s">
        <v>1193</v>
      </c>
      <c r="AK554" s="7" t="s">
        <v>1177</v>
      </c>
      <c r="AL554" s="7" t="s">
        <v>1177</v>
      </c>
      <c r="AM554" s="7" t="s">
        <v>1177</v>
      </c>
      <c r="AN554" s="7" t="s">
        <v>3212</v>
      </c>
      <c r="AO554" s="7" t="s">
        <v>1177</v>
      </c>
      <c r="AP554" s="7" t="s">
        <v>1177</v>
      </c>
      <c r="AQ554" s="7" t="s">
        <v>1177</v>
      </c>
      <c r="AR554" s="29">
        <v>0</v>
      </c>
      <c r="AS554" s="7" t="s">
        <v>1177</v>
      </c>
      <c r="AT554" s="7" t="s">
        <v>1363</v>
      </c>
      <c r="AU554" s="38">
        <v>46275</v>
      </c>
      <c r="AV554" s="39">
        <v>0.62300925925925998</v>
      </c>
    </row>
    <row r="555" spans="1:48" x14ac:dyDescent="0.35">
      <c r="A555" t="str">
        <f t="shared" si="8"/>
        <v>GP037930B825</v>
      </c>
      <c r="B555" s="7" t="s">
        <v>157</v>
      </c>
      <c r="C555" s="7" t="s">
        <v>511</v>
      </c>
      <c r="D555" s="7" t="s">
        <v>16</v>
      </c>
      <c r="E555" s="7" t="s">
        <v>1177</v>
      </c>
      <c r="F555" s="7" t="s">
        <v>128</v>
      </c>
      <c r="G555" s="7" t="s">
        <v>130</v>
      </c>
      <c r="H555" s="7" t="s">
        <v>129</v>
      </c>
      <c r="I555" s="30">
        <v>2</v>
      </c>
      <c r="J555" s="7" t="s">
        <v>1177</v>
      </c>
      <c r="K555" s="7" t="s">
        <v>1178</v>
      </c>
      <c r="L555" s="7" t="s">
        <v>132</v>
      </c>
      <c r="M555" s="7" t="s">
        <v>133</v>
      </c>
      <c r="N555" s="30">
        <v>0</v>
      </c>
      <c r="O555" s="30">
        <v>0</v>
      </c>
      <c r="P555" s="30">
        <v>0</v>
      </c>
      <c r="Q555" s="30">
        <v>0</v>
      </c>
      <c r="R555" s="29">
        <v>0</v>
      </c>
      <c r="S555" s="36">
        <v>0</v>
      </c>
      <c r="T555" s="7" t="s">
        <v>131</v>
      </c>
      <c r="U555" s="7" t="s">
        <v>512</v>
      </c>
      <c r="V555" s="7" t="s">
        <v>512</v>
      </c>
      <c r="W555" s="7" t="s">
        <v>1177</v>
      </c>
      <c r="X555" s="30">
        <v>1</v>
      </c>
      <c r="Y555" s="7" t="s">
        <v>1177</v>
      </c>
      <c r="Z555" s="7" t="s">
        <v>1178</v>
      </c>
      <c r="AA555" s="30">
        <v>0</v>
      </c>
      <c r="AB555" s="36">
        <v>0</v>
      </c>
      <c r="AC555" s="7" t="s">
        <v>1177</v>
      </c>
      <c r="AD555" s="37">
        <v>0</v>
      </c>
      <c r="AE555" s="7" t="s">
        <v>1177</v>
      </c>
      <c r="AF555" s="7" t="s">
        <v>1177</v>
      </c>
      <c r="AG555" s="7" t="s">
        <v>1177</v>
      </c>
      <c r="AH555" s="38"/>
      <c r="AI555" s="36">
        <v>0</v>
      </c>
      <c r="AJ555" s="7" t="s">
        <v>1193</v>
      </c>
      <c r="AK555" s="7" t="s">
        <v>1177</v>
      </c>
      <c r="AL555" s="7" t="s">
        <v>1177</v>
      </c>
      <c r="AM555" s="7" t="s">
        <v>1177</v>
      </c>
      <c r="AN555" s="7" t="s">
        <v>3212</v>
      </c>
      <c r="AO555" s="7" t="s">
        <v>1177</v>
      </c>
      <c r="AP555" s="7" t="s">
        <v>1177</v>
      </c>
      <c r="AQ555" s="7" t="s">
        <v>1177</v>
      </c>
      <c r="AR555" s="29">
        <v>0</v>
      </c>
      <c r="AS555" s="7" t="s">
        <v>1177</v>
      </c>
      <c r="AT555" s="7" t="s">
        <v>1363</v>
      </c>
      <c r="AU555" s="38">
        <v>46275</v>
      </c>
      <c r="AV555" s="39">
        <v>0.60350694444443997</v>
      </c>
    </row>
    <row r="556" spans="1:48" x14ac:dyDescent="0.35">
      <c r="A556" t="str">
        <f t="shared" si="8"/>
        <v>GP037930B832</v>
      </c>
      <c r="B556" s="7" t="s">
        <v>157</v>
      </c>
      <c r="C556" s="7" t="s">
        <v>653</v>
      </c>
      <c r="D556" s="7" t="s">
        <v>19</v>
      </c>
      <c r="E556" s="7" t="s">
        <v>1177</v>
      </c>
      <c r="F556" s="7" t="s">
        <v>128</v>
      </c>
      <c r="G556" s="7" t="s">
        <v>130</v>
      </c>
      <c r="H556" s="7" t="s">
        <v>129</v>
      </c>
      <c r="I556" s="30">
        <v>2</v>
      </c>
      <c r="J556" s="7" t="s">
        <v>1177</v>
      </c>
      <c r="K556" s="7" t="s">
        <v>1178</v>
      </c>
      <c r="L556" s="7" t="s">
        <v>132</v>
      </c>
      <c r="M556" s="7" t="s">
        <v>133</v>
      </c>
      <c r="N556" s="30">
        <v>0</v>
      </c>
      <c r="O556" s="30">
        <v>0</v>
      </c>
      <c r="P556" s="30">
        <v>0</v>
      </c>
      <c r="Q556" s="30">
        <v>0</v>
      </c>
      <c r="R556" s="29">
        <v>0</v>
      </c>
      <c r="S556" s="36">
        <v>0</v>
      </c>
      <c r="T556" s="7" t="s">
        <v>131</v>
      </c>
      <c r="U556" s="7" t="s">
        <v>654</v>
      </c>
      <c r="V556" s="7" t="s">
        <v>654</v>
      </c>
      <c r="W556" s="7" t="s">
        <v>1177</v>
      </c>
      <c r="X556" s="30">
        <v>1</v>
      </c>
      <c r="Y556" s="7" t="s">
        <v>1177</v>
      </c>
      <c r="Z556" s="7" t="s">
        <v>1178</v>
      </c>
      <c r="AA556" s="30">
        <v>0</v>
      </c>
      <c r="AB556" s="36">
        <v>0</v>
      </c>
      <c r="AC556" s="7" t="s">
        <v>1177</v>
      </c>
      <c r="AD556" s="37">
        <v>0</v>
      </c>
      <c r="AE556" s="7" t="s">
        <v>1177</v>
      </c>
      <c r="AF556" s="7" t="s">
        <v>1177</v>
      </c>
      <c r="AG556" s="7" t="s">
        <v>1177</v>
      </c>
      <c r="AH556" s="38"/>
      <c r="AI556" s="36">
        <v>0</v>
      </c>
      <c r="AJ556" s="7" t="s">
        <v>1193</v>
      </c>
      <c r="AK556" s="7" t="s">
        <v>1177</v>
      </c>
      <c r="AL556" s="7" t="s">
        <v>1177</v>
      </c>
      <c r="AM556" s="7" t="s">
        <v>1177</v>
      </c>
      <c r="AN556" s="7" t="s">
        <v>3212</v>
      </c>
      <c r="AO556" s="7" t="s">
        <v>1177</v>
      </c>
      <c r="AP556" s="7" t="s">
        <v>1177</v>
      </c>
      <c r="AQ556" s="7" t="s">
        <v>1177</v>
      </c>
      <c r="AR556" s="29">
        <v>0</v>
      </c>
      <c r="AS556" s="7" t="s">
        <v>1177</v>
      </c>
      <c r="AT556" s="7" t="s">
        <v>1363</v>
      </c>
      <c r="AU556" s="38">
        <v>46275</v>
      </c>
      <c r="AV556" s="39">
        <v>0.60386574074073995</v>
      </c>
    </row>
    <row r="557" spans="1:48" x14ac:dyDescent="0.35">
      <c r="A557" t="str">
        <f t="shared" si="8"/>
        <v>GP040682B825</v>
      </c>
      <c r="B557" s="7" t="s">
        <v>382</v>
      </c>
      <c r="C557" s="7" t="s">
        <v>511</v>
      </c>
      <c r="D557" s="7" t="s">
        <v>16</v>
      </c>
      <c r="E557" s="7" t="s">
        <v>1177</v>
      </c>
      <c r="F557" s="7" t="s">
        <v>128</v>
      </c>
      <c r="G557" s="7" t="s">
        <v>130</v>
      </c>
      <c r="H557" s="7" t="s">
        <v>129</v>
      </c>
      <c r="I557" s="30">
        <v>1</v>
      </c>
      <c r="J557" s="7" t="s">
        <v>1177</v>
      </c>
      <c r="K557" s="7" t="s">
        <v>1178</v>
      </c>
      <c r="L557" s="7" t="s">
        <v>132</v>
      </c>
      <c r="M557" s="7" t="s">
        <v>133</v>
      </c>
      <c r="N557" s="30">
        <v>0</v>
      </c>
      <c r="O557" s="30">
        <v>0</v>
      </c>
      <c r="P557" s="30">
        <v>0</v>
      </c>
      <c r="Q557" s="30">
        <v>0</v>
      </c>
      <c r="R557" s="29">
        <v>0</v>
      </c>
      <c r="S557" s="36">
        <v>0</v>
      </c>
      <c r="T557" s="7" t="s">
        <v>131</v>
      </c>
      <c r="U557" s="7" t="s">
        <v>512</v>
      </c>
      <c r="V557" s="7" t="s">
        <v>512</v>
      </c>
      <c r="W557" s="7" t="s">
        <v>1177</v>
      </c>
      <c r="X557" s="30">
        <v>1</v>
      </c>
      <c r="Y557" s="7" t="s">
        <v>1177</v>
      </c>
      <c r="Z557" s="7" t="s">
        <v>1178</v>
      </c>
      <c r="AA557" s="30">
        <v>0</v>
      </c>
      <c r="AB557" s="36">
        <v>0</v>
      </c>
      <c r="AC557" s="7" t="s">
        <v>1177</v>
      </c>
      <c r="AD557" s="37">
        <v>0</v>
      </c>
      <c r="AE557" s="7" t="s">
        <v>1177</v>
      </c>
      <c r="AF557" s="7" t="s">
        <v>1177</v>
      </c>
      <c r="AG557" s="7" t="s">
        <v>1177</v>
      </c>
      <c r="AH557" s="38"/>
      <c r="AI557" s="36">
        <v>0</v>
      </c>
      <c r="AJ557" s="7" t="s">
        <v>1193</v>
      </c>
      <c r="AK557" s="7" t="s">
        <v>1177</v>
      </c>
      <c r="AL557" s="7" t="s">
        <v>1177</v>
      </c>
      <c r="AM557" s="7" t="s">
        <v>1177</v>
      </c>
      <c r="AN557" s="7" t="s">
        <v>3212</v>
      </c>
      <c r="AO557" s="7" t="s">
        <v>1177</v>
      </c>
      <c r="AP557" s="7" t="s">
        <v>1177</v>
      </c>
      <c r="AQ557" s="7" t="s">
        <v>1177</v>
      </c>
      <c r="AR557" s="29">
        <v>0</v>
      </c>
      <c r="AS557" s="7" t="s">
        <v>1177</v>
      </c>
      <c r="AT557" s="7" t="s">
        <v>1363</v>
      </c>
      <c r="AU557" s="38">
        <v>46275</v>
      </c>
      <c r="AV557" s="39">
        <v>0.6034837962963</v>
      </c>
    </row>
    <row r="558" spans="1:48" x14ac:dyDescent="0.35">
      <c r="A558" t="str">
        <f t="shared" si="8"/>
        <v>GP040684B825</v>
      </c>
      <c r="B558" s="7" t="s">
        <v>158</v>
      </c>
      <c r="C558" s="7" t="s">
        <v>511</v>
      </c>
      <c r="D558" s="7" t="s">
        <v>16</v>
      </c>
      <c r="E558" s="7" t="s">
        <v>1177</v>
      </c>
      <c r="F558" s="7" t="s">
        <v>128</v>
      </c>
      <c r="G558" s="7" t="s">
        <v>130</v>
      </c>
      <c r="H558" s="7" t="s">
        <v>129</v>
      </c>
      <c r="I558" s="30">
        <v>10</v>
      </c>
      <c r="J558" s="7" t="s">
        <v>1177</v>
      </c>
      <c r="K558" s="7" t="s">
        <v>1178</v>
      </c>
      <c r="L558" s="7" t="s">
        <v>132</v>
      </c>
      <c r="M558" s="7" t="s">
        <v>133</v>
      </c>
      <c r="N558" s="30">
        <v>0</v>
      </c>
      <c r="O558" s="30">
        <v>0</v>
      </c>
      <c r="P558" s="30">
        <v>0</v>
      </c>
      <c r="Q558" s="30">
        <v>0</v>
      </c>
      <c r="R558" s="29">
        <v>0</v>
      </c>
      <c r="S558" s="36">
        <v>0</v>
      </c>
      <c r="T558" s="7" t="s">
        <v>131</v>
      </c>
      <c r="U558" s="7" t="s">
        <v>512</v>
      </c>
      <c r="V558" s="7" t="s">
        <v>512</v>
      </c>
      <c r="W558" s="7" t="s">
        <v>1177</v>
      </c>
      <c r="X558" s="30">
        <v>3</v>
      </c>
      <c r="Y558" s="7" t="s">
        <v>1177</v>
      </c>
      <c r="Z558" s="7" t="s">
        <v>1178</v>
      </c>
      <c r="AA558" s="30">
        <v>0</v>
      </c>
      <c r="AB558" s="36">
        <v>0</v>
      </c>
      <c r="AC558" s="7" t="s">
        <v>1177</v>
      </c>
      <c r="AD558" s="37">
        <v>0</v>
      </c>
      <c r="AE558" s="7" t="s">
        <v>1177</v>
      </c>
      <c r="AF558" s="7" t="s">
        <v>1177</v>
      </c>
      <c r="AG558" s="7" t="s">
        <v>1177</v>
      </c>
      <c r="AH558" s="38"/>
      <c r="AI558" s="36">
        <v>0</v>
      </c>
      <c r="AJ558" s="7" t="s">
        <v>1193</v>
      </c>
      <c r="AK558" s="7" t="s">
        <v>1177</v>
      </c>
      <c r="AL558" s="7" t="s">
        <v>1177</v>
      </c>
      <c r="AM558" s="7" t="s">
        <v>1177</v>
      </c>
      <c r="AN558" s="7" t="s">
        <v>3212</v>
      </c>
      <c r="AO558" s="7" t="s">
        <v>1177</v>
      </c>
      <c r="AP558" s="7" t="s">
        <v>1177</v>
      </c>
      <c r="AQ558" s="7" t="s">
        <v>1177</v>
      </c>
      <c r="AR558" s="29">
        <v>0</v>
      </c>
      <c r="AS558" s="7" t="s">
        <v>1177</v>
      </c>
      <c r="AT558" s="7" t="s">
        <v>1363</v>
      </c>
      <c r="AU558" s="38">
        <v>46275</v>
      </c>
      <c r="AV558" s="39">
        <v>0.6034837962963</v>
      </c>
    </row>
    <row r="559" spans="1:48" x14ac:dyDescent="0.35">
      <c r="A559" t="str">
        <f t="shared" si="8"/>
        <v>GP040684B832</v>
      </c>
      <c r="B559" s="7" t="s">
        <v>158</v>
      </c>
      <c r="C559" s="7" t="s">
        <v>653</v>
      </c>
      <c r="D559" s="7" t="s">
        <v>19</v>
      </c>
      <c r="E559" s="7" t="s">
        <v>1177</v>
      </c>
      <c r="F559" s="7" t="s">
        <v>128</v>
      </c>
      <c r="G559" s="7" t="s">
        <v>130</v>
      </c>
      <c r="H559" s="7" t="s">
        <v>129</v>
      </c>
      <c r="I559" s="30">
        <v>2</v>
      </c>
      <c r="J559" s="7" t="s">
        <v>1177</v>
      </c>
      <c r="K559" s="7" t="s">
        <v>1178</v>
      </c>
      <c r="L559" s="7" t="s">
        <v>132</v>
      </c>
      <c r="M559" s="7" t="s">
        <v>133</v>
      </c>
      <c r="N559" s="30">
        <v>0</v>
      </c>
      <c r="O559" s="30">
        <v>0</v>
      </c>
      <c r="P559" s="30">
        <v>0</v>
      </c>
      <c r="Q559" s="30">
        <v>0</v>
      </c>
      <c r="R559" s="29">
        <v>0</v>
      </c>
      <c r="S559" s="36">
        <v>0</v>
      </c>
      <c r="T559" s="7" t="s">
        <v>131</v>
      </c>
      <c r="U559" s="7" t="s">
        <v>654</v>
      </c>
      <c r="V559" s="7" t="s">
        <v>654</v>
      </c>
      <c r="W559" s="7" t="s">
        <v>1177</v>
      </c>
      <c r="X559" s="30">
        <v>1</v>
      </c>
      <c r="Y559" s="7" t="s">
        <v>1177</v>
      </c>
      <c r="Z559" s="7" t="s">
        <v>1178</v>
      </c>
      <c r="AA559" s="30">
        <v>0</v>
      </c>
      <c r="AB559" s="36">
        <v>0</v>
      </c>
      <c r="AC559" s="7" t="s">
        <v>1177</v>
      </c>
      <c r="AD559" s="37">
        <v>0</v>
      </c>
      <c r="AE559" s="7" t="s">
        <v>1177</v>
      </c>
      <c r="AF559" s="7" t="s">
        <v>1177</v>
      </c>
      <c r="AG559" s="7" t="s">
        <v>1177</v>
      </c>
      <c r="AH559" s="38"/>
      <c r="AI559" s="36">
        <v>0</v>
      </c>
      <c r="AJ559" s="7" t="s">
        <v>1193</v>
      </c>
      <c r="AK559" s="7" t="s">
        <v>1177</v>
      </c>
      <c r="AL559" s="7" t="s">
        <v>1177</v>
      </c>
      <c r="AM559" s="7" t="s">
        <v>1177</v>
      </c>
      <c r="AN559" s="7" t="s">
        <v>3212</v>
      </c>
      <c r="AO559" s="7" t="s">
        <v>1177</v>
      </c>
      <c r="AP559" s="7" t="s">
        <v>1177</v>
      </c>
      <c r="AQ559" s="7" t="s">
        <v>1177</v>
      </c>
      <c r="AR559" s="29">
        <v>0</v>
      </c>
      <c r="AS559" s="7" t="s">
        <v>1177</v>
      </c>
      <c r="AT559" s="7" t="s">
        <v>1363</v>
      </c>
      <c r="AU559" s="38">
        <v>46275</v>
      </c>
      <c r="AV559" s="39">
        <v>0.60387731481481</v>
      </c>
    </row>
    <row r="560" spans="1:48" x14ac:dyDescent="0.35">
      <c r="A560" t="str">
        <f t="shared" si="8"/>
        <v>GP040686B825</v>
      </c>
      <c r="B560" s="7" t="s">
        <v>313</v>
      </c>
      <c r="C560" s="7" t="s">
        <v>511</v>
      </c>
      <c r="D560" s="7" t="s">
        <v>16</v>
      </c>
      <c r="E560" s="7" t="s">
        <v>1177</v>
      </c>
      <c r="F560" s="7" t="s">
        <v>128</v>
      </c>
      <c r="G560" s="7" t="s">
        <v>130</v>
      </c>
      <c r="H560" s="7" t="s">
        <v>129</v>
      </c>
      <c r="I560" s="30">
        <v>1</v>
      </c>
      <c r="J560" s="7" t="s">
        <v>1177</v>
      </c>
      <c r="K560" s="7" t="s">
        <v>1178</v>
      </c>
      <c r="L560" s="7" t="s">
        <v>132</v>
      </c>
      <c r="M560" s="7" t="s">
        <v>133</v>
      </c>
      <c r="N560" s="30">
        <v>0</v>
      </c>
      <c r="O560" s="30">
        <v>0</v>
      </c>
      <c r="P560" s="30">
        <v>0</v>
      </c>
      <c r="Q560" s="30">
        <v>0</v>
      </c>
      <c r="R560" s="29">
        <v>0</v>
      </c>
      <c r="S560" s="36">
        <v>0</v>
      </c>
      <c r="T560" s="7" t="s">
        <v>131</v>
      </c>
      <c r="U560" s="7" t="s">
        <v>512</v>
      </c>
      <c r="V560" s="7" t="s">
        <v>512</v>
      </c>
      <c r="W560" s="7" t="s">
        <v>1177</v>
      </c>
      <c r="X560" s="30">
        <v>1</v>
      </c>
      <c r="Y560" s="7" t="s">
        <v>1177</v>
      </c>
      <c r="Z560" s="7" t="s">
        <v>1178</v>
      </c>
      <c r="AA560" s="30">
        <v>0</v>
      </c>
      <c r="AB560" s="36">
        <v>0</v>
      </c>
      <c r="AC560" s="7" t="s">
        <v>1177</v>
      </c>
      <c r="AD560" s="37">
        <v>0</v>
      </c>
      <c r="AE560" s="7" t="s">
        <v>1177</v>
      </c>
      <c r="AF560" s="7" t="s">
        <v>1177</v>
      </c>
      <c r="AG560" s="7" t="s">
        <v>1177</v>
      </c>
      <c r="AH560" s="38"/>
      <c r="AI560" s="36">
        <v>0</v>
      </c>
      <c r="AJ560" s="7" t="s">
        <v>1193</v>
      </c>
      <c r="AK560" s="7" t="s">
        <v>1177</v>
      </c>
      <c r="AL560" s="7" t="s">
        <v>1177</v>
      </c>
      <c r="AM560" s="7" t="s">
        <v>1177</v>
      </c>
      <c r="AN560" s="7" t="s">
        <v>3212</v>
      </c>
      <c r="AO560" s="7" t="s">
        <v>1177</v>
      </c>
      <c r="AP560" s="7" t="s">
        <v>1177</v>
      </c>
      <c r="AQ560" s="7" t="s">
        <v>1177</v>
      </c>
      <c r="AR560" s="29">
        <v>0</v>
      </c>
      <c r="AS560" s="7" t="s">
        <v>1177</v>
      </c>
      <c r="AT560" s="7" t="s">
        <v>1363</v>
      </c>
      <c r="AU560" s="38">
        <v>46275</v>
      </c>
      <c r="AV560" s="39">
        <v>0.6034837962963</v>
      </c>
    </row>
    <row r="561" spans="1:48" x14ac:dyDescent="0.35">
      <c r="A561" t="str">
        <f t="shared" si="8"/>
        <v>GP040686B832</v>
      </c>
      <c r="B561" s="7" t="s">
        <v>313</v>
      </c>
      <c r="C561" s="7" t="s">
        <v>653</v>
      </c>
      <c r="D561" s="7" t="s">
        <v>19</v>
      </c>
      <c r="E561" s="7" t="s">
        <v>1177</v>
      </c>
      <c r="F561" s="7" t="s">
        <v>128</v>
      </c>
      <c r="G561" s="7" t="s">
        <v>130</v>
      </c>
      <c r="H561" s="7" t="s">
        <v>129</v>
      </c>
      <c r="I561" s="30">
        <v>1</v>
      </c>
      <c r="J561" s="7" t="s">
        <v>1177</v>
      </c>
      <c r="K561" s="7" t="s">
        <v>1178</v>
      </c>
      <c r="L561" s="7" t="s">
        <v>132</v>
      </c>
      <c r="M561" s="7" t="s">
        <v>133</v>
      </c>
      <c r="N561" s="30">
        <v>0</v>
      </c>
      <c r="O561" s="30">
        <v>0</v>
      </c>
      <c r="P561" s="30">
        <v>0</v>
      </c>
      <c r="Q561" s="30">
        <v>0</v>
      </c>
      <c r="R561" s="29">
        <v>0</v>
      </c>
      <c r="S561" s="36">
        <v>0</v>
      </c>
      <c r="T561" s="7" t="s">
        <v>131</v>
      </c>
      <c r="U561" s="7" t="s">
        <v>654</v>
      </c>
      <c r="V561" s="7" t="s">
        <v>654</v>
      </c>
      <c r="W561" s="7" t="s">
        <v>1177</v>
      </c>
      <c r="X561" s="30">
        <v>1</v>
      </c>
      <c r="Y561" s="7" t="s">
        <v>1177</v>
      </c>
      <c r="Z561" s="7" t="s">
        <v>1178</v>
      </c>
      <c r="AA561" s="30">
        <v>0</v>
      </c>
      <c r="AB561" s="36">
        <v>0</v>
      </c>
      <c r="AC561" s="7" t="s">
        <v>1177</v>
      </c>
      <c r="AD561" s="37">
        <v>0</v>
      </c>
      <c r="AE561" s="7" t="s">
        <v>1177</v>
      </c>
      <c r="AF561" s="7" t="s">
        <v>1177</v>
      </c>
      <c r="AG561" s="7" t="s">
        <v>1177</v>
      </c>
      <c r="AH561" s="38"/>
      <c r="AI561" s="36">
        <v>0</v>
      </c>
      <c r="AJ561" s="7" t="s">
        <v>1193</v>
      </c>
      <c r="AK561" s="7" t="s">
        <v>1177</v>
      </c>
      <c r="AL561" s="7" t="s">
        <v>1177</v>
      </c>
      <c r="AM561" s="7" t="s">
        <v>1177</v>
      </c>
      <c r="AN561" s="7" t="s">
        <v>3212</v>
      </c>
      <c r="AO561" s="7" t="s">
        <v>1177</v>
      </c>
      <c r="AP561" s="7" t="s">
        <v>1177</v>
      </c>
      <c r="AQ561" s="7" t="s">
        <v>1177</v>
      </c>
      <c r="AR561" s="29">
        <v>0</v>
      </c>
      <c r="AS561" s="7" t="s">
        <v>1177</v>
      </c>
      <c r="AT561" s="7" t="s">
        <v>1363</v>
      </c>
      <c r="AU561" s="38">
        <v>46275</v>
      </c>
      <c r="AV561" s="39">
        <v>0.60390046296295996</v>
      </c>
    </row>
    <row r="562" spans="1:48" x14ac:dyDescent="0.35">
      <c r="A562" t="str">
        <f t="shared" si="8"/>
        <v>GP040689B825</v>
      </c>
      <c r="B562" s="7" t="s">
        <v>159</v>
      </c>
      <c r="C562" s="7" t="s">
        <v>511</v>
      </c>
      <c r="D562" s="7" t="s">
        <v>16</v>
      </c>
      <c r="E562" s="7" t="s">
        <v>1177</v>
      </c>
      <c r="F562" s="7" t="s">
        <v>128</v>
      </c>
      <c r="G562" s="7" t="s">
        <v>130</v>
      </c>
      <c r="H562" s="7" t="s">
        <v>129</v>
      </c>
      <c r="I562" s="30">
        <v>2</v>
      </c>
      <c r="J562" s="7" t="s">
        <v>1177</v>
      </c>
      <c r="K562" s="7" t="s">
        <v>1178</v>
      </c>
      <c r="L562" s="7" t="s">
        <v>132</v>
      </c>
      <c r="M562" s="7" t="s">
        <v>133</v>
      </c>
      <c r="N562" s="30">
        <v>0</v>
      </c>
      <c r="O562" s="30">
        <v>0</v>
      </c>
      <c r="P562" s="30">
        <v>0</v>
      </c>
      <c r="Q562" s="30">
        <v>0</v>
      </c>
      <c r="R562" s="29">
        <v>0</v>
      </c>
      <c r="S562" s="36">
        <v>0</v>
      </c>
      <c r="T562" s="7" t="s">
        <v>131</v>
      </c>
      <c r="U562" s="7" t="s">
        <v>512</v>
      </c>
      <c r="V562" s="7" t="s">
        <v>512</v>
      </c>
      <c r="W562" s="7" t="s">
        <v>1177</v>
      </c>
      <c r="X562" s="30">
        <v>1</v>
      </c>
      <c r="Y562" s="7" t="s">
        <v>1177</v>
      </c>
      <c r="Z562" s="7" t="s">
        <v>1178</v>
      </c>
      <c r="AA562" s="30">
        <v>0</v>
      </c>
      <c r="AB562" s="36">
        <v>0</v>
      </c>
      <c r="AC562" s="7" t="s">
        <v>1177</v>
      </c>
      <c r="AD562" s="37">
        <v>0</v>
      </c>
      <c r="AE562" s="7" t="s">
        <v>1177</v>
      </c>
      <c r="AF562" s="7" t="s">
        <v>1177</v>
      </c>
      <c r="AG562" s="7" t="s">
        <v>1177</v>
      </c>
      <c r="AH562" s="38"/>
      <c r="AI562" s="36">
        <v>0</v>
      </c>
      <c r="AJ562" s="7" t="s">
        <v>1193</v>
      </c>
      <c r="AK562" s="7" t="s">
        <v>1177</v>
      </c>
      <c r="AL562" s="7" t="s">
        <v>1177</v>
      </c>
      <c r="AM562" s="7" t="s">
        <v>1177</v>
      </c>
      <c r="AN562" s="7" t="s">
        <v>3212</v>
      </c>
      <c r="AO562" s="7" t="s">
        <v>1177</v>
      </c>
      <c r="AP562" s="7" t="s">
        <v>1177</v>
      </c>
      <c r="AQ562" s="7" t="s">
        <v>1177</v>
      </c>
      <c r="AR562" s="29">
        <v>0</v>
      </c>
      <c r="AS562" s="7" t="s">
        <v>1177</v>
      </c>
      <c r="AT562" s="7" t="s">
        <v>1363</v>
      </c>
      <c r="AU562" s="38">
        <v>46275</v>
      </c>
      <c r="AV562" s="39">
        <v>0.6034837962963</v>
      </c>
    </row>
    <row r="563" spans="1:48" x14ac:dyDescent="0.35">
      <c r="A563" t="str">
        <f t="shared" si="8"/>
        <v>GP040689B832</v>
      </c>
      <c r="B563" s="7" t="s">
        <v>159</v>
      </c>
      <c r="C563" s="7" t="s">
        <v>653</v>
      </c>
      <c r="D563" s="7" t="s">
        <v>19</v>
      </c>
      <c r="E563" s="7" t="s">
        <v>1177</v>
      </c>
      <c r="F563" s="7" t="s">
        <v>128</v>
      </c>
      <c r="G563" s="7" t="s">
        <v>130</v>
      </c>
      <c r="H563" s="7" t="s">
        <v>129</v>
      </c>
      <c r="I563" s="30">
        <v>2</v>
      </c>
      <c r="J563" s="7" t="s">
        <v>1177</v>
      </c>
      <c r="K563" s="7" t="s">
        <v>1178</v>
      </c>
      <c r="L563" s="7" t="s">
        <v>132</v>
      </c>
      <c r="M563" s="7" t="s">
        <v>133</v>
      </c>
      <c r="N563" s="30">
        <v>0</v>
      </c>
      <c r="O563" s="30">
        <v>0</v>
      </c>
      <c r="P563" s="30">
        <v>0</v>
      </c>
      <c r="Q563" s="30">
        <v>0</v>
      </c>
      <c r="R563" s="29">
        <v>0</v>
      </c>
      <c r="S563" s="36">
        <v>0</v>
      </c>
      <c r="T563" s="7" t="s">
        <v>131</v>
      </c>
      <c r="U563" s="7" t="s">
        <v>654</v>
      </c>
      <c r="V563" s="7" t="s">
        <v>654</v>
      </c>
      <c r="W563" s="7" t="s">
        <v>1177</v>
      </c>
      <c r="X563" s="30">
        <v>1</v>
      </c>
      <c r="Y563" s="7" t="s">
        <v>1177</v>
      </c>
      <c r="Z563" s="7" t="s">
        <v>1178</v>
      </c>
      <c r="AA563" s="30">
        <v>0</v>
      </c>
      <c r="AB563" s="36">
        <v>0</v>
      </c>
      <c r="AC563" s="7" t="s">
        <v>1177</v>
      </c>
      <c r="AD563" s="37">
        <v>0</v>
      </c>
      <c r="AE563" s="7" t="s">
        <v>1177</v>
      </c>
      <c r="AF563" s="7" t="s">
        <v>1177</v>
      </c>
      <c r="AG563" s="7" t="s">
        <v>1177</v>
      </c>
      <c r="AH563" s="38"/>
      <c r="AI563" s="36">
        <v>0</v>
      </c>
      <c r="AJ563" s="7" t="s">
        <v>1193</v>
      </c>
      <c r="AK563" s="7" t="s">
        <v>1177</v>
      </c>
      <c r="AL563" s="7" t="s">
        <v>1177</v>
      </c>
      <c r="AM563" s="7" t="s">
        <v>1177</v>
      </c>
      <c r="AN563" s="7" t="s">
        <v>3212</v>
      </c>
      <c r="AO563" s="7" t="s">
        <v>1177</v>
      </c>
      <c r="AP563" s="7" t="s">
        <v>1177</v>
      </c>
      <c r="AQ563" s="7" t="s">
        <v>1177</v>
      </c>
      <c r="AR563" s="29">
        <v>0</v>
      </c>
      <c r="AS563" s="7" t="s">
        <v>1177</v>
      </c>
      <c r="AT563" s="7" t="s">
        <v>1363</v>
      </c>
      <c r="AU563" s="38">
        <v>46275</v>
      </c>
      <c r="AV563" s="39">
        <v>0.60390046296295996</v>
      </c>
    </row>
    <row r="564" spans="1:48" x14ac:dyDescent="0.35">
      <c r="A564" t="str">
        <f t="shared" si="8"/>
        <v>GP040689B838</v>
      </c>
      <c r="B564" s="7" t="s">
        <v>159</v>
      </c>
      <c r="C564" s="7" t="s">
        <v>744</v>
      </c>
      <c r="D564" s="7" t="s">
        <v>48</v>
      </c>
      <c r="E564" s="7" t="s">
        <v>1177</v>
      </c>
      <c r="F564" s="7" t="s">
        <v>128</v>
      </c>
      <c r="G564" s="7" t="s">
        <v>130</v>
      </c>
      <c r="H564" s="7" t="s">
        <v>129</v>
      </c>
      <c r="I564" s="30">
        <v>2</v>
      </c>
      <c r="J564" s="7" t="s">
        <v>1177</v>
      </c>
      <c r="K564" s="7" t="s">
        <v>1178</v>
      </c>
      <c r="L564" s="7" t="s">
        <v>132</v>
      </c>
      <c r="M564" s="7" t="s">
        <v>133</v>
      </c>
      <c r="N564" s="30">
        <v>0</v>
      </c>
      <c r="O564" s="30">
        <v>0</v>
      </c>
      <c r="P564" s="30">
        <v>0</v>
      </c>
      <c r="Q564" s="30">
        <v>0</v>
      </c>
      <c r="R564" s="29">
        <v>0</v>
      </c>
      <c r="S564" s="36">
        <v>0</v>
      </c>
      <c r="T564" s="7" t="s">
        <v>131</v>
      </c>
      <c r="U564" s="7" t="s">
        <v>745</v>
      </c>
      <c r="V564" s="7" t="s">
        <v>745</v>
      </c>
      <c r="W564" s="7" t="s">
        <v>1177</v>
      </c>
      <c r="X564" s="30">
        <v>1</v>
      </c>
      <c r="Y564" s="7" t="s">
        <v>1177</v>
      </c>
      <c r="Z564" s="7" t="s">
        <v>1178</v>
      </c>
      <c r="AA564" s="30">
        <v>0</v>
      </c>
      <c r="AB564" s="36">
        <v>0</v>
      </c>
      <c r="AC564" s="7" t="s">
        <v>1177</v>
      </c>
      <c r="AD564" s="37">
        <v>0</v>
      </c>
      <c r="AE564" s="7" t="s">
        <v>1177</v>
      </c>
      <c r="AF564" s="7" t="s">
        <v>1177</v>
      </c>
      <c r="AG564" s="7" t="s">
        <v>1177</v>
      </c>
      <c r="AH564" s="38"/>
      <c r="AI564" s="36">
        <v>0</v>
      </c>
      <c r="AJ564" s="7" t="s">
        <v>1193</v>
      </c>
      <c r="AK564" s="7" t="s">
        <v>1177</v>
      </c>
      <c r="AL564" s="7" t="s">
        <v>1177</v>
      </c>
      <c r="AM564" s="7" t="s">
        <v>1177</v>
      </c>
      <c r="AN564" s="7" t="s">
        <v>3212</v>
      </c>
      <c r="AO564" s="7" t="s">
        <v>1177</v>
      </c>
      <c r="AP564" s="7" t="s">
        <v>1177</v>
      </c>
      <c r="AQ564" s="7" t="s">
        <v>1177</v>
      </c>
      <c r="AR564" s="29">
        <v>0</v>
      </c>
      <c r="AS564" s="7" t="s">
        <v>1177</v>
      </c>
      <c r="AT564" s="7" t="s">
        <v>1363</v>
      </c>
      <c r="AU564" s="38">
        <v>46275</v>
      </c>
      <c r="AV564" s="39">
        <v>0.60474537037037002</v>
      </c>
    </row>
    <row r="565" spans="1:48" x14ac:dyDescent="0.35">
      <c r="A565" t="str">
        <f t="shared" si="8"/>
        <v>GP041249B825</v>
      </c>
      <c r="B565" s="7" t="s">
        <v>383</v>
      </c>
      <c r="C565" s="7" t="s">
        <v>511</v>
      </c>
      <c r="D565" s="7" t="s">
        <v>16</v>
      </c>
      <c r="E565" s="7" t="s">
        <v>1177</v>
      </c>
      <c r="F565" s="7" t="s">
        <v>128</v>
      </c>
      <c r="G565" s="7" t="s">
        <v>130</v>
      </c>
      <c r="H565" s="7" t="s">
        <v>129</v>
      </c>
      <c r="I565" s="30">
        <v>2</v>
      </c>
      <c r="J565" s="7" t="s">
        <v>1177</v>
      </c>
      <c r="K565" s="7" t="s">
        <v>1178</v>
      </c>
      <c r="L565" s="7" t="s">
        <v>132</v>
      </c>
      <c r="M565" s="7" t="s">
        <v>133</v>
      </c>
      <c r="N565" s="30">
        <v>0</v>
      </c>
      <c r="O565" s="30">
        <v>0</v>
      </c>
      <c r="P565" s="30">
        <v>0</v>
      </c>
      <c r="Q565" s="30">
        <v>0</v>
      </c>
      <c r="R565" s="29">
        <v>0</v>
      </c>
      <c r="S565" s="36">
        <v>0</v>
      </c>
      <c r="T565" s="7" t="s">
        <v>131</v>
      </c>
      <c r="U565" s="7" t="s">
        <v>512</v>
      </c>
      <c r="V565" s="7" t="s">
        <v>512</v>
      </c>
      <c r="W565" s="7" t="s">
        <v>1177</v>
      </c>
      <c r="X565" s="30">
        <v>1</v>
      </c>
      <c r="Y565" s="7" t="s">
        <v>1177</v>
      </c>
      <c r="Z565" s="7" t="s">
        <v>1178</v>
      </c>
      <c r="AA565" s="30">
        <v>0</v>
      </c>
      <c r="AB565" s="36">
        <v>0</v>
      </c>
      <c r="AC565" s="7" t="s">
        <v>1177</v>
      </c>
      <c r="AD565" s="37">
        <v>0</v>
      </c>
      <c r="AE565" s="7" t="s">
        <v>1177</v>
      </c>
      <c r="AF565" s="7" t="s">
        <v>1177</v>
      </c>
      <c r="AG565" s="7" t="s">
        <v>1177</v>
      </c>
      <c r="AH565" s="38"/>
      <c r="AI565" s="36">
        <v>0</v>
      </c>
      <c r="AJ565" s="7" t="s">
        <v>1193</v>
      </c>
      <c r="AK565" s="7" t="s">
        <v>1177</v>
      </c>
      <c r="AL565" s="7" t="s">
        <v>1177</v>
      </c>
      <c r="AM565" s="7" t="s">
        <v>1177</v>
      </c>
      <c r="AN565" s="7" t="s">
        <v>3212</v>
      </c>
      <c r="AO565" s="7" t="s">
        <v>1177</v>
      </c>
      <c r="AP565" s="7" t="s">
        <v>1177</v>
      </c>
      <c r="AQ565" s="7" t="s">
        <v>1177</v>
      </c>
      <c r="AR565" s="29">
        <v>0</v>
      </c>
      <c r="AS565" s="7" t="s">
        <v>1177</v>
      </c>
      <c r="AT565" s="7" t="s">
        <v>1363</v>
      </c>
      <c r="AU565" s="38">
        <v>46275</v>
      </c>
      <c r="AV565" s="39">
        <v>0.62300925925925998</v>
      </c>
    </row>
    <row r="566" spans="1:48" x14ac:dyDescent="0.35">
      <c r="A566" t="str">
        <f t="shared" si="8"/>
        <v>GP041335B857</v>
      </c>
      <c r="B566" s="7" t="s">
        <v>385</v>
      </c>
      <c r="C566" s="7" t="s">
        <v>958</v>
      </c>
      <c r="D566" s="7" t="s">
        <v>23</v>
      </c>
      <c r="E566" s="7" t="s">
        <v>1177</v>
      </c>
      <c r="F566" s="7" t="s">
        <v>128</v>
      </c>
      <c r="G566" s="7" t="s">
        <v>130</v>
      </c>
      <c r="H566" s="7" t="s">
        <v>129</v>
      </c>
      <c r="I566" s="30">
        <v>2</v>
      </c>
      <c r="J566" s="7" t="s">
        <v>1177</v>
      </c>
      <c r="K566" s="7" t="s">
        <v>1178</v>
      </c>
      <c r="L566" s="7" t="s">
        <v>132</v>
      </c>
      <c r="M566" s="7" t="s">
        <v>133</v>
      </c>
      <c r="N566" s="30">
        <v>0</v>
      </c>
      <c r="O566" s="30">
        <v>0</v>
      </c>
      <c r="P566" s="30">
        <v>0</v>
      </c>
      <c r="Q566" s="30">
        <v>0</v>
      </c>
      <c r="R566" s="29">
        <v>0</v>
      </c>
      <c r="S566" s="36">
        <v>0</v>
      </c>
      <c r="T566" s="7" t="s">
        <v>131</v>
      </c>
      <c r="U566" s="7" t="s">
        <v>959</v>
      </c>
      <c r="V566" s="7" t="s">
        <v>959</v>
      </c>
      <c r="W566" s="7" t="s">
        <v>1177</v>
      </c>
      <c r="X566" s="30">
        <v>1</v>
      </c>
      <c r="Y566" s="7" t="s">
        <v>1177</v>
      </c>
      <c r="Z566" s="7" t="s">
        <v>1178</v>
      </c>
      <c r="AA566" s="30">
        <v>0</v>
      </c>
      <c r="AB566" s="36">
        <v>0</v>
      </c>
      <c r="AC566" s="7" t="s">
        <v>1177</v>
      </c>
      <c r="AD566" s="37">
        <v>0</v>
      </c>
      <c r="AE566" s="7" t="s">
        <v>1177</v>
      </c>
      <c r="AF566" s="7" t="s">
        <v>1177</v>
      </c>
      <c r="AG566" s="7" t="s">
        <v>1177</v>
      </c>
      <c r="AH566" s="38"/>
      <c r="AI566" s="36">
        <v>0</v>
      </c>
      <c r="AJ566" s="7" t="s">
        <v>1193</v>
      </c>
      <c r="AK566" s="7" t="s">
        <v>1177</v>
      </c>
      <c r="AL566" s="7" t="s">
        <v>1177</v>
      </c>
      <c r="AM566" s="7" t="s">
        <v>1177</v>
      </c>
      <c r="AN566" s="7" t="s">
        <v>3212</v>
      </c>
      <c r="AO566" s="7" t="s">
        <v>1177</v>
      </c>
      <c r="AP566" s="7" t="s">
        <v>1177</v>
      </c>
      <c r="AQ566" s="7" t="s">
        <v>1177</v>
      </c>
      <c r="AR566" s="29">
        <v>0</v>
      </c>
      <c r="AS566" s="7" t="s">
        <v>1177</v>
      </c>
      <c r="AT566" s="7" t="s">
        <v>1363</v>
      </c>
      <c r="AU566" s="38">
        <v>46275</v>
      </c>
      <c r="AV566" s="39">
        <v>0.60524305555556002</v>
      </c>
    </row>
    <row r="567" spans="1:48" x14ac:dyDescent="0.35">
      <c r="A567" t="str">
        <f t="shared" si="8"/>
        <v>GP042104B832</v>
      </c>
      <c r="B567" s="7" t="s">
        <v>386</v>
      </c>
      <c r="C567" s="7" t="s">
        <v>653</v>
      </c>
      <c r="D567" s="7" t="s">
        <v>19</v>
      </c>
      <c r="E567" s="7" t="s">
        <v>1177</v>
      </c>
      <c r="F567" s="7" t="s">
        <v>128</v>
      </c>
      <c r="G567" s="7" t="s">
        <v>130</v>
      </c>
      <c r="H567" s="7" t="s">
        <v>129</v>
      </c>
      <c r="I567" s="30">
        <v>1</v>
      </c>
      <c r="J567" s="7" t="s">
        <v>1177</v>
      </c>
      <c r="K567" s="7" t="s">
        <v>1178</v>
      </c>
      <c r="L567" s="7" t="s">
        <v>132</v>
      </c>
      <c r="M567" s="7" t="s">
        <v>133</v>
      </c>
      <c r="N567" s="30">
        <v>0</v>
      </c>
      <c r="O567" s="30">
        <v>0</v>
      </c>
      <c r="P567" s="30">
        <v>0</v>
      </c>
      <c r="Q567" s="30">
        <v>0</v>
      </c>
      <c r="R567" s="29">
        <v>0</v>
      </c>
      <c r="S567" s="36">
        <v>0</v>
      </c>
      <c r="T567" s="7" t="s">
        <v>131</v>
      </c>
      <c r="U567" s="7" t="s">
        <v>654</v>
      </c>
      <c r="V567" s="7" t="s">
        <v>654</v>
      </c>
      <c r="W567" s="7" t="s">
        <v>1177</v>
      </c>
      <c r="X567" s="30">
        <v>1</v>
      </c>
      <c r="Y567" s="7" t="s">
        <v>1177</v>
      </c>
      <c r="Z567" s="7" t="s">
        <v>1178</v>
      </c>
      <c r="AA567" s="30">
        <v>0</v>
      </c>
      <c r="AB567" s="36">
        <v>0</v>
      </c>
      <c r="AC567" s="7" t="s">
        <v>1177</v>
      </c>
      <c r="AD567" s="37">
        <v>0</v>
      </c>
      <c r="AE567" s="7" t="s">
        <v>1177</v>
      </c>
      <c r="AF567" s="7" t="s">
        <v>1177</v>
      </c>
      <c r="AG567" s="7" t="s">
        <v>1177</v>
      </c>
      <c r="AH567" s="38"/>
      <c r="AI567" s="36">
        <v>0</v>
      </c>
      <c r="AJ567" s="7" t="s">
        <v>1193</v>
      </c>
      <c r="AK567" s="7" t="s">
        <v>1177</v>
      </c>
      <c r="AL567" s="7" t="s">
        <v>1177</v>
      </c>
      <c r="AM567" s="7" t="s">
        <v>1177</v>
      </c>
      <c r="AN567" s="7" t="s">
        <v>3212</v>
      </c>
      <c r="AO567" s="7" t="s">
        <v>1177</v>
      </c>
      <c r="AP567" s="7" t="s">
        <v>1177</v>
      </c>
      <c r="AQ567" s="7" t="s">
        <v>1177</v>
      </c>
      <c r="AR567" s="29">
        <v>0</v>
      </c>
      <c r="AS567" s="7" t="s">
        <v>1177</v>
      </c>
      <c r="AT567" s="7" t="s">
        <v>1363</v>
      </c>
      <c r="AU567" s="38">
        <v>46275</v>
      </c>
      <c r="AV567" s="39">
        <v>0.60391203703703999</v>
      </c>
    </row>
    <row r="568" spans="1:48" x14ac:dyDescent="0.35">
      <c r="A568" t="str">
        <f t="shared" si="8"/>
        <v>GP043119B825</v>
      </c>
      <c r="B568" s="7" t="s">
        <v>387</v>
      </c>
      <c r="C568" s="7" t="s">
        <v>511</v>
      </c>
      <c r="D568" s="7" t="s">
        <v>16</v>
      </c>
      <c r="E568" s="7" t="s">
        <v>1177</v>
      </c>
      <c r="F568" s="7" t="s">
        <v>128</v>
      </c>
      <c r="G568" s="7" t="s">
        <v>130</v>
      </c>
      <c r="H568" s="7" t="s">
        <v>129</v>
      </c>
      <c r="I568" s="30">
        <v>2</v>
      </c>
      <c r="J568" s="7" t="s">
        <v>1177</v>
      </c>
      <c r="K568" s="7" t="s">
        <v>1178</v>
      </c>
      <c r="L568" s="7" t="s">
        <v>132</v>
      </c>
      <c r="M568" s="7" t="s">
        <v>133</v>
      </c>
      <c r="N568" s="30">
        <v>0</v>
      </c>
      <c r="O568" s="30">
        <v>0</v>
      </c>
      <c r="P568" s="30">
        <v>0</v>
      </c>
      <c r="Q568" s="30">
        <v>0</v>
      </c>
      <c r="R568" s="29">
        <v>0</v>
      </c>
      <c r="S568" s="36">
        <v>0</v>
      </c>
      <c r="T568" s="7" t="s">
        <v>131</v>
      </c>
      <c r="U568" s="7" t="s">
        <v>512</v>
      </c>
      <c r="V568" s="7" t="s">
        <v>512</v>
      </c>
      <c r="W568" s="7" t="s">
        <v>1177</v>
      </c>
      <c r="X568" s="30">
        <v>1</v>
      </c>
      <c r="Y568" s="7" t="s">
        <v>1177</v>
      </c>
      <c r="Z568" s="7" t="s">
        <v>1178</v>
      </c>
      <c r="AA568" s="30">
        <v>0</v>
      </c>
      <c r="AB568" s="36">
        <v>0</v>
      </c>
      <c r="AC568" s="7" t="s">
        <v>1177</v>
      </c>
      <c r="AD568" s="37">
        <v>0</v>
      </c>
      <c r="AE568" s="7" t="s">
        <v>1177</v>
      </c>
      <c r="AF568" s="7" t="s">
        <v>1177</v>
      </c>
      <c r="AG568" s="7" t="s">
        <v>1177</v>
      </c>
      <c r="AH568" s="38"/>
      <c r="AI568" s="36">
        <v>0</v>
      </c>
      <c r="AJ568" s="7" t="s">
        <v>1193</v>
      </c>
      <c r="AK568" s="7" t="s">
        <v>1177</v>
      </c>
      <c r="AL568" s="7" t="s">
        <v>1177</v>
      </c>
      <c r="AM568" s="7" t="s">
        <v>1177</v>
      </c>
      <c r="AN568" s="7" t="s">
        <v>3212</v>
      </c>
      <c r="AO568" s="7" t="s">
        <v>1177</v>
      </c>
      <c r="AP568" s="7" t="s">
        <v>1177</v>
      </c>
      <c r="AQ568" s="7" t="s">
        <v>1177</v>
      </c>
      <c r="AR568" s="29">
        <v>0</v>
      </c>
      <c r="AS568" s="7" t="s">
        <v>1177</v>
      </c>
      <c r="AT568" s="7" t="s">
        <v>1363</v>
      </c>
      <c r="AU568" s="38">
        <v>46275</v>
      </c>
      <c r="AV568" s="39">
        <v>0.6034837962963</v>
      </c>
    </row>
    <row r="569" spans="1:48" x14ac:dyDescent="0.35">
      <c r="A569" t="str">
        <f t="shared" si="8"/>
        <v>GP044002B825</v>
      </c>
      <c r="B569" s="7" t="s">
        <v>490</v>
      </c>
      <c r="C569" s="7" t="s">
        <v>511</v>
      </c>
      <c r="D569" s="7" t="s">
        <v>16</v>
      </c>
      <c r="E569" s="7" t="s">
        <v>1177</v>
      </c>
      <c r="F569" s="7" t="s">
        <v>134</v>
      </c>
      <c r="G569" s="7" t="s">
        <v>130</v>
      </c>
      <c r="H569" s="7" t="s">
        <v>129</v>
      </c>
      <c r="I569" s="30">
        <v>2</v>
      </c>
      <c r="J569" s="7" t="s">
        <v>1177</v>
      </c>
      <c r="K569" s="7" t="s">
        <v>1178</v>
      </c>
      <c r="L569" s="7" t="s">
        <v>132</v>
      </c>
      <c r="M569" s="7" t="s">
        <v>133</v>
      </c>
      <c r="N569" s="30">
        <v>0</v>
      </c>
      <c r="O569" s="30">
        <v>0</v>
      </c>
      <c r="P569" s="30">
        <v>0</v>
      </c>
      <c r="Q569" s="30">
        <v>0</v>
      </c>
      <c r="R569" s="29">
        <v>0</v>
      </c>
      <c r="S569" s="36">
        <v>0</v>
      </c>
      <c r="T569" s="7" t="s">
        <v>131</v>
      </c>
      <c r="U569" s="7" t="s">
        <v>512</v>
      </c>
      <c r="V569" s="7" t="s">
        <v>512</v>
      </c>
      <c r="W569" s="7" t="s">
        <v>1177</v>
      </c>
      <c r="X569" s="30">
        <v>2</v>
      </c>
      <c r="Y569" s="7" t="s">
        <v>1177</v>
      </c>
      <c r="Z569" s="7" t="s">
        <v>1178</v>
      </c>
      <c r="AA569" s="30">
        <v>0</v>
      </c>
      <c r="AB569" s="36">
        <v>0</v>
      </c>
      <c r="AC569" s="7" t="s">
        <v>1177</v>
      </c>
      <c r="AD569" s="37">
        <v>0</v>
      </c>
      <c r="AE569" s="7" t="s">
        <v>1177</v>
      </c>
      <c r="AF569" s="7" t="s">
        <v>1177</v>
      </c>
      <c r="AG569" s="7" t="s">
        <v>1177</v>
      </c>
      <c r="AH569" s="38"/>
      <c r="AI569" s="36">
        <v>0</v>
      </c>
      <c r="AJ569" s="7" t="s">
        <v>1193</v>
      </c>
      <c r="AK569" s="7" t="s">
        <v>1177</v>
      </c>
      <c r="AL569" s="7" t="s">
        <v>1177</v>
      </c>
      <c r="AM569" s="7" t="s">
        <v>1177</v>
      </c>
      <c r="AN569" s="7" t="s">
        <v>3212</v>
      </c>
      <c r="AO569" s="7" t="s">
        <v>1177</v>
      </c>
      <c r="AP569" s="7" t="s">
        <v>1177</v>
      </c>
      <c r="AQ569" s="7" t="s">
        <v>1177</v>
      </c>
      <c r="AR569" s="29">
        <v>0</v>
      </c>
      <c r="AS569" s="7" t="s">
        <v>1177</v>
      </c>
      <c r="AT569" s="7" t="s">
        <v>1363</v>
      </c>
      <c r="AU569" s="38">
        <v>46275</v>
      </c>
      <c r="AV569" s="39">
        <v>0.60353009259259005</v>
      </c>
    </row>
    <row r="570" spans="1:48" x14ac:dyDescent="0.35">
      <c r="A570" t="str">
        <f t="shared" si="8"/>
        <v>GP046882B832</v>
      </c>
      <c r="B570" s="7" t="s">
        <v>664</v>
      </c>
      <c r="C570" s="7" t="s">
        <v>653</v>
      </c>
      <c r="D570" s="7" t="s">
        <v>19</v>
      </c>
      <c r="E570" s="7" t="s">
        <v>1177</v>
      </c>
      <c r="F570" s="7" t="s">
        <v>128</v>
      </c>
      <c r="G570" s="7" t="s">
        <v>130</v>
      </c>
      <c r="H570" s="7" t="s">
        <v>129</v>
      </c>
      <c r="I570" s="30">
        <v>3</v>
      </c>
      <c r="J570" s="7" t="s">
        <v>1177</v>
      </c>
      <c r="K570" s="7" t="s">
        <v>1178</v>
      </c>
      <c r="L570" s="7" t="s">
        <v>132</v>
      </c>
      <c r="M570" s="7" t="s">
        <v>133</v>
      </c>
      <c r="N570" s="30">
        <v>0</v>
      </c>
      <c r="O570" s="30">
        <v>0</v>
      </c>
      <c r="P570" s="30">
        <v>0</v>
      </c>
      <c r="Q570" s="30">
        <v>0</v>
      </c>
      <c r="R570" s="29">
        <v>0</v>
      </c>
      <c r="S570" s="36">
        <v>0</v>
      </c>
      <c r="T570" s="7" t="s">
        <v>131</v>
      </c>
      <c r="U570" s="7" t="s">
        <v>654</v>
      </c>
      <c r="V570" s="7" t="s">
        <v>654</v>
      </c>
      <c r="W570" s="7" t="s">
        <v>1177</v>
      </c>
      <c r="X570" s="30">
        <v>1</v>
      </c>
      <c r="Y570" s="7" t="s">
        <v>1177</v>
      </c>
      <c r="Z570" s="7" t="s">
        <v>1178</v>
      </c>
      <c r="AA570" s="30">
        <v>0</v>
      </c>
      <c r="AB570" s="36">
        <v>0</v>
      </c>
      <c r="AC570" s="7" t="s">
        <v>1177</v>
      </c>
      <c r="AD570" s="37">
        <v>0</v>
      </c>
      <c r="AE570" s="7" t="s">
        <v>1177</v>
      </c>
      <c r="AF570" s="7" t="s">
        <v>1177</v>
      </c>
      <c r="AG570" s="7" t="s">
        <v>1177</v>
      </c>
      <c r="AH570" s="38"/>
      <c r="AI570" s="36">
        <v>0</v>
      </c>
      <c r="AJ570" s="7" t="s">
        <v>1193</v>
      </c>
      <c r="AK570" s="7" t="s">
        <v>1177</v>
      </c>
      <c r="AL570" s="7" t="s">
        <v>1177</v>
      </c>
      <c r="AM570" s="7" t="s">
        <v>1177</v>
      </c>
      <c r="AN570" s="7" t="s">
        <v>3212</v>
      </c>
      <c r="AO570" s="7" t="s">
        <v>1177</v>
      </c>
      <c r="AP570" s="7" t="s">
        <v>1177</v>
      </c>
      <c r="AQ570" s="7" t="s">
        <v>1177</v>
      </c>
      <c r="AR570" s="29">
        <v>0</v>
      </c>
      <c r="AS570" s="7" t="s">
        <v>1177</v>
      </c>
      <c r="AT570" s="7" t="s">
        <v>1363</v>
      </c>
      <c r="AU570" s="38">
        <v>46275</v>
      </c>
      <c r="AV570" s="39">
        <v>0.62340277777777997</v>
      </c>
    </row>
    <row r="571" spans="1:48" x14ac:dyDescent="0.35">
      <c r="A571" t="str">
        <f t="shared" si="8"/>
        <v>GP046882B833</v>
      </c>
      <c r="B571" s="7" t="s">
        <v>664</v>
      </c>
      <c r="C571" s="7" t="s">
        <v>698</v>
      </c>
      <c r="D571" s="7" t="s">
        <v>697</v>
      </c>
      <c r="E571" s="7" t="s">
        <v>1177</v>
      </c>
      <c r="F571" s="7" t="s">
        <v>128</v>
      </c>
      <c r="G571" s="7" t="s">
        <v>130</v>
      </c>
      <c r="H571" s="7" t="s">
        <v>129</v>
      </c>
      <c r="I571" s="30">
        <v>3</v>
      </c>
      <c r="J571" s="7" t="s">
        <v>1177</v>
      </c>
      <c r="K571" s="7" t="s">
        <v>1178</v>
      </c>
      <c r="L571" s="7" t="s">
        <v>132</v>
      </c>
      <c r="M571" s="7" t="s">
        <v>133</v>
      </c>
      <c r="N571" s="30">
        <v>0</v>
      </c>
      <c r="O571" s="30">
        <v>0</v>
      </c>
      <c r="P571" s="30">
        <v>0</v>
      </c>
      <c r="Q571" s="30">
        <v>0</v>
      </c>
      <c r="R571" s="29">
        <v>0</v>
      </c>
      <c r="S571" s="36">
        <v>0</v>
      </c>
      <c r="T571" s="7" t="s">
        <v>131</v>
      </c>
      <c r="U571" s="7" t="s">
        <v>699</v>
      </c>
      <c r="V571" s="7" t="s">
        <v>699</v>
      </c>
      <c r="W571" s="7" t="s">
        <v>1177</v>
      </c>
      <c r="X571" s="30">
        <v>1</v>
      </c>
      <c r="Y571" s="7" t="s">
        <v>1177</v>
      </c>
      <c r="Z571" s="7" t="s">
        <v>1178</v>
      </c>
      <c r="AA571" s="30">
        <v>0</v>
      </c>
      <c r="AB571" s="36">
        <v>0</v>
      </c>
      <c r="AC571" s="7" t="s">
        <v>1177</v>
      </c>
      <c r="AD571" s="37">
        <v>0</v>
      </c>
      <c r="AE571" s="7" t="s">
        <v>1177</v>
      </c>
      <c r="AF571" s="7" t="s">
        <v>1177</v>
      </c>
      <c r="AG571" s="7" t="s">
        <v>1177</v>
      </c>
      <c r="AH571" s="38"/>
      <c r="AI571" s="36">
        <v>0</v>
      </c>
      <c r="AJ571" s="7" t="s">
        <v>1193</v>
      </c>
      <c r="AK571" s="7" t="s">
        <v>1177</v>
      </c>
      <c r="AL571" s="7" t="s">
        <v>1177</v>
      </c>
      <c r="AM571" s="7" t="s">
        <v>1177</v>
      </c>
      <c r="AN571" s="7" t="s">
        <v>3212</v>
      </c>
      <c r="AO571" s="7" t="s">
        <v>1177</v>
      </c>
      <c r="AP571" s="7" t="s">
        <v>1177</v>
      </c>
      <c r="AQ571" s="7" t="s">
        <v>1177</v>
      </c>
      <c r="AR571" s="29">
        <v>0</v>
      </c>
      <c r="AS571" s="7" t="s">
        <v>1177</v>
      </c>
      <c r="AT571" s="7" t="s">
        <v>1363</v>
      </c>
      <c r="AU571" s="38">
        <v>46275</v>
      </c>
      <c r="AV571" s="39">
        <v>0.62348379629630002</v>
      </c>
    </row>
    <row r="572" spans="1:48" x14ac:dyDescent="0.35">
      <c r="A572" t="str">
        <f t="shared" si="8"/>
        <v>GP050735B825</v>
      </c>
      <c r="B572" s="7" t="s">
        <v>160</v>
      </c>
      <c r="C572" s="7" t="s">
        <v>511</v>
      </c>
      <c r="D572" s="7" t="s">
        <v>16</v>
      </c>
      <c r="E572" s="7" t="s">
        <v>1177</v>
      </c>
      <c r="F572" s="7" t="s">
        <v>128</v>
      </c>
      <c r="G572" s="7" t="s">
        <v>130</v>
      </c>
      <c r="H572" s="7" t="s">
        <v>129</v>
      </c>
      <c r="I572" s="30">
        <v>2</v>
      </c>
      <c r="J572" s="7" t="s">
        <v>1177</v>
      </c>
      <c r="K572" s="7" t="s">
        <v>1178</v>
      </c>
      <c r="L572" s="7" t="s">
        <v>132</v>
      </c>
      <c r="M572" s="7" t="s">
        <v>133</v>
      </c>
      <c r="N572" s="30">
        <v>0</v>
      </c>
      <c r="O572" s="30">
        <v>0</v>
      </c>
      <c r="P572" s="30">
        <v>0</v>
      </c>
      <c r="Q572" s="30">
        <v>0</v>
      </c>
      <c r="R572" s="29">
        <v>0</v>
      </c>
      <c r="S572" s="36">
        <v>0</v>
      </c>
      <c r="T572" s="7" t="s">
        <v>131</v>
      </c>
      <c r="U572" s="7" t="s">
        <v>512</v>
      </c>
      <c r="V572" s="7" t="s">
        <v>512</v>
      </c>
      <c r="W572" s="7" t="s">
        <v>1177</v>
      </c>
      <c r="X572" s="30">
        <v>1</v>
      </c>
      <c r="Y572" s="7" t="s">
        <v>1177</v>
      </c>
      <c r="Z572" s="7" t="s">
        <v>1178</v>
      </c>
      <c r="AA572" s="30">
        <v>0</v>
      </c>
      <c r="AB572" s="36">
        <v>0</v>
      </c>
      <c r="AC572" s="7" t="s">
        <v>1177</v>
      </c>
      <c r="AD572" s="37">
        <v>0</v>
      </c>
      <c r="AE572" s="7" t="s">
        <v>1177</v>
      </c>
      <c r="AF572" s="7" t="s">
        <v>1177</v>
      </c>
      <c r="AG572" s="7" t="s">
        <v>1177</v>
      </c>
      <c r="AH572" s="38"/>
      <c r="AI572" s="36">
        <v>0</v>
      </c>
      <c r="AJ572" s="7" t="s">
        <v>1193</v>
      </c>
      <c r="AK572" s="7" t="s">
        <v>1177</v>
      </c>
      <c r="AL572" s="7" t="s">
        <v>1177</v>
      </c>
      <c r="AM572" s="7" t="s">
        <v>1177</v>
      </c>
      <c r="AN572" s="7" t="s">
        <v>3212</v>
      </c>
      <c r="AO572" s="7" t="s">
        <v>1177</v>
      </c>
      <c r="AP572" s="7" t="s">
        <v>1177</v>
      </c>
      <c r="AQ572" s="7" t="s">
        <v>1177</v>
      </c>
      <c r="AR572" s="29">
        <v>0</v>
      </c>
      <c r="AS572" s="7" t="s">
        <v>1177</v>
      </c>
      <c r="AT572" s="7" t="s">
        <v>1363</v>
      </c>
      <c r="AU572" s="38">
        <v>46275</v>
      </c>
      <c r="AV572" s="39">
        <v>0.6034837962963</v>
      </c>
    </row>
    <row r="573" spans="1:48" x14ac:dyDescent="0.35">
      <c r="A573" t="str">
        <f t="shared" si="8"/>
        <v>GP051555-001B825</v>
      </c>
      <c r="B573" s="7" t="s">
        <v>243</v>
      </c>
      <c r="C573" s="7" t="s">
        <v>511</v>
      </c>
      <c r="D573" s="7" t="s">
        <v>16</v>
      </c>
      <c r="E573" s="7" t="s">
        <v>1177</v>
      </c>
      <c r="F573" s="7" t="s">
        <v>128</v>
      </c>
      <c r="G573" s="7" t="s">
        <v>130</v>
      </c>
      <c r="H573" s="7" t="s">
        <v>129</v>
      </c>
      <c r="I573" s="30">
        <v>1</v>
      </c>
      <c r="J573" s="7" t="s">
        <v>1177</v>
      </c>
      <c r="K573" s="7" t="s">
        <v>1178</v>
      </c>
      <c r="L573" s="7" t="s">
        <v>132</v>
      </c>
      <c r="M573" s="7" t="s">
        <v>133</v>
      </c>
      <c r="N573" s="30">
        <v>0</v>
      </c>
      <c r="O573" s="30">
        <v>0</v>
      </c>
      <c r="P573" s="30">
        <v>0</v>
      </c>
      <c r="Q573" s="30">
        <v>0</v>
      </c>
      <c r="R573" s="29">
        <v>0</v>
      </c>
      <c r="S573" s="36">
        <v>0</v>
      </c>
      <c r="T573" s="7" t="s">
        <v>131</v>
      </c>
      <c r="U573" s="7" t="s">
        <v>512</v>
      </c>
      <c r="V573" s="7" t="s">
        <v>512</v>
      </c>
      <c r="W573" s="7" t="s">
        <v>1177</v>
      </c>
      <c r="X573" s="30">
        <v>1</v>
      </c>
      <c r="Y573" s="7" t="s">
        <v>1177</v>
      </c>
      <c r="Z573" s="7" t="s">
        <v>1178</v>
      </c>
      <c r="AA573" s="30">
        <v>0</v>
      </c>
      <c r="AB573" s="36">
        <v>0</v>
      </c>
      <c r="AC573" s="7" t="s">
        <v>1177</v>
      </c>
      <c r="AD573" s="37">
        <v>0</v>
      </c>
      <c r="AE573" s="7" t="s">
        <v>1177</v>
      </c>
      <c r="AF573" s="7" t="s">
        <v>1177</v>
      </c>
      <c r="AG573" s="7" t="s">
        <v>1177</v>
      </c>
      <c r="AH573" s="38"/>
      <c r="AI573" s="36">
        <v>0</v>
      </c>
      <c r="AJ573" s="7" t="s">
        <v>1193</v>
      </c>
      <c r="AK573" s="7" t="s">
        <v>1177</v>
      </c>
      <c r="AL573" s="7" t="s">
        <v>1177</v>
      </c>
      <c r="AM573" s="7" t="s">
        <v>1177</v>
      </c>
      <c r="AN573" s="7" t="s">
        <v>3212</v>
      </c>
      <c r="AO573" s="7" t="s">
        <v>1177</v>
      </c>
      <c r="AP573" s="7" t="s">
        <v>1177</v>
      </c>
      <c r="AQ573" s="7" t="s">
        <v>1177</v>
      </c>
      <c r="AR573" s="29">
        <v>0</v>
      </c>
      <c r="AS573" s="7" t="s">
        <v>1177</v>
      </c>
      <c r="AT573" s="7" t="s">
        <v>1363</v>
      </c>
      <c r="AU573" s="38">
        <v>46275</v>
      </c>
      <c r="AV573" s="39">
        <v>0.6034837962963</v>
      </c>
    </row>
    <row r="574" spans="1:48" x14ac:dyDescent="0.35">
      <c r="A574" t="str">
        <f t="shared" si="8"/>
        <v>GP051555-001B832</v>
      </c>
      <c r="B574" s="7" t="s">
        <v>243</v>
      </c>
      <c r="C574" s="7" t="s">
        <v>653</v>
      </c>
      <c r="D574" s="7" t="s">
        <v>19</v>
      </c>
      <c r="E574" s="7" t="s">
        <v>1177</v>
      </c>
      <c r="F574" s="7" t="s">
        <v>128</v>
      </c>
      <c r="G574" s="7" t="s">
        <v>130</v>
      </c>
      <c r="H574" s="7" t="s">
        <v>129</v>
      </c>
      <c r="I574" s="30">
        <v>2</v>
      </c>
      <c r="J574" s="7" t="s">
        <v>1177</v>
      </c>
      <c r="K574" s="7" t="s">
        <v>1178</v>
      </c>
      <c r="L574" s="7" t="s">
        <v>132</v>
      </c>
      <c r="M574" s="7" t="s">
        <v>133</v>
      </c>
      <c r="N574" s="30">
        <v>0</v>
      </c>
      <c r="O574" s="30">
        <v>0</v>
      </c>
      <c r="P574" s="30">
        <v>0</v>
      </c>
      <c r="Q574" s="30">
        <v>0</v>
      </c>
      <c r="R574" s="29">
        <v>0</v>
      </c>
      <c r="S574" s="36">
        <v>0</v>
      </c>
      <c r="T574" s="7" t="s">
        <v>131</v>
      </c>
      <c r="U574" s="7" t="s">
        <v>654</v>
      </c>
      <c r="V574" s="7" t="s">
        <v>654</v>
      </c>
      <c r="W574" s="7" t="s">
        <v>1177</v>
      </c>
      <c r="X574" s="30">
        <v>1</v>
      </c>
      <c r="Y574" s="7" t="s">
        <v>1177</v>
      </c>
      <c r="Z574" s="7" t="s">
        <v>1178</v>
      </c>
      <c r="AA574" s="30">
        <v>0</v>
      </c>
      <c r="AB574" s="36">
        <v>0</v>
      </c>
      <c r="AC574" s="7" t="s">
        <v>1177</v>
      </c>
      <c r="AD574" s="37">
        <v>0</v>
      </c>
      <c r="AE574" s="7" t="s">
        <v>1177</v>
      </c>
      <c r="AF574" s="7" t="s">
        <v>1177</v>
      </c>
      <c r="AG574" s="7" t="s">
        <v>1177</v>
      </c>
      <c r="AH574" s="38"/>
      <c r="AI574" s="36">
        <v>0</v>
      </c>
      <c r="AJ574" s="7" t="s">
        <v>1193</v>
      </c>
      <c r="AK574" s="7" t="s">
        <v>1177</v>
      </c>
      <c r="AL574" s="7" t="s">
        <v>1177</v>
      </c>
      <c r="AM574" s="7" t="s">
        <v>1177</v>
      </c>
      <c r="AN574" s="7" t="s">
        <v>3212</v>
      </c>
      <c r="AO574" s="7" t="s">
        <v>1177</v>
      </c>
      <c r="AP574" s="7" t="s">
        <v>1177</v>
      </c>
      <c r="AQ574" s="7" t="s">
        <v>1177</v>
      </c>
      <c r="AR574" s="29">
        <v>0</v>
      </c>
      <c r="AS574" s="7" t="s">
        <v>1177</v>
      </c>
      <c r="AT574" s="7" t="s">
        <v>1363</v>
      </c>
      <c r="AU574" s="38">
        <v>46275</v>
      </c>
      <c r="AV574" s="39">
        <v>0.60391203703703999</v>
      </c>
    </row>
    <row r="575" spans="1:48" x14ac:dyDescent="0.35">
      <c r="A575" t="str">
        <f t="shared" si="8"/>
        <v>GP051692B832</v>
      </c>
      <c r="B575" s="7" t="s">
        <v>665</v>
      </c>
      <c r="C575" s="7" t="s">
        <v>653</v>
      </c>
      <c r="D575" s="7" t="s">
        <v>19</v>
      </c>
      <c r="E575" s="7" t="s">
        <v>1177</v>
      </c>
      <c r="F575" s="7" t="s">
        <v>128</v>
      </c>
      <c r="G575" s="7" t="s">
        <v>130</v>
      </c>
      <c r="H575" s="7" t="s">
        <v>129</v>
      </c>
      <c r="I575" s="30">
        <v>3</v>
      </c>
      <c r="J575" s="7" t="s">
        <v>1177</v>
      </c>
      <c r="K575" s="7" t="s">
        <v>1178</v>
      </c>
      <c r="L575" s="7" t="s">
        <v>132</v>
      </c>
      <c r="M575" s="7" t="s">
        <v>133</v>
      </c>
      <c r="N575" s="30">
        <v>0</v>
      </c>
      <c r="O575" s="30">
        <v>0</v>
      </c>
      <c r="P575" s="30">
        <v>0</v>
      </c>
      <c r="Q575" s="30">
        <v>0</v>
      </c>
      <c r="R575" s="29">
        <v>0</v>
      </c>
      <c r="S575" s="36">
        <v>0</v>
      </c>
      <c r="T575" s="7" t="s">
        <v>131</v>
      </c>
      <c r="U575" s="7" t="s">
        <v>654</v>
      </c>
      <c r="V575" s="7" t="s">
        <v>654</v>
      </c>
      <c r="W575" s="7" t="s">
        <v>1177</v>
      </c>
      <c r="X575" s="30">
        <v>1</v>
      </c>
      <c r="Y575" s="7" t="s">
        <v>1177</v>
      </c>
      <c r="Z575" s="7" t="s">
        <v>1178</v>
      </c>
      <c r="AA575" s="30">
        <v>0</v>
      </c>
      <c r="AB575" s="36">
        <v>0</v>
      </c>
      <c r="AC575" s="7" t="s">
        <v>1177</v>
      </c>
      <c r="AD575" s="37">
        <v>0</v>
      </c>
      <c r="AE575" s="7" t="s">
        <v>1177</v>
      </c>
      <c r="AF575" s="7" t="s">
        <v>1177</v>
      </c>
      <c r="AG575" s="7" t="s">
        <v>1177</v>
      </c>
      <c r="AH575" s="38"/>
      <c r="AI575" s="36">
        <v>0</v>
      </c>
      <c r="AJ575" s="7" t="s">
        <v>1193</v>
      </c>
      <c r="AK575" s="7" t="s">
        <v>1177</v>
      </c>
      <c r="AL575" s="7" t="s">
        <v>1177</v>
      </c>
      <c r="AM575" s="7" t="s">
        <v>1177</v>
      </c>
      <c r="AN575" s="7" t="s">
        <v>3212</v>
      </c>
      <c r="AO575" s="7" t="s">
        <v>1177</v>
      </c>
      <c r="AP575" s="7" t="s">
        <v>1177</v>
      </c>
      <c r="AQ575" s="7" t="s">
        <v>1177</v>
      </c>
      <c r="AR575" s="29">
        <v>0</v>
      </c>
      <c r="AS575" s="7" t="s">
        <v>1177</v>
      </c>
      <c r="AT575" s="7" t="s">
        <v>1363</v>
      </c>
      <c r="AU575" s="38">
        <v>46275</v>
      </c>
      <c r="AV575" s="39">
        <v>0.60391203703703999</v>
      </c>
    </row>
    <row r="576" spans="1:48" x14ac:dyDescent="0.35">
      <c r="A576" t="str">
        <f t="shared" si="8"/>
        <v>GP051692B833</v>
      </c>
      <c r="B576" s="7" t="s">
        <v>665</v>
      </c>
      <c r="C576" s="7" t="s">
        <v>698</v>
      </c>
      <c r="D576" s="7" t="s">
        <v>697</v>
      </c>
      <c r="E576" s="7" t="s">
        <v>1177</v>
      </c>
      <c r="F576" s="7" t="s">
        <v>128</v>
      </c>
      <c r="G576" s="7" t="s">
        <v>130</v>
      </c>
      <c r="H576" s="7" t="s">
        <v>129</v>
      </c>
      <c r="I576" s="30">
        <v>3</v>
      </c>
      <c r="J576" s="7" t="s">
        <v>1177</v>
      </c>
      <c r="K576" s="7" t="s">
        <v>1178</v>
      </c>
      <c r="L576" s="7" t="s">
        <v>132</v>
      </c>
      <c r="M576" s="7" t="s">
        <v>133</v>
      </c>
      <c r="N576" s="30">
        <v>0</v>
      </c>
      <c r="O576" s="30">
        <v>0</v>
      </c>
      <c r="P576" s="30">
        <v>0</v>
      </c>
      <c r="Q576" s="30">
        <v>0</v>
      </c>
      <c r="R576" s="29">
        <v>0</v>
      </c>
      <c r="S576" s="36">
        <v>0</v>
      </c>
      <c r="T576" s="7" t="s">
        <v>131</v>
      </c>
      <c r="U576" s="7" t="s">
        <v>699</v>
      </c>
      <c r="V576" s="7" t="s">
        <v>699</v>
      </c>
      <c r="W576" s="7" t="s">
        <v>1177</v>
      </c>
      <c r="X576" s="30">
        <v>1</v>
      </c>
      <c r="Y576" s="7" t="s">
        <v>1177</v>
      </c>
      <c r="Z576" s="7" t="s">
        <v>1178</v>
      </c>
      <c r="AA576" s="30">
        <v>0</v>
      </c>
      <c r="AB576" s="36">
        <v>0</v>
      </c>
      <c r="AC576" s="7" t="s">
        <v>1177</v>
      </c>
      <c r="AD576" s="37">
        <v>0</v>
      </c>
      <c r="AE576" s="7" t="s">
        <v>1177</v>
      </c>
      <c r="AF576" s="7" t="s">
        <v>1177</v>
      </c>
      <c r="AG576" s="7" t="s">
        <v>1177</v>
      </c>
      <c r="AH576" s="38"/>
      <c r="AI576" s="36">
        <v>0</v>
      </c>
      <c r="AJ576" s="7" t="s">
        <v>1193</v>
      </c>
      <c r="AK576" s="7" t="s">
        <v>1177</v>
      </c>
      <c r="AL576" s="7" t="s">
        <v>1177</v>
      </c>
      <c r="AM576" s="7" t="s">
        <v>1177</v>
      </c>
      <c r="AN576" s="7" t="s">
        <v>3212</v>
      </c>
      <c r="AO576" s="7" t="s">
        <v>1177</v>
      </c>
      <c r="AP576" s="7" t="s">
        <v>1177</v>
      </c>
      <c r="AQ576" s="7" t="s">
        <v>1177</v>
      </c>
      <c r="AR576" s="29">
        <v>0</v>
      </c>
      <c r="AS576" s="7" t="s">
        <v>1177</v>
      </c>
      <c r="AT576" s="7" t="s">
        <v>1363</v>
      </c>
      <c r="AU576" s="38">
        <v>46275</v>
      </c>
      <c r="AV576" s="39">
        <v>0.60396990740740997</v>
      </c>
    </row>
    <row r="577" spans="1:48" x14ac:dyDescent="0.35">
      <c r="A577" t="str">
        <f t="shared" si="8"/>
        <v>GP051692B857</v>
      </c>
      <c r="B577" s="7" t="s">
        <v>665</v>
      </c>
      <c r="C577" s="7" t="s">
        <v>958</v>
      </c>
      <c r="D577" s="7" t="s">
        <v>23</v>
      </c>
      <c r="E577" s="7" t="s">
        <v>1177</v>
      </c>
      <c r="F577" s="7" t="s">
        <v>128</v>
      </c>
      <c r="G577" s="7" t="s">
        <v>130</v>
      </c>
      <c r="H577" s="7" t="s">
        <v>129</v>
      </c>
      <c r="I577" s="30">
        <v>2</v>
      </c>
      <c r="J577" s="7" t="s">
        <v>1177</v>
      </c>
      <c r="K577" s="7" t="s">
        <v>1178</v>
      </c>
      <c r="L577" s="7" t="s">
        <v>132</v>
      </c>
      <c r="M577" s="7" t="s">
        <v>133</v>
      </c>
      <c r="N577" s="30">
        <v>0</v>
      </c>
      <c r="O577" s="30">
        <v>0</v>
      </c>
      <c r="P577" s="30">
        <v>0</v>
      </c>
      <c r="Q577" s="30">
        <v>0</v>
      </c>
      <c r="R577" s="29">
        <v>0</v>
      </c>
      <c r="S577" s="36">
        <v>0</v>
      </c>
      <c r="T577" s="7" t="s">
        <v>131</v>
      </c>
      <c r="U577" s="7" t="s">
        <v>959</v>
      </c>
      <c r="V577" s="7" t="s">
        <v>959</v>
      </c>
      <c r="W577" s="7" t="s">
        <v>1177</v>
      </c>
      <c r="X577" s="30">
        <v>1</v>
      </c>
      <c r="Y577" s="7" t="s">
        <v>1177</v>
      </c>
      <c r="Z577" s="7" t="s">
        <v>1178</v>
      </c>
      <c r="AA577" s="30">
        <v>0</v>
      </c>
      <c r="AB577" s="36">
        <v>0</v>
      </c>
      <c r="AC577" s="7" t="s">
        <v>1177</v>
      </c>
      <c r="AD577" s="37">
        <v>0</v>
      </c>
      <c r="AE577" s="7" t="s">
        <v>1177</v>
      </c>
      <c r="AF577" s="7" t="s">
        <v>1177</v>
      </c>
      <c r="AG577" s="7" t="s">
        <v>1177</v>
      </c>
      <c r="AH577" s="38"/>
      <c r="AI577" s="36">
        <v>0</v>
      </c>
      <c r="AJ577" s="7" t="s">
        <v>1193</v>
      </c>
      <c r="AK577" s="7" t="s">
        <v>1177</v>
      </c>
      <c r="AL577" s="7" t="s">
        <v>1177</v>
      </c>
      <c r="AM577" s="7" t="s">
        <v>1177</v>
      </c>
      <c r="AN577" s="7" t="s">
        <v>3212</v>
      </c>
      <c r="AO577" s="7" t="s">
        <v>1177</v>
      </c>
      <c r="AP577" s="7" t="s">
        <v>1177</v>
      </c>
      <c r="AQ577" s="7" t="s">
        <v>1177</v>
      </c>
      <c r="AR577" s="29">
        <v>0</v>
      </c>
      <c r="AS577" s="7" t="s">
        <v>1177</v>
      </c>
      <c r="AT577" s="7" t="s">
        <v>1363</v>
      </c>
      <c r="AU577" s="38">
        <v>46275</v>
      </c>
      <c r="AV577" s="39">
        <v>0.60526620370369999</v>
      </c>
    </row>
    <row r="578" spans="1:48" x14ac:dyDescent="0.35">
      <c r="A578" t="str">
        <f t="shared" si="8"/>
        <v>GP051692B864</v>
      </c>
      <c r="B578" s="7" t="s">
        <v>665</v>
      </c>
      <c r="C578" s="7" t="s">
        <v>1010</v>
      </c>
      <c r="D578" s="7" t="s">
        <v>10</v>
      </c>
      <c r="E578" s="7" t="s">
        <v>1177</v>
      </c>
      <c r="F578" s="7" t="s">
        <v>128</v>
      </c>
      <c r="G578" s="7" t="s">
        <v>130</v>
      </c>
      <c r="H578" s="7" t="s">
        <v>129</v>
      </c>
      <c r="I578" s="30">
        <v>2</v>
      </c>
      <c r="J578" s="7" t="s">
        <v>1177</v>
      </c>
      <c r="K578" s="7" t="s">
        <v>1178</v>
      </c>
      <c r="L578" s="7" t="s">
        <v>132</v>
      </c>
      <c r="M578" s="7" t="s">
        <v>133</v>
      </c>
      <c r="N578" s="30">
        <v>0</v>
      </c>
      <c r="O578" s="30">
        <v>0</v>
      </c>
      <c r="P578" s="30">
        <v>0</v>
      </c>
      <c r="Q578" s="30">
        <v>0</v>
      </c>
      <c r="R578" s="29">
        <v>0</v>
      </c>
      <c r="S578" s="36">
        <v>0</v>
      </c>
      <c r="T578" s="7" t="s">
        <v>131</v>
      </c>
      <c r="U578" s="7" t="s">
        <v>1011</v>
      </c>
      <c r="V578" s="7" t="s">
        <v>1011</v>
      </c>
      <c r="W578" s="7" t="s">
        <v>1177</v>
      </c>
      <c r="X578" s="30">
        <v>1</v>
      </c>
      <c r="Y578" s="7" t="s">
        <v>1177</v>
      </c>
      <c r="Z578" s="7" t="s">
        <v>1178</v>
      </c>
      <c r="AA578" s="30">
        <v>0</v>
      </c>
      <c r="AB578" s="36">
        <v>0</v>
      </c>
      <c r="AC578" s="7" t="s">
        <v>1177</v>
      </c>
      <c r="AD578" s="37">
        <v>0</v>
      </c>
      <c r="AE578" s="7" t="s">
        <v>1177</v>
      </c>
      <c r="AF578" s="7" t="s">
        <v>1177</v>
      </c>
      <c r="AG578" s="7" t="s">
        <v>1177</v>
      </c>
      <c r="AH578" s="38"/>
      <c r="AI578" s="36">
        <v>0</v>
      </c>
      <c r="AJ578" s="7" t="s">
        <v>1193</v>
      </c>
      <c r="AK578" s="7" t="s">
        <v>1177</v>
      </c>
      <c r="AL578" s="7" t="s">
        <v>1177</v>
      </c>
      <c r="AM578" s="7" t="s">
        <v>1177</v>
      </c>
      <c r="AN578" s="7" t="s">
        <v>3212</v>
      </c>
      <c r="AO578" s="7" t="s">
        <v>1177</v>
      </c>
      <c r="AP578" s="7" t="s">
        <v>1177</v>
      </c>
      <c r="AQ578" s="7" t="s">
        <v>1177</v>
      </c>
      <c r="AR578" s="29">
        <v>0</v>
      </c>
      <c r="AS578" s="7" t="s">
        <v>1177</v>
      </c>
      <c r="AT578" s="7" t="s">
        <v>1363</v>
      </c>
      <c r="AU578" s="38">
        <v>46275</v>
      </c>
      <c r="AV578" s="39">
        <v>0.60540509259259001</v>
      </c>
    </row>
    <row r="579" spans="1:48" x14ac:dyDescent="0.35">
      <c r="A579" t="str">
        <f t="shared" ref="A579:A642" si="9">_xlfn.CONCAT(B579,D579)</f>
        <v>GP051944B825</v>
      </c>
      <c r="B579" s="7" t="s">
        <v>161</v>
      </c>
      <c r="C579" s="7" t="s">
        <v>511</v>
      </c>
      <c r="D579" s="7" t="s">
        <v>16</v>
      </c>
      <c r="E579" s="7" t="s">
        <v>1177</v>
      </c>
      <c r="F579" s="7" t="s">
        <v>128</v>
      </c>
      <c r="G579" s="7" t="s">
        <v>130</v>
      </c>
      <c r="H579" s="7" t="s">
        <v>162</v>
      </c>
      <c r="I579" s="30">
        <v>600</v>
      </c>
      <c r="J579" s="7" t="s">
        <v>1177</v>
      </c>
      <c r="K579" s="7" t="s">
        <v>1178</v>
      </c>
      <c r="L579" s="7" t="s">
        <v>132</v>
      </c>
      <c r="M579" s="7" t="s">
        <v>137</v>
      </c>
      <c r="N579" s="30">
        <v>0</v>
      </c>
      <c r="O579" s="30">
        <v>0</v>
      </c>
      <c r="P579" s="30">
        <v>0</v>
      </c>
      <c r="Q579" s="30">
        <v>0</v>
      </c>
      <c r="R579" s="29">
        <v>0</v>
      </c>
      <c r="S579" s="36">
        <v>0</v>
      </c>
      <c r="T579" s="7" t="s">
        <v>1177</v>
      </c>
      <c r="U579" s="7" t="s">
        <v>512</v>
      </c>
      <c r="V579" s="7" t="s">
        <v>512</v>
      </c>
      <c r="W579" s="7" t="s">
        <v>1177</v>
      </c>
      <c r="X579" s="30">
        <v>160</v>
      </c>
      <c r="Y579" s="7" t="s">
        <v>1177</v>
      </c>
      <c r="Z579" s="7" t="s">
        <v>1178</v>
      </c>
      <c r="AA579" s="30">
        <v>0</v>
      </c>
      <c r="AB579" s="36">
        <v>0</v>
      </c>
      <c r="AC579" s="7" t="s">
        <v>1177</v>
      </c>
      <c r="AD579" s="37">
        <v>0</v>
      </c>
      <c r="AE579" s="7" t="s">
        <v>1177</v>
      </c>
      <c r="AF579" s="7" t="s">
        <v>1177</v>
      </c>
      <c r="AG579" s="7" t="s">
        <v>1177</v>
      </c>
      <c r="AH579" s="38"/>
      <c r="AI579" s="36">
        <v>0</v>
      </c>
      <c r="AJ579" s="7" t="s">
        <v>1193</v>
      </c>
      <c r="AK579" s="7" t="s">
        <v>1177</v>
      </c>
      <c r="AL579" s="7" t="s">
        <v>1177</v>
      </c>
      <c r="AM579" s="7" t="s">
        <v>1177</v>
      </c>
      <c r="AN579" s="7" t="s">
        <v>3212</v>
      </c>
      <c r="AO579" s="7" t="s">
        <v>1177</v>
      </c>
      <c r="AP579" s="7" t="s">
        <v>1177</v>
      </c>
      <c r="AQ579" s="7" t="s">
        <v>1177</v>
      </c>
      <c r="AR579" s="29">
        <v>0</v>
      </c>
      <c r="AS579" s="7" t="s">
        <v>1177</v>
      </c>
      <c r="AT579" s="7" t="s">
        <v>1363</v>
      </c>
      <c r="AU579" s="38">
        <v>46275</v>
      </c>
      <c r="AV579" s="39">
        <v>0.6034837962963</v>
      </c>
    </row>
    <row r="580" spans="1:48" x14ac:dyDescent="0.35">
      <c r="A580" t="str">
        <f t="shared" si="9"/>
        <v>GP052043B838</v>
      </c>
      <c r="B580" s="7" t="s">
        <v>314</v>
      </c>
      <c r="C580" s="7" t="s">
        <v>744</v>
      </c>
      <c r="D580" s="7" t="s">
        <v>48</v>
      </c>
      <c r="E580" s="7" t="s">
        <v>1177</v>
      </c>
      <c r="F580" s="7" t="s">
        <v>128</v>
      </c>
      <c r="G580" s="7" t="s">
        <v>130</v>
      </c>
      <c r="H580" s="7" t="s">
        <v>129</v>
      </c>
      <c r="I580" s="30">
        <v>2</v>
      </c>
      <c r="J580" s="7" t="s">
        <v>1177</v>
      </c>
      <c r="K580" s="7" t="s">
        <v>1178</v>
      </c>
      <c r="L580" s="7" t="s">
        <v>132</v>
      </c>
      <c r="M580" s="7" t="s">
        <v>133</v>
      </c>
      <c r="N580" s="30">
        <v>0</v>
      </c>
      <c r="O580" s="30">
        <v>0</v>
      </c>
      <c r="P580" s="30">
        <v>0</v>
      </c>
      <c r="Q580" s="30">
        <v>0</v>
      </c>
      <c r="R580" s="29">
        <v>0</v>
      </c>
      <c r="S580" s="36">
        <v>0</v>
      </c>
      <c r="T580" s="7" t="s">
        <v>131</v>
      </c>
      <c r="U580" s="7" t="s">
        <v>745</v>
      </c>
      <c r="V580" s="7" t="s">
        <v>745</v>
      </c>
      <c r="W580" s="7" t="s">
        <v>1177</v>
      </c>
      <c r="X580" s="30">
        <v>1</v>
      </c>
      <c r="Y580" s="7" t="s">
        <v>1177</v>
      </c>
      <c r="Z580" s="7" t="s">
        <v>1178</v>
      </c>
      <c r="AA580" s="30">
        <v>0</v>
      </c>
      <c r="AB580" s="36">
        <v>0</v>
      </c>
      <c r="AC580" s="7" t="s">
        <v>1177</v>
      </c>
      <c r="AD580" s="37">
        <v>0</v>
      </c>
      <c r="AE580" s="7" t="s">
        <v>1177</v>
      </c>
      <c r="AF580" s="7" t="s">
        <v>1177</v>
      </c>
      <c r="AG580" s="7" t="s">
        <v>1177</v>
      </c>
      <c r="AH580" s="38"/>
      <c r="AI580" s="36">
        <v>0</v>
      </c>
      <c r="AJ580" s="7" t="s">
        <v>1193</v>
      </c>
      <c r="AK580" s="7" t="s">
        <v>1177</v>
      </c>
      <c r="AL580" s="7" t="s">
        <v>1177</v>
      </c>
      <c r="AM580" s="7" t="s">
        <v>1177</v>
      </c>
      <c r="AN580" s="7" t="s">
        <v>3212</v>
      </c>
      <c r="AO580" s="7" t="s">
        <v>1177</v>
      </c>
      <c r="AP580" s="7" t="s">
        <v>1177</v>
      </c>
      <c r="AQ580" s="7" t="s">
        <v>1177</v>
      </c>
      <c r="AR580" s="29">
        <v>0</v>
      </c>
      <c r="AS580" s="7" t="s">
        <v>1177</v>
      </c>
      <c r="AT580" s="7" t="s">
        <v>1363</v>
      </c>
      <c r="AU580" s="38">
        <v>46275</v>
      </c>
      <c r="AV580" s="39">
        <v>0.62413194444443998</v>
      </c>
    </row>
    <row r="581" spans="1:48" x14ac:dyDescent="0.35">
      <c r="A581" t="str">
        <f t="shared" si="9"/>
        <v>GP052139B865</v>
      </c>
      <c r="B581" s="7" t="s">
        <v>1041</v>
      </c>
      <c r="C581" s="7" t="s">
        <v>1039</v>
      </c>
      <c r="D581" s="7" t="s">
        <v>7</v>
      </c>
      <c r="E581" s="7" t="s">
        <v>1177</v>
      </c>
      <c r="F581" s="7" t="s">
        <v>128</v>
      </c>
      <c r="G581" s="7" t="s">
        <v>130</v>
      </c>
      <c r="H581" s="7" t="s">
        <v>129</v>
      </c>
      <c r="I581" s="30">
        <v>2</v>
      </c>
      <c r="J581" s="7" t="s">
        <v>1177</v>
      </c>
      <c r="K581" s="7" t="s">
        <v>1178</v>
      </c>
      <c r="L581" s="7" t="s">
        <v>132</v>
      </c>
      <c r="M581" s="7" t="s">
        <v>133</v>
      </c>
      <c r="N581" s="30">
        <v>0</v>
      </c>
      <c r="O581" s="30">
        <v>0</v>
      </c>
      <c r="P581" s="30">
        <v>0</v>
      </c>
      <c r="Q581" s="30">
        <v>0</v>
      </c>
      <c r="R581" s="29">
        <v>0</v>
      </c>
      <c r="S581" s="36">
        <v>0</v>
      </c>
      <c r="T581" s="7" t="s">
        <v>131</v>
      </c>
      <c r="U581" s="7" t="s">
        <v>1040</v>
      </c>
      <c r="V581" s="7" t="s">
        <v>1040</v>
      </c>
      <c r="W581" s="7" t="s">
        <v>1177</v>
      </c>
      <c r="X581" s="30">
        <v>1</v>
      </c>
      <c r="Y581" s="7" t="s">
        <v>1177</v>
      </c>
      <c r="Z581" s="7" t="s">
        <v>1178</v>
      </c>
      <c r="AA581" s="30">
        <v>0</v>
      </c>
      <c r="AB581" s="36">
        <v>0</v>
      </c>
      <c r="AC581" s="7" t="s">
        <v>1177</v>
      </c>
      <c r="AD581" s="37">
        <v>0</v>
      </c>
      <c r="AE581" s="7" t="s">
        <v>1177</v>
      </c>
      <c r="AF581" s="7" t="s">
        <v>1177</v>
      </c>
      <c r="AG581" s="7" t="s">
        <v>1177</v>
      </c>
      <c r="AH581" s="38"/>
      <c r="AI581" s="36">
        <v>0</v>
      </c>
      <c r="AJ581" s="7" t="s">
        <v>1193</v>
      </c>
      <c r="AK581" s="7" t="s">
        <v>1177</v>
      </c>
      <c r="AL581" s="7" t="s">
        <v>1177</v>
      </c>
      <c r="AM581" s="7" t="s">
        <v>1177</v>
      </c>
      <c r="AN581" s="7" t="s">
        <v>3212</v>
      </c>
      <c r="AO581" s="7" t="s">
        <v>1177</v>
      </c>
      <c r="AP581" s="7" t="s">
        <v>1177</v>
      </c>
      <c r="AQ581" s="7" t="s">
        <v>1177</v>
      </c>
      <c r="AR581" s="29">
        <v>0</v>
      </c>
      <c r="AS581" s="7" t="s">
        <v>1177</v>
      </c>
      <c r="AT581" s="7" t="s">
        <v>1363</v>
      </c>
      <c r="AU581" s="38">
        <v>46275</v>
      </c>
      <c r="AV581" s="39">
        <v>0.62665509259259</v>
      </c>
    </row>
    <row r="582" spans="1:48" x14ac:dyDescent="0.35">
      <c r="A582" t="str">
        <f t="shared" si="9"/>
        <v>GP052416B825</v>
      </c>
      <c r="B582" s="7" t="s">
        <v>537</v>
      </c>
      <c r="C582" s="7" t="s">
        <v>511</v>
      </c>
      <c r="D582" s="7" t="s">
        <v>16</v>
      </c>
      <c r="E582" s="7" t="s">
        <v>1177</v>
      </c>
      <c r="F582" s="7" t="s">
        <v>128</v>
      </c>
      <c r="G582" s="7" t="s">
        <v>130</v>
      </c>
      <c r="H582" s="7" t="s">
        <v>129</v>
      </c>
      <c r="I582" s="30">
        <v>2</v>
      </c>
      <c r="J582" s="7" t="s">
        <v>1177</v>
      </c>
      <c r="K582" s="7" t="s">
        <v>1178</v>
      </c>
      <c r="L582" s="7" t="s">
        <v>132</v>
      </c>
      <c r="M582" s="7" t="s">
        <v>133</v>
      </c>
      <c r="N582" s="30">
        <v>0</v>
      </c>
      <c r="O582" s="30">
        <v>0</v>
      </c>
      <c r="P582" s="30">
        <v>0</v>
      </c>
      <c r="Q582" s="30">
        <v>0</v>
      </c>
      <c r="R582" s="29">
        <v>0</v>
      </c>
      <c r="S582" s="36">
        <v>0</v>
      </c>
      <c r="T582" s="7" t="s">
        <v>131</v>
      </c>
      <c r="U582" s="7" t="s">
        <v>512</v>
      </c>
      <c r="V582" s="7" t="s">
        <v>512</v>
      </c>
      <c r="W582" s="7" t="s">
        <v>1177</v>
      </c>
      <c r="X582" s="30">
        <v>1</v>
      </c>
      <c r="Y582" s="7" t="s">
        <v>1177</v>
      </c>
      <c r="Z582" s="7" t="s">
        <v>1178</v>
      </c>
      <c r="AA582" s="30">
        <v>0</v>
      </c>
      <c r="AB582" s="36">
        <v>0</v>
      </c>
      <c r="AC582" s="7" t="s">
        <v>1177</v>
      </c>
      <c r="AD582" s="37">
        <v>0</v>
      </c>
      <c r="AE582" s="7" t="s">
        <v>1177</v>
      </c>
      <c r="AF582" s="7" t="s">
        <v>1177</v>
      </c>
      <c r="AG582" s="7" t="s">
        <v>1177</v>
      </c>
      <c r="AH582" s="38"/>
      <c r="AI582" s="36">
        <v>0</v>
      </c>
      <c r="AJ582" s="7" t="s">
        <v>1193</v>
      </c>
      <c r="AK582" s="7" t="s">
        <v>1177</v>
      </c>
      <c r="AL582" s="7" t="s">
        <v>1177</v>
      </c>
      <c r="AM582" s="7" t="s">
        <v>1177</v>
      </c>
      <c r="AN582" s="7" t="s">
        <v>3212</v>
      </c>
      <c r="AO582" s="7" t="s">
        <v>1177</v>
      </c>
      <c r="AP582" s="7" t="s">
        <v>1177</v>
      </c>
      <c r="AQ582" s="7" t="s">
        <v>1177</v>
      </c>
      <c r="AR582" s="29">
        <v>0</v>
      </c>
      <c r="AS582" s="7" t="s">
        <v>1177</v>
      </c>
      <c r="AT582" s="7" t="s">
        <v>1363</v>
      </c>
      <c r="AU582" s="38">
        <v>46275</v>
      </c>
      <c r="AV582" s="39">
        <v>0.62300925925925998</v>
      </c>
    </row>
    <row r="583" spans="1:48" x14ac:dyDescent="0.35">
      <c r="A583" t="str">
        <f t="shared" si="9"/>
        <v>GP052417B825</v>
      </c>
      <c r="B583" s="7" t="s">
        <v>244</v>
      </c>
      <c r="C583" s="7" t="s">
        <v>511</v>
      </c>
      <c r="D583" s="7" t="s">
        <v>16</v>
      </c>
      <c r="E583" s="7" t="s">
        <v>1177</v>
      </c>
      <c r="F583" s="7" t="s">
        <v>128</v>
      </c>
      <c r="G583" s="7" t="s">
        <v>130</v>
      </c>
      <c r="H583" s="7" t="s">
        <v>129</v>
      </c>
      <c r="I583" s="30">
        <v>2</v>
      </c>
      <c r="J583" s="7" t="s">
        <v>1177</v>
      </c>
      <c r="K583" s="7" t="s">
        <v>1178</v>
      </c>
      <c r="L583" s="7" t="s">
        <v>132</v>
      </c>
      <c r="M583" s="7" t="s">
        <v>133</v>
      </c>
      <c r="N583" s="30">
        <v>0</v>
      </c>
      <c r="O583" s="30">
        <v>0</v>
      </c>
      <c r="P583" s="30">
        <v>0</v>
      </c>
      <c r="Q583" s="30">
        <v>0</v>
      </c>
      <c r="R583" s="29">
        <v>0</v>
      </c>
      <c r="S583" s="36">
        <v>0</v>
      </c>
      <c r="T583" s="7" t="s">
        <v>131</v>
      </c>
      <c r="U583" s="7" t="s">
        <v>512</v>
      </c>
      <c r="V583" s="7" t="s">
        <v>512</v>
      </c>
      <c r="W583" s="7" t="s">
        <v>1177</v>
      </c>
      <c r="X583" s="30">
        <v>1</v>
      </c>
      <c r="Y583" s="7" t="s">
        <v>1177</v>
      </c>
      <c r="Z583" s="7" t="s">
        <v>1178</v>
      </c>
      <c r="AA583" s="30">
        <v>0</v>
      </c>
      <c r="AB583" s="36">
        <v>0</v>
      </c>
      <c r="AC583" s="7" t="s">
        <v>1177</v>
      </c>
      <c r="AD583" s="37">
        <v>0</v>
      </c>
      <c r="AE583" s="7" t="s">
        <v>1177</v>
      </c>
      <c r="AF583" s="7" t="s">
        <v>1177</v>
      </c>
      <c r="AG583" s="7" t="s">
        <v>1177</v>
      </c>
      <c r="AH583" s="38"/>
      <c r="AI583" s="36">
        <v>0</v>
      </c>
      <c r="AJ583" s="7" t="s">
        <v>1193</v>
      </c>
      <c r="AK583" s="7" t="s">
        <v>1177</v>
      </c>
      <c r="AL583" s="7" t="s">
        <v>1177</v>
      </c>
      <c r="AM583" s="7" t="s">
        <v>1177</v>
      </c>
      <c r="AN583" s="7" t="s">
        <v>3212</v>
      </c>
      <c r="AO583" s="7" t="s">
        <v>1177</v>
      </c>
      <c r="AP583" s="7" t="s">
        <v>1177</v>
      </c>
      <c r="AQ583" s="7" t="s">
        <v>1177</v>
      </c>
      <c r="AR583" s="29">
        <v>0</v>
      </c>
      <c r="AS583" s="7" t="s">
        <v>1177</v>
      </c>
      <c r="AT583" s="7" t="s">
        <v>1363</v>
      </c>
      <c r="AU583" s="38">
        <v>46275</v>
      </c>
      <c r="AV583" s="39">
        <v>0.6034837962963</v>
      </c>
    </row>
    <row r="584" spans="1:48" x14ac:dyDescent="0.35">
      <c r="A584" t="str">
        <f t="shared" si="9"/>
        <v>GP054155B833</v>
      </c>
      <c r="B584" s="7" t="s">
        <v>703</v>
      </c>
      <c r="C584" s="7" t="s">
        <v>698</v>
      </c>
      <c r="D584" s="7" t="s">
        <v>697</v>
      </c>
      <c r="E584" s="7" t="s">
        <v>1177</v>
      </c>
      <c r="F584" s="7" t="s">
        <v>128</v>
      </c>
      <c r="G584" s="7" t="s">
        <v>130</v>
      </c>
      <c r="H584" s="7" t="s">
        <v>129</v>
      </c>
      <c r="I584" s="30">
        <v>2</v>
      </c>
      <c r="J584" s="7" t="s">
        <v>1177</v>
      </c>
      <c r="K584" s="7" t="s">
        <v>1178</v>
      </c>
      <c r="L584" s="7" t="s">
        <v>132</v>
      </c>
      <c r="M584" s="7" t="s">
        <v>133</v>
      </c>
      <c r="N584" s="30">
        <v>0</v>
      </c>
      <c r="O584" s="30">
        <v>0</v>
      </c>
      <c r="P584" s="30">
        <v>0</v>
      </c>
      <c r="Q584" s="30">
        <v>0</v>
      </c>
      <c r="R584" s="29">
        <v>0</v>
      </c>
      <c r="S584" s="36">
        <v>0</v>
      </c>
      <c r="T584" s="7" t="s">
        <v>131</v>
      </c>
      <c r="U584" s="7" t="s">
        <v>699</v>
      </c>
      <c r="V584" s="7" t="s">
        <v>699</v>
      </c>
      <c r="W584" s="7" t="s">
        <v>1177</v>
      </c>
      <c r="X584" s="30">
        <v>1</v>
      </c>
      <c r="Y584" s="7" t="s">
        <v>1177</v>
      </c>
      <c r="Z584" s="7" t="s">
        <v>1178</v>
      </c>
      <c r="AA584" s="30">
        <v>0</v>
      </c>
      <c r="AB584" s="36">
        <v>0</v>
      </c>
      <c r="AC584" s="7" t="s">
        <v>1177</v>
      </c>
      <c r="AD584" s="37">
        <v>0</v>
      </c>
      <c r="AE584" s="7" t="s">
        <v>1177</v>
      </c>
      <c r="AF584" s="7" t="s">
        <v>1177</v>
      </c>
      <c r="AG584" s="7" t="s">
        <v>1177</v>
      </c>
      <c r="AH584" s="38"/>
      <c r="AI584" s="36">
        <v>0</v>
      </c>
      <c r="AJ584" s="7" t="s">
        <v>1193</v>
      </c>
      <c r="AK584" s="7" t="s">
        <v>1177</v>
      </c>
      <c r="AL584" s="7" t="s">
        <v>1177</v>
      </c>
      <c r="AM584" s="7" t="s">
        <v>1177</v>
      </c>
      <c r="AN584" s="7" t="s">
        <v>3212</v>
      </c>
      <c r="AO584" s="7" t="s">
        <v>1177</v>
      </c>
      <c r="AP584" s="7" t="s">
        <v>1177</v>
      </c>
      <c r="AQ584" s="7" t="s">
        <v>1177</v>
      </c>
      <c r="AR584" s="29">
        <v>0</v>
      </c>
      <c r="AS584" s="7" t="s">
        <v>1177</v>
      </c>
      <c r="AT584" s="7" t="s">
        <v>1363</v>
      </c>
      <c r="AU584" s="38">
        <v>46275</v>
      </c>
      <c r="AV584" s="39">
        <v>0.62348379629630002</v>
      </c>
    </row>
    <row r="585" spans="1:48" x14ac:dyDescent="0.35">
      <c r="A585" t="str">
        <f t="shared" si="9"/>
        <v>GP054670B825</v>
      </c>
      <c r="B585" s="7" t="s">
        <v>245</v>
      </c>
      <c r="C585" s="7" t="s">
        <v>511</v>
      </c>
      <c r="D585" s="7" t="s">
        <v>16</v>
      </c>
      <c r="E585" s="7" t="s">
        <v>1177</v>
      </c>
      <c r="F585" s="7" t="s">
        <v>128</v>
      </c>
      <c r="G585" s="7" t="s">
        <v>130</v>
      </c>
      <c r="H585" s="7" t="s">
        <v>129</v>
      </c>
      <c r="I585" s="30">
        <v>4</v>
      </c>
      <c r="J585" s="7" t="s">
        <v>1177</v>
      </c>
      <c r="K585" s="7" t="s">
        <v>1178</v>
      </c>
      <c r="L585" s="7" t="s">
        <v>132</v>
      </c>
      <c r="M585" s="7" t="s">
        <v>133</v>
      </c>
      <c r="N585" s="30">
        <v>0</v>
      </c>
      <c r="O585" s="30">
        <v>0</v>
      </c>
      <c r="P585" s="30">
        <v>0</v>
      </c>
      <c r="Q585" s="30">
        <v>0</v>
      </c>
      <c r="R585" s="29">
        <v>0</v>
      </c>
      <c r="S585" s="36">
        <v>0</v>
      </c>
      <c r="T585" s="7" t="s">
        <v>131</v>
      </c>
      <c r="U585" s="7" t="s">
        <v>512</v>
      </c>
      <c r="V585" s="7" t="s">
        <v>512</v>
      </c>
      <c r="W585" s="7" t="s">
        <v>1177</v>
      </c>
      <c r="X585" s="30">
        <v>1</v>
      </c>
      <c r="Y585" s="7" t="s">
        <v>1177</v>
      </c>
      <c r="Z585" s="7" t="s">
        <v>1178</v>
      </c>
      <c r="AA585" s="30">
        <v>0</v>
      </c>
      <c r="AB585" s="36">
        <v>0</v>
      </c>
      <c r="AC585" s="7" t="s">
        <v>1177</v>
      </c>
      <c r="AD585" s="37">
        <v>0</v>
      </c>
      <c r="AE585" s="7" t="s">
        <v>1177</v>
      </c>
      <c r="AF585" s="7" t="s">
        <v>1177</v>
      </c>
      <c r="AG585" s="7" t="s">
        <v>1177</v>
      </c>
      <c r="AH585" s="38"/>
      <c r="AI585" s="36">
        <v>0</v>
      </c>
      <c r="AJ585" s="7" t="s">
        <v>1193</v>
      </c>
      <c r="AK585" s="7" t="s">
        <v>1177</v>
      </c>
      <c r="AL585" s="7" t="s">
        <v>1177</v>
      </c>
      <c r="AM585" s="7" t="s">
        <v>1177</v>
      </c>
      <c r="AN585" s="7" t="s">
        <v>3212</v>
      </c>
      <c r="AO585" s="7" t="s">
        <v>1177</v>
      </c>
      <c r="AP585" s="7" t="s">
        <v>1177</v>
      </c>
      <c r="AQ585" s="7" t="s">
        <v>1177</v>
      </c>
      <c r="AR585" s="29">
        <v>0</v>
      </c>
      <c r="AS585" s="7" t="s">
        <v>1177</v>
      </c>
      <c r="AT585" s="7" t="s">
        <v>1363</v>
      </c>
      <c r="AU585" s="38">
        <v>46275</v>
      </c>
      <c r="AV585" s="39">
        <v>0.62300925925925998</v>
      </c>
    </row>
    <row r="586" spans="1:48" x14ac:dyDescent="0.35">
      <c r="A586" t="str">
        <f t="shared" si="9"/>
        <v>GP055753B838</v>
      </c>
      <c r="B586" s="7" t="s">
        <v>632</v>
      </c>
      <c r="C586" s="7" t="s">
        <v>744</v>
      </c>
      <c r="D586" s="7" t="s">
        <v>48</v>
      </c>
      <c r="E586" s="7" t="s">
        <v>1177</v>
      </c>
      <c r="F586" s="7" t="s">
        <v>128</v>
      </c>
      <c r="G586" s="7" t="s">
        <v>130</v>
      </c>
      <c r="H586" s="7" t="s">
        <v>129</v>
      </c>
      <c r="I586" s="30">
        <v>2</v>
      </c>
      <c r="J586" s="7" t="s">
        <v>1177</v>
      </c>
      <c r="K586" s="7" t="s">
        <v>1178</v>
      </c>
      <c r="L586" s="7" t="s">
        <v>132</v>
      </c>
      <c r="M586" s="7" t="s">
        <v>133</v>
      </c>
      <c r="N586" s="30">
        <v>0</v>
      </c>
      <c r="O586" s="30">
        <v>0</v>
      </c>
      <c r="P586" s="30">
        <v>0</v>
      </c>
      <c r="Q586" s="30">
        <v>0</v>
      </c>
      <c r="R586" s="29">
        <v>0</v>
      </c>
      <c r="S586" s="36">
        <v>0</v>
      </c>
      <c r="T586" s="7" t="s">
        <v>131</v>
      </c>
      <c r="U586" s="7" t="s">
        <v>745</v>
      </c>
      <c r="V586" s="7" t="s">
        <v>745</v>
      </c>
      <c r="W586" s="7" t="s">
        <v>1177</v>
      </c>
      <c r="X586" s="30">
        <v>1</v>
      </c>
      <c r="Y586" s="7" t="s">
        <v>1177</v>
      </c>
      <c r="Z586" s="7" t="s">
        <v>1178</v>
      </c>
      <c r="AA586" s="30">
        <v>0</v>
      </c>
      <c r="AB586" s="36">
        <v>0</v>
      </c>
      <c r="AC586" s="7" t="s">
        <v>1177</v>
      </c>
      <c r="AD586" s="37">
        <v>0</v>
      </c>
      <c r="AE586" s="7" t="s">
        <v>1177</v>
      </c>
      <c r="AF586" s="7" t="s">
        <v>1177</v>
      </c>
      <c r="AG586" s="7" t="s">
        <v>1177</v>
      </c>
      <c r="AH586" s="38"/>
      <c r="AI586" s="36">
        <v>0</v>
      </c>
      <c r="AJ586" s="7" t="s">
        <v>1193</v>
      </c>
      <c r="AK586" s="7" t="s">
        <v>1177</v>
      </c>
      <c r="AL586" s="7" t="s">
        <v>1177</v>
      </c>
      <c r="AM586" s="7" t="s">
        <v>1177</v>
      </c>
      <c r="AN586" s="7" t="s">
        <v>3212</v>
      </c>
      <c r="AO586" s="7" t="s">
        <v>1177</v>
      </c>
      <c r="AP586" s="7" t="s">
        <v>1177</v>
      </c>
      <c r="AQ586" s="7" t="s">
        <v>1177</v>
      </c>
      <c r="AR586" s="29">
        <v>0</v>
      </c>
      <c r="AS586" s="7" t="s">
        <v>1177</v>
      </c>
      <c r="AT586" s="7" t="s">
        <v>1363</v>
      </c>
      <c r="AU586" s="38">
        <v>46275</v>
      </c>
      <c r="AV586" s="39">
        <v>0.60475694444443995</v>
      </c>
    </row>
    <row r="587" spans="1:48" x14ac:dyDescent="0.35">
      <c r="A587" t="str">
        <f t="shared" si="9"/>
        <v>GP055944B825</v>
      </c>
      <c r="B587" s="7" t="s">
        <v>389</v>
      </c>
      <c r="C587" s="7" t="s">
        <v>511</v>
      </c>
      <c r="D587" s="7" t="s">
        <v>16</v>
      </c>
      <c r="E587" s="7" t="s">
        <v>1177</v>
      </c>
      <c r="F587" s="7" t="s">
        <v>128</v>
      </c>
      <c r="G587" s="7" t="s">
        <v>130</v>
      </c>
      <c r="H587" s="7" t="s">
        <v>129</v>
      </c>
      <c r="I587" s="30">
        <v>2</v>
      </c>
      <c r="J587" s="7" t="s">
        <v>1177</v>
      </c>
      <c r="K587" s="7" t="s">
        <v>1178</v>
      </c>
      <c r="L587" s="7" t="s">
        <v>132</v>
      </c>
      <c r="M587" s="7" t="s">
        <v>133</v>
      </c>
      <c r="N587" s="30">
        <v>0</v>
      </c>
      <c r="O587" s="30">
        <v>0</v>
      </c>
      <c r="P587" s="30">
        <v>0</v>
      </c>
      <c r="Q587" s="30">
        <v>0</v>
      </c>
      <c r="R587" s="29">
        <v>0</v>
      </c>
      <c r="S587" s="36">
        <v>0</v>
      </c>
      <c r="T587" s="7" t="s">
        <v>131</v>
      </c>
      <c r="U587" s="7" t="s">
        <v>512</v>
      </c>
      <c r="V587" s="7" t="s">
        <v>512</v>
      </c>
      <c r="W587" s="7" t="s">
        <v>1177</v>
      </c>
      <c r="X587" s="30">
        <v>1</v>
      </c>
      <c r="Y587" s="7" t="s">
        <v>1177</v>
      </c>
      <c r="Z587" s="7" t="s">
        <v>1178</v>
      </c>
      <c r="AA587" s="30">
        <v>0</v>
      </c>
      <c r="AB587" s="36">
        <v>0</v>
      </c>
      <c r="AC587" s="7" t="s">
        <v>1177</v>
      </c>
      <c r="AD587" s="37">
        <v>0</v>
      </c>
      <c r="AE587" s="7" t="s">
        <v>1177</v>
      </c>
      <c r="AF587" s="7" t="s">
        <v>1177</v>
      </c>
      <c r="AG587" s="7" t="s">
        <v>1177</v>
      </c>
      <c r="AH587" s="38"/>
      <c r="AI587" s="36">
        <v>0</v>
      </c>
      <c r="AJ587" s="7" t="s">
        <v>1193</v>
      </c>
      <c r="AK587" s="7" t="s">
        <v>1177</v>
      </c>
      <c r="AL587" s="7" t="s">
        <v>1177</v>
      </c>
      <c r="AM587" s="7" t="s">
        <v>1177</v>
      </c>
      <c r="AN587" s="7" t="s">
        <v>3212</v>
      </c>
      <c r="AO587" s="7" t="s">
        <v>1177</v>
      </c>
      <c r="AP587" s="7" t="s">
        <v>1177</v>
      </c>
      <c r="AQ587" s="7" t="s">
        <v>1177</v>
      </c>
      <c r="AR587" s="29">
        <v>0</v>
      </c>
      <c r="AS587" s="7" t="s">
        <v>1177</v>
      </c>
      <c r="AT587" s="7" t="s">
        <v>1363</v>
      </c>
      <c r="AU587" s="38">
        <v>46275</v>
      </c>
      <c r="AV587" s="39">
        <v>0.6034837962963</v>
      </c>
    </row>
    <row r="588" spans="1:48" x14ac:dyDescent="0.35">
      <c r="A588" t="str">
        <f t="shared" si="9"/>
        <v>GP056553B864</v>
      </c>
      <c r="B588" s="7" t="s">
        <v>1014</v>
      </c>
      <c r="C588" s="7" t="s">
        <v>1010</v>
      </c>
      <c r="D588" s="7" t="s">
        <v>10</v>
      </c>
      <c r="E588" s="7" t="s">
        <v>1177</v>
      </c>
      <c r="F588" s="7" t="s">
        <v>128</v>
      </c>
      <c r="G588" s="7" t="s">
        <v>130</v>
      </c>
      <c r="H588" s="7" t="s">
        <v>129</v>
      </c>
      <c r="I588" s="30">
        <v>2</v>
      </c>
      <c r="J588" s="7" t="s">
        <v>1177</v>
      </c>
      <c r="K588" s="7" t="s">
        <v>1178</v>
      </c>
      <c r="L588" s="7" t="s">
        <v>132</v>
      </c>
      <c r="M588" s="7" t="s">
        <v>133</v>
      </c>
      <c r="N588" s="30">
        <v>0</v>
      </c>
      <c r="O588" s="30">
        <v>0</v>
      </c>
      <c r="P588" s="30">
        <v>0</v>
      </c>
      <c r="Q588" s="30">
        <v>0</v>
      </c>
      <c r="R588" s="29">
        <v>0</v>
      </c>
      <c r="S588" s="36">
        <v>0</v>
      </c>
      <c r="T588" s="7" t="s">
        <v>131</v>
      </c>
      <c r="U588" s="7" t="s">
        <v>1011</v>
      </c>
      <c r="V588" s="7" t="s">
        <v>1011</v>
      </c>
      <c r="W588" s="7" t="s">
        <v>1177</v>
      </c>
      <c r="X588" s="30">
        <v>1</v>
      </c>
      <c r="Y588" s="7" t="s">
        <v>1177</v>
      </c>
      <c r="Z588" s="7" t="s">
        <v>1178</v>
      </c>
      <c r="AA588" s="30">
        <v>0</v>
      </c>
      <c r="AB588" s="36">
        <v>0</v>
      </c>
      <c r="AC588" s="7" t="s">
        <v>1177</v>
      </c>
      <c r="AD588" s="37">
        <v>0</v>
      </c>
      <c r="AE588" s="7" t="s">
        <v>1177</v>
      </c>
      <c r="AF588" s="7" t="s">
        <v>1177</v>
      </c>
      <c r="AG588" s="7" t="s">
        <v>1177</v>
      </c>
      <c r="AH588" s="38"/>
      <c r="AI588" s="36">
        <v>0</v>
      </c>
      <c r="AJ588" s="7" t="s">
        <v>1193</v>
      </c>
      <c r="AK588" s="7" t="s">
        <v>1177</v>
      </c>
      <c r="AL588" s="7" t="s">
        <v>1177</v>
      </c>
      <c r="AM588" s="7" t="s">
        <v>1177</v>
      </c>
      <c r="AN588" s="7" t="s">
        <v>3212</v>
      </c>
      <c r="AO588" s="7" t="s">
        <v>1177</v>
      </c>
      <c r="AP588" s="7" t="s">
        <v>1177</v>
      </c>
      <c r="AQ588" s="7" t="s">
        <v>1177</v>
      </c>
      <c r="AR588" s="29">
        <v>0</v>
      </c>
      <c r="AS588" s="7" t="s">
        <v>1177</v>
      </c>
      <c r="AT588" s="7" t="s">
        <v>1363</v>
      </c>
      <c r="AU588" s="38">
        <v>46275</v>
      </c>
      <c r="AV588" s="39">
        <v>0.62645833333333001</v>
      </c>
    </row>
    <row r="589" spans="1:48" x14ac:dyDescent="0.35">
      <c r="A589" t="str">
        <f t="shared" si="9"/>
        <v>GP056553B865</v>
      </c>
      <c r="B589" s="7" t="s">
        <v>1014</v>
      </c>
      <c r="C589" s="7" t="s">
        <v>1039</v>
      </c>
      <c r="D589" s="7" t="s">
        <v>7</v>
      </c>
      <c r="E589" s="7" t="s">
        <v>1177</v>
      </c>
      <c r="F589" s="7" t="s">
        <v>128</v>
      </c>
      <c r="G589" s="7" t="s">
        <v>130</v>
      </c>
      <c r="H589" s="7" t="s">
        <v>129</v>
      </c>
      <c r="I589" s="30">
        <v>2</v>
      </c>
      <c r="J589" s="7" t="s">
        <v>1177</v>
      </c>
      <c r="K589" s="7" t="s">
        <v>1178</v>
      </c>
      <c r="L589" s="7" t="s">
        <v>132</v>
      </c>
      <c r="M589" s="7" t="s">
        <v>133</v>
      </c>
      <c r="N589" s="30">
        <v>0</v>
      </c>
      <c r="O589" s="30">
        <v>0</v>
      </c>
      <c r="P589" s="30">
        <v>0</v>
      </c>
      <c r="Q589" s="30">
        <v>0</v>
      </c>
      <c r="R589" s="29">
        <v>0</v>
      </c>
      <c r="S589" s="36">
        <v>0</v>
      </c>
      <c r="T589" s="7" t="s">
        <v>131</v>
      </c>
      <c r="U589" s="7" t="s">
        <v>1040</v>
      </c>
      <c r="V589" s="7" t="s">
        <v>1040</v>
      </c>
      <c r="W589" s="7" t="s">
        <v>1177</v>
      </c>
      <c r="X589" s="30">
        <v>1</v>
      </c>
      <c r="Y589" s="7" t="s">
        <v>1177</v>
      </c>
      <c r="Z589" s="7" t="s">
        <v>1178</v>
      </c>
      <c r="AA589" s="30">
        <v>0</v>
      </c>
      <c r="AB589" s="36">
        <v>0</v>
      </c>
      <c r="AC589" s="7" t="s">
        <v>1177</v>
      </c>
      <c r="AD589" s="37">
        <v>0</v>
      </c>
      <c r="AE589" s="7" t="s">
        <v>1177</v>
      </c>
      <c r="AF589" s="7" t="s">
        <v>1177</v>
      </c>
      <c r="AG589" s="7" t="s">
        <v>1177</v>
      </c>
      <c r="AH589" s="38"/>
      <c r="AI589" s="36">
        <v>0</v>
      </c>
      <c r="AJ589" s="7" t="s">
        <v>1193</v>
      </c>
      <c r="AK589" s="7" t="s">
        <v>1177</v>
      </c>
      <c r="AL589" s="7" t="s">
        <v>1177</v>
      </c>
      <c r="AM589" s="7" t="s">
        <v>1177</v>
      </c>
      <c r="AN589" s="7" t="s">
        <v>3212</v>
      </c>
      <c r="AO589" s="7" t="s">
        <v>1177</v>
      </c>
      <c r="AP589" s="7" t="s">
        <v>1177</v>
      </c>
      <c r="AQ589" s="7" t="s">
        <v>1177</v>
      </c>
      <c r="AR589" s="29">
        <v>0</v>
      </c>
      <c r="AS589" s="7" t="s">
        <v>1177</v>
      </c>
      <c r="AT589" s="7" t="s">
        <v>1363</v>
      </c>
      <c r="AU589" s="38">
        <v>46275</v>
      </c>
      <c r="AV589" s="39">
        <v>0.62665509259259</v>
      </c>
    </row>
    <row r="590" spans="1:48" x14ac:dyDescent="0.35">
      <c r="A590" t="str">
        <f t="shared" si="9"/>
        <v>GP056698B857</v>
      </c>
      <c r="B590" s="7" t="s">
        <v>967</v>
      </c>
      <c r="C590" s="7" t="s">
        <v>958</v>
      </c>
      <c r="D590" s="7" t="s">
        <v>23</v>
      </c>
      <c r="E590" s="7" t="s">
        <v>1177</v>
      </c>
      <c r="F590" s="7" t="s">
        <v>128</v>
      </c>
      <c r="G590" s="7" t="s">
        <v>130</v>
      </c>
      <c r="H590" s="7" t="s">
        <v>129</v>
      </c>
      <c r="I590" s="30">
        <v>2</v>
      </c>
      <c r="J590" s="7" t="s">
        <v>1177</v>
      </c>
      <c r="K590" s="7" t="s">
        <v>1178</v>
      </c>
      <c r="L590" s="7" t="s">
        <v>132</v>
      </c>
      <c r="M590" s="7" t="s">
        <v>133</v>
      </c>
      <c r="N590" s="30">
        <v>0</v>
      </c>
      <c r="O590" s="30">
        <v>0</v>
      </c>
      <c r="P590" s="30">
        <v>0</v>
      </c>
      <c r="Q590" s="30">
        <v>0</v>
      </c>
      <c r="R590" s="29">
        <v>0</v>
      </c>
      <c r="S590" s="36">
        <v>0</v>
      </c>
      <c r="T590" s="7" t="s">
        <v>131</v>
      </c>
      <c r="U590" s="7" t="s">
        <v>959</v>
      </c>
      <c r="V590" s="7" t="s">
        <v>959</v>
      </c>
      <c r="W590" s="7" t="s">
        <v>1177</v>
      </c>
      <c r="X590" s="30">
        <v>1</v>
      </c>
      <c r="Y590" s="7" t="s">
        <v>1177</v>
      </c>
      <c r="Z590" s="7" t="s">
        <v>1178</v>
      </c>
      <c r="AA590" s="30">
        <v>0</v>
      </c>
      <c r="AB590" s="36">
        <v>0</v>
      </c>
      <c r="AC590" s="7" t="s">
        <v>1177</v>
      </c>
      <c r="AD590" s="37">
        <v>0</v>
      </c>
      <c r="AE590" s="7" t="s">
        <v>1177</v>
      </c>
      <c r="AF590" s="7" t="s">
        <v>1177</v>
      </c>
      <c r="AG590" s="7" t="s">
        <v>1177</v>
      </c>
      <c r="AH590" s="38"/>
      <c r="AI590" s="36">
        <v>0</v>
      </c>
      <c r="AJ590" s="7" t="s">
        <v>1193</v>
      </c>
      <c r="AK590" s="7" t="s">
        <v>1177</v>
      </c>
      <c r="AL590" s="7" t="s">
        <v>1177</v>
      </c>
      <c r="AM590" s="7" t="s">
        <v>1177</v>
      </c>
      <c r="AN590" s="7" t="s">
        <v>3212</v>
      </c>
      <c r="AO590" s="7" t="s">
        <v>1177</v>
      </c>
      <c r="AP590" s="7" t="s">
        <v>1177</v>
      </c>
      <c r="AQ590" s="7" t="s">
        <v>1177</v>
      </c>
      <c r="AR590" s="29">
        <v>0</v>
      </c>
      <c r="AS590" s="7" t="s">
        <v>1177</v>
      </c>
      <c r="AT590" s="7" t="s">
        <v>1363</v>
      </c>
      <c r="AU590" s="38">
        <v>46275</v>
      </c>
      <c r="AV590" s="39">
        <v>0.60526620370369999</v>
      </c>
    </row>
    <row r="591" spans="1:48" x14ac:dyDescent="0.35">
      <c r="A591" t="str">
        <f t="shared" si="9"/>
        <v>GP056698B864</v>
      </c>
      <c r="B591" s="7" t="s">
        <v>967</v>
      </c>
      <c r="C591" s="7" t="s">
        <v>1010</v>
      </c>
      <c r="D591" s="7" t="s">
        <v>10</v>
      </c>
      <c r="E591" s="7" t="s">
        <v>1177</v>
      </c>
      <c r="F591" s="7" t="s">
        <v>128</v>
      </c>
      <c r="G591" s="7" t="s">
        <v>130</v>
      </c>
      <c r="H591" s="7" t="s">
        <v>129</v>
      </c>
      <c r="I591" s="30">
        <v>2</v>
      </c>
      <c r="J591" s="7" t="s">
        <v>1177</v>
      </c>
      <c r="K591" s="7" t="s">
        <v>1178</v>
      </c>
      <c r="L591" s="7" t="s">
        <v>132</v>
      </c>
      <c r="M591" s="7" t="s">
        <v>133</v>
      </c>
      <c r="N591" s="30">
        <v>0</v>
      </c>
      <c r="O591" s="30">
        <v>0</v>
      </c>
      <c r="P591" s="30">
        <v>0</v>
      </c>
      <c r="Q591" s="30">
        <v>0</v>
      </c>
      <c r="R591" s="29">
        <v>0</v>
      </c>
      <c r="S591" s="36">
        <v>0</v>
      </c>
      <c r="T591" s="7" t="s">
        <v>131</v>
      </c>
      <c r="U591" s="7" t="s">
        <v>1011</v>
      </c>
      <c r="V591" s="7" t="s">
        <v>1011</v>
      </c>
      <c r="W591" s="7" t="s">
        <v>1177</v>
      </c>
      <c r="X591" s="30">
        <v>1</v>
      </c>
      <c r="Y591" s="7" t="s">
        <v>1177</v>
      </c>
      <c r="Z591" s="7" t="s">
        <v>1178</v>
      </c>
      <c r="AA591" s="30">
        <v>0</v>
      </c>
      <c r="AB591" s="36">
        <v>0</v>
      </c>
      <c r="AC591" s="7" t="s">
        <v>1177</v>
      </c>
      <c r="AD591" s="37">
        <v>0</v>
      </c>
      <c r="AE591" s="7" t="s">
        <v>1177</v>
      </c>
      <c r="AF591" s="7" t="s">
        <v>1177</v>
      </c>
      <c r="AG591" s="7" t="s">
        <v>1177</v>
      </c>
      <c r="AH591" s="38"/>
      <c r="AI591" s="36">
        <v>0</v>
      </c>
      <c r="AJ591" s="7" t="s">
        <v>1193</v>
      </c>
      <c r="AK591" s="7" t="s">
        <v>1177</v>
      </c>
      <c r="AL591" s="7" t="s">
        <v>1177</v>
      </c>
      <c r="AM591" s="7" t="s">
        <v>1177</v>
      </c>
      <c r="AN591" s="7" t="s">
        <v>3212</v>
      </c>
      <c r="AO591" s="7" t="s">
        <v>1177</v>
      </c>
      <c r="AP591" s="7" t="s">
        <v>1177</v>
      </c>
      <c r="AQ591" s="7" t="s">
        <v>1177</v>
      </c>
      <c r="AR591" s="29">
        <v>0</v>
      </c>
      <c r="AS591" s="7" t="s">
        <v>1177</v>
      </c>
      <c r="AT591" s="7" t="s">
        <v>1363</v>
      </c>
      <c r="AU591" s="38">
        <v>46275</v>
      </c>
      <c r="AV591" s="39">
        <v>0.60540509259259001</v>
      </c>
    </row>
    <row r="592" spans="1:48" x14ac:dyDescent="0.35">
      <c r="A592" t="str">
        <f t="shared" si="9"/>
        <v>GP062661B825</v>
      </c>
      <c r="B592" s="7" t="s">
        <v>390</v>
      </c>
      <c r="C592" s="7" t="s">
        <v>511</v>
      </c>
      <c r="D592" s="7" t="s">
        <v>16</v>
      </c>
      <c r="E592" s="7" t="s">
        <v>1177</v>
      </c>
      <c r="F592" s="7" t="s">
        <v>128</v>
      </c>
      <c r="G592" s="7" t="s">
        <v>130</v>
      </c>
      <c r="H592" s="7" t="s">
        <v>129</v>
      </c>
      <c r="I592" s="30">
        <v>1</v>
      </c>
      <c r="J592" s="7" t="s">
        <v>1177</v>
      </c>
      <c r="K592" s="7" t="s">
        <v>1178</v>
      </c>
      <c r="L592" s="7" t="s">
        <v>132</v>
      </c>
      <c r="M592" s="7" t="s">
        <v>133</v>
      </c>
      <c r="N592" s="30">
        <v>0</v>
      </c>
      <c r="O592" s="30">
        <v>0</v>
      </c>
      <c r="P592" s="30">
        <v>0</v>
      </c>
      <c r="Q592" s="30">
        <v>0</v>
      </c>
      <c r="R592" s="29">
        <v>0</v>
      </c>
      <c r="S592" s="36">
        <v>0</v>
      </c>
      <c r="T592" s="7" t="s">
        <v>131</v>
      </c>
      <c r="U592" s="7" t="s">
        <v>512</v>
      </c>
      <c r="V592" s="7" t="s">
        <v>512</v>
      </c>
      <c r="W592" s="7" t="s">
        <v>1177</v>
      </c>
      <c r="X592" s="30">
        <v>1</v>
      </c>
      <c r="Y592" s="7" t="s">
        <v>1177</v>
      </c>
      <c r="Z592" s="7" t="s">
        <v>1178</v>
      </c>
      <c r="AA592" s="30">
        <v>0</v>
      </c>
      <c r="AB592" s="36">
        <v>0</v>
      </c>
      <c r="AC592" s="7" t="s">
        <v>1177</v>
      </c>
      <c r="AD592" s="37">
        <v>0</v>
      </c>
      <c r="AE592" s="7" t="s">
        <v>1177</v>
      </c>
      <c r="AF592" s="7" t="s">
        <v>1177</v>
      </c>
      <c r="AG592" s="7" t="s">
        <v>1177</v>
      </c>
      <c r="AH592" s="38"/>
      <c r="AI592" s="36">
        <v>0</v>
      </c>
      <c r="AJ592" s="7" t="s">
        <v>1193</v>
      </c>
      <c r="AK592" s="7" t="s">
        <v>1177</v>
      </c>
      <c r="AL592" s="7" t="s">
        <v>1177</v>
      </c>
      <c r="AM592" s="7" t="s">
        <v>1177</v>
      </c>
      <c r="AN592" s="7" t="s">
        <v>3212</v>
      </c>
      <c r="AO592" s="7" t="s">
        <v>1177</v>
      </c>
      <c r="AP592" s="7" t="s">
        <v>1177</v>
      </c>
      <c r="AQ592" s="7" t="s">
        <v>1177</v>
      </c>
      <c r="AR592" s="29">
        <v>0</v>
      </c>
      <c r="AS592" s="7" t="s">
        <v>1177</v>
      </c>
      <c r="AT592" s="7" t="s">
        <v>1363</v>
      </c>
      <c r="AU592" s="38">
        <v>46275</v>
      </c>
      <c r="AV592" s="39">
        <v>0.6034837962963</v>
      </c>
    </row>
    <row r="593" spans="1:48" x14ac:dyDescent="0.35">
      <c r="A593" t="str">
        <f t="shared" si="9"/>
        <v>GP065434B825</v>
      </c>
      <c r="B593" s="7" t="s">
        <v>391</v>
      </c>
      <c r="C593" s="7" t="s">
        <v>511</v>
      </c>
      <c r="D593" s="7" t="s">
        <v>16</v>
      </c>
      <c r="E593" s="7" t="s">
        <v>1177</v>
      </c>
      <c r="F593" s="7" t="s">
        <v>128</v>
      </c>
      <c r="G593" s="7" t="s">
        <v>130</v>
      </c>
      <c r="H593" s="7" t="s">
        <v>129</v>
      </c>
      <c r="I593" s="30">
        <v>6</v>
      </c>
      <c r="J593" s="7" t="s">
        <v>1177</v>
      </c>
      <c r="K593" s="7" t="s">
        <v>1178</v>
      </c>
      <c r="L593" s="7" t="s">
        <v>132</v>
      </c>
      <c r="M593" s="7" t="s">
        <v>133</v>
      </c>
      <c r="N593" s="30">
        <v>0</v>
      </c>
      <c r="O593" s="30">
        <v>0</v>
      </c>
      <c r="P593" s="30">
        <v>0</v>
      </c>
      <c r="Q593" s="30">
        <v>0</v>
      </c>
      <c r="R593" s="29">
        <v>0</v>
      </c>
      <c r="S593" s="36">
        <v>0</v>
      </c>
      <c r="T593" s="7" t="s">
        <v>131</v>
      </c>
      <c r="U593" s="7" t="s">
        <v>512</v>
      </c>
      <c r="V593" s="7" t="s">
        <v>512</v>
      </c>
      <c r="W593" s="7" t="s">
        <v>1177</v>
      </c>
      <c r="X593" s="30">
        <v>2</v>
      </c>
      <c r="Y593" s="7" t="s">
        <v>1177</v>
      </c>
      <c r="Z593" s="7" t="s">
        <v>1178</v>
      </c>
      <c r="AA593" s="30">
        <v>0</v>
      </c>
      <c r="AB593" s="36">
        <v>0</v>
      </c>
      <c r="AC593" s="7" t="s">
        <v>1177</v>
      </c>
      <c r="AD593" s="37">
        <v>0</v>
      </c>
      <c r="AE593" s="7" t="s">
        <v>1177</v>
      </c>
      <c r="AF593" s="7" t="s">
        <v>1177</v>
      </c>
      <c r="AG593" s="7" t="s">
        <v>1177</v>
      </c>
      <c r="AH593" s="38"/>
      <c r="AI593" s="36">
        <v>0</v>
      </c>
      <c r="AJ593" s="7" t="s">
        <v>1193</v>
      </c>
      <c r="AK593" s="7" t="s">
        <v>1177</v>
      </c>
      <c r="AL593" s="7" t="s">
        <v>1177</v>
      </c>
      <c r="AM593" s="7" t="s">
        <v>1177</v>
      </c>
      <c r="AN593" s="7" t="s">
        <v>3212</v>
      </c>
      <c r="AO593" s="7" t="s">
        <v>1177</v>
      </c>
      <c r="AP593" s="7" t="s">
        <v>1177</v>
      </c>
      <c r="AQ593" s="7" t="s">
        <v>1177</v>
      </c>
      <c r="AR593" s="29">
        <v>0</v>
      </c>
      <c r="AS593" s="7" t="s">
        <v>1177</v>
      </c>
      <c r="AT593" s="7" t="s">
        <v>1363</v>
      </c>
      <c r="AU593" s="38">
        <v>46275</v>
      </c>
      <c r="AV593" s="39">
        <v>0.6034837962963</v>
      </c>
    </row>
    <row r="594" spans="1:48" x14ac:dyDescent="0.35">
      <c r="A594" t="str">
        <f t="shared" si="9"/>
        <v>GP065434B864</v>
      </c>
      <c r="B594" s="7" t="s">
        <v>391</v>
      </c>
      <c r="C594" s="7" t="s">
        <v>1010</v>
      </c>
      <c r="D594" s="7" t="s">
        <v>10</v>
      </c>
      <c r="E594" s="7" t="s">
        <v>1177</v>
      </c>
      <c r="F594" s="7" t="s">
        <v>128</v>
      </c>
      <c r="G594" s="7" t="s">
        <v>130</v>
      </c>
      <c r="H594" s="7" t="s">
        <v>129</v>
      </c>
      <c r="I594" s="30">
        <v>12</v>
      </c>
      <c r="J594" s="7" t="s">
        <v>1177</v>
      </c>
      <c r="K594" s="7" t="s">
        <v>1178</v>
      </c>
      <c r="L594" s="7" t="s">
        <v>132</v>
      </c>
      <c r="M594" s="7" t="s">
        <v>133</v>
      </c>
      <c r="N594" s="30">
        <v>0</v>
      </c>
      <c r="O594" s="30">
        <v>0</v>
      </c>
      <c r="P594" s="30">
        <v>0</v>
      </c>
      <c r="Q594" s="30">
        <v>0</v>
      </c>
      <c r="R594" s="29">
        <v>0</v>
      </c>
      <c r="S594" s="36">
        <v>0</v>
      </c>
      <c r="T594" s="7" t="s">
        <v>131</v>
      </c>
      <c r="U594" s="7" t="s">
        <v>1011</v>
      </c>
      <c r="V594" s="7" t="s">
        <v>1011</v>
      </c>
      <c r="W594" s="7" t="s">
        <v>1177</v>
      </c>
      <c r="X594" s="30">
        <v>3</v>
      </c>
      <c r="Y594" s="7" t="s">
        <v>1177</v>
      </c>
      <c r="Z594" s="7" t="s">
        <v>1178</v>
      </c>
      <c r="AA594" s="30">
        <v>0</v>
      </c>
      <c r="AB594" s="36">
        <v>0</v>
      </c>
      <c r="AC594" s="7" t="s">
        <v>1177</v>
      </c>
      <c r="AD594" s="37">
        <v>0</v>
      </c>
      <c r="AE594" s="7" t="s">
        <v>1177</v>
      </c>
      <c r="AF594" s="7" t="s">
        <v>1177</v>
      </c>
      <c r="AG594" s="7" t="s">
        <v>1177</v>
      </c>
      <c r="AH594" s="38"/>
      <c r="AI594" s="36">
        <v>0</v>
      </c>
      <c r="AJ594" s="7" t="s">
        <v>1193</v>
      </c>
      <c r="AK594" s="7" t="s">
        <v>1177</v>
      </c>
      <c r="AL594" s="7" t="s">
        <v>1177</v>
      </c>
      <c r="AM594" s="7" t="s">
        <v>1177</v>
      </c>
      <c r="AN594" s="7" t="s">
        <v>3212</v>
      </c>
      <c r="AO594" s="7" t="s">
        <v>1177</v>
      </c>
      <c r="AP594" s="7" t="s">
        <v>1177</v>
      </c>
      <c r="AQ594" s="7" t="s">
        <v>1177</v>
      </c>
      <c r="AR594" s="29">
        <v>0</v>
      </c>
      <c r="AS594" s="7" t="s">
        <v>1177</v>
      </c>
      <c r="AT594" s="7" t="s">
        <v>1363</v>
      </c>
      <c r="AU594" s="38">
        <v>46275</v>
      </c>
      <c r="AV594" s="39">
        <v>0.60541666666667004</v>
      </c>
    </row>
    <row r="595" spans="1:48" x14ac:dyDescent="0.35">
      <c r="A595" t="str">
        <f t="shared" si="9"/>
        <v>GP065434B865</v>
      </c>
      <c r="B595" s="7" t="s">
        <v>391</v>
      </c>
      <c r="C595" s="7" t="s">
        <v>1039</v>
      </c>
      <c r="D595" s="7" t="s">
        <v>7</v>
      </c>
      <c r="E595" s="7" t="s">
        <v>1177</v>
      </c>
      <c r="F595" s="7" t="s">
        <v>128</v>
      </c>
      <c r="G595" s="7" t="s">
        <v>130</v>
      </c>
      <c r="H595" s="7" t="s">
        <v>129</v>
      </c>
      <c r="I595" s="30">
        <v>1</v>
      </c>
      <c r="J595" s="7" t="s">
        <v>1177</v>
      </c>
      <c r="K595" s="7" t="s">
        <v>1178</v>
      </c>
      <c r="L595" s="7" t="s">
        <v>132</v>
      </c>
      <c r="M595" s="7" t="s">
        <v>133</v>
      </c>
      <c r="N595" s="30">
        <v>0</v>
      </c>
      <c r="O595" s="30">
        <v>0</v>
      </c>
      <c r="P595" s="30">
        <v>0</v>
      </c>
      <c r="Q595" s="30">
        <v>0</v>
      </c>
      <c r="R595" s="29">
        <v>0</v>
      </c>
      <c r="S595" s="36">
        <v>0</v>
      </c>
      <c r="T595" s="7" t="s">
        <v>131</v>
      </c>
      <c r="U595" s="7" t="s">
        <v>1040</v>
      </c>
      <c r="V595" s="7" t="s">
        <v>1040</v>
      </c>
      <c r="W595" s="7" t="s">
        <v>1177</v>
      </c>
      <c r="X595" s="30">
        <v>1</v>
      </c>
      <c r="Y595" s="7" t="s">
        <v>1177</v>
      </c>
      <c r="Z595" s="7" t="s">
        <v>1178</v>
      </c>
      <c r="AA595" s="30">
        <v>0</v>
      </c>
      <c r="AB595" s="36">
        <v>0</v>
      </c>
      <c r="AC595" s="7" t="s">
        <v>1177</v>
      </c>
      <c r="AD595" s="37">
        <v>0</v>
      </c>
      <c r="AE595" s="7" t="s">
        <v>1177</v>
      </c>
      <c r="AF595" s="7" t="s">
        <v>1177</v>
      </c>
      <c r="AG595" s="7" t="s">
        <v>1177</v>
      </c>
      <c r="AH595" s="38"/>
      <c r="AI595" s="36">
        <v>0</v>
      </c>
      <c r="AJ595" s="7" t="s">
        <v>1193</v>
      </c>
      <c r="AK595" s="7" t="s">
        <v>1177</v>
      </c>
      <c r="AL595" s="7" t="s">
        <v>1177</v>
      </c>
      <c r="AM595" s="7" t="s">
        <v>1177</v>
      </c>
      <c r="AN595" s="7" t="s">
        <v>3212</v>
      </c>
      <c r="AO595" s="7" t="s">
        <v>1177</v>
      </c>
      <c r="AP595" s="7" t="s">
        <v>1177</v>
      </c>
      <c r="AQ595" s="7" t="s">
        <v>1177</v>
      </c>
      <c r="AR595" s="29">
        <v>0</v>
      </c>
      <c r="AS595" s="7" t="s">
        <v>1177</v>
      </c>
      <c r="AT595" s="7" t="s">
        <v>1363</v>
      </c>
      <c r="AU595" s="38">
        <v>46275</v>
      </c>
      <c r="AV595" s="39">
        <v>0.60550925925926002</v>
      </c>
    </row>
    <row r="596" spans="1:48" x14ac:dyDescent="0.35">
      <c r="A596" t="str">
        <f t="shared" si="9"/>
        <v>GP065867B838</v>
      </c>
      <c r="B596" s="7" t="s">
        <v>448</v>
      </c>
      <c r="C596" s="7" t="s">
        <v>744</v>
      </c>
      <c r="D596" s="7" t="s">
        <v>48</v>
      </c>
      <c r="E596" s="7" t="s">
        <v>1177</v>
      </c>
      <c r="F596" s="7" t="s">
        <v>128</v>
      </c>
      <c r="G596" s="7" t="s">
        <v>130</v>
      </c>
      <c r="H596" s="7" t="s">
        <v>129</v>
      </c>
      <c r="I596" s="30">
        <v>1</v>
      </c>
      <c r="J596" s="7" t="s">
        <v>1177</v>
      </c>
      <c r="K596" s="7" t="s">
        <v>1178</v>
      </c>
      <c r="L596" s="7" t="s">
        <v>132</v>
      </c>
      <c r="M596" s="7" t="s">
        <v>133</v>
      </c>
      <c r="N596" s="30">
        <v>0</v>
      </c>
      <c r="O596" s="30">
        <v>0</v>
      </c>
      <c r="P596" s="30">
        <v>0</v>
      </c>
      <c r="Q596" s="30">
        <v>0</v>
      </c>
      <c r="R596" s="29">
        <v>0</v>
      </c>
      <c r="S596" s="36">
        <v>0</v>
      </c>
      <c r="T596" s="7" t="s">
        <v>131</v>
      </c>
      <c r="U596" s="7" t="s">
        <v>745</v>
      </c>
      <c r="V596" s="7" t="s">
        <v>745</v>
      </c>
      <c r="W596" s="7" t="s">
        <v>1177</v>
      </c>
      <c r="X596" s="30">
        <v>1</v>
      </c>
      <c r="Y596" s="7" t="s">
        <v>1177</v>
      </c>
      <c r="Z596" s="7" t="s">
        <v>1178</v>
      </c>
      <c r="AA596" s="30">
        <v>0</v>
      </c>
      <c r="AB596" s="36">
        <v>0</v>
      </c>
      <c r="AC596" s="7" t="s">
        <v>1177</v>
      </c>
      <c r="AD596" s="37">
        <v>0</v>
      </c>
      <c r="AE596" s="7" t="s">
        <v>1177</v>
      </c>
      <c r="AF596" s="7" t="s">
        <v>1177</v>
      </c>
      <c r="AG596" s="7" t="s">
        <v>1177</v>
      </c>
      <c r="AH596" s="38"/>
      <c r="AI596" s="36">
        <v>0</v>
      </c>
      <c r="AJ596" s="7" t="s">
        <v>1193</v>
      </c>
      <c r="AK596" s="7" t="s">
        <v>1177</v>
      </c>
      <c r="AL596" s="7" t="s">
        <v>1177</v>
      </c>
      <c r="AM596" s="7" t="s">
        <v>1177</v>
      </c>
      <c r="AN596" s="7" t="s">
        <v>3212</v>
      </c>
      <c r="AO596" s="7" t="s">
        <v>1177</v>
      </c>
      <c r="AP596" s="7" t="s">
        <v>1177</v>
      </c>
      <c r="AQ596" s="7" t="s">
        <v>1177</v>
      </c>
      <c r="AR596" s="29">
        <v>0</v>
      </c>
      <c r="AS596" s="7" t="s">
        <v>1177</v>
      </c>
      <c r="AT596" s="7" t="s">
        <v>1363</v>
      </c>
      <c r="AU596" s="38">
        <v>46275</v>
      </c>
      <c r="AV596" s="39">
        <v>0.60453703703703998</v>
      </c>
    </row>
    <row r="597" spans="1:48" x14ac:dyDescent="0.35">
      <c r="A597" t="str">
        <f t="shared" si="9"/>
        <v>GP067034B825</v>
      </c>
      <c r="B597" s="7" t="s">
        <v>163</v>
      </c>
      <c r="C597" s="7" t="s">
        <v>511</v>
      </c>
      <c r="D597" s="7" t="s">
        <v>16</v>
      </c>
      <c r="E597" s="7" t="s">
        <v>1177</v>
      </c>
      <c r="F597" s="7" t="s">
        <v>128</v>
      </c>
      <c r="G597" s="7" t="s">
        <v>130</v>
      </c>
      <c r="H597" s="7" t="s">
        <v>129</v>
      </c>
      <c r="I597" s="30">
        <v>4</v>
      </c>
      <c r="J597" s="7" t="s">
        <v>1177</v>
      </c>
      <c r="K597" s="7" t="s">
        <v>1178</v>
      </c>
      <c r="L597" s="7" t="s">
        <v>132</v>
      </c>
      <c r="M597" s="7" t="s">
        <v>133</v>
      </c>
      <c r="N597" s="30">
        <v>0</v>
      </c>
      <c r="O597" s="30">
        <v>0</v>
      </c>
      <c r="P597" s="30">
        <v>0</v>
      </c>
      <c r="Q597" s="30">
        <v>0</v>
      </c>
      <c r="R597" s="29">
        <v>0</v>
      </c>
      <c r="S597" s="36">
        <v>0</v>
      </c>
      <c r="T597" s="7" t="s">
        <v>131</v>
      </c>
      <c r="U597" s="7" t="s">
        <v>512</v>
      </c>
      <c r="V597" s="7" t="s">
        <v>512</v>
      </c>
      <c r="W597" s="7" t="s">
        <v>1177</v>
      </c>
      <c r="X597" s="30">
        <v>1</v>
      </c>
      <c r="Y597" s="7" t="s">
        <v>1177</v>
      </c>
      <c r="Z597" s="7" t="s">
        <v>1178</v>
      </c>
      <c r="AA597" s="30">
        <v>0</v>
      </c>
      <c r="AB597" s="36">
        <v>0</v>
      </c>
      <c r="AC597" s="7" t="s">
        <v>1177</v>
      </c>
      <c r="AD597" s="37">
        <v>0</v>
      </c>
      <c r="AE597" s="7" t="s">
        <v>1177</v>
      </c>
      <c r="AF597" s="7" t="s">
        <v>1177</v>
      </c>
      <c r="AG597" s="7" t="s">
        <v>1177</v>
      </c>
      <c r="AH597" s="38"/>
      <c r="AI597" s="36">
        <v>0</v>
      </c>
      <c r="AJ597" s="7" t="s">
        <v>1193</v>
      </c>
      <c r="AK597" s="7" t="s">
        <v>1177</v>
      </c>
      <c r="AL597" s="7" t="s">
        <v>1177</v>
      </c>
      <c r="AM597" s="7" t="s">
        <v>1177</v>
      </c>
      <c r="AN597" s="7" t="s">
        <v>3212</v>
      </c>
      <c r="AO597" s="7" t="s">
        <v>1177</v>
      </c>
      <c r="AP597" s="7" t="s">
        <v>1177</v>
      </c>
      <c r="AQ597" s="7" t="s">
        <v>1177</v>
      </c>
      <c r="AR597" s="29">
        <v>0</v>
      </c>
      <c r="AS597" s="7" t="s">
        <v>1177</v>
      </c>
      <c r="AT597" s="7" t="s">
        <v>1363</v>
      </c>
      <c r="AU597" s="38">
        <v>46275</v>
      </c>
      <c r="AV597" s="39">
        <v>0.6034837962963</v>
      </c>
    </row>
    <row r="598" spans="1:48" x14ac:dyDescent="0.35">
      <c r="A598" t="str">
        <f t="shared" si="9"/>
        <v>GP067034B832</v>
      </c>
      <c r="B598" s="7" t="s">
        <v>163</v>
      </c>
      <c r="C598" s="7" t="s">
        <v>653</v>
      </c>
      <c r="D598" s="7" t="s">
        <v>19</v>
      </c>
      <c r="E598" s="7" t="s">
        <v>1177</v>
      </c>
      <c r="F598" s="7" t="s">
        <v>128</v>
      </c>
      <c r="G598" s="7" t="s">
        <v>130</v>
      </c>
      <c r="H598" s="7" t="s">
        <v>129</v>
      </c>
      <c r="I598" s="30">
        <v>2</v>
      </c>
      <c r="J598" s="7" t="s">
        <v>1177</v>
      </c>
      <c r="K598" s="7" t="s">
        <v>1178</v>
      </c>
      <c r="L598" s="7" t="s">
        <v>132</v>
      </c>
      <c r="M598" s="7" t="s">
        <v>133</v>
      </c>
      <c r="N598" s="30">
        <v>0</v>
      </c>
      <c r="O598" s="30">
        <v>0</v>
      </c>
      <c r="P598" s="30">
        <v>0</v>
      </c>
      <c r="Q598" s="30">
        <v>0</v>
      </c>
      <c r="R598" s="29">
        <v>0</v>
      </c>
      <c r="S598" s="36">
        <v>0</v>
      </c>
      <c r="T598" s="7" t="s">
        <v>131</v>
      </c>
      <c r="U598" s="7" t="s">
        <v>654</v>
      </c>
      <c r="V598" s="7" t="s">
        <v>654</v>
      </c>
      <c r="W598" s="7" t="s">
        <v>1177</v>
      </c>
      <c r="X598" s="30">
        <v>1</v>
      </c>
      <c r="Y598" s="7" t="s">
        <v>1177</v>
      </c>
      <c r="Z598" s="7" t="s">
        <v>1178</v>
      </c>
      <c r="AA598" s="30">
        <v>0</v>
      </c>
      <c r="AB598" s="36">
        <v>0</v>
      </c>
      <c r="AC598" s="7" t="s">
        <v>1177</v>
      </c>
      <c r="AD598" s="37">
        <v>0</v>
      </c>
      <c r="AE598" s="7" t="s">
        <v>1177</v>
      </c>
      <c r="AF598" s="7" t="s">
        <v>1177</v>
      </c>
      <c r="AG598" s="7" t="s">
        <v>1177</v>
      </c>
      <c r="AH598" s="38"/>
      <c r="AI598" s="36">
        <v>0</v>
      </c>
      <c r="AJ598" s="7" t="s">
        <v>1193</v>
      </c>
      <c r="AK598" s="7" t="s">
        <v>1177</v>
      </c>
      <c r="AL598" s="7" t="s">
        <v>1177</v>
      </c>
      <c r="AM598" s="7" t="s">
        <v>1177</v>
      </c>
      <c r="AN598" s="7" t="s">
        <v>3212</v>
      </c>
      <c r="AO598" s="7" t="s">
        <v>1177</v>
      </c>
      <c r="AP598" s="7" t="s">
        <v>1177</v>
      </c>
      <c r="AQ598" s="7" t="s">
        <v>1177</v>
      </c>
      <c r="AR598" s="29">
        <v>0</v>
      </c>
      <c r="AS598" s="7" t="s">
        <v>1177</v>
      </c>
      <c r="AT598" s="7" t="s">
        <v>1363</v>
      </c>
      <c r="AU598" s="38">
        <v>46275</v>
      </c>
      <c r="AV598" s="39">
        <v>0.60391203703703999</v>
      </c>
    </row>
    <row r="599" spans="1:48" x14ac:dyDescent="0.35">
      <c r="A599" t="str">
        <f t="shared" si="9"/>
        <v>GP068973B857</v>
      </c>
      <c r="B599" s="7" t="s">
        <v>491</v>
      </c>
      <c r="C599" s="7" t="s">
        <v>958</v>
      </c>
      <c r="D599" s="7" t="s">
        <v>23</v>
      </c>
      <c r="E599" s="7" t="s">
        <v>1177</v>
      </c>
      <c r="F599" s="7" t="s">
        <v>134</v>
      </c>
      <c r="G599" s="7" t="s">
        <v>130</v>
      </c>
      <c r="H599" s="7" t="s">
        <v>129</v>
      </c>
      <c r="I599" s="30">
        <v>1</v>
      </c>
      <c r="J599" s="7" t="s">
        <v>1177</v>
      </c>
      <c r="K599" s="7" t="s">
        <v>1178</v>
      </c>
      <c r="L599" s="7" t="s">
        <v>132</v>
      </c>
      <c r="M599" s="7" t="s">
        <v>133</v>
      </c>
      <c r="N599" s="30">
        <v>0</v>
      </c>
      <c r="O599" s="30">
        <v>0</v>
      </c>
      <c r="P599" s="30">
        <v>0</v>
      </c>
      <c r="Q599" s="30">
        <v>0</v>
      </c>
      <c r="R599" s="29">
        <v>0</v>
      </c>
      <c r="S599" s="36">
        <v>0</v>
      </c>
      <c r="T599" s="7" t="s">
        <v>131</v>
      </c>
      <c r="U599" s="7" t="s">
        <v>959</v>
      </c>
      <c r="V599" s="7" t="s">
        <v>959</v>
      </c>
      <c r="W599" s="7" t="s">
        <v>1177</v>
      </c>
      <c r="X599" s="30">
        <v>1</v>
      </c>
      <c r="Y599" s="7" t="s">
        <v>1177</v>
      </c>
      <c r="Z599" s="7" t="s">
        <v>1178</v>
      </c>
      <c r="AA599" s="30">
        <v>0</v>
      </c>
      <c r="AB599" s="36">
        <v>0</v>
      </c>
      <c r="AC599" s="7" t="s">
        <v>1177</v>
      </c>
      <c r="AD599" s="37">
        <v>0</v>
      </c>
      <c r="AE599" s="7" t="s">
        <v>1177</v>
      </c>
      <c r="AF599" s="7" t="s">
        <v>1177</v>
      </c>
      <c r="AG599" s="7" t="s">
        <v>1177</v>
      </c>
      <c r="AH599" s="38"/>
      <c r="AI599" s="36">
        <v>0</v>
      </c>
      <c r="AJ599" s="7" t="s">
        <v>1193</v>
      </c>
      <c r="AK599" s="7" t="s">
        <v>1177</v>
      </c>
      <c r="AL599" s="7" t="s">
        <v>1177</v>
      </c>
      <c r="AM599" s="7" t="s">
        <v>1177</v>
      </c>
      <c r="AN599" s="7" t="s">
        <v>3212</v>
      </c>
      <c r="AO599" s="7" t="s">
        <v>1177</v>
      </c>
      <c r="AP599" s="7" t="s">
        <v>1177</v>
      </c>
      <c r="AQ599" s="7" t="s">
        <v>1177</v>
      </c>
      <c r="AR599" s="29">
        <v>0</v>
      </c>
      <c r="AS599" s="7" t="s">
        <v>1177</v>
      </c>
      <c r="AT599" s="7" t="s">
        <v>1363</v>
      </c>
      <c r="AU599" s="38">
        <v>46275</v>
      </c>
      <c r="AV599" s="39">
        <v>0.60531250000000003</v>
      </c>
    </row>
    <row r="600" spans="1:48" x14ac:dyDescent="0.35">
      <c r="A600" t="str">
        <f t="shared" si="9"/>
        <v>GP068973B865</v>
      </c>
      <c r="B600" s="7" t="s">
        <v>491</v>
      </c>
      <c r="C600" s="7" t="s">
        <v>1039</v>
      </c>
      <c r="D600" s="7" t="s">
        <v>7</v>
      </c>
      <c r="E600" s="7" t="s">
        <v>1177</v>
      </c>
      <c r="F600" s="7" t="s">
        <v>134</v>
      </c>
      <c r="G600" s="7" t="s">
        <v>130</v>
      </c>
      <c r="H600" s="7" t="s">
        <v>129</v>
      </c>
      <c r="I600" s="30">
        <v>2</v>
      </c>
      <c r="J600" s="7" t="s">
        <v>1177</v>
      </c>
      <c r="K600" s="7" t="s">
        <v>1178</v>
      </c>
      <c r="L600" s="7" t="s">
        <v>132</v>
      </c>
      <c r="M600" s="7" t="s">
        <v>133</v>
      </c>
      <c r="N600" s="30">
        <v>0</v>
      </c>
      <c r="O600" s="30">
        <v>0</v>
      </c>
      <c r="P600" s="30">
        <v>0</v>
      </c>
      <c r="Q600" s="30">
        <v>0</v>
      </c>
      <c r="R600" s="29">
        <v>0</v>
      </c>
      <c r="S600" s="36">
        <v>0</v>
      </c>
      <c r="T600" s="7" t="s">
        <v>131</v>
      </c>
      <c r="U600" s="7" t="s">
        <v>1040</v>
      </c>
      <c r="V600" s="7" t="s">
        <v>1040</v>
      </c>
      <c r="W600" s="7" t="s">
        <v>1177</v>
      </c>
      <c r="X600" s="30">
        <v>2</v>
      </c>
      <c r="Y600" s="7" t="s">
        <v>1177</v>
      </c>
      <c r="Z600" s="7" t="s">
        <v>1178</v>
      </c>
      <c r="AA600" s="30">
        <v>0</v>
      </c>
      <c r="AB600" s="36">
        <v>0</v>
      </c>
      <c r="AC600" s="7" t="s">
        <v>1177</v>
      </c>
      <c r="AD600" s="37">
        <v>0</v>
      </c>
      <c r="AE600" s="7" t="s">
        <v>1177</v>
      </c>
      <c r="AF600" s="7" t="s">
        <v>1177</v>
      </c>
      <c r="AG600" s="7" t="s">
        <v>1177</v>
      </c>
      <c r="AH600" s="38"/>
      <c r="AI600" s="36">
        <v>0</v>
      </c>
      <c r="AJ600" s="7" t="s">
        <v>1193</v>
      </c>
      <c r="AK600" s="7" t="s">
        <v>1177</v>
      </c>
      <c r="AL600" s="7" t="s">
        <v>1177</v>
      </c>
      <c r="AM600" s="7" t="s">
        <v>1177</v>
      </c>
      <c r="AN600" s="7" t="s">
        <v>3212</v>
      </c>
      <c r="AO600" s="7" t="s">
        <v>1177</v>
      </c>
      <c r="AP600" s="7" t="s">
        <v>1177</v>
      </c>
      <c r="AQ600" s="7" t="s">
        <v>1177</v>
      </c>
      <c r="AR600" s="29">
        <v>0</v>
      </c>
      <c r="AS600" s="7" t="s">
        <v>1177</v>
      </c>
      <c r="AT600" s="7" t="s">
        <v>1363</v>
      </c>
      <c r="AU600" s="38">
        <v>46275</v>
      </c>
      <c r="AV600" s="39">
        <v>0.60554398148148003</v>
      </c>
    </row>
    <row r="601" spans="1:48" x14ac:dyDescent="0.35">
      <c r="A601" t="str">
        <f t="shared" si="9"/>
        <v>GP069121B857</v>
      </c>
      <c r="B601" s="7" t="s">
        <v>633</v>
      </c>
      <c r="C601" s="7" t="s">
        <v>958</v>
      </c>
      <c r="D601" s="7" t="s">
        <v>23</v>
      </c>
      <c r="E601" s="7" t="s">
        <v>1177</v>
      </c>
      <c r="F601" s="7" t="s">
        <v>128</v>
      </c>
      <c r="G601" s="7" t="s">
        <v>130</v>
      </c>
      <c r="H601" s="7" t="s">
        <v>129</v>
      </c>
      <c r="I601" s="30">
        <v>1</v>
      </c>
      <c r="J601" s="7" t="s">
        <v>1177</v>
      </c>
      <c r="K601" s="7" t="s">
        <v>1178</v>
      </c>
      <c r="L601" s="7" t="s">
        <v>132</v>
      </c>
      <c r="M601" s="7" t="s">
        <v>133</v>
      </c>
      <c r="N601" s="30">
        <v>0</v>
      </c>
      <c r="O601" s="30">
        <v>0</v>
      </c>
      <c r="P601" s="30">
        <v>0</v>
      </c>
      <c r="Q601" s="30">
        <v>0</v>
      </c>
      <c r="R601" s="29">
        <v>0</v>
      </c>
      <c r="S601" s="36">
        <v>0</v>
      </c>
      <c r="T601" s="7" t="s">
        <v>131</v>
      </c>
      <c r="U601" s="7" t="s">
        <v>959</v>
      </c>
      <c r="V601" s="7" t="s">
        <v>959</v>
      </c>
      <c r="W601" s="7" t="s">
        <v>1177</v>
      </c>
      <c r="X601" s="30">
        <v>1</v>
      </c>
      <c r="Y601" s="7" t="s">
        <v>1177</v>
      </c>
      <c r="Z601" s="7" t="s">
        <v>1178</v>
      </c>
      <c r="AA601" s="30">
        <v>0</v>
      </c>
      <c r="AB601" s="36">
        <v>0</v>
      </c>
      <c r="AC601" s="7" t="s">
        <v>1177</v>
      </c>
      <c r="AD601" s="37">
        <v>0</v>
      </c>
      <c r="AE601" s="7" t="s">
        <v>1177</v>
      </c>
      <c r="AF601" s="7" t="s">
        <v>1177</v>
      </c>
      <c r="AG601" s="7" t="s">
        <v>1177</v>
      </c>
      <c r="AH601" s="38"/>
      <c r="AI601" s="36">
        <v>0</v>
      </c>
      <c r="AJ601" s="7" t="s">
        <v>1193</v>
      </c>
      <c r="AK601" s="7" t="s">
        <v>1177</v>
      </c>
      <c r="AL601" s="7" t="s">
        <v>1177</v>
      </c>
      <c r="AM601" s="7" t="s">
        <v>1177</v>
      </c>
      <c r="AN601" s="7" t="s">
        <v>3212</v>
      </c>
      <c r="AO601" s="7" t="s">
        <v>1177</v>
      </c>
      <c r="AP601" s="7" t="s">
        <v>1177</v>
      </c>
      <c r="AQ601" s="7" t="s">
        <v>1177</v>
      </c>
      <c r="AR601" s="29">
        <v>0</v>
      </c>
      <c r="AS601" s="7" t="s">
        <v>1177</v>
      </c>
      <c r="AT601" s="7" t="s">
        <v>1363</v>
      </c>
      <c r="AU601" s="38">
        <v>46275</v>
      </c>
      <c r="AV601" s="39">
        <v>0.62497685185185003</v>
      </c>
    </row>
    <row r="602" spans="1:48" x14ac:dyDescent="0.35">
      <c r="A602" t="str">
        <f t="shared" si="9"/>
        <v>GP069179B832</v>
      </c>
      <c r="B602" s="7" t="s">
        <v>666</v>
      </c>
      <c r="C602" s="7" t="s">
        <v>653</v>
      </c>
      <c r="D602" s="7" t="s">
        <v>19</v>
      </c>
      <c r="E602" s="7" t="s">
        <v>1177</v>
      </c>
      <c r="F602" s="7" t="s">
        <v>128</v>
      </c>
      <c r="G602" s="7" t="s">
        <v>130</v>
      </c>
      <c r="H602" s="7" t="s">
        <v>129</v>
      </c>
      <c r="I602" s="30">
        <v>2</v>
      </c>
      <c r="J602" s="7" t="s">
        <v>1177</v>
      </c>
      <c r="K602" s="7" t="s">
        <v>1178</v>
      </c>
      <c r="L602" s="7" t="s">
        <v>132</v>
      </c>
      <c r="M602" s="7" t="s">
        <v>133</v>
      </c>
      <c r="N602" s="30">
        <v>0</v>
      </c>
      <c r="O602" s="30">
        <v>0</v>
      </c>
      <c r="P602" s="30">
        <v>0</v>
      </c>
      <c r="Q602" s="30">
        <v>0</v>
      </c>
      <c r="R602" s="29">
        <v>0</v>
      </c>
      <c r="S602" s="36">
        <v>0</v>
      </c>
      <c r="T602" s="7" t="s">
        <v>131</v>
      </c>
      <c r="U602" s="7" t="s">
        <v>654</v>
      </c>
      <c r="V602" s="7" t="s">
        <v>654</v>
      </c>
      <c r="W602" s="7" t="s">
        <v>1177</v>
      </c>
      <c r="X602" s="30">
        <v>1</v>
      </c>
      <c r="Y602" s="7" t="s">
        <v>1177</v>
      </c>
      <c r="Z602" s="7" t="s">
        <v>1178</v>
      </c>
      <c r="AA602" s="30">
        <v>0</v>
      </c>
      <c r="AB602" s="36">
        <v>0</v>
      </c>
      <c r="AC602" s="7" t="s">
        <v>1177</v>
      </c>
      <c r="AD602" s="37">
        <v>0</v>
      </c>
      <c r="AE602" s="7" t="s">
        <v>1177</v>
      </c>
      <c r="AF602" s="7" t="s">
        <v>1177</v>
      </c>
      <c r="AG602" s="7" t="s">
        <v>1177</v>
      </c>
      <c r="AH602" s="38"/>
      <c r="AI602" s="36">
        <v>0</v>
      </c>
      <c r="AJ602" s="7" t="s">
        <v>1193</v>
      </c>
      <c r="AK602" s="7" t="s">
        <v>1177</v>
      </c>
      <c r="AL602" s="7" t="s">
        <v>1177</v>
      </c>
      <c r="AM602" s="7" t="s">
        <v>1177</v>
      </c>
      <c r="AN602" s="7" t="s">
        <v>3212</v>
      </c>
      <c r="AO602" s="7" t="s">
        <v>1177</v>
      </c>
      <c r="AP602" s="7" t="s">
        <v>1177</v>
      </c>
      <c r="AQ602" s="7" t="s">
        <v>1177</v>
      </c>
      <c r="AR602" s="29">
        <v>0</v>
      </c>
      <c r="AS602" s="7" t="s">
        <v>1177</v>
      </c>
      <c r="AT602" s="7" t="s">
        <v>1363</v>
      </c>
      <c r="AU602" s="38">
        <v>46275</v>
      </c>
      <c r="AV602" s="39">
        <v>0.62340277777777997</v>
      </c>
    </row>
    <row r="603" spans="1:48" x14ac:dyDescent="0.35">
      <c r="A603" t="str">
        <f t="shared" si="9"/>
        <v>GP069179B838</v>
      </c>
      <c r="B603" s="7" t="s">
        <v>666</v>
      </c>
      <c r="C603" s="7" t="s">
        <v>744</v>
      </c>
      <c r="D603" s="7" t="s">
        <v>48</v>
      </c>
      <c r="E603" s="7" t="s">
        <v>1177</v>
      </c>
      <c r="F603" s="7" t="s">
        <v>128</v>
      </c>
      <c r="G603" s="7" t="s">
        <v>130</v>
      </c>
      <c r="H603" s="7" t="s">
        <v>129</v>
      </c>
      <c r="I603" s="30">
        <v>2</v>
      </c>
      <c r="J603" s="7" t="s">
        <v>1177</v>
      </c>
      <c r="K603" s="7" t="s">
        <v>1178</v>
      </c>
      <c r="L603" s="7" t="s">
        <v>132</v>
      </c>
      <c r="M603" s="7" t="s">
        <v>133</v>
      </c>
      <c r="N603" s="30">
        <v>0</v>
      </c>
      <c r="O603" s="30">
        <v>0</v>
      </c>
      <c r="P603" s="30">
        <v>0</v>
      </c>
      <c r="Q603" s="30">
        <v>0</v>
      </c>
      <c r="R603" s="29">
        <v>0</v>
      </c>
      <c r="S603" s="36">
        <v>0</v>
      </c>
      <c r="T603" s="7" t="s">
        <v>131</v>
      </c>
      <c r="U603" s="7" t="s">
        <v>745</v>
      </c>
      <c r="V603" s="7" t="s">
        <v>745</v>
      </c>
      <c r="W603" s="7" t="s">
        <v>1177</v>
      </c>
      <c r="X603" s="30">
        <v>1</v>
      </c>
      <c r="Y603" s="7" t="s">
        <v>1177</v>
      </c>
      <c r="Z603" s="7" t="s">
        <v>1178</v>
      </c>
      <c r="AA603" s="30">
        <v>0</v>
      </c>
      <c r="AB603" s="36">
        <v>0</v>
      </c>
      <c r="AC603" s="7" t="s">
        <v>1177</v>
      </c>
      <c r="AD603" s="37">
        <v>0</v>
      </c>
      <c r="AE603" s="7" t="s">
        <v>1177</v>
      </c>
      <c r="AF603" s="7" t="s">
        <v>1177</v>
      </c>
      <c r="AG603" s="7" t="s">
        <v>1177</v>
      </c>
      <c r="AH603" s="38"/>
      <c r="AI603" s="36">
        <v>0</v>
      </c>
      <c r="AJ603" s="7" t="s">
        <v>1193</v>
      </c>
      <c r="AK603" s="7" t="s">
        <v>1177</v>
      </c>
      <c r="AL603" s="7" t="s">
        <v>1177</v>
      </c>
      <c r="AM603" s="7" t="s">
        <v>1177</v>
      </c>
      <c r="AN603" s="7" t="s">
        <v>3212</v>
      </c>
      <c r="AO603" s="7" t="s">
        <v>1177</v>
      </c>
      <c r="AP603" s="7" t="s">
        <v>1177</v>
      </c>
      <c r="AQ603" s="7" t="s">
        <v>1177</v>
      </c>
      <c r="AR603" s="29">
        <v>0</v>
      </c>
      <c r="AS603" s="7" t="s">
        <v>1177</v>
      </c>
      <c r="AT603" s="7" t="s">
        <v>1363</v>
      </c>
      <c r="AU603" s="38">
        <v>46275</v>
      </c>
      <c r="AV603" s="39">
        <v>0.62413194444443998</v>
      </c>
    </row>
    <row r="604" spans="1:48" x14ac:dyDescent="0.35">
      <c r="A604" t="str">
        <f t="shared" si="9"/>
        <v>GP069179B856</v>
      </c>
      <c r="B604" s="7" t="s">
        <v>666</v>
      </c>
      <c r="C604" s="7" t="s">
        <v>852</v>
      </c>
      <c r="D604" s="7" t="s">
        <v>21</v>
      </c>
      <c r="E604" s="7" t="s">
        <v>1177</v>
      </c>
      <c r="F604" s="7" t="s">
        <v>128</v>
      </c>
      <c r="G604" s="7" t="s">
        <v>130</v>
      </c>
      <c r="H604" s="7" t="s">
        <v>129</v>
      </c>
      <c r="I604" s="30">
        <v>2</v>
      </c>
      <c r="J604" s="7" t="s">
        <v>1177</v>
      </c>
      <c r="K604" s="7" t="s">
        <v>1178</v>
      </c>
      <c r="L604" s="7" t="s">
        <v>132</v>
      </c>
      <c r="M604" s="7" t="s">
        <v>133</v>
      </c>
      <c r="N604" s="30">
        <v>0</v>
      </c>
      <c r="O604" s="30">
        <v>0</v>
      </c>
      <c r="P604" s="30">
        <v>0</v>
      </c>
      <c r="Q604" s="30">
        <v>0</v>
      </c>
      <c r="R604" s="29">
        <v>0</v>
      </c>
      <c r="S604" s="36">
        <v>0</v>
      </c>
      <c r="T604" s="7" t="s">
        <v>131</v>
      </c>
      <c r="U604" s="7" t="s">
        <v>853</v>
      </c>
      <c r="V604" s="7" t="s">
        <v>853</v>
      </c>
      <c r="W604" s="7" t="s">
        <v>1177</v>
      </c>
      <c r="X604" s="30">
        <v>1</v>
      </c>
      <c r="Y604" s="7" t="s">
        <v>1177</v>
      </c>
      <c r="Z604" s="7" t="s">
        <v>1178</v>
      </c>
      <c r="AA604" s="30">
        <v>0</v>
      </c>
      <c r="AB604" s="36">
        <v>0</v>
      </c>
      <c r="AC604" s="7" t="s">
        <v>1177</v>
      </c>
      <c r="AD604" s="37">
        <v>0</v>
      </c>
      <c r="AE604" s="7" t="s">
        <v>1177</v>
      </c>
      <c r="AF604" s="7" t="s">
        <v>1177</v>
      </c>
      <c r="AG604" s="7" t="s">
        <v>1177</v>
      </c>
      <c r="AH604" s="38"/>
      <c r="AI604" s="36">
        <v>0</v>
      </c>
      <c r="AJ604" s="7" t="s">
        <v>1193</v>
      </c>
      <c r="AK604" s="7" t="s">
        <v>1177</v>
      </c>
      <c r="AL604" s="7" t="s">
        <v>1177</v>
      </c>
      <c r="AM604" s="7" t="s">
        <v>1177</v>
      </c>
      <c r="AN604" s="7" t="s">
        <v>3212</v>
      </c>
      <c r="AO604" s="7" t="s">
        <v>1177</v>
      </c>
      <c r="AP604" s="7" t="s">
        <v>1177</v>
      </c>
      <c r="AQ604" s="7" t="s">
        <v>1177</v>
      </c>
      <c r="AR604" s="29">
        <v>0</v>
      </c>
      <c r="AS604" s="7" t="s">
        <v>1177</v>
      </c>
      <c r="AT604" s="7" t="s">
        <v>1363</v>
      </c>
      <c r="AU604" s="38">
        <v>46275</v>
      </c>
      <c r="AV604" s="39">
        <v>0.62490740740741002</v>
      </c>
    </row>
    <row r="605" spans="1:48" x14ac:dyDescent="0.35">
      <c r="A605" t="str">
        <f t="shared" si="9"/>
        <v>GP069343B857</v>
      </c>
      <c r="B605" s="7" t="s">
        <v>790</v>
      </c>
      <c r="C605" s="7" t="s">
        <v>958</v>
      </c>
      <c r="D605" s="7" t="s">
        <v>23</v>
      </c>
      <c r="E605" s="7" t="s">
        <v>1177</v>
      </c>
      <c r="F605" s="7" t="s">
        <v>128</v>
      </c>
      <c r="G605" s="7" t="s">
        <v>130</v>
      </c>
      <c r="H605" s="7" t="s">
        <v>129</v>
      </c>
      <c r="I605" s="30">
        <v>1</v>
      </c>
      <c r="J605" s="7" t="s">
        <v>1177</v>
      </c>
      <c r="K605" s="7" t="s">
        <v>1178</v>
      </c>
      <c r="L605" s="7" t="s">
        <v>132</v>
      </c>
      <c r="M605" s="7" t="s">
        <v>133</v>
      </c>
      <c r="N605" s="30">
        <v>0</v>
      </c>
      <c r="O605" s="30">
        <v>0</v>
      </c>
      <c r="P605" s="30">
        <v>0</v>
      </c>
      <c r="Q605" s="30">
        <v>0</v>
      </c>
      <c r="R605" s="29">
        <v>0</v>
      </c>
      <c r="S605" s="36">
        <v>0</v>
      </c>
      <c r="T605" s="7" t="s">
        <v>131</v>
      </c>
      <c r="U605" s="7" t="s">
        <v>959</v>
      </c>
      <c r="V605" s="7" t="s">
        <v>959</v>
      </c>
      <c r="W605" s="7" t="s">
        <v>1177</v>
      </c>
      <c r="X605" s="30">
        <v>1</v>
      </c>
      <c r="Y605" s="7" t="s">
        <v>1177</v>
      </c>
      <c r="Z605" s="7" t="s">
        <v>1178</v>
      </c>
      <c r="AA605" s="30">
        <v>0</v>
      </c>
      <c r="AB605" s="36">
        <v>0</v>
      </c>
      <c r="AC605" s="7" t="s">
        <v>1177</v>
      </c>
      <c r="AD605" s="37">
        <v>0</v>
      </c>
      <c r="AE605" s="7" t="s">
        <v>1177</v>
      </c>
      <c r="AF605" s="7" t="s">
        <v>1177</v>
      </c>
      <c r="AG605" s="7" t="s">
        <v>1177</v>
      </c>
      <c r="AH605" s="38"/>
      <c r="AI605" s="36">
        <v>0</v>
      </c>
      <c r="AJ605" s="7" t="s">
        <v>1193</v>
      </c>
      <c r="AK605" s="7" t="s">
        <v>1177</v>
      </c>
      <c r="AL605" s="7" t="s">
        <v>1177</v>
      </c>
      <c r="AM605" s="7" t="s">
        <v>1177</v>
      </c>
      <c r="AN605" s="7" t="s">
        <v>3212</v>
      </c>
      <c r="AO605" s="7" t="s">
        <v>1177</v>
      </c>
      <c r="AP605" s="7" t="s">
        <v>1177</v>
      </c>
      <c r="AQ605" s="7" t="s">
        <v>1177</v>
      </c>
      <c r="AR605" s="29">
        <v>0</v>
      </c>
      <c r="AS605" s="7" t="s">
        <v>1177</v>
      </c>
      <c r="AT605" s="7" t="s">
        <v>1363</v>
      </c>
      <c r="AU605" s="38">
        <v>46275</v>
      </c>
      <c r="AV605" s="39">
        <v>0.62497685185185003</v>
      </c>
    </row>
    <row r="606" spans="1:48" x14ac:dyDescent="0.35">
      <c r="A606" t="str">
        <f t="shared" si="9"/>
        <v>GP069610B838</v>
      </c>
      <c r="B606" s="7" t="s">
        <v>43</v>
      </c>
      <c r="C606" s="7" t="s">
        <v>744</v>
      </c>
      <c r="D606" s="7" t="s">
        <v>48</v>
      </c>
      <c r="E606" s="7" t="s">
        <v>1177</v>
      </c>
      <c r="F606" s="7" t="s">
        <v>128</v>
      </c>
      <c r="G606" s="7" t="s">
        <v>130</v>
      </c>
      <c r="H606" s="7" t="s">
        <v>129</v>
      </c>
      <c r="I606" s="30">
        <v>1</v>
      </c>
      <c r="J606" s="7" t="s">
        <v>1177</v>
      </c>
      <c r="K606" s="7" t="s">
        <v>1178</v>
      </c>
      <c r="L606" s="7" t="s">
        <v>132</v>
      </c>
      <c r="M606" s="7" t="s">
        <v>133</v>
      </c>
      <c r="N606" s="30">
        <v>0</v>
      </c>
      <c r="O606" s="30">
        <v>0</v>
      </c>
      <c r="P606" s="30">
        <v>0</v>
      </c>
      <c r="Q606" s="30">
        <v>0</v>
      </c>
      <c r="R606" s="29">
        <v>0</v>
      </c>
      <c r="S606" s="36">
        <v>0</v>
      </c>
      <c r="T606" s="7" t="s">
        <v>131</v>
      </c>
      <c r="U606" s="7" t="s">
        <v>745</v>
      </c>
      <c r="V606" s="7" t="s">
        <v>745</v>
      </c>
      <c r="W606" s="7" t="s">
        <v>1177</v>
      </c>
      <c r="X606" s="30">
        <v>1</v>
      </c>
      <c r="Y606" s="7" t="s">
        <v>1177</v>
      </c>
      <c r="Z606" s="7" t="s">
        <v>1178</v>
      </c>
      <c r="AA606" s="30">
        <v>0</v>
      </c>
      <c r="AB606" s="36">
        <v>0</v>
      </c>
      <c r="AC606" s="7" t="s">
        <v>1177</v>
      </c>
      <c r="AD606" s="37">
        <v>0</v>
      </c>
      <c r="AE606" s="7" t="s">
        <v>1177</v>
      </c>
      <c r="AF606" s="7" t="s">
        <v>1177</v>
      </c>
      <c r="AG606" s="7" t="s">
        <v>1177</v>
      </c>
      <c r="AH606" s="38"/>
      <c r="AI606" s="36">
        <v>0</v>
      </c>
      <c r="AJ606" s="7" t="s">
        <v>1193</v>
      </c>
      <c r="AK606" s="7" t="s">
        <v>1177</v>
      </c>
      <c r="AL606" s="7" t="s">
        <v>1177</v>
      </c>
      <c r="AM606" s="7" t="s">
        <v>1177</v>
      </c>
      <c r="AN606" s="7" t="s">
        <v>3212</v>
      </c>
      <c r="AO606" s="7" t="s">
        <v>1177</v>
      </c>
      <c r="AP606" s="7" t="s">
        <v>1177</v>
      </c>
      <c r="AQ606" s="7" t="s">
        <v>1177</v>
      </c>
      <c r="AR606" s="29">
        <v>0</v>
      </c>
      <c r="AS606" s="7" t="s">
        <v>1177</v>
      </c>
      <c r="AT606" s="7" t="s">
        <v>1363</v>
      </c>
      <c r="AU606" s="38">
        <v>46275</v>
      </c>
      <c r="AV606" s="39">
        <v>0.62413194444443998</v>
      </c>
    </row>
    <row r="607" spans="1:48" x14ac:dyDescent="0.35">
      <c r="A607" t="str">
        <f t="shared" si="9"/>
        <v>GP069610B864</v>
      </c>
      <c r="B607" s="7" t="s">
        <v>43</v>
      </c>
      <c r="C607" s="7" t="s">
        <v>1010</v>
      </c>
      <c r="D607" s="7" t="s">
        <v>10</v>
      </c>
      <c r="E607" s="7" t="s">
        <v>1177</v>
      </c>
      <c r="F607" s="7" t="s">
        <v>128</v>
      </c>
      <c r="G607" s="7" t="s">
        <v>130</v>
      </c>
      <c r="H607" s="7" t="s">
        <v>129</v>
      </c>
      <c r="I607" s="30">
        <v>2</v>
      </c>
      <c r="J607" s="7" t="s">
        <v>1177</v>
      </c>
      <c r="K607" s="7" t="s">
        <v>1178</v>
      </c>
      <c r="L607" s="7" t="s">
        <v>132</v>
      </c>
      <c r="M607" s="7" t="s">
        <v>133</v>
      </c>
      <c r="N607" s="30">
        <v>0</v>
      </c>
      <c r="O607" s="30">
        <v>0</v>
      </c>
      <c r="P607" s="30">
        <v>0</v>
      </c>
      <c r="Q607" s="30">
        <v>0</v>
      </c>
      <c r="R607" s="29">
        <v>0</v>
      </c>
      <c r="S607" s="36">
        <v>0</v>
      </c>
      <c r="T607" s="7" t="s">
        <v>131</v>
      </c>
      <c r="U607" s="7" t="s">
        <v>1011</v>
      </c>
      <c r="V607" s="7" t="s">
        <v>1011</v>
      </c>
      <c r="W607" s="7" t="s">
        <v>1177</v>
      </c>
      <c r="X607" s="30">
        <v>1</v>
      </c>
      <c r="Y607" s="7" t="s">
        <v>1177</v>
      </c>
      <c r="Z607" s="7" t="s">
        <v>1178</v>
      </c>
      <c r="AA607" s="30">
        <v>0</v>
      </c>
      <c r="AB607" s="36">
        <v>0</v>
      </c>
      <c r="AC607" s="7" t="s">
        <v>1177</v>
      </c>
      <c r="AD607" s="37">
        <v>0</v>
      </c>
      <c r="AE607" s="7" t="s">
        <v>1177</v>
      </c>
      <c r="AF607" s="7" t="s">
        <v>1177</v>
      </c>
      <c r="AG607" s="7" t="s">
        <v>1177</v>
      </c>
      <c r="AH607" s="38"/>
      <c r="AI607" s="36">
        <v>0</v>
      </c>
      <c r="AJ607" s="7" t="s">
        <v>1193</v>
      </c>
      <c r="AK607" s="7" t="s">
        <v>1177</v>
      </c>
      <c r="AL607" s="7" t="s">
        <v>1177</v>
      </c>
      <c r="AM607" s="7" t="s">
        <v>1177</v>
      </c>
      <c r="AN607" s="7" t="s">
        <v>3212</v>
      </c>
      <c r="AO607" s="7" t="s">
        <v>1177</v>
      </c>
      <c r="AP607" s="7" t="s">
        <v>1177</v>
      </c>
      <c r="AQ607" s="7" t="s">
        <v>1177</v>
      </c>
      <c r="AR607" s="29">
        <v>0</v>
      </c>
      <c r="AS607" s="7" t="s">
        <v>1177</v>
      </c>
      <c r="AT607" s="7" t="s">
        <v>1363</v>
      </c>
      <c r="AU607" s="38">
        <v>46275</v>
      </c>
      <c r="AV607" s="39">
        <v>0.62645833333333001</v>
      </c>
    </row>
    <row r="608" spans="1:48" x14ac:dyDescent="0.35">
      <c r="A608" t="str">
        <f t="shared" si="9"/>
        <v>GP069610B865</v>
      </c>
      <c r="B608" s="7" t="s">
        <v>43</v>
      </c>
      <c r="C608" s="7" t="s">
        <v>1039</v>
      </c>
      <c r="D608" s="7" t="s">
        <v>7</v>
      </c>
      <c r="E608" s="7" t="s">
        <v>1177</v>
      </c>
      <c r="F608" s="7" t="s">
        <v>128</v>
      </c>
      <c r="G608" s="7" t="s">
        <v>130</v>
      </c>
      <c r="H608" s="7" t="s">
        <v>129</v>
      </c>
      <c r="I608" s="30">
        <v>1</v>
      </c>
      <c r="J608" s="7" t="s">
        <v>1177</v>
      </c>
      <c r="K608" s="7" t="s">
        <v>1178</v>
      </c>
      <c r="L608" s="7" t="s">
        <v>132</v>
      </c>
      <c r="M608" s="7" t="s">
        <v>133</v>
      </c>
      <c r="N608" s="30">
        <v>0</v>
      </c>
      <c r="O608" s="30">
        <v>0</v>
      </c>
      <c r="P608" s="30">
        <v>0</v>
      </c>
      <c r="Q608" s="30">
        <v>0</v>
      </c>
      <c r="R608" s="29">
        <v>0</v>
      </c>
      <c r="S608" s="36">
        <v>0</v>
      </c>
      <c r="T608" s="7" t="s">
        <v>131</v>
      </c>
      <c r="U608" s="7" t="s">
        <v>1040</v>
      </c>
      <c r="V608" s="7" t="s">
        <v>1040</v>
      </c>
      <c r="W608" s="7" t="s">
        <v>1177</v>
      </c>
      <c r="X608" s="30">
        <v>1</v>
      </c>
      <c r="Y608" s="7" t="s">
        <v>1177</v>
      </c>
      <c r="Z608" s="7" t="s">
        <v>1178</v>
      </c>
      <c r="AA608" s="30">
        <v>0</v>
      </c>
      <c r="AB608" s="36">
        <v>0</v>
      </c>
      <c r="AC608" s="7" t="s">
        <v>1177</v>
      </c>
      <c r="AD608" s="37">
        <v>0</v>
      </c>
      <c r="AE608" s="7" t="s">
        <v>1177</v>
      </c>
      <c r="AF608" s="7" t="s">
        <v>1177</v>
      </c>
      <c r="AG608" s="7" t="s">
        <v>1177</v>
      </c>
      <c r="AH608" s="38"/>
      <c r="AI608" s="36">
        <v>0</v>
      </c>
      <c r="AJ608" s="7" t="s">
        <v>1193</v>
      </c>
      <c r="AK608" s="7" t="s">
        <v>1177</v>
      </c>
      <c r="AL608" s="7" t="s">
        <v>1177</v>
      </c>
      <c r="AM608" s="7" t="s">
        <v>1177</v>
      </c>
      <c r="AN608" s="7" t="s">
        <v>3212</v>
      </c>
      <c r="AO608" s="7" t="s">
        <v>1177</v>
      </c>
      <c r="AP608" s="7" t="s">
        <v>1177</v>
      </c>
      <c r="AQ608" s="7" t="s">
        <v>1177</v>
      </c>
      <c r="AR608" s="29">
        <v>0</v>
      </c>
      <c r="AS608" s="7" t="s">
        <v>1177</v>
      </c>
      <c r="AT608" s="7" t="s">
        <v>1363</v>
      </c>
      <c r="AU608" s="38">
        <v>46275</v>
      </c>
      <c r="AV608" s="39">
        <v>0.62665509259259</v>
      </c>
    </row>
    <row r="609" spans="1:48" x14ac:dyDescent="0.35">
      <c r="A609" t="str">
        <f t="shared" si="9"/>
        <v>GP069610B867</v>
      </c>
      <c r="B609" s="7" t="s">
        <v>43</v>
      </c>
      <c r="C609" s="7" t="s">
        <v>1059</v>
      </c>
      <c r="D609" s="7" t="s">
        <v>25</v>
      </c>
      <c r="E609" s="7" t="s">
        <v>1177</v>
      </c>
      <c r="F609" s="7" t="s">
        <v>128</v>
      </c>
      <c r="G609" s="7" t="s">
        <v>130</v>
      </c>
      <c r="H609" s="7" t="s">
        <v>129</v>
      </c>
      <c r="I609" s="30">
        <v>2</v>
      </c>
      <c r="J609" s="7" t="s">
        <v>1177</v>
      </c>
      <c r="K609" s="7" t="s">
        <v>1178</v>
      </c>
      <c r="L609" s="7" t="s">
        <v>132</v>
      </c>
      <c r="M609" s="7" t="s">
        <v>133</v>
      </c>
      <c r="N609" s="30">
        <v>0</v>
      </c>
      <c r="O609" s="30">
        <v>0</v>
      </c>
      <c r="P609" s="30">
        <v>0</v>
      </c>
      <c r="Q609" s="30">
        <v>0</v>
      </c>
      <c r="R609" s="29">
        <v>0</v>
      </c>
      <c r="S609" s="36">
        <v>0</v>
      </c>
      <c r="T609" s="7" t="s">
        <v>131</v>
      </c>
      <c r="U609" s="7" t="s">
        <v>1060</v>
      </c>
      <c r="V609" s="7" t="s">
        <v>1060</v>
      </c>
      <c r="W609" s="7" t="s">
        <v>1177</v>
      </c>
      <c r="X609" s="30">
        <v>1</v>
      </c>
      <c r="Y609" s="7" t="s">
        <v>1177</v>
      </c>
      <c r="Z609" s="7" t="s">
        <v>1178</v>
      </c>
      <c r="AA609" s="30">
        <v>0</v>
      </c>
      <c r="AB609" s="36">
        <v>0</v>
      </c>
      <c r="AC609" s="7" t="s">
        <v>1177</v>
      </c>
      <c r="AD609" s="37">
        <v>0</v>
      </c>
      <c r="AE609" s="7" t="s">
        <v>1177</v>
      </c>
      <c r="AF609" s="7" t="s">
        <v>1177</v>
      </c>
      <c r="AG609" s="7" t="s">
        <v>1177</v>
      </c>
      <c r="AH609" s="38"/>
      <c r="AI609" s="36">
        <v>0</v>
      </c>
      <c r="AJ609" s="7" t="s">
        <v>1193</v>
      </c>
      <c r="AK609" s="7" t="s">
        <v>1177</v>
      </c>
      <c r="AL609" s="7" t="s">
        <v>1177</v>
      </c>
      <c r="AM609" s="7" t="s">
        <v>1177</v>
      </c>
      <c r="AN609" s="7" t="s">
        <v>3212</v>
      </c>
      <c r="AO609" s="7" t="s">
        <v>1177</v>
      </c>
      <c r="AP609" s="7" t="s">
        <v>1177</v>
      </c>
      <c r="AQ609" s="7" t="s">
        <v>1177</v>
      </c>
      <c r="AR609" s="29">
        <v>0</v>
      </c>
      <c r="AS609" s="7" t="s">
        <v>1177</v>
      </c>
      <c r="AT609" s="7" t="s">
        <v>1363</v>
      </c>
      <c r="AU609" s="38">
        <v>46275</v>
      </c>
      <c r="AV609" s="39">
        <v>0.62737268518518996</v>
      </c>
    </row>
    <row r="610" spans="1:48" x14ac:dyDescent="0.35">
      <c r="A610" t="str">
        <f t="shared" si="9"/>
        <v>GP069649B856</v>
      </c>
      <c r="B610" s="7" t="s">
        <v>855</v>
      </c>
      <c r="C610" s="7" t="s">
        <v>852</v>
      </c>
      <c r="D610" s="7" t="s">
        <v>21</v>
      </c>
      <c r="E610" s="7" t="s">
        <v>1177</v>
      </c>
      <c r="F610" s="7" t="s">
        <v>128</v>
      </c>
      <c r="G610" s="7" t="s">
        <v>130</v>
      </c>
      <c r="H610" s="7" t="s">
        <v>129</v>
      </c>
      <c r="I610" s="30">
        <v>2</v>
      </c>
      <c r="J610" s="7" t="s">
        <v>1177</v>
      </c>
      <c r="K610" s="7" t="s">
        <v>1178</v>
      </c>
      <c r="L610" s="7" t="s">
        <v>132</v>
      </c>
      <c r="M610" s="7" t="s">
        <v>133</v>
      </c>
      <c r="N610" s="30">
        <v>0</v>
      </c>
      <c r="O610" s="30">
        <v>0</v>
      </c>
      <c r="P610" s="30">
        <v>0</v>
      </c>
      <c r="Q610" s="30">
        <v>0</v>
      </c>
      <c r="R610" s="29">
        <v>0</v>
      </c>
      <c r="S610" s="36">
        <v>0</v>
      </c>
      <c r="T610" s="7" t="s">
        <v>131</v>
      </c>
      <c r="U610" s="7" t="s">
        <v>853</v>
      </c>
      <c r="V610" s="7" t="s">
        <v>853</v>
      </c>
      <c r="W610" s="7" t="s">
        <v>1177</v>
      </c>
      <c r="X610" s="30">
        <v>1</v>
      </c>
      <c r="Y610" s="7" t="s">
        <v>1177</v>
      </c>
      <c r="Z610" s="7" t="s">
        <v>1178</v>
      </c>
      <c r="AA610" s="30">
        <v>0</v>
      </c>
      <c r="AB610" s="36">
        <v>0</v>
      </c>
      <c r="AC610" s="7" t="s">
        <v>1177</v>
      </c>
      <c r="AD610" s="37">
        <v>0</v>
      </c>
      <c r="AE610" s="7" t="s">
        <v>1177</v>
      </c>
      <c r="AF610" s="7" t="s">
        <v>1177</v>
      </c>
      <c r="AG610" s="7" t="s">
        <v>1177</v>
      </c>
      <c r="AH610" s="38"/>
      <c r="AI610" s="36">
        <v>0</v>
      </c>
      <c r="AJ610" s="7" t="s">
        <v>1193</v>
      </c>
      <c r="AK610" s="7" t="s">
        <v>1177</v>
      </c>
      <c r="AL610" s="7" t="s">
        <v>1177</v>
      </c>
      <c r="AM610" s="7" t="s">
        <v>1177</v>
      </c>
      <c r="AN610" s="7" t="s">
        <v>3212</v>
      </c>
      <c r="AO610" s="7" t="s">
        <v>1177</v>
      </c>
      <c r="AP610" s="7" t="s">
        <v>1177</v>
      </c>
      <c r="AQ610" s="7" t="s">
        <v>1177</v>
      </c>
      <c r="AR610" s="29">
        <v>0</v>
      </c>
      <c r="AS610" s="7" t="s">
        <v>1177</v>
      </c>
      <c r="AT610" s="7" t="s">
        <v>1363</v>
      </c>
      <c r="AU610" s="38">
        <v>46275</v>
      </c>
      <c r="AV610" s="39">
        <v>0.62490740740741002</v>
      </c>
    </row>
    <row r="611" spans="1:48" x14ac:dyDescent="0.35">
      <c r="A611" t="str">
        <f t="shared" si="9"/>
        <v>GP069675B825</v>
      </c>
      <c r="B611" s="7" t="s">
        <v>538</v>
      </c>
      <c r="C611" s="7" t="s">
        <v>511</v>
      </c>
      <c r="D611" s="7" t="s">
        <v>16</v>
      </c>
      <c r="E611" s="7" t="s">
        <v>1177</v>
      </c>
      <c r="F611" s="7" t="s">
        <v>128</v>
      </c>
      <c r="G611" s="7" t="s">
        <v>130</v>
      </c>
      <c r="H611" s="7" t="s">
        <v>129</v>
      </c>
      <c r="I611" s="30">
        <v>2</v>
      </c>
      <c r="J611" s="7" t="s">
        <v>1177</v>
      </c>
      <c r="K611" s="7" t="s">
        <v>1178</v>
      </c>
      <c r="L611" s="7" t="s">
        <v>132</v>
      </c>
      <c r="M611" s="7" t="s">
        <v>133</v>
      </c>
      <c r="N611" s="30">
        <v>0</v>
      </c>
      <c r="O611" s="30">
        <v>0</v>
      </c>
      <c r="P611" s="30">
        <v>0</v>
      </c>
      <c r="Q611" s="30">
        <v>0</v>
      </c>
      <c r="R611" s="29">
        <v>0</v>
      </c>
      <c r="S611" s="36">
        <v>0</v>
      </c>
      <c r="T611" s="7" t="s">
        <v>131</v>
      </c>
      <c r="U611" s="7" t="s">
        <v>512</v>
      </c>
      <c r="V611" s="7" t="s">
        <v>512</v>
      </c>
      <c r="W611" s="7" t="s">
        <v>1177</v>
      </c>
      <c r="X611" s="30">
        <v>1</v>
      </c>
      <c r="Y611" s="7" t="s">
        <v>1177</v>
      </c>
      <c r="Z611" s="7" t="s">
        <v>1178</v>
      </c>
      <c r="AA611" s="30">
        <v>0</v>
      </c>
      <c r="AB611" s="36">
        <v>0</v>
      </c>
      <c r="AC611" s="7" t="s">
        <v>1177</v>
      </c>
      <c r="AD611" s="37">
        <v>0</v>
      </c>
      <c r="AE611" s="7" t="s">
        <v>1177</v>
      </c>
      <c r="AF611" s="7" t="s">
        <v>1177</v>
      </c>
      <c r="AG611" s="7" t="s">
        <v>1177</v>
      </c>
      <c r="AH611" s="38"/>
      <c r="AI611" s="36">
        <v>0</v>
      </c>
      <c r="AJ611" s="7" t="s">
        <v>1193</v>
      </c>
      <c r="AK611" s="7" t="s">
        <v>1177</v>
      </c>
      <c r="AL611" s="7" t="s">
        <v>1177</v>
      </c>
      <c r="AM611" s="7" t="s">
        <v>1177</v>
      </c>
      <c r="AN611" s="7" t="s">
        <v>3212</v>
      </c>
      <c r="AO611" s="7" t="s">
        <v>1177</v>
      </c>
      <c r="AP611" s="7" t="s">
        <v>1177</v>
      </c>
      <c r="AQ611" s="7" t="s">
        <v>1177</v>
      </c>
      <c r="AR611" s="29">
        <v>0</v>
      </c>
      <c r="AS611" s="7" t="s">
        <v>1177</v>
      </c>
      <c r="AT611" s="7" t="s">
        <v>1363</v>
      </c>
      <c r="AU611" s="38">
        <v>46275</v>
      </c>
      <c r="AV611" s="39">
        <v>0.62302083333333003</v>
      </c>
    </row>
    <row r="612" spans="1:48" x14ac:dyDescent="0.35">
      <c r="A612" t="str">
        <f t="shared" si="9"/>
        <v>GP069675B857</v>
      </c>
      <c r="B612" s="7" t="s">
        <v>538</v>
      </c>
      <c r="C612" s="7" t="s">
        <v>958</v>
      </c>
      <c r="D612" s="7" t="s">
        <v>23</v>
      </c>
      <c r="E612" s="7" t="s">
        <v>1177</v>
      </c>
      <c r="F612" s="7" t="s">
        <v>128</v>
      </c>
      <c r="G612" s="7" t="s">
        <v>130</v>
      </c>
      <c r="H612" s="7" t="s">
        <v>129</v>
      </c>
      <c r="I612" s="30">
        <v>2</v>
      </c>
      <c r="J612" s="7" t="s">
        <v>1177</v>
      </c>
      <c r="K612" s="7" t="s">
        <v>1178</v>
      </c>
      <c r="L612" s="7" t="s">
        <v>132</v>
      </c>
      <c r="M612" s="7" t="s">
        <v>133</v>
      </c>
      <c r="N612" s="30">
        <v>0</v>
      </c>
      <c r="O612" s="30">
        <v>0</v>
      </c>
      <c r="P612" s="30">
        <v>0</v>
      </c>
      <c r="Q612" s="30">
        <v>0</v>
      </c>
      <c r="R612" s="29">
        <v>0</v>
      </c>
      <c r="S612" s="36">
        <v>0</v>
      </c>
      <c r="T612" s="7" t="s">
        <v>131</v>
      </c>
      <c r="U612" s="7" t="s">
        <v>959</v>
      </c>
      <c r="V612" s="7" t="s">
        <v>959</v>
      </c>
      <c r="W612" s="7" t="s">
        <v>1177</v>
      </c>
      <c r="X612" s="30">
        <v>1</v>
      </c>
      <c r="Y612" s="7" t="s">
        <v>1177</v>
      </c>
      <c r="Z612" s="7" t="s">
        <v>1178</v>
      </c>
      <c r="AA612" s="30">
        <v>0</v>
      </c>
      <c r="AB612" s="36">
        <v>0</v>
      </c>
      <c r="AC612" s="7" t="s">
        <v>1177</v>
      </c>
      <c r="AD612" s="37">
        <v>0</v>
      </c>
      <c r="AE612" s="7" t="s">
        <v>1177</v>
      </c>
      <c r="AF612" s="7" t="s">
        <v>1177</v>
      </c>
      <c r="AG612" s="7" t="s">
        <v>1177</v>
      </c>
      <c r="AH612" s="38"/>
      <c r="AI612" s="36">
        <v>0</v>
      </c>
      <c r="AJ612" s="7" t="s">
        <v>1193</v>
      </c>
      <c r="AK612" s="7" t="s">
        <v>1177</v>
      </c>
      <c r="AL612" s="7" t="s">
        <v>1177</v>
      </c>
      <c r="AM612" s="7" t="s">
        <v>1177</v>
      </c>
      <c r="AN612" s="7" t="s">
        <v>3212</v>
      </c>
      <c r="AO612" s="7" t="s">
        <v>1177</v>
      </c>
      <c r="AP612" s="7" t="s">
        <v>1177</v>
      </c>
      <c r="AQ612" s="7" t="s">
        <v>1177</v>
      </c>
      <c r="AR612" s="29">
        <v>0</v>
      </c>
      <c r="AS612" s="7" t="s">
        <v>1177</v>
      </c>
      <c r="AT612" s="7" t="s">
        <v>1363</v>
      </c>
      <c r="AU612" s="38">
        <v>46275</v>
      </c>
      <c r="AV612" s="39">
        <v>0.62497685185185003</v>
      </c>
    </row>
    <row r="613" spans="1:48" x14ac:dyDescent="0.35">
      <c r="A613" t="str">
        <f t="shared" si="9"/>
        <v>GP069675B867</v>
      </c>
      <c r="B613" s="7" t="s">
        <v>538</v>
      </c>
      <c r="C613" s="7" t="s">
        <v>1059</v>
      </c>
      <c r="D613" s="7" t="s">
        <v>25</v>
      </c>
      <c r="E613" s="7" t="s">
        <v>1177</v>
      </c>
      <c r="F613" s="7" t="s">
        <v>128</v>
      </c>
      <c r="G613" s="7" t="s">
        <v>130</v>
      </c>
      <c r="H613" s="7" t="s">
        <v>129</v>
      </c>
      <c r="I613" s="30">
        <v>2</v>
      </c>
      <c r="J613" s="7" t="s">
        <v>1177</v>
      </c>
      <c r="K613" s="7" t="s">
        <v>1178</v>
      </c>
      <c r="L613" s="7" t="s">
        <v>132</v>
      </c>
      <c r="M613" s="7" t="s">
        <v>133</v>
      </c>
      <c r="N613" s="30">
        <v>0</v>
      </c>
      <c r="O613" s="30">
        <v>0</v>
      </c>
      <c r="P613" s="30">
        <v>0</v>
      </c>
      <c r="Q613" s="30">
        <v>0</v>
      </c>
      <c r="R613" s="29">
        <v>0</v>
      </c>
      <c r="S613" s="36">
        <v>0</v>
      </c>
      <c r="T613" s="7" t="s">
        <v>131</v>
      </c>
      <c r="U613" s="7" t="s">
        <v>1060</v>
      </c>
      <c r="V613" s="7" t="s">
        <v>1060</v>
      </c>
      <c r="W613" s="7" t="s">
        <v>1177</v>
      </c>
      <c r="X613" s="30">
        <v>1</v>
      </c>
      <c r="Y613" s="7" t="s">
        <v>1177</v>
      </c>
      <c r="Z613" s="7" t="s">
        <v>1178</v>
      </c>
      <c r="AA613" s="30">
        <v>0</v>
      </c>
      <c r="AB613" s="36">
        <v>0</v>
      </c>
      <c r="AC613" s="7" t="s">
        <v>1177</v>
      </c>
      <c r="AD613" s="37">
        <v>0</v>
      </c>
      <c r="AE613" s="7" t="s">
        <v>1177</v>
      </c>
      <c r="AF613" s="7" t="s">
        <v>1177</v>
      </c>
      <c r="AG613" s="7" t="s">
        <v>1177</v>
      </c>
      <c r="AH613" s="38"/>
      <c r="AI613" s="36">
        <v>0</v>
      </c>
      <c r="AJ613" s="7" t="s">
        <v>1193</v>
      </c>
      <c r="AK613" s="7" t="s">
        <v>1177</v>
      </c>
      <c r="AL613" s="7" t="s">
        <v>1177</v>
      </c>
      <c r="AM613" s="7" t="s">
        <v>1177</v>
      </c>
      <c r="AN613" s="7" t="s">
        <v>3212</v>
      </c>
      <c r="AO613" s="7" t="s">
        <v>1177</v>
      </c>
      <c r="AP613" s="7" t="s">
        <v>1177</v>
      </c>
      <c r="AQ613" s="7" t="s">
        <v>1177</v>
      </c>
      <c r="AR613" s="29">
        <v>0</v>
      </c>
      <c r="AS613" s="7" t="s">
        <v>1177</v>
      </c>
      <c r="AT613" s="7" t="s">
        <v>1363</v>
      </c>
      <c r="AU613" s="38">
        <v>46275</v>
      </c>
      <c r="AV613" s="39">
        <v>0.62737268518518996</v>
      </c>
    </row>
    <row r="614" spans="1:48" x14ac:dyDescent="0.35">
      <c r="A614" t="str">
        <f t="shared" si="9"/>
        <v>GP069689B864</v>
      </c>
      <c r="B614" s="7" t="s">
        <v>1015</v>
      </c>
      <c r="C614" s="7" t="s">
        <v>1010</v>
      </c>
      <c r="D614" s="7" t="s">
        <v>10</v>
      </c>
      <c r="E614" s="7" t="s">
        <v>1177</v>
      </c>
      <c r="F614" s="7" t="s">
        <v>128</v>
      </c>
      <c r="G614" s="7" t="s">
        <v>130</v>
      </c>
      <c r="H614" s="7" t="s">
        <v>129</v>
      </c>
      <c r="I614" s="30">
        <v>12</v>
      </c>
      <c r="J614" s="7" t="s">
        <v>1177</v>
      </c>
      <c r="K614" s="7" t="s">
        <v>1178</v>
      </c>
      <c r="L614" s="7" t="s">
        <v>132</v>
      </c>
      <c r="M614" s="7" t="s">
        <v>133</v>
      </c>
      <c r="N614" s="30">
        <v>0</v>
      </c>
      <c r="O614" s="30">
        <v>0</v>
      </c>
      <c r="P614" s="30">
        <v>0</v>
      </c>
      <c r="Q614" s="30">
        <v>0</v>
      </c>
      <c r="R614" s="29">
        <v>0</v>
      </c>
      <c r="S614" s="36">
        <v>0</v>
      </c>
      <c r="T614" s="7" t="s">
        <v>131</v>
      </c>
      <c r="U614" s="7" t="s">
        <v>1011</v>
      </c>
      <c r="V614" s="7" t="s">
        <v>1011</v>
      </c>
      <c r="W614" s="7" t="s">
        <v>1177</v>
      </c>
      <c r="X614" s="30">
        <v>3</v>
      </c>
      <c r="Y614" s="7" t="s">
        <v>1177</v>
      </c>
      <c r="Z614" s="7" t="s">
        <v>1178</v>
      </c>
      <c r="AA614" s="30">
        <v>0</v>
      </c>
      <c r="AB614" s="36">
        <v>0</v>
      </c>
      <c r="AC614" s="7" t="s">
        <v>1177</v>
      </c>
      <c r="AD614" s="37">
        <v>0</v>
      </c>
      <c r="AE614" s="7" t="s">
        <v>1177</v>
      </c>
      <c r="AF614" s="7" t="s">
        <v>1177</v>
      </c>
      <c r="AG614" s="7" t="s">
        <v>1177</v>
      </c>
      <c r="AH614" s="38"/>
      <c r="AI614" s="36">
        <v>0</v>
      </c>
      <c r="AJ614" s="7" t="s">
        <v>1193</v>
      </c>
      <c r="AK614" s="7" t="s">
        <v>1177</v>
      </c>
      <c r="AL614" s="7" t="s">
        <v>1177</v>
      </c>
      <c r="AM614" s="7" t="s">
        <v>1177</v>
      </c>
      <c r="AN614" s="7" t="s">
        <v>3212</v>
      </c>
      <c r="AO614" s="7" t="s">
        <v>1177</v>
      </c>
      <c r="AP614" s="7" t="s">
        <v>1177</v>
      </c>
      <c r="AQ614" s="7" t="s">
        <v>1177</v>
      </c>
      <c r="AR614" s="29">
        <v>0</v>
      </c>
      <c r="AS614" s="7" t="s">
        <v>1177</v>
      </c>
      <c r="AT614" s="7" t="s">
        <v>1363</v>
      </c>
      <c r="AU614" s="38">
        <v>46275</v>
      </c>
      <c r="AV614" s="39">
        <v>0.62646990740741004</v>
      </c>
    </row>
    <row r="615" spans="1:48" x14ac:dyDescent="0.35">
      <c r="A615" t="str">
        <f t="shared" si="9"/>
        <v>GP069689B865</v>
      </c>
      <c r="B615" s="7" t="s">
        <v>1015</v>
      </c>
      <c r="C615" s="7" t="s">
        <v>1039</v>
      </c>
      <c r="D615" s="7" t="s">
        <v>7</v>
      </c>
      <c r="E615" s="7" t="s">
        <v>1177</v>
      </c>
      <c r="F615" s="7" t="s">
        <v>128</v>
      </c>
      <c r="G615" s="7" t="s">
        <v>130</v>
      </c>
      <c r="H615" s="7" t="s">
        <v>129</v>
      </c>
      <c r="I615" s="30">
        <v>22</v>
      </c>
      <c r="J615" s="7" t="s">
        <v>1177</v>
      </c>
      <c r="K615" s="7" t="s">
        <v>1178</v>
      </c>
      <c r="L615" s="7" t="s">
        <v>132</v>
      </c>
      <c r="M615" s="7" t="s">
        <v>133</v>
      </c>
      <c r="N615" s="30">
        <v>0</v>
      </c>
      <c r="O615" s="30">
        <v>0</v>
      </c>
      <c r="P615" s="30">
        <v>0</v>
      </c>
      <c r="Q615" s="30">
        <v>0</v>
      </c>
      <c r="R615" s="29">
        <v>0</v>
      </c>
      <c r="S615" s="36">
        <v>0</v>
      </c>
      <c r="T615" s="7" t="s">
        <v>131</v>
      </c>
      <c r="U615" s="7" t="s">
        <v>1040</v>
      </c>
      <c r="V615" s="7" t="s">
        <v>1040</v>
      </c>
      <c r="W615" s="7" t="s">
        <v>1177</v>
      </c>
      <c r="X615" s="30">
        <v>6</v>
      </c>
      <c r="Y615" s="7" t="s">
        <v>1177</v>
      </c>
      <c r="Z615" s="7" t="s">
        <v>1178</v>
      </c>
      <c r="AA615" s="30">
        <v>0</v>
      </c>
      <c r="AB615" s="36">
        <v>0</v>
      </c>
      <c r="AC615" s="7" t="s">
        <v>1177</v>
      </c>
      <c r="AD615" s="37">
        <v>0</v>
      </c>
      <c r="AE615" s="7" t="s">
        <v>1177</v>
      </c>
      <c r="AF615" s="7" t="s">
        <v>1177</v>
      </c>
      <c r="AG615" s="7" t="s">
        <v>1177</v>
      </c>
      <c r="AH615" s="38"/>
      <c r="AI615" s="36">
        <v>0</v>
      </c>
      <c r="AJ615" s="7" t="s">
        <v>1193</v>
      </c>
      <c r="AK615" s="7" t="s">
        <v>1177</v>
      </c>
      <c r="AL615" s="7" t="s">
        <v>1177</v>
      </c>
      <c r="AM615" s="7" t="s">
        <v>1177</v>
      </c>
      <c r="AN615" s="7" t="s">
        <v>3212</v>
      </c>
      <c r="AO615" s="7" t="s">
        <v>1177</v>
      </c>
      <c r="AP615" s="7" t="s">
        <v>1177</v>
      </c>
      <c r="AQ615" s="7" t="s">
        <v>1177</v>
      </c>
      <c r="AR615" s="29">
        <v>0</v>
      </c>
      <c r="AS615" s="7" t="s">
        <v>1177</v>
      </c>
      <c r="AT615" s="7" t="s">
        <v>1363</v>
      </c>
      <c r="AU615" s="38">
        <v>46275</v>
      </c>
      <c r="AV615" s="39">
        <v>0.62665509259259</v>
      </c>
    </row>
    <row r="616" spans="1:48" x14ac:dyDescent="0.35">
      <c r="A616" t="str">
        <f t="shared" si="9"/>
        <v>GP069702B825</v>
      </c>
      <c r="B616" s="7" t="s">
        <v>539</v>
      </c>
      <c r="C616" s="7" t="s">
        <v>511</v>
      </c>
      <c r="D616" s="7" t="s">
        <v>16</v>
      </c>
      <c r="E616" s="7" t="s">
        <v>1177</v>
      </c>
      <c r="F616" s="7" t="s">
        <v>128</v>
      </c>
      <c r="G616" s="7" t="s">
        <v>130</v>
      </c>
      <c r="H616" s="7" t="s">
        <v>129</v>
      </c>
      <c r="I616" s="30">
        <v>2</v>
      </c>
      <c r="J616" s="7" t="s">
        <v>1177</v>
      </c>
      <c r="K616" s="7" t="s">
        <v>1178</v>
      </c>
      <c r="L616" s="7" t="s">
        <v>132</v>
      </c>
      <c r="M616" s="7" t="s">
        <v>133</v>
      </c>
      <c r="N616" s="30">
        <v>0</v>
      </c>
      <c r="O616" s="30">
        <v>0</v>
      </c>
      <c r="P616" s="30">
        <v>0</v>
      </c>
      <c r="Q616" s="30">
        <v>0</v>
      </c>
      <c r="R616" s="29">
        <v>0</v>
      </c>
      <c r="S616" s="36">
        <v>0</v>
      </c>
      <c r="T616" s="7" t="s">
        <v>131</v>
      </c>
      <c r="U616" s="7" t="s">
        <v>512</v>
      </c>
      <c r="V616" s="7" t="s">
        <v>512</v>
      </c>
      <c r="W616" s="7" t="s">
        <v>1177</v>
      </c>
      <c r="X616" s="30">
        <v>1</v>
      </c>
      <c r="Y616" s="7" t="s">
        <v>1177</v>
      </c>
      <c r="Z616" s="7" t="s">
        <v>1178</v>
      </c>
      <c r="AA616" s="30">
        <v>0</v>
      </c>
      <c r="AB616" s="36">
        <v>0</v>
      </c>
      <c r="AC616" s="7" t="s">
        <v>1177</v>
      </c>
      <c r="AD616" s="37">
        <v>0</v>
      </c>
      <c r="AE616" s="7" t="s">
        <v>1177</v>
      </c>
      <c r="AF616" s="7" t="s">
        <v>1177</v>
      </c>
      <c r="AG616" s="7" t="s">
        <v>1177</v>
      </c>
      <c r="AH616" s="38"/>
      <c r="AI616" s="36">
        <v>0</v>
      </c>
      <c r="AJ616" s="7" t="s">
        <v>1193</v>
      </c>
      <c r="AK616" s="7" t="s">
        <v>1177</v>
      </c>
      <c r="AL616" s="7" t="s">
        <v>1177</v>
      </c>
      <c r="AM616" s="7" t="s">
        <v>1177</v>
      </c>
      <c r="AN616" s="7" t="s">
        <v>3212</v>
      </c>
      <c r="AO616" s="7" t="s">
        <v>1177</v>
      </c>
      <c r="AP616" s="7" t="s">
        <v>1177</v>
      </c>
      <c r="AQ616" s="7" t="s">
        <v>1177</v>
      </c>
      <c r="AR616" s="29">
        <v>0</v>
      </c>
      <c r="AS616" s="7" t="s">
        <v>1177</v>
      </c>
      <c r="AT616" s="7" t="s">
        <v>1363</v>
      </c>
      <c r="AU616" s="38">
        <v>46275</v>
      </c>
      <c r="AV616" s="39">
        <v>0.62302083333333003</v>
      </c>
    </row>
    <row r="617" spans="1:48" x14ac:dyDescent="0.35">
      <c r="A617" t="str">
        <f t="shared" si="9"/>
        <v>GP069789B825</v>
      </c>
      <c r="B617" s="7" t="s">
        <v>315</v>
      </c>
      <c r="C617" s="7" t="s">
        <v>511</v>
      </c>
      <c r="D617" s="7" t="s">
        <v>16</v>
      </c>
      <c r="E617" s="7" t="s">
        <v>1177</v>
      </c>
      <c r="F617" s="7" t="s">
        <v>128</v>
      </c>
      <c r="G617" s="7" t="s">
        <v>130</v>
      </c>
      <c r="H617" s="7" t="s">
        <v>129</v>
      </c>
      <c r="I617" s="30">
        <v>3</v>
      </c>
      <c r="J617" s="7" t="s">
        <v>1177</v>
      </c>
      <c r="K617" s="7" t="s">
        <v>1178</v>
      </c>
      <c r="L617" s="7" t="s">
        <v>132</v>
      </c>
      <c r="M617" s="7" t="s">
        <v>133</v>
      </c>
      <c r="N617" s="30">
        <v>0</v>
      </c>
      <c r="O617" s="30">
        <v>0</v>
      </c>
      <c r="P617" s="30">
        <v>0</v>
      </c>
      <c r="Q617" s="30">
        <v>0</v>
      </c>
      <c r="R617" s="29">
        <v>0</v>
      </c>
      <c r="S617" s="36">
        <v>0</v>
      </c>
      <c r="T617" s="7" t="s">
        <v>131</v>
      </c>
      <c r="U617" s="7" t="s">
        <v>512</v>
      </c>
      <c r="V617" s="7" t="s">
        <v>512</v>
      </c>
      <c r="W617" s="7" t="s">
        <v>1177</v>
      </c>
      <c r="X617" s="30">
        <v>1</v>
      </c>
      <c r="Y617" s="7" t="s">
        <v>1177</v>
      </c>
      <c r="Z617" s="7" t="s">
        <v>1178</v>
      </c>
      <c r="AA617" s="30">
        <v>0</v>
      </c>
      <c r="AB617" s="36">
        <v>0</v>
      </c>
      <c r="AC617" s="7" t="s">
        <v>1177</v>
      </c>
      <c r="AD617" s="37">
        <v>0</v>
      </c>
      <c r="AE617" s="7" t="s">
        <v>1177</v>
      </c>
      <c r="AF617" s="7" t="s">
        <v>1177</v>
      </c>
      <c r="AG617" s="7" t="s">
        <v>1177</v>
      </c>
      <c r="AH617" s="38"/>
      <c r="AI617" s="36">
        <v>0</v>
      </c>
      <c r="AJ617" s="7" t="s">
        <v>1193</v>
      </c>
      <c r="AK617" s="7" t="s">
        <v>1177</v>
      </c>
      <c r="AL617" s="7" t="s">
        <v>1177</v>
      </c>
      <c r="AM617" s="7" t="s">
        <v>1177</v>
      </c>
      <c r="AN617" s="7" t="s">
        <v>3212</v>
      </c>
      <c r="AO617" s="7" t="s">
        <v>1177</v>
      </c>
      <c r="AP617" s="7" t="s">
        <v>1177</v>
      </c>
      <c r="AQ617" s="7" t="s">
        <v>1177</v>
      </c>
      <c r="AR617" s="29">
        <v>0</v>
      </c>
      <c r="AS617" s="7" t="s">
        <v>1177</v>
      </c>
      <c r="AT617" s="7" t="s">
        <v>1363</v>
      </c>
      <c r="AU617" s="38">
        <v>46275</v>
      </c>
      <c r="AV617" s="39">
        <v>0.62302083333333003</v>
      </c>
    </row>
    <row r="618" spans="1:48" x14ac:dyDescent="0.35">
      <c r="A618" t="str">
        <f t="shared" si="9"/>
        <v>GP069789B832</v>
      </c>
      <c r="B618" s="7" t="s">
        <v>315</v>
      </c>
      <c r="C618" s="7" t="s">
        <v>653</v>
      </c>
      <c r="D618" s="7" t="s">
        <v>19</v>
      </c>
      <c r="E618" s="7" t="s">
        <v>1177</v>
      </c>
      <c r="F618" s="7" t="s">
        <v>128</v>
      </c>
      <c r="G618" s="7" t="s">
        <v>130</v>
      </c>
      <c r="H618" s="7" t="s">
        <v>129</v>
      </c>
      <c r="I618" s="30">
        <v>4</v>
      </c>
      <c r="J618" s="7" t="s">
        <v>1177</v>
      </c>
      <c r="K618" s="7" t="s">
        <v>1178</v>
      </c>
      <c r="L618" s="7" t="s">
        <v>132</v>
      </c>
      <c r="M618" s="7" t="s">
        <v>133</v>
      </c>
      <c r="N618" s="30">
        <v>0</v>
      </c>
      <c r="O618" s="30">
        <v>0</v>
      </c>
      <c r="P618" s="30">
        <v>0</v>
      </c>
      <c r="Q618" s="30">
        <v>0</v>
      </c>
      <c r="R618" s="29">
        <v>0</v>
      </c>
      <c r="S618" s="36">
        <v>0</v>
      </c>
      <c r="T618" s="7" t="s">
        <v>131</v>
      </c>
      <c r="U618" s="7" t="s">
        <v>654</v>
      </c>
      <c r="V618" s="7" t="s">
        <v>654</v>
      </c>
      <c r="W618" s="7" t="s">
        <v>1177</v>
      </c>
      <c r="X618" s="30">
        <v>1</v>
      </c>
      <c r="Y618" s="7" t="s">
        <v>1177</v>
      </c>
      <c r="Z618" s="7" t="s">
        <v>1178</v>
      </c>
      <c r="AA618" s="30">
        <v>0</v>
      </c>
      <c r="AB618" s="36">
        <v>0</v>
      </c>
      <c r="AC618" s="7" t="s">
        <v>1177</v>
      </c>
      <c r="AD618" s="37">
        <v>0</v>
      </c>
      <c r="AE618" s="7" t="s">
        <v>1177</v>
      </c>
      <c r="AF618" s="7" t="s">
        <v>1177</v>
      </c>
      <c r="AG618" s="7" t="s">
        <v>1177</v>
      </c>
      <c r="AH618" s="38"/>
      <c r="AI618" s="36">
        <v>0</v>
      </c>
      <c r="AJ618" s="7" t="s">
        <v>1193</v>
      </c>
      <c r="AK618" s="7" t="s">
        <v>1177</v>
      </c>
      <c r="AL618" s="7" t="s">
        <v>1177</v>
      </c>
      <c r="AM618" s="7" t="s">
        <v>1177</v>
      </c>
      <c r="AN618" s="7" t="s">
        <v>3212</v>
      </c>
      <c r="AO618" s="7" t="s">
        <v>1177</v>
      </c>
      <c r="AP618" s="7" t="s">
        <v>1177</v>
      </c>
      <c r="AQ618" s="7" t="s">
        <v>1177</v>
      </c>
      <c r="AR618" s="29">
        <v>0</v>
      </c>
      <c r="AS618" s="7" t="s">
        <v>1177</v>
      </c>
      <c r="AT618" s="7" t="s">
        <v>1363</v>
      </c>
      <c r="AU618" s="38">
        <v>46275</v>
      </c>
      <c r="AV618" s="39">
        <v>0.62336805555555996</v>
      </c>
    </row>
    <row r="619" spans="1:48" x14ac:dyDescent="0.35">
      <c r="A619" t="str">
        <f t="shared" si="9"/>
        <v>GP069789B833</v>
      </c>
      <c r="B619" s="7" t="s">
        <v>315</v>
      </c>
      <c r="C619" s="7" t="s">
        <v>698</v>
      </c>
      <c r="D619" s="7" t="s">
        <v>697</v>
      </c>
      <c r="E619" s="7" t="s">
        <v>1177</v>
      </c>
      <c r="F619" s="7" t="s">
        <v>128</v>
      </c>
      <c r="G619" s="7" t="s">
        <v>130</v>
      </c>
      <c r="H619" s="7" t="s">
        <v>129</v>
      </c>
      <c r="I619" s="30">
        <v>3</v>
      </c>
      <c r="J619" s="7" t="s">
        <v>1177</v>
      </c>
      <c r="K619" s="7" t="s">
        <v>1178</v>
      </c>
      <c r="L619" s="7" t="s">
        <v>132</v>
      </c>
      <c r="M619" s="7" t="s">
        <v>133</v>
      </c>
      <c r="N619" s="30">
        <v>0</v>
      </c>
      <c r="O619" s="30">
        <v>0</v>
      </c>
      <c r="P619" s="30">
        <v>0</v>
      </c>
      <c r="Q619" s="30">
        <v>0</v>
      </c>
      <c r="R619" s="29">
        <v>0</v>
      </c>
      <c r="S619" s="36">
        <v>0</v>
      </c>
      <c r="T619" s="7" t="s">
        <v>131</v>
      </c>
      <c r="U619" s="7" t="s">
        <v>699</v>
      </c>
      <c r="V619" s="7" t="s">
        <v>699</v>
      </c>
      <c r="W619" s="7" t="s">
        <v>1177</v>
      </c>
      <c r="X619" s="30">
        <v>1</v>
      </c>
      <c r="Y619" s="7" t="s">
        <v>1177</v>
      </c>
      <c r="Z619" s="7" t="s">
        <v>1178</v>
      </c>
      <c r="AA619" s="30">
        <v>0</v>
      </c>
      <c r="AB619" s="36">
        <v>0</v>
      </c>
      <c r="AC619" s="7" t="s">
        <v>1177</v>
      </c>
      <c r="AD619" s="37">
        <v>0</v>
      </c>
      <c r="AE619" s="7" t="s">
        <v>1177</v>
      </c>
      <c r="AF619" s="7" t="s">
        <v>1177</v>
      </c>
      <c r="AG619" s="7" t="s">
        <v>1177</v>
      </c>
      <c r="AH619" s="38"/>
      <c r="AI619" s="36">
        <v>0</v>
      </c>
      <c r="AJ619" s="7" t="s">
        <v>1193</v>
      </c>
      <c r="AK619" s="7" t="s">
        <v>1177</v>
      </c>
      <c r="AL619" s="7" t="s">
        <v>1177</v>
      </c>
      <c r="AM619" s="7" t="s">
        <v>1177</v>
      </c>
      <c r="AN619" s="7" t="s">
        <v>3212</v>
      </c>
      <c r="AO619" s="7" t="s">
        <v>1177</v>
      </c>
      <c r="AP619" s="7" t="s">
        <v>1177</v>
      </c>
      <c r="AQ619" s="7" t="s">
        <v>1177</v>
      </c>
      <c r="AR619" s="29">
        <v>0</v>
      </c>
      <c r="AS619" s="7" t="s">
        <v>1177</v>
      </c>
      <c r="AT619" s="7" t="s">
        <v>1363</v>
      </c>
      <c r="AU619" s="38">
        <v>46275</v>
      </c>
      <c r="AV619" s="39">
        <v>0.62348379629630002</v>
      </c>
    </row>
    <row r="620" spans="1:48" x14ac:dyDescent="0.35">
      <c r="A620" t="str">
        <f t="shared" si="9"/>
        <v>GP069789B838</v>
      </c>
      <c r="B620" s="7" t="s">
        <v>315</v>
      </c>
      <c r="C620" s="7" t="s">
        <v>744</v>
      </c>
      <c r="D620" s="7" t="s">
        <v>48</v>
      </c>
      <c r="E620" s="7" t="s">
        <v>1177</v>
      </c>
      <c r="F620" s="7" t="s">
        <v>128</v>
      </c>
      <c r="G620" s="7" t="s">
        <v>130</v>
      </c>
      <c r="H620" s="7" t="s">
        <v>129</v>
      </c>
      <c r="I620" s="30">
        <v>2</v>
      </c>
      <c r="J620" s="7" t="s">
        <v>1177</v>
      </c>
      <c r="K620" s="7" t="s">
        <v>1178</v>
      </c>
      <c r="L620" s="7" t="s">
        <v>132</v>
      </c>
      <c r="M620" s="7" t="s">
        <v>133</v>
      </c>
      <c r="N620" s="30">
        <v>0</v>
      </c>
      <c r="O620" s="30">
        <v>0</v>
      </c>
      <c r="P620" s="30">
        <v>0</v>
      </c>
      <c r="Q620" s="30">
        <v>0</v>
      </c>
      <c r="R620" s="29">
        <v>0</v>
      </c>
      <c r="S620" s="36">
        <v>0</v>
      </c>
      <c r="T620" s="7" t="s">
        <v>131</v>
      </c>
      <c r="U620" s="7" t="s">
        <v>745</v>
      </c>
      <c r="V620" s="7" t="s">
        <v>745</v>
      </c>
      <c r="W620" s="7" t="s">
        <v>1177</v>
      </c>
      <c r="X620" s="30">
        <v>1</v>
      </c>
      <c r="Y620" s="7" t="s">
        <v>1177</v>
      </c>
      <c r="Z620" s="7" t="s">
        <v>1178</v>
      </c>
      <c r="AA620" s="30">
        <v>0</v>
      </c>
      <c r="AB620" s="36">
        <v>0</v>
      </c>
      <c r="AC620" s="7" t="s">
        <v>1177</v>
      </c>
      <c r="AD620" s="37">
        <v>0</v>
      </c>
      <c r="AE620" s="7" t="s">
        <v>1177</v>
      </c>
      <c r="AF620" s="7" t="s">
        <v>1177</v>
      </c>
      <c r="AG620" s="7" t="s">
        <v>1177</v>
      </c>
      <c r="AH620" s="38"/>
      <c r="AI620" s="36">
        <v>0</v>
      </c>
      <c r="AJ620" s="7" t="s">
        <v>1193</v>
      </c>
      <c r="AK620" s="7" t="s">
        <v>1177</v>
      </c>
      <c r="AL620" s="7" t="s">
        <v>1177</v>
      </c>
      <c r="AM620" s="7" t="s">
        <v>1177</v>
      </c>
      <c r="AN620" s="7" t="s">
        <v>3212</v>
      </c>
      <c r="AO620" s="7" t="s">
        <v>1177</v>
      </c>
      <c r="AP620" s="7" t="s">
        <v>1177</v>
      </c>
      <c r="AQ620" s="7" t="s">
        <v>1177</v>
      </c>
      <c r="AR620" s="29">
        <v>0</v>
      </c>
      <c r="AS620" s="7" t="s">
        <v>1177</v>
      </c>
      <c r="AT620" s="7" t="s">
        <v>1363</v>
      </c>
      <c r="AU620" s="38">
        <v>46275</v>
      </c>
      <c r="AV620" s="39">
        <v>0.62413194444443998</v>
      </c>
    </row>
    <row r="621" spans="1:48" x14ac:dyDescent="0.35">
      <c r="A621" t="str">
        <f t="shared" si="9"/>
        <v>GP069789B856</v>
      </c>
      <c r="B621" s="7" t="s">
        <v>315</v>
      </c>
      <c r="C621" s="7" t="s">
        <v>852</v>
      </c>
      <c r="D621" s="7" t="s">
        <v>21</v>
      </c>
      <c r="E621" s="7" t="s">
        <v>1177</v>
      </c>
      <c r="F621" s="7" t="s">
        <v>128</v>
      </c>
      <c r="G621" s="7" t="s">
        <v>130</v>
      </c>
      <c r="H621" s="7" t="s">
        <v>129</v>
      </c>
      <c r="I621" s="30">
        <v>1</v>
      </c>
      <c r="J621" s="7" t="s">
        <v>1177</v>
      </c>
      <c r="K621" s="7" t="s">
        <v>1178</v>
      </c>
      <c r="L621" s="7" t="s">
        <v>132</v>
      </c>
      <c r="M621" s="7" t="s">
        <v>133</v>
      </c>
      <c r="N621" s="30">
        <v>0</v>
      </c>
      <c r="O621" s="30">
        <v>0</v>
      </c>
      <c r="P621" s="30">
        <v>0</v>
      </c>
      <c r="Q621" s="30">
        <v>0</v>
      </c>
      <c r="R621" s="29">
        <v>0</v>
      </c>
      <c r="S621" s="36">
        <v>0</v>
      </c>
      <c r="T621" s="7" t="s">
        <v>131</v>
      </c>
      <c r="U621" s="7" t="s">
        <v>853</v>
      </c>
      <c r="V621" s="7" t="s">
        <v>853</v>
      </c>
      <c r="W621" s="7" t="s">
        <v>1177</v>
      </c>
      <c r="X621" s="30">
        <v>1</v>
      </c>
      <c r="Y621" s="7" t="s">
        <v>1177</v>
      </c>
      <c r="Z621" s="7" t="s">
        <v>1178</v>
      </c>
      <c r="AA621" s="30">
        <v>0</v>
      </c>
      <c r="AB621" s="36">
        <v>0</v>
      </c>
      <c r="AC621" s="7" t="s">
        <v>1177</v>
      </c>
      <c r="AD621" s="37">
        <v>0</v>
      </c>
      <c r="AE621" s="7" t="s">
        <v>1177</v>
      </c>
      <c r="AF621" s="7" t="s">
        <v>1177</v>
      </c>
      <c r="AG621" s="7" t="s">
        <v>1177</v>
      </c>
      <c r="AH621" s="38"/>
      <c r="AI621" s="36">
        <v>0</v>
      </c>
      <c r="AJ621" s="7" t="s">
        <v>1193</v>
      </c>
      <c r="AK621" s="7" t="s">
        <v>1177</v>
      </c>
      <c r="AL621" s="7" t="s">
        <v>1177</v>
      </c>
      <c r="AM621" s="7" t="s">
        <v>1177</v>
      </c>
      <c r="AN621" s="7" t="s">
        <v>3212</v>
      </c>
      <c r="AO621" s="7" t="s">
        <v>1177</v>
      </c>
      <c r="AP621" s="7" t="s">
        <v>1177</v>
      </c>
      <c r="AQ621" s="7" t="s">
        <v>1177</v>
      </c>
      <c r="AR621" s="29">
        <v>0</v>
      </c>
      <c r="AS621" s="7" t="s">
        <v>1177</v>
      </c>
      <c r="AT621" s="7" t="s">
        <v>1363</v>
      </c>
      <c r="AU621" s="38">
        <v>46275</v>
      </c>
      <c r="AV621" s="39">
        <v>0.62490740740741002</v>
      </c>
    </row>
    <row r="622" spans="1:48" x14ac:dyDescent="0.35">
      <c r="A622" t="str">
        <f t="shared" si="9"/>
        <v>GP069789B865</v>
      </c>
      <c r="B622" s="7" t="s">
        <v>315</v>
      </c>
      <c r="C622" s="7" t="s">
        <v>1039</v>
      </c>
      <c r="D622" s="7" t="s">
        <v>7</v>
      </c>
      <c r="E622" s="7" t="s">
        <v>1177</v>
      </c>
      <c r="F622" s="7" t="s">
        <v>128</v>
      </c>
      <c r="G622" s="7" t="s">
        <v>130</v>
      </c>
      <c r="H622" s="7" t="s">
        <v>129</v>
      </c>
      <c r="I622" s="30">
        <v>2</v>
      </c>
      <c r="J622" s="7" t="s">
        <v>1177</v>
      </c>
      <c r="K622" s="7" t="s">
        <v>1178</v>
      </c>
      <c r="L622" s="7" t="s">
        <v>132</v>
      </c>
      <c r="M622" s="7" t="s">
        <v>133</v>
      </c>
      <c r="N622" s="30">
        <v>0</v>
      </c>
      <c r="O622" s="30">
        <v>0</v>
      </c>
      <c r="P622" s="30">
        <v>0</v>
      </c>
      <c r="Q622" s="30">
        <v>0</v>
      </c>
      <c r="R622" s="29">
        <v>0</v>
      </c>
      <c r="S622" s="36">
        <v>0</v>
      </c>
      <c r="T622" s="7" t="s">
        <v>131</v>
      </c>
      <c r="U622" s="7" t="s">
        <v>1040</v>
      </c>
      <c r="V622" s="7" t="s">
        <v>1040</v>
      </c>
      <c r="W622" s="7" t="s">
        <v>1177</v>
      </c>
      <c r="X622" s="30">
        <v>1</v>
      </c>
      <c r="Y622" s="7" t="s">
        <v>1177</v>
      </c>
      <c r="Z622" s="7" t="s">
        <v>1178</v>
      </c>
      <c r="AA622" s="30">
        <v>0</v>
      </c>
      <c r="AB622" s="36">
        <v>0</v>
      </c>
      <c r="AC622" s="7" t="s">
        <v>1177</v>
      </c>
      <c r="AD622" s="37">
        <v>0</v>
      </c>
      <c r="AE622" s="7" t="s">
        <v>1177</v>
      </c>
      <c r="AF622" s="7" t="s">
        <v>1177</v>
      </c>
      <c r="AG622" s="7" t="s">
        <v>1177</v>
      </c>
      <c r="AH622" s="38"/>
      <c r="AI622" s="36">
        <v>0</v>
      </c>
      <c r="AJ622" s="7" t="s">
        <v>1193</v>
      </c>
      <c r="AK622" s="7" t="s">
        <v>1177</v>
      </c>
      <c r="AL622" s="7" t="s">
        <v>1177</v>
      </c>
      <c r="AM622" s="7" t="s">
        <v>1177</v>
      </c>
      <c r="AN622" s="7" t="s">
        <v>3212</v>
      </c>
      <c r="AO622" s="7" t="s">
        <v>1177</v>
      </c>
      <c r="AP622" s="7" t="s">
        <v>1177</v>
      </c>
      <c r="AQ622" s="7" t="s">
        <v>1177</v>
      </c>
      <c r="AR622" s="29">
        <v>0</v>
      </c>
      <c r="AS622" s="7" t="s">
        <v>1177</v>
      </c>
      <c r="AT622" s="7" t="s">
        <v>1363</v>
      </c>
      <c r="AU622" s="38">
        <v>46275</v>
      </c>
      <c r="AV622" s="39">
        <v>0.62665509259259</v>
      </c>
    </row>
    <row r="623" spans="1:48" x14ac:dyDescent="0.35">
      <c r="A623" t="str">
        <f t="shared" si="9"/>
        <v>GP070100B867</v>
      </c>
      <c r="B623" s="7" t="s">
        <v>1063</v>
      </c>
      <c r="C623" s="7" t="s">
        <v>1059</v>
      </c>
      <c r="D623" s="7" t="s">
        <v>25</v>
      </c>
      <c r="E623" s="7" t="s">
        <v>1177</v>
      </c>
      <c r="F623" s="7" t="s">
        <v>128</v>
      </c>
      <c r="G623" s="7" t="s">
        <v>130</v>
      </c>
      <c r="H623" s="7" t="s">
        <v>129</v>
      </c>
      <c r="I623" s="30">
        <v>2</v>
      </c>
      <c r="J623" s="7" t="s">
        <v>1177</v>
      </c>
      <c r="K623" s="7" t="s">
        <v>1178</v>
      </c>
      <c r="L623" s="7" t="s">
        <v>132</v>
      </c>
      <c r="M623" s="7" t="s">
        <v>133</v>
      </c>
      <c r="N623" s="30">
        <v>0</v>
      </c>
      <c r="O623" s="30">
        <v>0</v>
      </c>
      <c r="P623" s="30">
        <v>0</v>
      </c>
      <c r="Q623" s="30">
        <v>0</v>
      </c>
      <c r="R623" s="29">
        <v>0</v>
      </c>
      <c r="S623" s="36">
        <v>0</v>
      </c>
      <c r="T623" s="7" t="s">
        <v>131</v>
      </c>
      <c r="U623" s="7" t="s">
        <v>1060</v>
      </c>
      <c r="V623" s="7" t="s">
        <v>1060</v>
      </c>
      <c r="W623" s="7" t="s">
        <v>1177</v>
      </c>
      <c r="X623" s="30">
        <v>1</v>
      </c>
      <c r="Y623" s="7" t="s">
        <v>1177</v>
      </c>
      <c r="Z623" s="7" t="s">
        <v>1178</v>
      </c>
      <c r="AA623" s="30">
        <v>0</v>
      </c>
      <c r="AB623" s="36">
        <v>0</v>
      </c>
      <c r="AC623" s="7" t="s">
        <v>1177</v>
      </c>
      <c r="AD623" s="37">
        <v>0</v>
      </c>
      <c r="AE623" s="7" t="s">
        <v>1177</v>
      </c>
      <c r="AF623" s="7" t="s">
        <v>1177</v>
      </c>
      <c r="AG623" s="7" t="s">
        <v>1177</v>
      </c>
      <c r="AH623" s="38"/>
      <c r="AI623" s="36">
        <v>0</v>
      </c>
      <c r="AJ623" s="7" t="s">
        <v>1193</v>
      </c>
      <c r="AK623" s="7" t="s">
        <v>1177</v>
      </c>
      <c r="AL623" s="7" t="s">
        <v>1177</v>
      </c>
      <c r="AM623" s="7" t="s">
        <v>1177</v>
      </c>
      <c r="AN623" s="7" t="s">
        <v>3212</v>
      </c>
      <c r="AO623" s="7" t="s">
        <v>1177</v>
      </c>
      <c r="AP623" s="7" t="s">
        <v>1177</v>
      </c>
      <c r="AQ623" s="7" t="s">
        <v>1177</v>
      </c>
      <c r="AR623" s="29">
        <v>0</v>
      </c>
      <c r="AS623" s="7" t="s">
        <v>1177</v>
      </c>
      <c r="AT623" s="7" t="s">
        <v>1363</v>
      </c>
      <c r="AU623" s="38">
        <v>46275</v>
      </c>
      <c r="AV623" s="39">
        <v>0.62737268518518996</v>
      </c>
    </row>
    <row r="624" spans="1:48" x14ac:dyDescent="0.35">
      <c r="A624" t="str">
        <f t="shared" si="9"/>
        <v>GP072706B825</v>
      </c>
      <c r="B624" s="7" t="s">
        <v>316</v>
      </c>
      <c r="C624" s="7" t="s">
        <v>511</v>
      </c>
      <c r="D624" s="7" t="s">
        <v>16</v>
      </c>
      <c r="E624" s="7" t="s">
        <v>1177</v>
      </c>
      <c r="F624" s="7" t="s">
        <v>134</v>
      </c>
      <c r="G624" s="7" t="s">
        <v>130</v>
      </c>
      <c r="H624" s="7" t="s">
        <v>129</v>
      </c>
      <c r="I624" s="30">
        <v>2</v>
      </c>
      <c r="J624" s="7" t="s">
        <v>1177</v>
      </c>
      <c r="K624" s="7" t="s">
        <v>1178</v>
      </c>
      <c r="L624" s="7" t="s">
        <v>132</v>
      </c>
      <c r="M624" s="7" t="s">
        <v>133</v>
      </c>
      <c r="N624" s="30">
        <v>0</v>
      </c>
      <c r="O624" s="30">
        <v>0</v>
      </c>
      <c r="P624" s="30">
        <v>0</v>
      </c>
      <c r="Q624" s="30">
        <v>0</v>
      </c>
      <c r="R624" s="29">
        <v>0</v>
      </c>
      <c r="S624" s="36">
        <v>0</v>
      </c>
      <c r="T624" s="7" t="s">
        <v>131</v>
      </c>
      <c r="U624" s="7" t="s">
        <v>512</v>
      </c>
      <c r="V624" s="7" t="s">
        <v>512</v>
      </c>
      <c r="W624" s="7" t="s">
        <v>1177</v>
      </c>
      <c r="X624" s="30">
        <v>2</v>
      </c>
      <c r="Y624" s="7" t="s">
        <v>1177</v>
      </c>
      <c r="Z624" s="7" t="s">
        <v>1178</v>
      </c>
      <c r="AA624" s="30">
        <v>0</v>
      </c>
      <c r="AB624" s="36">
        <v>0</v>
      </c>
      <c r="AC624" s="7" t="s">
        <v>1177</v>
      </c>
      <c r="AD624" s="37">
        <v>0</v>
      </c>
      <c r="AE624" s="7" t="s">
        <v>1177</v>
      </c>
      <c r="AF624" s="7" t="s">
        <v>1177</v>
      </c>
      <c r="AG624" s="7" t="s">
        <v>1177</v>
      </c>
      <c r="AH624" s="38"/>
      <c r="AI624" s="36">
        <v>0</v>
      </c>
      <c r="AJ624" s="7" t="s">
        <v>1193</v>
      </c>
      <c r="AK624" s="7" t="s">
        <v>1177</v>
      </c>
      <c r="AL624" s="7" t="s">
        <v>1177</v>
      </c>
      <c r="AM624" s="7" t="s">
        <v>1177</v>
      </c>
      <c r="AN624" s="7" t="s">
        <v>3212</v>
      </c>
      <c r="AO624" s="7" t="s">
        <v>1177</v>
      </c>
      <c r="AP624" s="7" t="s">
        <v>1177</v>
      </c>
      <c r="AQ624" s="7" t="s">
        <v>1177</v>
      </c>
      <c r="AR624" s="29">
        <v>0</v>
      </c>
      <c r="AS624" s="7" t="s">
        <v>1177</v>
      </c>
      <c r="AT624" s="7" t="s">
        <v>1363</v>
      </c>
      <c r="AU624" s="38">
        <v>46275</v>
      </c>
      <c r="AV624" s="39">
        <v>0.60353009259259005</v>
      </c>
    </row>
    <row r="625" spans="1:48" x14ac:dyDescent="0.35">
      <c r="A625" t="str">
        <f t="shared" si="9"/>
        <v>GP072706B838</v>
      </c>
      <c r="B625" s="7" t="s">
        <v>316</v>
      </c>
      <c r="C625" s="7" t="s">
        <v>744</v>
      </c>
      <c r="D625" s="7" t="s">
        <v>48</v>
      </c>
      <c r="E625" s="7" t="s">
        <v>1177</v>
      </c>
      <c r="F625" s="7" t="s">
        <v>134</v>
      </c>
      <c r="G625" s="7" t="s">
        <v>130</v>
      </c>
      <c r="H625" s="7" t="s">
        <v>129</v>
      </c>
      <c r="I625" s="30">
        <v>2</v>
      </c>
      <c r="J625" s="7" t="s">
        <v>1177</v>
      </c>
      <c r="K625" s="7" t="s">
        <v>1178</v>
      </c>
      <c r="L625" s="7" t="s">
        <v>132</v>
      </c>
      <c r="M625" s="7" t="s">
        <v>133</v>
      </c>
      <c r="N625" s="30">
        <v>0</v>
      </c>
      <c r="O625" s="30">
        <v>0</v>
      </c>
      <c r="P625" s="30">
        <v>0</v>
      </c>
      <c r="Q625" s="30">
        <v>0</v>
      </c>
      <c r="R625" s="29">
        <v>0</v>
      </c>
      <c r="S625" s="36">
        <v>0</v>
      </c>
      <c r="T625" s="7" t="s">
        <v>131</v>
      </c>
      <c r="U625" s="7" t="s">
        <v>745</v>
      </c>
      <c r="V625" s="7" t="s">
        <v>745</v>
      </c>
      <c r="W625" s="7" t="s">
        <v>1177</v>
      </c>
      <c r="X625" s="30">
        <v>2</v>
      </c>
      <c r="Y625" s="7" t="s">
        <v>1177</v>
      </c>
      <c r="Z625" s="7" t="s">
        <v>1178</v>
      </c>
      <c r="AA625" s="30">
        <v>0</v>
      </c>
      <c r="AB625" s="36">
        <v>0</v>
      </c>
      <c r="AC625" s="7" t="s">
        <v>1177</v>
      </c>
      <c r="AD625" s="37">
        <v>0</v>
      </c>
      <c r="AE625" s="7" t="s">
        <v>1177</v>
      </c>
      <c r="AF625" s="7" t="s">
        <v>1177</v>
      </c>
      <c r="AG625" s="7" t="s">
        <v>1177</v>
      </c>
      <c r="AH625" s="38"/>
      <c r="AI625" s="36">
        <v>0</v>
      </c>
      <c r="AJ625" s="7" t="s">
        <v>1193</v>
      </c>
      <c r="AK625" s="7" t="s">
        <v>1177</v>
      </c>
      <c r="AL625" s="7" t="s">
        <v>1177</v>
      </c>
      <c r="AM625" s="7" t="s">
        <v>1177</v>
      </c>
      <c r="AN625" s="7" t="s">
        <v>3212</v>
      </c>
      <c r="AO625" s="7" t="s">
        <v>1177</v>
      </c>
      <c r="AP625" s="7" t="s">
        <v>1177</v>
      </c>
      <c r="AQ625" s="7" t="s">
        <v>1177</v>
      </c>
      <c r="AR625" s="29">
        <v>0</v>
      </c>
      <c r="AS625" s="7" t="s">
        <v>1177</v>
      </c>
      <c r="AT625" s="7" t="s">
        <v>1363</v>
      </c>
      <c r="AU625" s="38">
        <v>46275</v>
      </c>
      <c r="AV625" s="39">
        <v>0.60472222222222005</v>
      </c>
    </row>
    <row r="626" spans="1:48" x14ac:dyDescent="0.35">
      <c r="A626" t="str">
        <f t="shared" si="9"/>
        <v>GP072706B856</v>
      </c>
      <c r="B626" s="7" t="s">
        <v>316</v>
      </c>
      <c r="C626" s="7" t="s">
        <v>852</v>
      </c>
      <c r="D626" s="7" t="s">
        <v>21</v>
      </c>
      <c r="E626" s="7" t="s">
        <v>1177</v>
      </c>
      <c r="F626" s="7" t="s">
        <v>134</v>
      </c>
      <c r="G626" s="7" t="s">
        <v>130</v>
      </c>
      <c r="H626" s="7" t="s">
        <v>129</v>
      </c>
      <c r="I626" s="30">
        <v>2</v>
      </c>
      <c r="J626" s="7" t="s">
        <v>1177</v>
      </c>
      <c r="K626" s="7" t="s">
        <v>1178</v>
      </c>
      <c r="L626" s="7" t="s">
        <v>132</v>
      </c>
      <c r="M626" s="7" t="s">
        <v>133</v>
      </c>
      <c r="N626" s="30">
        <v>0</v>
      </c>
      <c r="O626" s="30">
        <v>0</v>
      </c>
      <c r="P626" s="30">
        <v>0</v>
      </c>
      <c r="Q626" s="30">
        <v>0</v>
      </c>
      <c r="R626" s="29">
        <v>0</v>
      </c>
      <c r="S626" s="36">
        <v>0</v>
      </c>
      <c r="T626" s="7" t="s">
        <v>131</v>
      </c>
      <c r="U626" s="7" t="s">
        <v>853</v>
      </c>
      <c r="V626" s="7" t="s">
        <v>853</v>
      </c>
      <c r="W626" s="7" t="s">
        <v>1177</v>
      </c>
      <c r="X626" s="30">
        <v>2</v>
      </c>
      <c r="Y626" s="7" t="s">
        <v>1177</v>
      </c>
      <c r="Z626" s="7" t="s">
        <v>1178</v>
      </c>
      <c r="AA626" s="30">
        <v>0</v>
      </c>
      <c r="AB626" s="36">
        <v>0</v>
      </c>
      <c r="AC626" s="7" t="s">
        <v>1177</v>
      </c>
      <c r="AD626" s="37">
        <v>0</v>
      </c>
      <c r="AE626" s="7" t="s">
        <v>1177</v>
      </c>
      <c r="AF626" s="7" t="s">
        <v>1177</v>
      </c>
      <c r="AG626" s="7" t="s">
        <v>1177</v>
      </c>
      <c r="AH626" s="38"/>
      <c r="AI626" s="36">
        <v>0</v>
      </c>
      <c r="AJ626" s="7" t="s">
        <v>1193</v>
      </c>
      <c r="AK626" s="7" t="s">
        <v>1177</v>
      </c>
      <c r="AL626" s="7" t="s">
        <v>1177</v>
      </c>
      <c r="AM626" s="7" t="s">
        <v>1177</v>
      </c>
      <c r="AN626" s="7" t="s">
        <v>3212</v>
      </c>
      <c r="AO626" s="7" t="s">
        <v>1177</v>
      </c>
      <c r="AP626" s="7" t="s">
        <v>1177</v>
      </c>
      <c r="AQ626" s="7" t="s">
        <v>1177</v>
      </c>
      <c r="AR626" s="29">
        <v>0</v>
      </c>
      <c r="AS626" s="7" t="s">
        <v>1177</v>
      </c>
      <c r="AT626" s="7" t="s">
        <v>1363</v>
      </c>
      <c r="AU626" s="38">
        <v>46275</v>
      </c>
      <c r="AV626" s="39">
        <v>0.60521990740741005</v>
      </c>
    </row>
    <row r="627" spans="1:48" x14ac:dyDescent="0.35">
      <c r="A627" t="str">
        <f t="shared" si="9"/>
        <v>GP072706B857</v>
      </c>
      <c r="B627" s="7" t="s">
        <v>316</v>
      </c>
      <c r="C627" s="7" t="s">
        <v>958</v>
      </c>
      <c r="D627" s="7" t="s">
        <v>23</v>
      </c>
      <c r="E627" s="7" t="s">
        <v>1177</v>
      </c>
      <c r="F627" s="7" t="s">
        <v>134</v>
      </c>
      <c r="G627" s="7" t="s">
        <v>130</v>
      </c>
      <c r="H627" s="7" t="s">
        <v>129</v>
      </c>
      <c r="I627" s="30">
        <v>1</v>
      </c>
      <c r="J627" s="7" t="s">
        <v>1177</v>
      </c>
      <c r="K627" s="7" t="s">
        <v>1178</v>
      </c>
      <c r="L627" s="7" t="s">
        <v>132</v>
      </c>
      <c r="M627" s="7" t="s">
        <v>133</v>
      </c>
      <c r="N627" s="30">
        <v>0</v>
      </c>
      <c r="O627" s="30">
        <v>0</v>
      </c>
      <c r="P627" s="30">
        <v>0</v>
      </c>
      <c r="Q627" s="30">
        <v>0</v>
      </c>
      <c r="R627" s="29">
        <v>0</v>
      </c>
      <c r="S627" s="36">
        <v>0</v>
      </c>
      <c r="T627" s="7" t="s">
        <v>131</v>
      </c>
      <c r="U627" s="7" t="s">
        <v>959</v>
      </c>
      <c r="V627" s="7" t="s">
        <v>959</v>
      </c>
      <c r="W627" s="7" t="s">
        <v>1177</v>
      </c>
      <c r="X627" s="30">
        <v>1</v>
      </c>
      <c r="Y627" s="7" t="s">
        <v>1177</v>
      </c>
      <c r="Z627" s="7" t="s">
        <v>1178</v>
      </c>
      <c r="AA627" s="30">
        <v>0</v>
      </c>
      <c r="AB627" s="36">
        <v>0</v>
      </c>
      <c r="AC627" s="7" t="s">
        <v>1177</v>
      </c>
      <c r="AD627" s="37">
        <v>0</v>
      </c>
      <c r="AE627" s="7" t="s">
        <v>1177</v>
      </c>
      <c r="AF627" s="7" t="s">
        <v>1177</v>
      </c>
      <c r="AG627" s="7" t="s">
        <v>1177</v>
      </c>
      <c r="AH627" s="38"/>
      <c r="AI627" s="36">
        <v>0</v>
      </c>
      <c r="AJ627" s="7" t="s">
        <v>1193</v>
      </c>
      <c r="AK627" s="7" t="s">
        <v>1177</v>
      </c>
      <c r="AL627" s="7" t="s">
        <v>1177</v>
      </c>
      <c r="AM627" s="7" t="s">
        <v>1177</v>
      </c>
      <c r="AN627" s="7" t="s">
        <v>3212</v>
      </c>
      <c r="AO627" s="7" t="s">
        <v>1177</v>
      </c>
      <c r="AP627" s="7" t="s">
        <v>1177</v>
      </c>
      <c r="AQ627" s="7" t="s">
        <v>1177</v>
      </c>
      <c r="AR627" s="29">
        <v>0</v>
      </c>
      <c r="AS627" s="7" t="s">
        <v>1177</v>
      </c>
      <c r="AT627" s="7" t="s">
        <v>1363</v>
      </c>
      <c r="AU627" s="38">
        <v>46275</v>
      </c>
      <c r="AV627" s="39">
        <v>0.60530092592592999</v>
      </c>
    </row>
    <row r="628" spans="1:48" x14ac:dyDescent="0.35">
      <c r="A628" t="str">
        <f t="shared" si="9"/>
        <v>GP072706B867</v>
      </c>
      <c r="B628" s="7" t="s">
        <v>316</v>
      </c>
      <c r="C628" s="7" t="s">
        <v>1059</v>
      </c>
      <c r="D628" s="7" t="s">
        <v>25</v>
      </c>
      <c r="E628" s="7" t="s">
        <v>1177</v>
      </c>
      <c r="F628" s="7" t="s">
        <v>134</v>
      </c>
      <c r="G628" s="7" t="s">
        <v>130</v>
      </c>
      <c r="H628" s="7" t="s">
        <v>129</v>
      </c>
      <c r="I628" s="30">
        <v>2</v>
      </c>
      <c r="J628" s="7" t="s">
        <v>1177</v>
      </c>
      <c r="K628" s="7" t="s">
        <v>1178</v>
      </c>
      <c r="L628" s="7" t="s">
        <v>132</v>
      </c>
      <c r="M628" s="7" t="s">
        <v>133</v>
      </c>
      <c r="N628" s="30">
        <v>0</v>
      </c>
      <c r="O628" s="30">
        <v>0</v>
      </c>
      <c r="P628" s="30">
        <v>0</v>
      </c>
      <c r="Q628" s="30">
        <v>0</v>
      </c>
      <c r="R628" s="29">
        <v>0</v>
      </c>
      <c r="S628" s="36">
        <v>0</v>
      </c>
      <c r="T628" s="7" t="s">
        <v>131</v>
      </c>
      <c r="U628" s="7" t="s">
        <v>1060</v>
      </c>
      <c r="V628" s="7" t="s">
        <v>1060</v>
      </c>
      <c r="W628" s="7" t="s">
        <v>1177</v>
      </c>
      <c r="X628" s="30">
        <v>2</v>
      </c>
      <c r="Y628" s="7" t="s">
        <v>1177</v>
      </c>
      <c r="Z628" s="7" t="s">
        <v>1178</v>
      </c>
      <c r="AA628" s="30">
        <v>0</v>
      </c>
      <c r="AB628" s="36">
        <v>0</v>
      </c>
      <c r="AC628" s="7" t="s">
        <v>1177</v>
      </c>
      <c r="AD628" s="37">
        <v>0</v>
      </c>
      <c r="AE628" s="7" t="s">
        <v>1177</v>
      </c>
      <c r="AF628" s="7" t="s">
        <v>1177</v>
      </c>
      <c r="AG628" s="7" t="s">
        <v>1177</v>
      </c>
      <c r="AH628" s="38"/>
      <c r="AI628" s="36">
        <v>0</v>
      </c>
      <c r="AJ628" s="7" t="s">
        <v>1193</v>
      </c>
      <c r="AK628" s="7" t="s">
        <v>1177</v>
      </c>
      <c r="AL628" s="7" t="s">
        <v>1177</v>
      </c>
      <c r="AM628" s="7" t="s">
        <v>1177</v>
      </c>
      <c r="AN628" s="7" t="s">
        <v>3212</v>
      </c>
      <c r="AO628" s="7" t="s">
        <v>1177</v>
      </c>
      <c r="AP628" s="7" t="s">
        <v>1177</v>
      </c>
      <c r="AQ628" s="7" t="s">
        <v>1177</v>
      </c>
      <c r="AR628" s="29">
        <v>0</v>
      </c>
      <c r="AS628" s="7" t="s">
        <v>1177</v>
      </c>
      <c r="AT628" s="7" t="s">
        <v>1363</v>
      </c>
      <c r="AU628" s="38">
        <v>46275</v>
      </c>
      <c r="AV628" s="39">
        <v>0.60565972222221998</v>
      </c>
    </row>
    <row r="629" spans="1:48" x14ac:dyDescent="0.35">
      <c r="A629" t="str">
        <f t="shared" si="9"/>
        <v>GP073280B832</v>
      </c>
      <c r="B629" s="7" t="s">
        <v>667</v>
      </c>
      <c r="C629" s="7" t="s">
        <v>653</v>
      </c>
      <c r="D629" s="7" t="s">
        <v>19</v>
      </c>
      <c r="E629" s="7" t="s">
        <v>1177</v>
      </c>
      <c r="F629" s="7" t="s">
        <v>128</v>
      </c>
      <c r="G629" s="7" t="s">
        <v>130</v>
      </c>
      <c r="H629" s="7" t="s">
        <v>129</v>
      </c>
      <c r="I629" s="30">
        <v>2</v>
      </c>
      <c r="J629" s="7" t="s">
        <v>1177</v>
      </c>
      <c r="K629" s="7" t="s">
        <v>1178</v>
      </c>
      <c r="L629" s="7" t="s">
        <v>132</v>
      </c>
      <c r="M629" s="7" t="s">
        <v>133</v>
      </c>
      <c r="N629" s="30">
        <v>0</v>
      </c>
      <c r="O629" s="30">
        <v>0</v>
      </c>
      <c r="P629" s="30">
        <v>0</v>
      </c>
      <c r="Q629" s="30">
        <v>0</v>
      </c>
      <c r="R629" s="29">
        <v>0</v>
      </c>
      <c r="S629" s="36">
        <v>0</v>
      </c>
      <c r="T629" s="7" t="s">
        <v>131</v>
      </c>
      <c r="U629" s="7" t="s">
        <v>654</v>
      </c>
      <c r="V629" s="7" t="s">
        <v>654</v>
      </c>
      <c r="W629" s="7" t="s">
        <v>1177</v>
      </c>
      <c r="X629" s="30">
        <v>1</v>
      </c>
      <c r="Y629" s="7" t="s">
        <v>1177</v>
      </c>
      <c r="Z629" s="7" t="s">
        <v>1178</v>
      </c>
      <c r="AA629" s="30">
        <v>0</v>
      </c>
      <c r="AB629" s="36">
        <v>0</v>
      </c>
      <c r="AC629" s="7" t="s">
        <v>1177</v>
      </c>
      <c r="AD629" s="37">
        <v>0</v>
      </c>
      <c r="AE629" s="7" t="s">
        <v>1177</v>
      </c>
      <c r="AF629" s="7" t="s">
        <v>1177</v>
      </c>
      <c r="AG629" s="7" t="s">
        <v>1177</v>
      </c>
      <c r="AH629" s="38"/>
      <c r="AI629" s="36">
        <v>0</v>
      </c>
      <c r="AJ629" s="7" t="s">
        <v>1193</v>
      </c>
      <c r="AK629" s="7" t="s">
        <v>1177</v>
      </c>
      <c r="AL629" s="7" t="s">
        <v>1177</v>
      </c>
      <c r="AM629" s="7" t="s">
        <v>1177</v>
      </c>
      <c r="AN629" s="7" t="s">
        <v>3212</v>
      </c>
      <c r="AO629" s="7" t="s">
        <v>1177</v>
      </c>
      <c r="AP629" s="7" t="s">
        <v>1177</v>
      </c>
      <c r="AQ629" s="7" t="s">
        <v>1177</v>
      </c>
      <c r="AR629" s="29">
        <v>0</v>
      </c>
      <c r="AS629" s="7" t="s">
        <v>1177</v>
      </c>
      <c r="AT629" s="7" t="s">
        <v>1363</v>
      </c>
      <c r="AU629" s="38">
        <v>46275</v>
      </c>
      <c r="AV629" s="39">
        <v>0.62336805555555996</v>
      </c>
    </row>
    <row r="630" spans="1:48" x14ac:dyDescent="0.35">
      <c r="A630" t="str">
        <f t="shared" si="9"/>
        <v>GP073809B856</v>
      </c>
      <c r="B630" s="7" t="s">
        <v>791</v>
      </c>
      <c r="C630" s="7" t="s">
        <v>852</v>
      </c>
      <c r="D630" s="7" t="s">
        <v>21</v>
      </c>
      <c r="E630" s="7" t="s">
        <v>1177</v>
      </c>
      <c r="F630" s="7" t="s">
        <v>128</v>
      </c>
      <c r="G630" s="7" t="s">
        <v>130</v>
      </c>
      <c r="H630" s="7" t="s">
        <v>129</v>
      </c>
      <c r="I630" s="30">
        <v>2</v>
      </c>
      <c r="J630" s="7" t="s">
        <v>1177</v>
      </c>
      <c r="K630" s="7" t="s">
        <v>1178</v>
      </c>
      <c r="L630" s="7" t="s">
        <v>132</v>
      </c>
      <c r="M630" s="7" t="s">
        <v>133</v>
      </c>
      <c r="N630" s="30">
        <v>0</v>
      </c>
      <c r="O630" s="30">
        <v>0</v>
      </c>
      <c r="P630" s="30">
        <v>0</v>
      </c>
      <c r="Q630" s="30">
        <v>0</v>
      </c>
      <c r="R630" s="29">
        <v>0</v>
      </c>
      <c r="S630" s="36">
        <v>0</v>
      </c>
      <c r="T630" s="7" t="s">
        <v>131</v>
      </c>
      <c r="U630" s="7" t="s">
        <v>853</v>
      </c>
      <c r="V630" s="7" t="s">
        <v>853</v>
      </c>
      <c r="W630" s="7" t="s">
        <v>1177</v>
      </c>
      <c r="X630" s="30">
        <v>1</v>
      </c>
      <c r="Y630" s="7" t="s">
        <v>1177</v>
      </c>
      <c r="Z630" s="7" t="s">
        <v>1178</v>
      </c>
      <c r="AA630" s="30">
        <v>0</v>
      </c>
      <c r="AB630" s="36">
        <v>0</v>
      </c>
      <c r="AC630" s="7" t="s">
        <v>1177</v>
      </c>
      <c r="AD630" s="37">
        <v>0</v>
      </c>
      <c r="AE630" s="7" t="s">
        <v>1177</v>
      </c>
      <c r="AF630" s="7" t="s">
        <v>1177</v>
      </c>
      <c r="AG630" s="7" t="s">
        <v>1177</v>
      </c>
      <c r="AH630" s="38"/>
      <c r="AI630" s="36">
        <v>0</v>
      </c>
      <c r="AJ630" s="7" t="s">
        <v>1193</v>
      </c>
      <c r="AK630" s="7" t="s">
        <v>1177</v>
      </c>
      <c r="AL630" s="7" t="s">
        <v>1177</v>
      </c>
      <c r="AM630" s="7" t="s">
        <v>1177</v>
      </c>
      <c r="AN630" s="7" t="s">
        <v>3212</v>
      </c>
      <c r="AO630" s="7" t="s">
        <v>1177</v>
      </c>
      <c r="AP630" s="7" t="s">
        <v>1177</v>
      </c>
      <c r="AQ630" s="7" t="s">
        <v>1177</v>
      </c>
      <c r="AR630" s="29">
        <v>0</v>
      </c>
      <c r="AS630" s="7" t="s">
        <v>1177</v>
      </c>
      <c r="AT630" s="7" t="s">
        <v>1363</v>
      </c>
      <c r="AU630" s="38">
        <v>46275</v>
      </c>
      <c r="AV630" s="39">
        <v>0.62490740740741002</v>
      </c>
    </row>
    <row r="631" spans="1:48" x14ac:dyDescent="0.35">
      <c r="A631" t="str">
        <f t="shared" si="9"/>
        <v>GP073809B857</v>
      </c>
      <c r="B631" s="7" t="s">
        <v>791</v>
      </c>
      <c r="C631" s="7" t="s">
        <v>958</v>
      </c>
      <c r="D631" s="7" t="s">
        <v>23</v>
      </c>
      <c r="E631" s="7" t="s">
        <v>1177</v>
      </c>
      <c r="F631" s="7" t="s">
        <v>128</v>
      </c>
      <c r="G631" s="7" t="s">
        <v>130</v>
      </c>
      <c r="H631" s="7" t="s">
        <v>129</v>
      </c>
      <c r="I631" s="30">
        <v>1</v>
      </c>
      <c r="J631" s="7" t="s">
        <v>1177</v>
      </c>
      <c r="K631" s="7" t="s">
        <v>1178</v>
      </c>
      <c r="L631" s="7" t="s">
        <v>132</v>
      </c>
      <c r="M631" s="7" t="s">
        <v>133</v>
      </c>
      <c r="N631" s="30">
        <v>0</v>
      </c>
      <c r="O631" s="30">
        <v>0</v>
      </c>
      <c r="P631" s="30">
        <v>0</v>
      </c>
      <c r="Q631" s="30">
        <v>0</v>
      </c>
      <c r="R631" s="29">
        <v>0</v>
      </c>
      <c r="S631" s="36">
        <v>0</v>
      </c>
      <c r="T631" s="7" t="s">
        <v>131</v>
      </c>
      <c r="U631" s="7" t="s">
        <v>959</v>
      </c>
      <c r="V631" s="7" t="s">
        <v>959</v>
      </c>
      <c r="W631" s="7" t="s">
        <v>1177</v>
      </c>
      <c r="X631" s="30">
        <v>1</v>
      </c>
      <c r="Y631" s="7" t="s">
        <v>1177</v>
      </c>
      <c r="Z631" s="7" t="s">
        <v>1178</v>
      </c>
      <c r="AA631" s="30">
        <v>0</v>
      </c>
      <c r="AB631" s="36">
        <v>0</v>
      </c>
      <c r="AC631" s="7" t="s">
        <v>1177</v>
      </c>
      <c r="AD631" s="37">
        <v>0</v>
      </c>
      <c r="AE631" s="7" t="s">
        <v>1177</v>
      </c>
      <c r="AF631" s="7" t="s">
        <v>1177</v>
      </c>
      <c r="AG631" s="7" t="s">
        <v>1177</v>
      </c>
      <c r="AH631" s="38"/>
      <c r="AI631" s="36">
        <v>0</v>
      </c>
      <c r="AJ631" s="7" t="s">
        <v>1193</v>
      </c>
      <c r="AK631" s="7" t="s">
        <v>1177</v>
      </c>
      <c r="AL631" s="7" t="s">
        <v>1177</v>
      </c>
      <c r="AM631" s="7" t="s">
        <v>1177</v>
      </c>
      <c r="AN631" s="7" t="s">
        <v>3212</v>
      </c>
      <c r="AO631" s="7" t="s">
        <v>1177</v>
      </c>
      <c r="AP631" s="7" t="s">
        <v>1177</v>
      </c>
      <c r="AQ631" s="7" t="s">
        <v>1177</v>
      </c>
      <c r="AR631" s="29">
        <v>0</v>
      </c>
      <c r="AS631" s="7" t="s">
        <v>1177</v>
      </c>
      <c r="AT631" s="7" t="s">
        <v>1363</v>
      </c>
      <c r="AU631" s="38">
        <v>46275</v>
      </c>
      <c r="AV631" s="39">
        <v>0.62497685185185003</v>
      </c>
    </row>
    <row r="632" spans="1:48" x14ac:dyDescent="0.35">
      <c r="A632" t="str">
        <f t="shared" si="9"/>
        <v>GP073809B864</v>
      </c>
      <c r="B632" s="7" t="s">
        <v>791</v>
      </c>
      <c r="C632" s="7" t="s">
        <v>1010</v>
      </c>
      <c r="D632" s="7" t="s">
        <v>10</v>
      </c>
      <c r="E632" s="7" t="s">
        <v>1177</v>
      </c>
      <c r="F632" s="7" t="s">
        <v>128</v>
      </c>
      <c r="G632" s="7" t="s">
        <v>130</v>
      </c>
      <c r="H632" s="7" t="s">
        <v>129</v>
      </c>
      <c r="I632" s="30">
        <v>2</v>
      </c>
      <c r="J632" s="7" t="s">
        <v>1177</v>
      </c>
      <c r="K632" s="7" t="s">
        <v>1178</v>
      </c>
      <c r="L632" s="7" t="s">
        <v>132</v>
      </c>
      <c r="M632" s="7" t="s">
        <v>133</v>
      </c>
      <c r="N632" s="30">
        <v>0</v>
      </c>
      <c r="O632" s="30">
        <v>0</v>
      </c>
      <c r="P632" s="30">
        <v>0</v>
      </c>
      <c r="Q632" s="30">
        <v>0</v>
      </c>
      <c r="R632" s="29">
        <v>0</v>
      </c>
      <c r="S632" s="36">
        <v>0</v>
      </c>
      <c r="T632" s="7" t="s">
        <v>131</v>
      </c>
      <c r="U632" s="7" t="s">
        <v>1011</v>
      </c>
      <c r="V632" s="7" t="s">
        <v>1011</v>
      </c>
      <c r="W632" s="7" t="s">
        <v>1177</v>
      </c>
      <c r="X632" s="30">
        <v>1</v>
      </c>
      <c r="Y632" s="7" t="s">
        <v>1177</v>
      </c>
      <c r="Z632" s="7" t="s">
        <v>1178</v>
      </c>
      <c r="AA632" s="30">
        <v>0</v>
      </c>
      <c r="AB632" s="36">
        <v>0</v>
      </c>
      <c r="AC632" s="7" t="s">
        <v>1177</v>
      </c>
      <c r="AD632" s="37">
        <v>0</v>
      </c>
      <c r="AE632" s="7" t="s">
        <v>1177</v>
      </c>
      <c r="AF632" s="7" t="s">
        <v>1177</v>
      </c>
      <c r="AG632" s="7" t="s">
        <v>1177</v>
      </c>
      <c r="AH632" s="38"/>
      <c r="AI632" s="36">
        <v>0</v>
      </c>
      <c r="AJ632" s="7" t="s">
        <v>1193</v>
      </c>
      <c r="AK632" s="7" t="s">
        <v>1177</v>
      </c>
      <c r="AL632" s="7" t="s">
        <v>1177</v>
      </c>
      <c r="AM632" s="7" t="s">
        <v>1177</v>
      </c>
      <c r="AN632" s="7" t="s">
        <v>3212</v>
      </c>
      <c r="AO632" s="7" t="s">
        <v>1177</v>
      </c>
      <c r="AP632" s="7" t="s">
        <v>1177</v>
      </c>
      <c r="AQ632" s="7" t="s">
        <v>1177</v>
      </c>
      <c r="AR632" s="29">
        <v>0</v>
      </c>
      <c r="AS632" s="7" t="s">
        <v>1177</v>
      </c>
      <c r="AT632" s="7" t="s">
        <v>1363</v>
      </c>
      <c r="AU632" s="38">
        <v>46275</v>
      </c>
      <c r="AV632" s="39">
        <v>0.62646990740741004</v>
      </c>
    </row>
    <row r="633" spans="1:48" x14ac:dyDescent="0.35">
      <c r="A633" t="str">
        <f t="shared" si="9"/>
        <v>GP073809B865</v>
      </c>
      <c r="B633" s="7" t="s">
        <v>791</v>
      </c>
      <c r="C633" s="7" t="s">
        <v>1039</v>
      </c>
      <c r="D633" s="7" t="s">
        <v>7</v>
      </c>
      <c r="E633" s="7" t="s">
        <v>1177</v>
      </c>
      <c r="F633" s="7" t="s">
        <v>128</v>
      </c>
      <c r="G633" s="7" t="s">
        <v>130</v>
      </c>
      <c r="H633" s="7" t="s">
        <v>129</v>
      </c>
      <c r="I633" s="30">
        <v>2</v>
      </c>
      <c r="J633" s="7" t="s">
        <v>1177</v>
      </c>
      <c r="K633" s="7" t="s">
        <v>1178</v>
      </c>
      <c r="L633" s="7" t="s">
        <v>132</v>
      </c>
      <c r="M633" s="7" t="s">
        <v>133</v>
      </c>
      <c r="N633" s="30">
        <v>0</v>
      </c>
      <c r="O633" s="30">
        <v>0</v>
      </c>
      <c r="P633" s="30">
        <v>0</v>
      </c>
      <c r="Q633" s="30">
        <v>0</v>
      </c>
      <c r="R633" s="29">
        <v>0</v>
      </c>
      <c r="S633" s="36">
        <v>0</v>
      </c>
      <c r="T633" s="7" t="s">
        <v>131</v>
      </c>
      <c r="U633" s="7" t="s">
        <v>1040</v>
      </c>
      <c r="V633" s="7" t="s">
        <v>1040</v>
      </c>
      <c r="W633" s="7" t="s">
        <v>1177</v>
      </c>
      <c r="X633" s="30">
        <v>1</v>
      </c>
      <c r="Y633" s="7" t="s">
        <v>1177</v>
      </c>
      <c r="Z633" s="7" t="s">
        <v>1178</v>
      </c>
      <c r="AA633" s="30">
        <v>0</v>
      </c>
      <c r="AB633" s="36">
        <v>0</v>
      </c>
      <c r="AC633" s="7" t="s">
        <v>1177</v>
      </c>
      <c r="AD633" s="37">
        <v>0</v>
      </c>
      <c r="AE633" s="7" t="s">
        <v>1177</v>
      </c>
      <c r="AF633" s="7" t="s">
        <v>1177</v>
      </c>
      <c r="AG633" s="7" t="s">
        <v>1177</v>
      </c>
      <c r="AH633" s="38"/>
      <c r="AI633" s="36">
        <v>0</v>
      </c>
      <c r="AJ633" s="7" t="s">
        <v>1193</v>
      </c>
      <c r="AK633" s="7" t="s">
        <v>1177</v>
      </c>
      <c r="AL633" s="7" t="s">
        <v>1177</v>
      </c>
      <c r="AM633" s="7" t="s">
        <v>1177</v>
      </c>
      <c r="AN633" s="7" t="s">
        <v>3212</v>
      </c>
      <c r="AO633" s="7" t="s">
        <v>1177</v>
      </c>
      <c r="AP633" s="7" t="s">
        <v>1177</v>
      </c>
      <c r="AQ633" s="7" t="s">
        <v>1177</v>
      </c>
      <c r="AR633" s="29">
        <v>0</v>
      </c>
      <c r="AS633" s="7" t="s">
        <v>1177</v>
      </c>
      <c r="AT633" s="7" t="s">
        <v>1363</v>
      </c>
      <c r="AU633" s="38">
        <v>46275</v>
      </c>
      <c r="AV633" s="39">
        <v>0.62665509259259</v>
      </c>
    </row>
    <row r="634" spans="1:48" x14ac:dyDescent="0.35">
      <c r="A634" t="str">
        <f t="shared" si="9"/>
        <v>GP073809B867</v>
      </c>
      <c r="B634" s="7" t="s">
        <v>791</v>
      </c>
      <c r="C634" s="7" t="s">
        <v>1059</v>
      </c>
      <c r="D634" s="7" t="s">
        <v>25</v>
      </c>
      <c r="E634" s="7" t="s">
        <v>1177</v>
      </c>
      <c r="F634" s="7" t="s">
        <v>128</v>
      </c>
      <c r="G634" s="7" t="s">
        <v>130</v>
      </c>
      <c r="H634" s="7" t="s">
        <v>129</v>
      </c>
      <c r="I634" s="30">
        <v>2</v>
      </c>
      <c r="J634" s="7" t="s">
        <v>1177</v>
      </c>
      <c r="K634" s="7" t="s">
        <v>1178</v>
      </c>
      <c r="L634" s="7" t="s">
        <v>132</v>
      </c>
      <c r="M634" s="7" t="s">
        <v>133</v>
      </c>
      <c r="N634" s="30">
        <v>0</v>
      </c>
      <c r="O634" s="30">
        <v>0</v>
      </c>
      <c r="P634" s="30">
        <v>0</v>
      </c>
      <c r="Q634" s="30">
        <v>0</v>
      </c>
      <c r="R634" s="29">
        <v>0</v>
      </c>
      <c r="S634" s="36">
        <v>0</v>
      </c>
      <c r="T634" s="7" t="s">
        <v>131</v>
      </c>
      <c r="U634" s="7" t="s">
        <v>1060</v>
      </c>
      <c r="V634" s="7" t="s">
        <v>1060</v>
      </c>
      <c r="W634" s="7" t="s">
        <v>1177</v>
      </c>
      <c r="X634" s="30">
        <v>1</v>
      </c>
      <c r="Y634" s="7" t="s">
        <v>1177</v>
      </c>
      <c r="Z634" s="7" t="s">
        <v>1178</v>
      </c>
      <c r="AA634" s="30">
        <v>0</v>
      </c>
      <c r="AB634" s="36">
        <v>0</v>
      </c>
      <c r="AC634" s="7" t="s">
        <v>1177</v>
      </c>
      <c r="AD634" s="37">
        <v>0</v>
      </c>
      <c r="AE634" s="7" t="s">
        <v>1177</v>
      </c>
      <c r="AF634" s="7" t="s">
        <v>1177</v>
      </c>
      <c r="AG634" s="7" t="s">
        <v>1177</v>
      </c>
      <c r="AH634" s="38"/>
      <c r="AI634" s="36">
        <v>0</v>
      </c>
      <c r="AJ634" s="7" t="s">
        <v>1193</v>
      </c>
      <c r="AK634" s="7" t="s">
        <v>1177</v>
      </c>
      <c r="AL634" s="7" t="s">
        <v>1177</v>
      </c>
      <c r="AM634" s="7" t="s">
        <v>1177</v>
      </c>
      <c r="AN634" s="7" t="s">
        <v>3212</v>
      </c>
      <c r="AO634" s="7" t="s">
        <v>1177</v>
      </c>
      <c r="AP634" s="7" t="s">
        <v>1177</v>
      </c>
      <c r="AQ634" s="7" t="s">
        <v>1177</v>
      </c>
      <c r="AR634" s="29">
        <v>0</v>
      </c>
      <c r="AS634" s="7" t="s">
        <v>1177</v>
      </c>
      <c r="AT634" s="7" t="s">
        <v>1363</v>
      </c>
      <c r="AU634" s="38">
        <v>46275</v>
      </c>
      <c r="AV634" s="39">
        <v>0.62737268518518996</v>
      </c>
    </row>
    <row r="635" spans="1:48" x14ac:dyDescent="0.35">
      <c r="A635" t="str">
        <f t="shared" si="9"/>
        <v>GP074871B825</v>
      </c>
      <c r="B635" s="7" t="s">
        <v>246</v>
      </c>
      <c r="C635" s="7" t="s">
        <v>511</v>
      </c>
      <c r="D635" s="7" t="s">
        <v>16</v>
      </c>
      <c r="E635" s="7" t="s">
        <v>1177</v>
      </c>
      <c r="F635" s="7" t="s">
        <v>128</v>
      </c>
      <c r="G635" s="7" t="s">
        <v>130</v>
      </c>
      <c r="H635" s="7" t="s">
        <v>129</v>
      </c>
      <c r="I635" s="30">
        <v>2</v>
      </c>
      <c r="J635" s="7" t="s">
        <v>1177</v>
      </c>
      <c r="K635" s="7" t="s">
        <v>1178</v>
      </c>
      <c r="L635" s="7" t="s">
        <v>132</v>
      </c>
      <c r="M635" s="7" t="s">
        <v>133</v>
      </c>
      <c r="N635" s="30">
        <v>0</v>
      </c>
      <c r="O635" s="30">
        <v>0</v>
      </c>
      <c r="P635" s="30">
        <v>0</v>
      </c>
      <c r="Q635" s="30">
        <v>0</v>
      </c>
      <c r="R635" s="29">
        <v>0</v>
      </c>
      <c r="S635" s="36">
        <v>0</v>
      </c>
      <c r="T635" s="7" t="s">
        <v>131</v>
      </c>
      <c r="U635" s="7" t="s">
        <v>512</v>
      </c>
      <c r="V635" s="7" t="s">
        <v>512</v>
      </c>
      <c r="W635" s="7" t="s">
        <v>1177</v>
      </c>
      <c r="X635" s="30">
        <v>1</v>
      </c>
      <c r="Y635" s="7" t="s">
        <v>1177</v>
      </c>
      <c r="Z635" s="7" t="s">
        <v>1178</v>
      </c>
      <c r="AA635" s="30">
        <v>0</v>
      </c>
      <c r="AB635" s="36">
        <v>0</v>
      </c>
      <c r="AC635" s="7" t="s">
        <v>1177</v>
      </c>
      <c r="AD635" s="37">
        <v>0</v>
      </c>
      <c r="AE635" s="7" t="s">
        <v>1177</v>
      </c>
      <c r="AF635" s="7" t="s">
        <v>1177</v>
      </c>
      <c r="AG635" s="7" t="s">
        <v>1177</v>
      </c>
      <c r="AH635" s="38"/>
      <c r="AI635" s="36">
        <v>0</v>
      </c>
      <c r="AJ635" s="7" t="s">
        <v>1193</v>
      </c>
      <c r="AK635" s="7" t="s">
        <v>1177</v>
      </c>
      <c r="AL635" s="7" t="s">
        <v>1177</v>
      </c>
      <c r="AM635" s="7" t="s">
        <v>1177</v>
      </c>
      <c r="AN635" s="7" t="s">
        <v>3212</v>
      </c>
      <c r="AO635" s="7" t="s">
        <v>1177</v>
      </c>
      <c r="AP635" s="7" t="s">
        <v>1177</v>
      </c>
      <c r="AQ635" s="7" t="s">
        <v>1177</v>
      </c>
      <c r="AR635" s="29">
        <v>0</v>
      </c>
      <c r="AS635" s="7" t="s">
        <v>1177</v>
      </c>
      <c r="AT635" s="7" t="s">
        <v>1363</v>
      </c>
      <c r="AU635" s="38">
        <v>46275</v>
      </c>
      <c r="AV635" s="39">
        <v>0.6034837962963</v>
      </c>
    </row>
    <row r="636" spans="1:48" x14ac:dyDescent="0.35">
      <c r="A636" t="str">
        <f t="shared" si="9"/>
        <v>GP074871B832</v>
      </c>
      <c r="B636" s="7" t="s">
        <v>246</v>
      </c>
      <c r="C636" s="7" t="s">
        <v>653</v>
      </c>
      <c r="D636" s="7" t="s">
        <v>19</v>
      </c>
      <c r="E636" s="7" t="s">
        <v>1177</v>
      </c>
      <c r="F636" s="7" t="s">
        <v>128</v>
      </c>
      <c r="G636" s="7" t="s">
        <v>130</v>
      </c>
      <c r="H636" s="7" t="s">
        <v>129</v>
      </c>
      <c r="I636" s="30">
        <v>1</v>
      </c>
      <c r="J636" s="7" t="s">
        <v>1177</v>
      </c>
      <c r="K636" s="7" t="s">
        <v>1178</v>
      </c>
      <c r="L636" s="7" t="s">
        <v>132</v>
      </c>
      <c r="M636" s="7" t="s">
        <v>133</v>
      </c>
      <c r="N636" s="30">
        <v>0</v>
      </c>
      <c r="O636" s="30">
        <v>0</v>
      </c>
      <c r="P636" s="30">
        <v>0</v>
      </c>
      <c r="Q636" s="30">
        <v>0</v>
      </c>
      <c r="R636" s="29">
        <v>0</v>
      </c>
      <c r="S636" s="36">
        <v>0</v>
      </c>
      <c r="T636" s="7" t="s">
        <v>131</v>
      </c>
      <c r="U636" s="7" t="s">
        <v>654</v>
      </c>
      <c r="V636" s="7" t="s">
        <v>654</v>
      </c>
      <c r="W636" s="7" t="s">
        <v>1177</v>
      </c>
      <c r="X636" s="30">
        <v>1</v>
      </c>
      <c r="Y636" s="7" t="s">
        <v>1177</v>
      </c>
      <c r="Z636" s="7" t="s">
        <v>1178</v>
      </c>
      <c r="AA636" s="30">
        <v>0</v>
      </c>
      <c r="AB636" s="36">
        <v>0</v>
      </c>
      <c r="AC636" s="7" t="s">
        <v>1177</v>
      </c>
      <c r="AD636" s="37">
        <v>0</v>
      </c>
      <c r="AE636" s="7" t="s">
        <v>1177</v>
      </c>
      <c r="AF636" s="7" t="s">
        <v>1177</v>
      </c>
      <c r="AG636" s="7" t="s">
        <v>1177</v>
      </c>
      <c r="AH636" s="38"/>
      <c r="AI636" s="36">
        <v>0</v>
      </c>
      <c r="AJ636" s="7" t="s">
        <v>1193</v>
      </c>
      <c r="AK636" s="7" t="s">
        <v>1177</v>
      </c>
      <c r="AL636" s="7" t="s">
        <v>1177</v>
      </c>
      <c r="AM636" s="7" t="s">
        <v>1177</v>
      </c>
      <c r="AN636" s="7" t="s">
        <v>3212</v>
      </c>
      <c r="AO636" s="7" t="s">
        <v>1177</v>
      </c>
      <c r="AP636" s="7" t="s">
        <v>1177</v>
      </c>
      <c r="AQ636" s="7" t="s">
        <v>1177</v>
      </c>
      <c r="AR636" s="29">
        <v>0</v>
      </c>
      <c r="AS636" s="7" t="s">
        <v>1177</v>
      </c>
      <c r="AT636" s="7" t="s">
        <v>1363</v>
      </c>
      <c r="AU636" s="38">
        <v>46275</v>
      </c>
      <c r="AV636" s="39">
        <v>0.60391203703703999</v>
      </c>
    </row>
    <row r="637" spans="1:48" x14ac:dyDescent="0.35">
      <c r="A637" t="str">
        <f t="shared" si="9"/>
        <v>GP075083B856</v>
      </c>
      <c r="B637" s="7" t="s">
        <v>247</v>
      </c>
      <c r="C637" s="7" t="s">
        <v>852</v>
      </c>
      <c r="D637" s="7" t="s">
        <v>21</v>
      </c>
      <c r="E637" s="7" t="s">
        <v>1177</v>
      </c>
      <c r="F637" s="7" t="s">
        <v>128</v>
      </c>
      <c r="G637" s="7" t="s">
        <v>130</v>
      </c>
      <c r="H637" s="7" t="s">
        <v>129</v>
      </c>
      <c r="I637" s="30">
        <v>2</v>
      </c>
      <c r="J637" s="7" t="s">
        <v>1177</v>
      </c>
      <c r="K637" s="7" t="s">
        <v>1178</v>
      </c>
      <c r="L637" s="7" t="s">
        <v>132</v>
      </c>
      <c r="M637" s="7" t="s">
        <v>133</v>
      </c>
      <c r="N637" s="30">
        <v>0</v>
      </c>
      <c r="O637" s="30">
        <v>0</v>
      </c>
      <c r="P637" s="30">
        <v>0</v>
      </c>
      <c r="Q637" s="30">
        <v>0</v>
      </c>
      <c r="R637" s="29">
        <v>0</v>
      </c>
      <c r="S637" s="36">
        <v>0</v>
      </c>
      <c r="T637" s="7" t="s">
        <v>131</v>
      </c>
      <c r="U637" s="7" t="s">
        <v>853</v>
      </c>
      <c r="V637" s="7" t="s">
        <v>853</v>
      </c>
      <c r="W637" s="7" t="s">
        <v>1177</v>
      </c>
      <c r="X637" s="30">
        <v>1</v>
      </c>
      <c r="Y637" s="7" t="s">
        <v>1177</v>
      </c>
      <c r="Z637" s="7" t="s">
        <v>1178</v>
      </c>
      <c r="AA637" s="30">
        <v>0</v>
      </c>
      <c r="AB637" s="36">
        <v>0</v>
      </c>
      <c r="AC637" s="7" t="s">
        <v>1177</v>
      </c>
      <c r="AD637" s="37">
        <v>0</v>
      </c>
      <c r="AE637" s="7" t="s">
        <v>1177</v>
      </c>
      <c r="AF637" s="7" t="s">
        <v>1177</v>
      </c>
      <c r="AG637" s="7" t="s">
        <v>1177</v>
      </c>
      <c r="AH637" s="38"/>
      <c r="AI637" s="36">
        <v>0</v>
      </c>
      <c r="AJ637" s="7" t="s">
        <v>1193</v>
      </c>
      <c r="AK637" s="7" t="s">
        <v>1177</v>
      </c>
      <c r="AL637" s="7" t="s">
        <v>1177</v>
      </c>
      <c r="AM637" s="7" t="s">
        <v>1177</v>
      </c>
      <c r="AN637" s="7" t="s">
        <v>3212</v>
      </c>
      <c r="AO637" s="7" t="s">
        <v>1177</v>
      </c>
      <c r="AP637" s="7" t="s">
        <v>1177</v>
      </c>
      <c r="AQ637" s="7" t="s">
        <v>1177</v>
      </c>
      <c r="AR637" s="29">
        <v>0</v>
      </c>
      <c r="AS637" s="7" t="s">
        <v>1177</v>
      </c>
      <c r="AT637" s="7" t="s">
        <v>1363</v>
      </c>
      <c r="AU637" s="38">
        <v>46275</v>
      </c>
      <c r="AV637" s="39">
        <v>0.60523148148147998</v>
      </c>
    </row>
    <row r="638" spans="1:48" x14ac:dyDescent="0.35">
      <c r="A638" t="str">
        <f t="shared" si="9"/>
        <v>GP075083B857</v>
      </c>
      <c r="B638" s="7" t="s">
        <v>247</v>
      </c>
      <c r="C638" s="7" t="s">
        <v>958</v>
      </c>
      <c r="D638" s="7" t="s">
        <v>23</v>
      </c>
      <c r="E638" s="7" t="s">
        <v>1177</v>
      </c>
      <c r="F638" s="7" t="s">
        <v>128</v>
      </c>
      <c r="G638" s="7" t="s">
        <v>130</v>
      </c>
      <c r="H638" s="7" t="s">
        <v>129</v>
      </c>
      <c r="I638" s="30">
        <v>2</v>
      </c>
      <c r="J638" s="7" t="s">
        <v>1177</v>
      </c>
      <c r="K638" s="7" t="s">
        <v>1178</v>
      </c>
      <c r="L638" s="7" t="s">
        <v>132</v>
      </c>
      <c r="M638" s="7" t="s">
        <v>133</v>
      </c>
      <c r="N638" s="30">
        <v>0</v>
      </c>
      <c r="O638" s="30">
        <v>0</v>
      </c>
      <c r="P638" s="30">
        <v>0</v>
      </c>
      <c r="Q638" s="30">
        <v>0</v>
      </c>
      <c r="R638" s="29">
        <v>0</v>
      </c>
      <c r="S638" s="36">
        <v>0</v>
      </c>
      <c r="T638" s="7" t="s">
        <v>131</v>
      </c>
      <c r="U638" s="7" t="s">
        <v>959</v>
      </c>
      <c r="V638" s="7" t="s">
        <v>959</v>
      </c>
      <c r="W638" s="7" t="s">
        <v>1177</v>
      </c>
      <c r="X638" s="30">
        <v>1</v>
      </c>
      <c r="Y638" s="7" t="s">
        <v>1177</v>
      </c>
      <c r="Z638" s="7" t="s">
        <v>1178</v>
      </c>
      <c r="AA638" s="30">
        <v>0</v>
      </c>
      <c r="AB638" s="36">
        <v>0</v>
      </c>
      <c r="AC638" s="7" t="s">
        <v>1177</v>
      </c>
      <c r="AD638" s="37">
        <v>0</v>
      </c>
      <c r="AE638" s="7" t="s">
        <v>1177</v>
      </c>
      <c r="AF638" s="7" t="s">
        <v>1177</v>
      </c>
      <c r="AG638" s="7" t="s">
        <v>1177</v>
      </c>
      <c r="AH638" s="38"/>
      <c r="AI638" s="36">
        <v>0</v>
      </c>
      <c r="AJ638" s="7" t="s">
        <v>1193</v>
      </c>
      <c r="AK638" s="7" t="s">
        <v>1177</v>
      </c>
      <c r="AL638" s="7" t="s">
        <v>1177</v>
      </c>
      <c r="AM638" s="7" t="s">
        <v>1177</v>
      </c>
      <c r="AN638" s="7" t="s">
        <v>3212</v>
      </c>
      <c r="AO638" s="7" t="s">
        <v>1177</v>
      </c>
      <c r="AP638" s="7" t="s">
        <v>1177</v>
      </c>
      <c r="AQ638" s="7" t="s">
        <v>1177</v>
      </c>
      <c r="AR638" s="29">
        <v>0</v>
      </c>
      <c r="AS638" s="7" t="s">
        <v>1177</v>
      </c>
      <c r="AT638" s="7" t="s">
        <v>1363</v>
      </c>
      <c r="AU638" s="38">
        <v>46275</v>
      </c>
      <c r="AV638" s="39">
        <v>0.60525462962962995</v>
      </c>
    </row>
    <row r="639" spans="1:48" x14ac:dyDescent="0.35">
      <c r="A639" t="str">
        <f t="shared" si="9"/>
        <v>GP075083B864</v>
      </c>
      <c r="B639" s="7" t="s">
        <v>247</v>
      </c>
      <c r="C639" s="7" t="s">
        <v>1010</v>
      </c>
      <c r="D639" s="7" t="s">
        <v>10</v>
      </c>
      <c r="E639" s="7" t="s">
        <v>1177</v>
      </c>
      <c r="F639" s="7" t="s">
        <v>128</v>
      </c>
      <c r="G639" s="7" t="s">
        <v>130</v>
      </c>
      <c r="H639" s="7" t="s">
        <v>129</v>
      </c>
      <c r="I639" s="30">
        <v>2</v>
      </c>
      <c r="J639" s="7" t="s">
        <v>1177</v>
      </c>
      <c r="K639" s="7" t="s">
        <v>1178</v>
      </c>
      <c r="L639" s="7" t="s">
        <v>132</v>
      </c>
      <c r="M639" s="7" t="s">
        <v>133</v>
      </c>
      <c r="N639" s="30">
        <v>0</v>
      </c>
      <c r="O639" s="30">
        <v>0</v>
      </c>
      <c r="P639" s="30">
        <v>0</v>
      </c>
      <c r="Q639" s="30">
        <v>0</v>
      </c>
      <c r="R639" s="29">
        <v>0</v>
      </c>
      <c r="S639" s="36">
        <v>0</v>
      </c>
      <c r="T639" s="7" t="s">
        <v>131</v>
      </c>
      <c r="U639" s="7" t="s">
        <v>1011</v>
      </c>
      <c r="V639" s="7" t="s">
        <v>1011</v>
      </c>
      <c r="W639" s="7" t="s">
        <v>1177</v>
      </c>
      <c r="X639" s="30">
        <v>1</v>
      </c>
      <c r="Y639" s="7" t="s">
        <v>1177</v>
      </c>
      <c r="Z639" s="7" t="s">
        <v>1178</v>
      </c>
      <c r="AA639" s="30">
        <v>0</v>
      </c>
      <c r="AB639" s="36">
        <v>0</v>
      </c>
      <c r="AC639" s="7" t="s">
        <v>1177</v>
      </c>
      <c r="AD639" s="37">
        <v>0</v>
      </c>
      <c r="AE639" s="7" t="s">
        <v>1177</v>
      </c>
      <c r="AF639" s="7" t="s">
        <v>1177</v>
      </c>
      <c r="AG639" s="7" t="s">
        <v>1177</v>
      </c>
      <c r="AH639" s="38"/>
      <c r="AI639" s="36">
        <v>0</v>
      </c>
      <c r="AJ639" s="7" t="s">
        <v>1193</v>
      </c>
      <c r="AK639" s="7" t="s">
        <v>1177</v>
      </c>
      <c r="AL639" s="7" t="s">
        <v>1177</v>
      </c>
      <c r="AM639" s="7" t="s">
        <v>1177</v>
      </c>
      <c r="AN639" s="7" t="s">
        <v>3212</v>
      </c>
      <c r="AO639" s="7" t="s">
        <v>1177</v>
      </c>
      <c r="AP639" s="7" t="s">
        <v>1177</v>
      </c>
      <c r="AQ639" s="7" t="s">
        <v>1177</v>
      </c>
      <c r="AR639" s="29">
        <v>0</v>
      </c>
      <c r="AS639" s="7" t="s">
        <v>1177</v>
      </c>
      <c r="AT639" s="7" t="s">
        <v>1363</v>
      </c>
      <c r="AU639" s="38">
        <v>46275</v>
      </c>
      <c r="AV639" s="39">
        <v>0.60541666666667004</v>
      </c>
    </row>
    <row r="640" spans="1:48" x14ac:dyDescent="0.35">
      <c r="A640" t="str">
        <f t="shared" si="9"/>
        <v>GP075083B865</v>
      </c>
      <c r="B640" s="7" t="s">
        <v>247</v>
      </c>
      <c r="C640" s="7" t="s">
        <v>1039</v>
      </c>
      <c r="D640" s="7" t="s">
        <v>7</v>
      </c>
      <c r="E640" s="7" t="s">
        <v>1177</v>
      </c>
      <c r="F640" s="7" t="s">
        <v>128</v>
      </c>
      <c r="G640" s="7" t="s">
        <v>130</v>
      </c>
      <c r="H640" s="7" t="s">
        <v>129</v>
      </c>
      <c r="I640" s="30">
        <v>2</v>
      </c>
      <c r="J640" s="7" t="s">
        <v>1177</v>
      </c>
      <c r="K640" s="7" t="s">
        <v>1178</v>
      </c>
      <c r="L640" s="7" t="s">
        <v>132</v>
      </c>
      <c r="M640" s="7" t="s">
        <v>133</v>
      </c>
      <c r="N640" s="30">
        <v>0</v>
      </c>
      <c r="O640" s="30">
        <v>0</v>
      </c>
      <c r="P640" s="30">
        <v>0</v>
      </c>
      <c r="Q640" s="30">
        <v>0</v>
      </c>
      <c r="R640" s="29">
        <v>0</v>
      </c>
      <c r="S640" s="36">
        <v>0</v>
      </c>
      <c r="T640" s="7" t="s">
        <v>131</v>
      </c>
      <c r="U640" s="7" t="s">
        <v>1040</v>
      </c>
      <c r="V640" s="7" t="s">
        <v>1040</v>
      </c>
      <c r="W640" s="7" t="s">
        <v>1177</v>
      </c>
      <c r="X640" s="30">
        <v>1</v>
      </c>
      <c r="Y640" s="7" t="s">
        <v>1177</v>
      </c>
      <c r="Z640" s="7" t="s">
        <v>1178</v>
      </c>
      <c r="AA640" s="30">
        <v>0</v>
      </c>
      <c r="AB640" s="36">
        <v>0</v>
      </c>
      <c r="AC640" s="7" t="s">
        <v>1177</v>
      </c>
      <c r="AD640" s="37">
        <v>0</v>
      </c>
      <c r="AE640" s="7" t="s">
        <v>1177</v>
      </c>
      <c r="AF640" s="7" t="s">
        <v>1177</v>
      </c>
      <c r="AG640" s="7" t="s">
        <v>1177</v>
      </c>
      <c r="AH640" s="38"/>
      <c r="AI640" s="36">
        <v>0</v>
      </c>
      <c r="AJ640" s="7" t="s">
        <v>1193</v>
      </c>
      <c r="AK640" s="7" t="s">
        <v>1177</v>
      </c>
      <c r="AL640" s="7" t="s">
        <v>1177</v>
      </c>
      <c r="AM640" s="7" t="s">
        <v>1177</v>
      </c>
      <c r="AN640" s="7" t="s">
        <v>3212</v>
      </c>
      <c r="AO640" s="7" t="s">
        <v>1177</v>
      </c>
      <c r="AP640" s="7" t="s">
        <v>1177</v>
      </c>
      <c r="AQ640" s="7" t="s">
        <v>1177</v>
      </c>
      <c r="AR640" s="29">
        <v>0</v>
      </c>
      <c r="AS640" s="7" t="s">
        <v>1177</v>
      </c>
      <c r="AT640" s="7" t="s">
        <v>1363</v>
      </c>
      <c r="AU640" s="38">
        <v>46275</v>
      </c>
      <c r="AV640" s="39">
        <v>0.60550925925926002</v>
      </c>
    </row>
    <row r="641" spans="1:48" x14ac:dyDescent="0.35">
      <c r="A641" t="str">
        <f t="shared" si="9"/>
        <v>GP075083B867</v>
      </c>
      <c r="B641" s="7" t="s">
        <v>247</v>
      </c>
      <c r="C641" s="7" t="s">
        <v>1059</v>
      </c>
      <c r="D641" s="7" t="s">
        <v>25</v>
      </c>
      <c r="E641" s="7" t="s">
        <v>1177</v>
      </c>
      <c r="F641" s="7" t="s">
        <v>128</v>
      </c>
      <c r="G641" s="7" t="s">
        <v>130</v>
      </c>
      <c r="H641" s="7" t="s">
        <v>129</v>
      </c>
      <c r="I641" s="30">
        <v>2</v>
      </c>
      <c r="J641" s="7" t="s">
        <v>1177</v>
      </c>
      <c r="K641" s="7" t="s">
        <v>1178</v>
      </c>
      <c r="L641" s="7" t="s">
        <v>132</v>
      </c>
      <c r="M641" s="7" t="s">
        <v>133</v>
      </c>
      <c r="N641" s="30">
        <v>0</v>
      </c>
      <c r="O641" s="30">
        <v>0</v>
      </c>
      <c r="P641" s="30">
        <v>0</v>
      </c>
      <c r="Q641" s="30">
        <v>0</v>
      </c>
      <c r="R641" s="29">
        <v>0</v>
      </c>
      <c r="S641" s="36">
        <v>0</v>
      </c>
      <c r="T641" s="7" t="s">
        <v>131</v>
      </c>
      <c r="U641" s="7" t="s">
        <v>1060</v>
      </c>
      <c r="V641" s="7" t="s">
        <v>1060</v>
      </c>
      <c r="W641" s="7" t="s">
        <v>1177</v>
      </c>
      <c r="X641" s="30">
        <v>1</v>
      </c>
      <c r="Y641" s="7" t="s">
        <v>1177</v>
      </c>
      <c r="Z641" s="7" t="s">
        <v>1178</v>
      </c>
      <c r="AA641" s="30">
        <v>0</v>
      </c>
      <c r="AB641" s="36">
        <v>0</v>
      </c>
      <c r="AC641" s="7" t="s">
        <v>1177</v>
      </c>
      <c r="AD641" s="37">
        <v>0</v>
      </c>
      <c r="AE641" s="7" t="s">
        <v>1177</v>
      </c>
      <c r="AF641" s="7" t="s">
        <v>1177</v>
      </c>
      <c r="AG641" s="7" t="s">
        <v>1177</v>
      </c>
      <c r="AH641" s="38"/>
      <c r="AI641" s="36">
        <v>0</v>
      </c>
      <c r="AJ641" s="7" t="s">
        <v>1193</v>
      </c>
      <c r="AK641" s="7" t="s">
        <v>1177</v>
      </c>
      <c r="AL641" s="7" t="s">
        <v>1177</v>
      </c>
      <c r="AM641" s="7" t="s">
        <v>1177</v>
      </c>
      <c r="AN641" s="7" t="s">
        <v>3212</v>
      </c>
      <c r="AO641" s="7" t="s">
        <v>1177</v>
      </c>
      <c r="AP641" s="7" t="s">
        <v>1177</v>
      </c>
      <c r="AQ641" s="7" t="s">
        <v>1177</v>
      </c>
      <c r="AR641" s="29">
        <v>0</v>
      </c>
      <c r="AS641" s="7" t="s">
        <v>1177</v>
      </c>
      <c r="AT641" s="7" t="s">
        <v>1363</v>
      </c>
      <c r="AU641" s="38">
        <v>46275</v>
      </c>
      <c r="AV641" s="39">
        <v>0.60570601851852002</v>
      </c>
    </row>
    <row r="642" spans="1:48" x14ac:dyDescent="0.35">
      <c r="A642" t="str">
        <f t="shared" si="9"/>
        <v>GP075099B825</v>
      </c>
      <c r="B642" s="7" t="s">
        <v>465</v>
      </c>
      <c r="C642" s="7" t="s">
        <v>511</v>
      </c>
      <c r="D642" s="7" t="s">
        <v>16</v>
      </c>
      <c r="E642" s="7" t="s">
        <v>1177</v>
      </c>
      <c r="F642" s="7" t="s">
        <v>128</v>
      </c>
      <c r="G642" s="7" t="s">
        <v>130</v>
      </c>
      <c r="H642" s="7" t="s">
        <v>129</v>
      </c>
      <c r="I642" s="30">
        <v>1</v>
      </c>
      <c r="J642" s="7" t="s">
        <v>1177</v>
      </c>
      <c r="K642" s="7" t="s">
        <v>1178</v>
      </c>
      <c r="L642" s="7" t="s">
        <v>132</v>
      </c>
      <c r="M642" s="7" t="s">
        <v>133</v>
      </c>
      <c r="N642" s="30">
        <v>0</v>
      </c>
      <c r="O642" s="30">
        <v>0</v>
      </c>
      <c r="P642" s="30">
        <v>0</v>
      </c>
      <c r="Q642" s="30">
        <v>0</v>
      </c>
      <c r="R642" s="29">
        <v>0</v>
      </c>
      <c r="S642" s="36">
        <v>0</v>
      </c>
      <c r="T642" s="7" t="s">
        <v>131</v>
      </c>
      <c r="U642" s="7" t="s">
        <v>512</v>
      </c>
      <c r="V642" s="7" t="s">
        <v>512</v>
      </c>
      <c r="W642" s="7" t="s">
        <v>1177</v>
      </c>
      <c r="X642" s="30">
        <v>1</v>
      </c>
      <c r="Y642" s="7" t="s">
        <v>1177</v>
      </c>
      <c r="Z642" s="7" t="s">
        <v>1178</v>
      </c>
      <c r="AA642" s="30">
        <v>0</v>
      </c>
      <c r="AB642" s="36">
        <v>0</v>
      </c>
      <c r="AC642" s="7" t="s">
        <v>1177</v>
      </c>
      <c r="AD642" s="37">
        <v>0</v>
      </c>
      <c r="AE642" s="7" t="s">
        <v>1177</v>
      </c>
      <c r="AF642" s="7" t="s">
        <v>1177</v>
      </c>
      <c r="AG642" s="7" t="s">
        <v>1177</v>
      </c>
      <c r="AH642" s="38"/>
      <c r="AI642" s="36">
        <v>0</v>
      </c>
      <c r="AJ642" s="7" t="s">
        <v>1193</v>
      </c>
      <c r="AK642" s="7" t="s">
        <v>1177</v>
      </c>
      <c r="AL642" s="7" t="s">
        <v>1177</v>
      </c>
      <c r="AM642" s="7" t="s">
        <v>1177</v>
      </c>
      <c r="AN642" s="7" t="s">
        <v>3212</v>
      </c>
      <c r="AO642" s="7" t="s">
        <v>1177</v>
      </c>
      <c r="AP642" s="7" t="s">
        <v>1177</v>
      </c>
      <c r="AQ642" s="7" t="s">
        <v>1177</v>
      </c>
      <c r="AR642" s="29">
        <v>0</v>
      </c>
      <c r="AS642" s="7" t="s">
        <v>1177</v>
      </c>
      <c r="AT642" s="7" t="s">
        <v>1363</v>
      </c>
      <c r="AU642" s="38">
        <v>46275</v>
      </c>
      <c r="AV642" s="39">
        <v>0.6034837962963</v>
      </c>
    </row>
    <row r="643" spans="1:48" x14ac:dyDescent="0.35">
      <c r="A643" t="str">
        <f t="shared" ref="A643:A706" si="10">_xlfn.CONCAT(B643,D643)</f>
        <v>GP076344B825</v>
      </c>
      <c r="B643" s="7" t="s">
        <v>540</v>
      </c>
      <c r="C643" s="7" t="s">
        <v>511</v>
      </c>
      <c r="D643" s="7" t="s">
        <v>16</v>
      </c>
      <c r="E643" s="7" t="s">
        <v>1177</v>
      </c>
      <c r="F643" s="7" t="s">
        <v>128</v>
      </c>
      <c r="G643" s="7" t="s">
        <v>130</v>
      </c>
      <c r="H643" s="7" t="s">
        <v>129</v>
      </c>
      <c r="I643" s="30">
        <v>2</v>
      </c>
      <c r="J643" s="7" t="s">
        <v>1177</v>
      </c>
      <c r="K643" s="7" t="s">
        <v>1178</v>
      </c>
      <c r="L643" s="7" t="s">
        <v>132</v>
      </c>
      <c r="M643" s="7" t="s">
        <v>133</v>
      </c>
      <c r="N643" s="30">
        <v>0</v>
      </c>
      <c r="O643" s="30">
        <v>0</v>
      </c>
      <c r="P643" s="30">
        <v>0</v>
      </c>
      <c r="Q643" s="30">
        <v>0</v>
      </c>
      <c r="R643" s="29">
        <v>0</v>
      </c>
      <c r="S643" s="36">
        <v>0</v>
      </c>
      <c r="T643" s="7" t="s">
        <v>131</v>
      </c>
      <c r="U643" s="7" t="s">
        <v>512</v>
      </c>
      <c r="V643" s="7" t="s">
        <v>512</v>
      </c>
      <c r="W643" s="7" t="s">
        <v>1177</v>
      </c>
      <c r="X643" s="30">
        <v>1</v>
      </c>
      <c r="Y643" s="7" t="s">
        <v>1177</v>
      </c>
      <c r="Z643" s="7" t="s">
        <v>1178</v>
      </c>
      <c r="AA643" s="30">
        <v>0</v>
      </c>
      <c r="AB643" s="36">
        <v>0</v>
      </c>
      <c r="AC643" s="7" t="s">
        <v>1177</v>
      </c>
      <c r="AD643" s="37">
        <v>0</v>
      </c>
      <c r="AE643" s="7" t="s">
        <v>1177</v>
      </c>
      <c r="AF643" s="7" t="s">
        <v>1177</v>
      </c>
      <c r="AG643" s="7" t="s">
        <v>1177</v>
      </c>
      <c r="AH643" s="38"/>
      <c r="AI643" s="36">
        <v>0</v>
      </c>
      <c r="AJ643" s="7" t="s">
        <v>1193</v>
      </c>
      <c r="AK643" s="7" t="s">
        <v>1177</v>
      </c>
      <c r="AL643" s="7" t="s">
        <v>1177</v>
      </c>
      <c r="AM643" s="7" t="s">
        <v>1177</v>
      </c>
      <c r="AN643" s="7" t="s">
        <v>3212</v>
      </c>
      <c r="AO643" s="7" t="s">
        <v>1177</v>
      </c>
      <c r="AP643" s="7" t="s">
        <v>1177</v>
      </c>
      <c r="AQ643" s="7" t="s">
        <v>1177</v>
      </c>
      <c r="AR643" s="29">
        <v>0</v>
      </c>
      <c r="AS643" s="7" t="s">
        <v>1177</v>
      </c>
      <c r="AT643" s="7" t="s">
        <v>1363</v>
      </c>
      <c r="AU643" s="38">
        <v>46275</v>
      </c>
      <c r="AV643" s="39">
        <v>0.62302083333333003</v>
      </c>
    </row>
    <row r="644" spans="1:48" x14ac:dyDescent="0.35">
      <c r="A644" t="str">
        <f t="shared" si="10"/>
        <v>GP076374B856</v>
      </c>
      <c r="B644" s="7" t="s">
        <v>856</v>
      </c>
      <c r="C644" s="7" t="s">
        <v>852</v>
      </c>
      <c r="D644" s="7" t="s">
        <v>21</v>
      </c>
      <c r="E644" s="7" t="s">
        <v>1177</v>
      </c>
      <c r="F644" s="7" t="s">
        <v>128</v>
      </c>
      <c r="G644" s="7" t="s">
        <v>130</v>
      </c>
      <c r="H644" s="7" t="s">
        <v>129</v>
      </c>
      <c r="I644" s="30">
        <v>1</v>
      </c>
      <c r="J644" s="7" t="s">
        <v>1177</v>
      </c>
      <c r="K644" s="7" t="s">
        <v>1178</v>
      </c>
      <c r="L644" s="7" t="s">
        <v>132</v>
      </c>
      <c r="M644" s="7" t="s">
        <v>133</v>
      </c>
      <c r="N644" s="30">
        <v>0</v>
      </c>
      <c r="O644" s="30">
        <v>0</v>
      </c>
      <c r="P644" s="30">
        <v>0</v>
      </c>
      <c r="Q644" s="30">
        <v>0</v>
      </c>
      <c r="R644" s="29">
        <v>0</v>
      </c>
      <c r="S644" s="36">
        <v>0</v>
      </c>
      <c r="T644" s="7" t="s">
        <v>131</v>
      </c>
      <c r="U644" s="7" t="s">
        <v>853</v>
      </c>
      <c r="V644" s="7" t="s">
        <v>853</v>
      </c>
      <c r="W644" s="7" t="s">
        <v>1177</v>
      </c>
      <c r="X644" s="30">
        <v>1</v>
      </c>
      <c r="Y644" s="7" t="s">
        <v>1177</v>
      </c>
      <c r="Z644" s="7" t="s">
        <v>1178</v>
      </c>
      <c r="AA644" s="30">
        <v>0</v>
      </c>
      <c r="AB644" s="36">
        <v>0</v>
      </c>
      <c r="AC644" s="7" t="s">
        <v>1177</v>
      </c>
      <c r="AD644" s="37">
        <v>0</v>
      </c>
      <c r="AE644" s="7" t="s">
        <v>1177</v>
      </c>
      <c r="AF644" s="7" t="s">
        <v>1177</v>
      </c>
      <c r="AG644" s="7" t="s">
        <v>1177</v>
      </c>
      <c r="AH644" s="38"/>
      <c r="AI644" s="36">
        <v>0</v>
      </c>
      <c r="AJ644" s="7" t="s">
        <v>1193</v>
      </c>
      <c r="AK644" s="7" t="s">
        <v>1177</v>
      </c>
      <c r="AL644" s="7" t="s">
        <v>1177</v>
      </c>
      <c r="AM644" s="7" t="s">
        <v>1177</v>
      </c>
      <c r="AN644" s="7" t="s">
        <v>3212</v>
      </c>
      <c r="AO644" s="7" t="s">
        <v>1177</v>
      </c>
      <c r="AP644" s="7" t="s">
        <v>1177</v>
      </c>
      <c r="AQ644" s="7" t="s">
        <v>1177</v>
      </c>
      <c r="AR644" s="29">
        <v>0</v>
      </c>
      <c r="AS644" s="7" t="s">
        <v>1177</v>
      </c>
      <c r="AT644" s="7" t="s">
        <v>1363</v>
      </c>
      <c r="AU644" s="38">
        <v>46275</v>
      </c>
      <c r="AV644" s="39">
        <v>0.62490740740741002</v>
      </c>
    </row>
    <row r="645" spans="1:48" x14ac:dyDescent="0.35">
      <c r="A645" t="str">
        <f t="shared" si="10"/>
        <v>GP078780B825</v>
      </c>
      <c r="B645" s="7" t="s">
        <v>46</v>
      </c>
      <c r="C645" s="7" t="s">
        <v>511</v>
      </c>
      <c r="D645" s="7" t="s">
        <v>16</v>
      </c>
      <c r="E645" s="7" t="s">
        <v>1177</v>
      </c>
      <c r="F645" s="7" t="s">
        <v>128</v>
      </c>
      <c r="G645" s="7" t="s">
        <v>130</v>
      </c>
      <c r="H645" s="7" t="s">
        <v>129</v>
      </c>
      <c r="I645" s="30">
        <v>1</v>
      </c>
      <c r="J645" s="7" t="s">
        <v>1177</v>
      </c>
      <c r="K645" s="7" t="s">
        <v>1178</v>
      </c>
      <c r="L645" s="7" t="s">
        <v>132</v>
      </c>
      <c r="M645" s="7" t="s">
        <v>133</v>
      </c>
      <c r="N645" s="30">
        <v>0</v>
      </c>
      <c r="O645" s="30">
        <v>0</v>
      </c>
      <c r="P645" s="30">
        <v>0</v>
      </c>
      <c r="Q645" s="30">
        <v>0</v>
      </c>
      <c r="R645" s="29">
        <v>0</v>
      </c>
      <c r="S645" s="36">
        <v>0</v>
      </c>
      <c r="T645" s="7" t="s">
        <v>131</v>
      </c>
      <c r="U645" s="7" t="s">
        <v>512</v>
      </c>
      <c r="V645" s="7" t="s">
        <v>512</v>
      </c>
      <c r="W645" s="7" t="s">
        <v>1177</v>
      </c>
      <c r="X645" s="30">
        <v>1</v>
      </c>
      <c r="Y645" s="7" t="s">
        <v>1177</v>
      </c>
      <c r="Z645" s="7" t="s">
        <v>1178</v>
      </c>
      <c r="AA645" s="30">
        <v>0</v>
      </c>
      <c r="AB645" s="36">
        <v>0</v>
      </c>
      <c r="AC645" s="7" t="s">
        <v>1177</v>
      </c>
      <c r="AD645" s="37">
        <v>0</v>
      </c>
      <c r="AE645" s="7" t="s">
        <v>1177</v>
      </c>
      <c r="AF645" s="7" t="s">
        <v>1177</v>
      </c>
      <c r="AG645" s="7" t="s">
        <v>1177</v>
      </c>
      <c r="AH645" s="38"/>
      <c r="AI645" s="36">
        <v>0</v>
      </c>
      <c r="AJ645" s="7" t="s">
        <v>1193</v>
      </c>
      <c r="AK645" s="7" t="s">
        <v>1177</v>
      </c>
      <c r="AL645" s="7" t="s">
        <v>1177</v>
      </c>
      <c r="AM645" s="7" t="s">
        <v>1177</v>
      </c>
      <c r="AN645" s="7" t="s">
        <v>3212</v>
      </c>
      <c r="AO645" s="7" t="s">
        <v>1177</v>
      </c>
      <c r="AP645" s="7" t="s">
        <v>1177</v>
      </c>
      <c r="AQ645" s="7" t="s">
        <v>1177</v>
      </c>
      <c r="AR645" s="29">
        <v>0</v>
      </c>
      <c r="AS645" s="7" t="s">
        <v>1177</v>
      </c>
      <c r="AT645" s="7" t="s">
        <v>1363</v>
      </c>
      <c r="AU645" s="38">
        <v>46275</v>
      </c>
      <c r="AV645" s="39">
        <v>0.6034837962963</v>
      </c>
    </row>
    <row r="646" spans="1:48" x14ac:dyDescent="0.35">
      <c r="A646" t="str">
        <f t="shared" si="10"/>
        <v>GP078780B832</v>
      </c>
      <c r="B646" s="7" t="s">
        <v>46</v>
      </c>
      <c r="C646" s="7" t="s">
        <v>653</v>
      </c>
      <c r="D646" s="7" t="s">
        <v>19</v>
      </c>
      <c r="E646" s="7" t="s">
        <v>1177</v>
      </c>
      <c r="F646" s="7" t="s">
        <v>128</v>
      </c>
      <c r="G646" s="7" t="s">
        <v>130</v>
      </c>
      <c r="H646" s="7" t="s">
        <v>129</v>
      </c>
      <c r="I646" s="30">
        <v>1</v>
      </c>
      <c r="J646" s="7" t="s">
        <v>1177</v>
      </c>
      <c r="K646" s="7" t="s">
        <v>1178</v>
      </c>
      <c r="L646" s="7" t="s">
        <v>132</v>
      </c>
      <c r="M646" s="7" t="s">
        <v>133</v>
      </c>
      <c r="N646" s="30">
        <v>0</v>
      </c>
      <c r="O646" s="30">
        <v>0</v>
      </c>
      <c r="P646" s="30">
        <v>0</v>
      </c>
      <c r="Q646" s="30">
        <v>0</v>
      </c>
      <c r="R646" s="29">
        <v>0</v>
      </c>
      <c r="S646" s="36">
        <v>0</v>
      </c>
      <c r="T646" s="7" t="s">
        <v>131</v>
      </c>
      <c r="U646" s="7" t="s">
        <v>654</v>
      </c>
      <c r="V646" s="7" t="s">
        <v>654</v>
      </c>
      <c r="W646" s="7" t="s">
        <v>1177</v>
      </c>
      <c r="X646" s="30">
        <v>1</v>
      </c>
      <c r="Y646" s="7" t="s">
        <v>1177</v>
      </c>
      <c r="Z646" s="7" t="s">
        <v>1178</v>
      </c>
      <c r="AA646" s="30">
        <v>0</v>
      </c>
      <c r="AB646" s="36">
        <v>0</v>
      </c>
      <c r="AC646" s="7" t="s">
        <v>1177</v>
      </c>
      <c r="AD646" s="37">
        <v>0</v>
      </c>
      <c r="AE646" s="7" t="s">
        <v>1177</v>
      </c>
      <c r="AF646" s="7" t="s">
        <v>1177</v>
      </c>
      <c r="AG646" s="7" t="s">
        <v>1177</v>
      </c>
      <c r="AH646" s="38"/>
      <c r="AI646" s="36">
        <v>0</v>
      </c>
      <c r="AJ646" s="7" t="s">
        <v>1193</v>
      </c>
      <c r="AK646" s="7" t="s">
        <v>1177</v>
      </c>
      <c r="AL646" s="7" t="s">
        <v>1177</v>
      </c>
      <c r="AM646" s="7" t="s">
        <v>1177</v>
      </c>
      <c r="AN646" s="7" t="s">
        <v>3212</v>
      </c>
      <c r="AO646" s="7" t="s">
        <v>1177</v>
      </c>
      <c r="AP646" s="7" t="s">
        <v>1177</v>
      </c>
      <c r="AQ646" s="7" t="s">
        <v>1177</v>
      </c>
      <c r="AR646" s="29">
        <v>0</v>
      </c>
      <c r="AS646" s="7" t="s">
        <v>1177</v>
      </c>
      <c r="AT646" s="7" t="s">
        <v>1363</v>
      </c>
      <c r="AU646" s="38">
        <v>46275</v>
      </c>
      <c r="AV646" s="39">
        <v>0.60387731481481</v>
      </c>
    </row>
    <row r="647" spans="1:48" x14ac:dyDescent="0.35">
      <c r="A647" t="str">
        <f t="shared" si="10"/>
        <v>GP078780B838</v>
      </c>
      <c r="B647" s="7" t="s">
        <v>46</v>
      </c>
      <c r="C647" s="7" t="s">
        <v>744</v>
      </c>
      <c r="D647" s="7" t="s">
        <v>48</v>
      </c>
      <c r="E647" s="7" t="s">
        <v>1177</v>
      </c>
      <c r="F647" s="7" t="s">
        <v>128</v>
      </c>
      <c r="G647" s="7" t="s">
        <v>130</v>
      </c>
      <c r="H647" s="7" t="s">
        <v>129</v>
      </c>
      <c r="I647" s="30">
        <v>1</v>
      </c>
      <c r="J647" s="7" t="s">
        <v>1177</v>
      </c>
      <c r="K647" s="7" t="s">
        <v>1178</v>
      </c>
      <c r="L647" s="7" t="s">
        <v>132</v>
      </c>
      <c r="M647" s="7" t="s">
        <v>133</v>
      </c>
      <c r="N647" s="30">
        <v>0</v>
      </c>
      <c r="O647" s="30">
        <v>0</v>
      </c>
      <c r="P647" s="30">
        <v>0</v>
      </c>
      <c r="Q647" s="30">
        <v>0</v>
      </c>
      <c r="R647" s="29">
        <v>0</v>
      </c>
      <c r="S647" s="36">
        <v>0</v>
      </c>
      <c r="T647" s="7" t="s">
        <v>131</v>
      </c>
      <c r="U647" s="7" t="s">
        <v>745</v>
      </c>
      <c r="V647" s="7" t="s">
        <v>745</v>
      </c>
      <c r="W647" s="7" t="s">
        <v>1177</v>
      </c>
      <c r="X647" s="30">
        <v>1</v>
      </c>
      <c r="Y647" s="7" t="s">
        <v>1177</v>
      </c>
      <c r="Z647" s="7" t="s">
        <v>1178</v>
      </c>
      <c r="AA647" s="30">
        <v>0</v>
      </c>
      <c r="AB647" s="36">
        <v>0</v>
      </c>
      <c r="AC647" s="7" t="s">
        <v>1177</v>
      </c>
      <c r="AD647" s="37">
        <v>0</v>
      </c>
      <c r="AE647" s="7" t="s">
        <v>1177</v>
      </c>
      <c r="AF647" s="7" t="s">
        <v>1177</v>
      </c>
      <c r="AG647" s="7" t="s">
        <v>1177</v>
      </c>
      <c r="AH647" s="38"/>
      <c r="AI647" s="36">
        <v>0</v>
      </c>
      <c r="AJ647" s="7" t="s">
        <v>1193</v>
      </c>
      <c r="AK647" s="7" t="s">
        <v>1177</v>
      </c>
      <c r="AL647" s="7" t="s">
        <v>1177</v>
      </c>
      <c r="AM647" s="7" t="s">
        <v>1177</v>
      </c>
      <c r="AN647" s="7" t="s">
        <v>3212</v>
      </c>
      <c r="AO647" s="7" t="s">
        <v>1177</v>
      </c>
      <c r="AP647" s="7" t="s">
        <v>1177</v>
      </c>
      <c r="AQ647" s="7" t="s">
        <v>1177</v>
      </c>
      <c r="AR647" s="29">
        <v>0</v>
      </c>
      <c r="AS647" s="7" t="s">
        <v>1177</v>
      </c>
      <c r="AT647" s="7" t="s">
        <v>1363</v>
      </c>
      <c r="AU647" s="38">
        <v>46275</v>
      </c>
      <c r="AV647" s="39">
        <v>0.60446759259258998</v>
      </c>
    </row>
    <row r="648" spans="1:48" x14ac:dyDescent="0.35">
      <c r="A648" t="str">
        <f t="shared" si="10"/>
        <v>GP078780B856</v>
      </c>
      <c r="B648" s="7" t="s">
        <v>46</v>
      </c>
      <c r="C648" s="7" t="s">
        <v>852</v>
      </c>
      <c r="D648" s="7" t="s">
        <v>21</v>
      </c>
      <c r="E648" s="7" t="s">
        <v>1177</v>
      </c>
      <c r="F648" s="7" t="s">
        <v>128</v>
      </c>
      <c r="G648" s="7" t="s">
        <v>130</v>
      </c>
      <c r="H648" s="7" t="s">
        <v>129</v>
      </c>
      <c r="I648" s="30">
        <v>1</v>
      </c>
      <c r="J648" s="7" t="s">
        <v>1177</v>
      </c>
      <c r="K648" s="7" t="s">
        <v>1178</v>
      </c>
      <c r="L648" s="7" t="s">
        <v>132</v>
      </c>
      <c r="M648" s="7" t="s">
        <v>133</v>
      </c>
      <c r="N648" s="30">
        <v>0</v>
      </c>
      <c r="O648" s="30">
        <v>0</v>
      </c>
      <c r="P648" s="30">
        <v>0</v>
      </c>
      <c r="Q648" s="30">
        <v>0</v>
      </c>
      <c r="R648" s="29">
        <v>0</v>
      </c>
      <c r="S648" s="36">
        <v>0</v>
      </c>
      <c r="T648" s="7" t="s">
        <v>131</v>
      </c>
      <c r="U648" s="7" t="s">
        <v>853</v>
      </c>
      <c r="V648" s="7" t="s">
        <v>853</v>
      </c>
      <c r="W648" s="7" t="s">
        <v>1177</v>
      </c>
      <c r="X648" s="30">
        <v>1</v>
      </c>
      <c r="Y648" s="7" t="s">
        <v>1177</v>
      </c>
      <c r="Z648" s="7" t="s">
        <v>1178</v>
      </c>
      <c r="AA648" s="30">
        <v>0</v>
      </c>
      <c r="AB648" s="36">
        <v>0</v>
      </c>
      <c r="AC648" s="7" t="s">
        <v>1177</v>
      </c>
      <c r="AD648" s="37">
        <v>0</v>
      </c>
      <c r="AE648" s="7" t="s">
        <v>1177</v>
      </c>
      <c r="AF648" s="7" t="s">
        <v>1177</v>
      </c>
      <c r="AG648" s="7" t="s">
        <v>1177</v>
      </c>
      <c r="AH648" s="38"/>
      <c r="AI648" s="36">
        <v>0</v>
      </c>
      <c r="AJ648" s="7" t="s">
        <v>1193</v>
      </c>
      <c r="AK648" s="7" t="s">
        <v>1177</v>
      </c>
      <c r="AL648" s="7" t="s">
        <v>1177</v>
      </c>
      <c r="AM648" s="7" t="s">
        <v>1177</v>
      </c>
      <c r="AN648" s="7" t="s">
        <v>3212</v>
      </c>
      <c r="AO648" s="7" t="s">
        <v>1177</v>
      </c>
      <c r="AP648" s="7" t="s">
        <v>1177</v>
      </c>
      <c r="AQ648" s="7" t="s">
        <v>1177</v>
      </c>
      <c r="AR648" s="29">
        <v>0</v>
      </c>
      <c r="AS648" s="7" t="s">
        <v>1177</v>
      </c>
      <c r="AT648" s="7" t="s">
        <v>1363</v>
      </c>
      <c r="AU648" s="38">
        <v>46275</v>
      </c>
      <c r="AV648" s="39">
        <v>0.60523148148147998</v>
      </c>
    </row>
    <row r="649" spans="1:48" x14ac:dyDescent="0.35">
      <c r="A649" t="str">
        <f t="shared" si="10"/>
        <v>GP078780B857</v>
      </c>
      <c r="B649" s="7" t="s">
        <v>46</v>
      </c>
      <c r="C649" s="7" t="s">
        <v>958</v>
      </c>
      <c r="D649" s="7" t="s">
        <v>23</v>
      </c>
      <c r="E649" s="7" t="s">
        <v>1177</v>
      </c>
      <c r="F649" s="7" t="s">
        <v>128</v>
      </c>
      <c r="G649" s="7" t="s">
        <v>130</v>
      </c>
      <c r="H649" s="7" t="s">
        <v>129</v>
      </c>
      <c r="I649" s="30">
        <v>1</v>
      </c>
      <c r="J649" s="7" t="s">
        <v>1177</v>
      </c>
      <c r="K649" s="7" t="s">
        <v>1178</v>
      </c>
      <c r="L649" s="7" t="s">
        <v>132</v>
      </c>
      <c r="M649" s="7" t="s">
        <v>133</v>
      </c>
      <c r="N649" s="30">
        <v>0</v>
      </c>
      <c r="O649" s="30">
        <v>0</v>
      </c>
      <c r="P649" s="30">
        <v>0</v>
      </c>
      <c r="Q649" s="30">
        <v>0</v>
      </c>
      <c r="R649" s="29">
        <v>0</v>
      </c>
      <c r="S649" s="36">
        <v>0</v>
      </c>
      <c r="T649" s="7" t="s">
        <v>131</v>
      </c>
      <c r="U649" s="7" t="s">
        <v>959</v>
      </c>
      <c r="V649" s="7" t="s">
        <v>959</v>
      </c>
      <c r="W649" s="7" t="s">
        <v>1177</v>
      </c>
      <c r="X649" s="30">
        <v>1</v>
      </c>
      <c r="Y649" s="7" t="s">
        <v>1177</v>
      </c>
      <c r="Z649" s="7" t="s">
        <v>1178</v>
      </c>
      <c r="AA649" s="30">
        <v>0</v>
      </c>
      <c r="AB649" s="36">
        <v>0</v>
      </c>
      <c r="AC649" s="7" t="s">
        <v>1177</v>
      </c>
      <c r="AD649" s="37">
        <v>0</v>
      </c>
      <c r="AE649" s="7" t="s">
        <v>1177</v>
      </c>
      <c r="AF649" s="7" t="s">
        <v>1177</v>
      </c>
      <c r="AG649" s="7" t="s">
        <v>1177</v>
      </c>
      <c r="AH649" s="38"/>
      <c r="AI649" s="36">
        <v>0</v>
      </c>
      <c r="AJ649" s="7" t="s">
        <v>1193</v>
      </c>
      <c r="AK649" s="7" t="s">
        <v>1177</v>
      </c>
      <c r="AL649" s="7" t="s">
        <v>1177</v>
      </c>
      <c r="AM649" s="7" t="s">
        <v>1177</v>
      </c>
      <c r="AN649" s="7" t="s">
        <v>3212</v>
      </c>
      <c r="AO649" s="7" t="s">
        <v>1177</v>
      </c>
      <c r="AP649" s="7" t="s">
        <v>1177</v>
      </c>
      <c r="AQ649" s="7" t="s">
        <v>1177</v>
      </c>
      <c r="AR649" s="29">
        <v>0</v>
      </c>
      <c r="AS649" s="7" t="s">
        <v>1177</v>
      </c>
      <c r="AT649" s="7" t="s">
        <v>1363</v>
      </c>
      <c r="AU649" s="38">
        <v>46275</v>
      </c>
      <c r="AV649" s="39">
        <v>0.60526620370369999</v>
      </c>
    </row>
    <row r="650" spans="1:48" x14ac:dyDescent="0.35">
      <c r="A650" t="str">
        <f t="shared" si="10"/>
        <v>GP081487B825</v>
      </c>
      <c r="B650" s="7" t="s">
        <v>541</v>
      </c>
      <c r="C650" s="7" t="s">
        <v>511</v>
      </c>
      <c r="D650" s="7" t="s">
        <v>16</v>
      </c>
      <c r="E650" s="7" t="s">
        <v>1177</v>
      </c>
      <c r="F650" s="7" t="s">
        <v>128</v>
      </c>
      <c r="G650" s="7" t="s">
        <v>130</v>
      </c>
      <c r="H650" s="7" t="s">
        <v>129</v>
      </c>
      <c r="I650" s="30">
        <v>2</v>
      </c>
      <c r="J650" s="7" t="s">
        <v>1177</v>
      </c>
      <c r="K650" s="7" t="s">
        <v>1178</v>
      </c>
      <c r="L650" s="7" t="s">
        <v>132</v>
      </c>
      <c r="M650" s="7" t="s">
        <v>133</v>
      </c>
      <c r="N650" s="30">
        <v>0</v>
      </c>
      <c r="O650" s="30">
        <v>0</v>
      </c>
      <c r="P650" s="30">
        <v>0</v>
      </c>
      <c r="Q650" s="30">
        <v>0</v>
      </c>
      <c r="R650" s="29">
        <v>0</v>
      </c>
      <c r="S650" s="36">
        <v>0</v>
      </c>
      <c r="T650" s="7" t="s">
        <v>131</v>
      </c>
      <c r="U650" s="7" t="s">
        <v>512</v>
      </c>
      <c r="V650" s="7" t="s">
        <v>512</v>
      </c>
      <c r="W650" s="7" t="s">
        <v>1177</v>
      </c>
      <c r="X650" s="30">
        <v>1</v>
      </c>
      <c r="Y650" s="7" t="s">
        <v>1177</v>
      </c>
      <c r="Z650" s="7" t="s">
        <v>1178</v>
      </c>
      <c r="AA650" s="30">
        <v>0</v>
      </c>
      <c r="AB650" s="36">
        <v>0</v>
      </c>
      <c r="AC650" s="7" t="s">
        <v>1177</v>
      </c>
      <c r="AD650" s="37">
        <v>0</v>
      </c>
      <c r="AE650" s="7" t="s">
        <v>1177</v>
      </c>
      <c r="AF650" s="7" t="s">
        <v>1177</v>
      </c>
      <c r="AG650" s="7" t="s">
        <v>1177</v>
      </c>
      <c r="AH650" s="38"/>
      <c r="AI650" s="36">
        <v>0</v>
      </c>
      <c r="AJ650" s="7" t="s">
        <v>1193</v>
      </c>
      <c r="AK650" s="7" t="s">
        <v>1177</v>
      </c>
      <c r="AL650" s="7" t="s">
        <v>1177</v>
      </c>
      <c r="AM650" s="7" t="s">
        <v>1177</v>
      </c>
      <c r="AN650" s="7" t="s">
        <v>3212</v>
      </c>
      <c r="AO650" s="7" t="s">
        <v>1177</v>
      </c>
      <c r="AP650" s="7" t="s">
        <v>1177</v>
      </c>
      <c r="AQ650" s="7" t="s">
        <v>1177</v>
      </c>
      <c r="AR650" s="29">
        <v>0</v>
      </c>
      <c r="AS650" s="7" t="s">
        <v>1177</v>
      </c>
      <c r="AT650" s="7" t="s">
        <v>1363</v>
      </c>
      <c r="AU650" s="38">
        <v>46275</v>
      </c>
      <c r="AV650" s="39">
        <v>0.6034837962963</v>
      </c>
    </row>
    <row r="651" spans="1:48" x14ac:dyDescent="0.35">
      <c r="A651" t="str">
        <f t="shared" si="10"/>
        <v>GP081676B825</v>
      </c>
      <c r="B651" s="7" t="s">
        <v>394</v>
      </c>
      <c r="C651" s="7" t="s">
        <v>511</v>
      </c>
      <c r="D651" s="7" t="s">
        <v>16</v>
      </c>
      <c r="E651" s="7" t="s">
        <v>1177</v>
      </c>
      <c r="F651" s="7" t="s">
        <v>128</v>
      </c>
      <c r="G651" s="7" t="s">
        <v>130</v>
      </c>
      <c r="H651" s="7" t="s">
        <v>129</v>
      </c>
      <c r="I651" s="30">
        <v>1</v>
      </c>
      <c r="J651" s="7" t="s">
        <v>1177</v>
      </c>
      <c r="K651" s="7" t="s">
        <v>1178</v>
      </c>
      <c r="L651" s="7" t="s">
        <v>132</v>
      </c>
      <c r="M651" s="7" t="s">
        <v>133</v>
      </c>
      <c r="N651" s="30">
        <v>0</v>
      </c>
      <c r="O651" s="30">
        <v>0</v>
      </c>
      <c r="P651" s="30">
        <v>0</v>
      </c>
      <c r="Q651" s="30">
        <v>0</v>
      </c>
      <c r="R651" s="29">
        <v>0</v>
      </c>
      <c r="S651" s="36">
        <v>0</v>
      </c>
      <c r="T651" s="7" t="s">
        <v>131</v>
      </c>
      <c r="U651" s="7" t="s">
        <v>512</v>
      </c>
      <c r="V651" s="7" t="s">
        <v>512</v>
      </c>
      <c r="W651" s="7" t="s">
        <v>1177</v>
      </c>
      <c r="X651" s="30">
        <v>1</v>
      </c>
      <c r="Y651" s="7" t="s">
        <v>1177</v>
      </c>
      <c r="Z651" s="7" t="s">
        <v>1178</v>
      </c>
      <c r="AA651" s="30">
        <v>0</v>
      </c>
      <c r="AB651" s="36">
        <v>0</v>
      </c>
      <c r="AC651" s="7" t="s">
        <v>1177</v>
      </c>
      <c r="AD651" s="37">
        <v>0</v>
      </c>
      <c r="AE651" s="7" t="s">
        <v>1177</v>
      </c>
      <c r="AF651" s="7" t="s">
        <v>1177</v>
      </c>
      <c r="AG651" s="7" t="s">
        <v>1177</v>
      </c>
      <c r="AH651" s="38"/>
      <c r="AI651" s="36">
        <v>0</v>
      </c>
      <c r="AJ651" s="7" t="s">
        <v>1193</v>
      </c>
      <c r="AK651" s="7" t="s">
        <v>1177</v>
      </c>
      <c r="AL651" s="7" t="s">
        <v>1177</v>
      </c>
      <c r="AM651" s="7" t="s">
        <v>1177</v>
      </c>
      <c r="AN651" s="7" t="s">
        <v>3212</v>
      </c>
      <c r="AO651" s="7" t="s">
        <v>1177</v>
      </c>
      <c r="AP651" s="7" t="s">
        <v>1177</v>
      </c>
      <c r="AQ651" s="7" t="s">
        <v>1177</v>
      </c>
      <c r="AR651" s="29">
        <v>0</v>
      </c>
      <c r="AS651" s="7" t="s">
        <v>1177</v>
      </c>
      <c r="AT651" s="7" t="s">
        <v>1363</v>
      </c>
      <c r="AU651" s="38">
        <v>46275</v>
      </c>
      <c r="AV651" s="39">
        <v>0.60347222222221997</v>
      </c>
    </row>
    <row r="652" spans="1:48" x14ac:dyDescent="0.35">
      <c r="A652" t="str">
        <f t="shared" si="10"/>
        <v>GP082782B825</v>
      </c>
      <c r="B652" s="7" t="s">
        <v>248</v>
      </c>
      <c r="C652" s="7" t="s">
        <v>511</v>
      </c>
      <c r="D652" s="7" t="s">
        <v>16</v>
      </c>
      <c r="E652" s="7" t="s">
        <v>1177</v>
      </c>
      <c r="F652" s="7" t="s">
        <v>128</v>
      </c>
      <c r="G652" s="7" t="s">
        <v>130</v>
      </c>
      <c r="H652" s="7" t="s">
        <v>129</v>
      </c>
      <c r="I652" s="30">
        <v>1</v>
      </c>
      <c r="J652" s="7" t="s">
        <v>1177</v>
      </c>
      <c r="K652" s="7" t="s">
        <v>1178</v>
      </c>
      <c r="L652" s="7" t="s">
        <v>132</v>
      </c>
      <c r="M652" s="7" t="s">
        <v>133</v>
      </c>
      <c r="N652" s="30">
        <v>0</v>
      </c>
      <c r="O652" s="30">
        <v>0</v>
      </c>
      <c r="P652" s="30">
        <v>0</v>
      </c>
      <c r="Q652" s="30">
        <v>0</v>
      </c>
      <c r="R652" s="29">
        <v>0</v>
      </c>
      <c r="S652" s="36">
        <v>0</v>
      </c>
      <c r="T652" s="7" t="s">
        <v>131</v>
      </c>
      <c r="U652" s="7" t="s">
        <v>512</v>
      </c>
      <c r="V652" s="7" t="s">
        <v>512</v>
      </c>
      <c r="W652" s="7" t="s">
        <v>1177</v>
      </c>
      <c r="X652" s="30">
        <v>1</v>
      </c>
      <c r="Y652" s="7" t="s">
        <v>1177</v>
      </c>
      <c r="Z652" s="7" t="s">
        <v>1178</v>
      </c>
      <c r="AA652" s="30">
        <v>0</v>
      </c>
      <c r="AB652" s="36">
        <v>0</v>
      </c>
      <c r="AC652" s="7" t="s">
        <v>1177</v>
      </c>
      <c r="AD652" s="37">
        <v>0</v>
      </c>
      <c r="AE652" s="7" t="s">
        <v>1177</v>
      </c>
      <c r="AF652" s="7" t="s">
        <v>1177</v>
      </c>
      <c r="AG652" s="7" t="s">
        <v>1177</v>
      </c>
      <c r="AH652" s="38"/>
      <c r="AI652" s="36">
        <v>0</v>
      </c>
      <c r="AJ652" s="7" t="s">
        <v>1193</v>
      </c>
      <c r="AK652" s="7" t="s">
        <v>1177</v>
      </c>
      <c r="AL652" s="7" t="s">
        <v>1177</v>
      </c>
      <c r="AM652" s="7" t="s">
        <v>1177</v>
      </c>
      <c r="AN652" s="7" t="s">
        <v>3212</v>
      </c>
      <c r="AO652" s="7" t="s">
        <v>1177</v>
      </c>
      <c r="AP652" s="7" t="s">
        <v>1177</v>
      </c>
      <c r="AQ652" s="7" t="s">
        <v>1177</v>
      </c>
      <c r="AR652" s="29">
        <v>0</v>
      </c>
      <c r="AS652" s="7" t="s">
        <v>1177</v>
      </c>
      <c r="AT652" s="7" t="s">
        <v>1363</v>
      </c>
      <c r="AU652" s="38">
        <v>46275</v>
      </c>
      <c r="AV652" s="39">
        <v>0.6034837962963</v>
      </c>
    </row>
    <row r="653" spans="1:48" x14ac:dyDescent="0.35">
      <c r="A653" t="str">
        <f t="shared" si="10"/>
        <v>GP082782B832</v>
      </c>
      <c r="B653" s="7" t="s">
        <v>248</v>
      </c>
      <c r="C653" s="7" t="s">
        <v>653</v>
      </c>
      <c r="D653" s="7" t="s">
        <v>19</v>
      </c>
      <c r="E653" s="7" t="s">
        <v>1177</v>
      </c>
      <c r="F653" s="7" t="s">
        <v>128</v>
      </c>
      <c r="G653" s="7" t="s">
        <v>130</v>
      </c>
      <c r="H653" s="7" t="s">
        <v>129</v>
      </c>
      <c r="I653" s="30">
        <v>2</v>
      </c>
      <c r="J653" s="7" t="s">
        <v>1177</v>
      </c>
      <c r="K653" s="7" t="s">
        <v>1178</v>
      </c>
      <c r="L653" s="7" t="s">
        <v>132</v>
      </c>
      <c r="M653" s="7" t="s">
        <v>133</v>
      </c>
      <c r="N653" s="30">
        <v>0</v>
      </c>
      <c r="O653" s="30">
        <v>0</v>
      </c>
      <c r="P653" s="30">
        <v>0</v>
      </c>
      <c r="Q653" s="30">
        <v>0</v>
      </c>
      <c r="R653" s="29">
        <v>0</v>
      </c>
      <c r="S653" s="36">
        <v>0</v>
      </c>
      <c r="T653" s="7" t="s">
        <v>131</v>
      </c>
      <c r="U653" s="7" t="s">
        <v>654</v>
      </c>
      <c r="V653" s="7" t="s">
        <v>654</v>
      </c>
      <c r="W653" s="7" t="s">
        <v>1177</v>
      </c>
      <c r="X653" s="30">
        <v>1</v>
      </c>
      <c r="Y653" s="7" t="s">
        <v>1177</v>
      </c>
      <c r="Z653" s="7" t="s">
        <v>1178</v>
      </c>
      <c r="AA653" s="30">
        <v>0</v>
      </c>
      <c r="AB653" s="36">
        <v>0</v>
      </c>
      <c r="AC653" s="7" t="s">
        <v>1177</v>
      </c>
      <c r="AD653" s="37">
        <v>0</v>
      </c>
      <c r="AE653" s="7" t="s">
        <v>1177</v>
      </c>
      <c r="AF653" s="7" t="s">
        <v>1177</v>
      </c>
      <c r="AG653" s="7" t="s">
        <v>1177</v>
      </c>
      <c r="AH653" s="38"/>
      <c r="AI653" s="36">
        <v>0</v>
      </c>
      <c r="AJ653" s="7" t="s">
        <v>1193</v>
      </c>
      <c r="AK653" s="7" t="s">
        <v>1177</v>
      </c>
      <c r="AL653" s="7" t="s">
        <v>1177</v>
      </c>
      <c r="AM653" s="7" t="s">
        <v>1177</v>
      </c>
      <c r="AN653" s="7" t="s">
        <v>3212</v>
      </c>
      <c r="AO653" s="7" t="s">
        <v>1177</v>
      </c>
      <c r="AP653" s="7" t="s">
        <v>1177</v>
      </c>
      <c r="AQ653" s="7" t="s">
        <v>1177</v>
      </c>
      <c r="AR653" s="29">
        <v>0</v>
      </c>
      <c r="AS653" s="7" t="s">
        <v>1177</v>
      </c>
      <c r="AT653" s="7" t="s">
        <v>1363</v>
      </c>
      <c r="AU653" s="38">
        <v>46275</v>
      </c>
      <c r="AV653" s="39">
        <v>0.60387731481481</v>
      </c>
    </row>
    <row r="654" spans="1:48" x14ac:dyDescent="0.35">
      <c r="A654" t="str">
        <f t="shared" si="10"/>
        <v>GP082782B833</v>
      </c>
      <c r="B654" s="7" t="s">
        <v>248</v>
      </c>
      <c r="C654" s="7" t="s">
        <v>698</v>
      </c>
      <c r="D654" s="7" t="s">
        <v>697</v>
      </c>
      <c r="E654" s="7" t="s">
        <v>1177</v>
      </c>
      <c r="F654" s="7" t="s">
        <v>128</v>
      </c>
      <c r="G654" s="7" t="s">
        <v>130</v>
      </c>
      <c r="H654" s="7" t="s">
        <v>129</v>
      </c>
      <c r="I654" s="30">
        <v>2</v>
      </c>
      <c r="J654" s="7" t="s">
        <v>1177</v>
      </c>
      <c r="K654" s="7" t="s">
        <v>1178</v>
      </c>
      <c r="L654" s="7" t="s">
        <v>132</v>
      </c>
      <c r="M654" s="7" t="s">
        <v>133</v>
      </c>
      <c r="N654" s="30">
        <v>0</v>
      </c>
      <c r="O654" s="30">
        <v>0</v>
      </c>
      <c r="P654" s="30">
        <v>0</v>
      </c>
      <c r="Q654" s="30">
        <v>0</v>
      </c>
      <c r="R654" s="29">
        <v>0</v>
      </c>
      <c r="S654" s="36">
        <v>0</v>
      </c>
      <c r="T654" s="7" t="s">
        <v>131</v>
      </c>
      <c r="U654" s="7" t="s">
        <v>699</v>
      </c>
      <c r="V654" s="7" t="s">
        <v>699</v>
      </c>
      <c r="W654" s="7" t="s">
        <v>1177</v>
      </c>
      <c r="X654" s="30">
        <v>1</v>
      </c>
      <c r="Y654" s="7" t="s">
        <v>1177</v>
      </c>
      <c r="Z654" s="7" t="s">
        <v>1178</v>
      </c>
      <c r="AA654" s="30">
        <v>0</v>
      </c>
      <c r="AB654" s="36">
        <v>0</v>
      </c>
      <c r="AC654" s="7" t="s">
        <v>1177</v>
      </c>
      <c r="AD654" s="37">
        <v>0</v>
      </c>
      <c r="AE654" s="7" t="s">
        <v>1177</v>
      </c>
      <c r="AF654" s="7" t="s">
        <v>1177</v>
      </c>
      <c r="AG654" s="7" t="s">
        <v>1177</v>
      </c>
      <c r="AH654" s="38"/>
      <c r="AI654" s="36">
        <v>0</v>
      </c>
      <c r="AJ654" s="7" t="s">
        <v>1193</v>
      </c>
      <c r="AK654" s="7" t="s">
        <v>1177</v>
      </c>
      <c r="AL654" s="7" t="s">
        <v>1177</v>
      </c>
      <c r="AM654" s="7" t="s">
        <v>1177</v>
      </c>
      <c r="AN654" s="7" t="s">
        <v>3212</v>
      </c>
      <c r="AO654" s="7" t="s">
        <v>1177</v>
      </c>
      <c r="AP654" s="7" t="s">
        <v>1177</v>
      </c>
      <c r="AQ654" s="7" t="s">
        <v>1177</v>
      </c>
      <c r="AR654" s="29">
        <v>0</v>
      </c>
      <c r="AS654" s="7" t="s">
        <v>1177</v>
      </c>
      <c r="AT654" s="7" t="s">
        <v>1363</v>
      </c>
      <c r="AU654" s="38">
        <v>46275</v>
      </c>
      <c r="AV654" s="39">
        <v>0.60398148148148001</v>
      </c>
    </row>
    <row r="655" spans="1:48" x14ac:dyDescent="0.35">
      <c r="A655" t="str">
        <f t="shared" si="10"/>
        <v>GP082783B825</v>
      </c>
      <c r="B655" s="7" t="s">
        <v>50</v>
      </c>
      <c r="C655" s="7" t="s">
        <v>511</v>
      </c>
      <c r="D655" s="7" t="s">
        <v>16</v>
      </c>
      <c r="E655" s="7" t="s">
        <v>1177</v>
      </c>
      <c r="F655" s="7" t="s">
        <v>128</v>
      </c>
      <c r="G655" s="7" t="s">
        <v>130</v>
      </c>
      <c r="H655" s="7" t="s">
        <v>129</v>
      </c>
      <c r="I655" s="30">
        <v>2</v>
      </c>
      <c r="J655" s="7" t="s">
        <v>1177</v>
      </c>
      <c r="K655" s="7" t="s">
        <v>1178</v>
      </c>
      <c r="L655" s="7" t="s">
        <v>132</v>
      </c>
      <c r="M655" s="7" t="s">
        <v>133</v>
      </c>
      <c r="N655" s="30">
        <v>0</v>
      </c>
      <c r="O655" s="30">
        <v>0</v>
      </c>
      <c r="P655" s="30">
        <v>0</v>
      </c>
      <c r="Q655" s="30">
        <v>0</v>
      </c>
      <c r="R655" s="29">
        <v>0</v>
      </c>
      <c r="S655" s="36">
        <v>0</v>
      </c>
      <c r="T655" s="7" t="s">
        <v>131</v>
      </c>
      <c r="U655" s="7" t="s">
        <v>512</v>
      </c>
      <c r="V655" s="7" t="s">
        <v>512</v>
      </c>
      <c r="W655" s="7" t="s">
        <v>1177</v>
      </c>
      <c r="X655" s="30">
        <v>1</v>
      </c>
      <c r="Y655" s="7" t="s">
        <v>1177</v>
      </c>
      <c r="Z655" s="7" t="s">
        <v>1178</v>
      </c>
      <c r="AA655" s="30">
        <v>0</v>
      </c>
      <c r="AB655" s="36">
        <v>0</v>
      </c>
      <c r="AC655" s="7" t="s">
        <v>1177</v>
      </c>
      <c r="AD655" s="37">
        <v>0</v>
      </c>
      <c r="AE655" s="7" t="s">
        <v>1177</v>
      </c>
      <c r="AF655" s="7" t="s">
        <v>1177</v>
      </c>
      <c r="AG655" s="7" t="s">
        <v>1177</v>
      </c>
      <c r="AH655" s="38"/>
      <c r="AI655" s="36">
        <v>0</v>
      </c>
      <c r="AJ655" s="7" t="s">
        <v>1193</v>
      </c>
      <c r="AK655" s="7" t="s">
        <v>1177</v>
      </c>
      <c r="AL655" s="7" t="s">
        <v>1177</v>
      </c>
      <c r="AM655" s="7" t="s">
        <v>1177</v>
      </c>
      <c r="AN655" s="7" t="s">
        <v>3212</v>
      </c>
      <c r="AO655" s="7" t="s">
        <v>1177</v>
      </c>
      <c r="AP655" s="7" t="s">
        <v>1177</v>
      </c>
      <c r="AQ655" s="7" t="s">
        <v>1177</v>
      </c>
      <c r="AR655" s="29">
        <v>0</v>
      </c>
      <c r="AS655" s="7" t="s">
        <v>1177</v>
      </c>
      <c r="AT655" s="7" t="s">
        <v>1363</v>
      </c>
      <c r="AU655" s="38">
        <v>46275</v>
      </c>
      <c r="AV655" s="39">
        <v>0.60349537037037004</v>
      </c>
    </row>
    <row r="656" spans="1:48" x14ac:dyDescent="0.35">
      <c r="A656" t="str">
        <f t="shared" si="10"/>
        <v>GP082783B832</v>
      </c>
      <c r="B656" s="7" t="s">
        <v>50</v>
      </c>
      <c r="C656" s="7" t="s">
        <v>653</v>
      </c>
      <c r="D656" s="7" t="s">
        <v>19</v>
      </c>
      <c r="E656" s="7" t="s">
        <v>1177</v>
      </c>
      <c r="F656" s="7" t="s">
        <v>128</v>
      </c>
      <c r="G656" s="7" t="s">
        <v>130</v>
      </c>
      <c r="H656" s="7" t="s">
        <v>129</v>
      </c>
      <c r="I656" s="30">
        <v>2</v>
      </c>
      <c r="J656" s="7" t="s">
        <v>1177</v>
      </c>
      <c r="K656" s="7" t="s">
        <v>1178</v>
      </c>
      <c r="L656" s="7" t="s">
        <v>132</v>
      </c>
      <c r="M656" s="7" t="s">
        <v>133</v>
      </c>
      <c r="N656" s="30">
        <v>0</v>
      </c>
      <c r="O656" s="30">
        <v>0</v>
      </c>
      <c r="P656" s="30">
        <v>0</v>
      </c>
      <c r="Q656" s="30">
        <v>0</v>
      </c>
      <c r="R656" s="29">
        <v>0</v>
      </c>
      <c r="S656" s="36">
        <v>0</v>
      </c>
      <c r="T656" s="7" t="s">
        <v>131</v>
      </c>
      <c r="U656" s="7" t="s">
        <v>654</v>
      </c>
      <c r="V656" s="7" t="s">
        <v>654</v>
      </c>
      <c r="W656" s="7" t="s">
        <v>1177</v>
      </c>
      <c r="X656" s="30">
        <v>1</v>
      </c>
      <c r="Y656" s="7" t="s">
        <v>1177</v>
      </c>
      <c r="Z656" s="7" t="s">
        <v>1178</v>
      </c>
      <c r="AA656" s="30">
        <v>0</v>
      </c>
      <c r="AB656" s="36">
        <v>0</v>
      </c>
      <c r="AC656" s="7" t="s">
        <v>1177</v>
      </c>
      <c r="AD656" s="37">
        <v>0</v>
      </c>
      <c r="AE656" s="7" t="s">
        <v>1177</v>
      </c>
      <c r="AF656" s="7" t="s">
        <v>1177</v>
      </c>
      <c r="AG656" s="7" t="s">
        <v>1177</v>
      </c>
      <c r="AH656" s="38"/>
      <c r="AI656" s="36">
        <v>0</v>
      </c>
      <c r="AJ656" s="7" t="s">
        <v>1193</v>
      </c>
      <c r="AK656" s="7" t="s">
        <v>1177</v>
      </c>
      <c r="AL656" s="7" t="s">
        <v>1177</v>
      </c>
      <c r="AM656" s="7" t="s">
        <v>1177</v>
      </c>
      <c r="AN656" s="7" t="s">
        <v>3212</v>
      </c>
      <c r="AO656" s="7" t="s">
        <v>1177</v>
      </c>
      <c r="AP656" s="7" t="s">
        <v>1177</v>
      </c>
      <c r="AQ656" s="7" t="s">
        <v>1177</v>
      </c>
      <c r="AR656" s="29">
        <v>0</v>
      </c>
      <c r="AS656" s="7" t="s">
        <v>1177</v>
      </c>
      <c r="AT656" s="7" t="s">
        <v>1363</v>
      </c>
      <c r="AU656" s="38">
        <v>46275</v>
      </c>
      <c r="AV656" s="39">
        <v>0.60387731481481</v>
      </c>
    </row>
    <row r="657" spans="1:48" x14ac:dyDescent="0.35">
      <c r="A657" t="str">
        <f t="shared" si="10"/>
        <v>GP082783B833</v>
      </c>
      <c r="B657" s="7" t="s">
        <v>50</v>
      </c>
      <c r="C657" s="7" t="s">
        <v>698</v>
      </c>
      <c r="D657" s="7" t="s">
        <v>697</v>
      </c>
      <c r="E657" s="7" t="s">
        <v>1177</v>
      </c>
      <c r="F657" s="7" t="s">
        <v>128</v>
      </c>
      <c r="G657" s="7" t="s">
        <v>130</v>
      </c>
      <c r="H657" s="7" t="s">
        <v>129</v>
      </c>
      <c r="I657" s="30">
        <v>2</v>
      </c>
      <c r="J657" s="7" t="s">
        <v>1177</v>
      </c>
      <c r="K657" s="7" t="s">
        <v>1178</v>
      </c>
      <c r="L657" s="7" t="s">
        <v>132</v>
      </c>
      <c r="M657" s="7" t="s">
        <v>133</v>
      </c>
      <c r="N657" s="30">
        <v>0</v>
      </c>
      <c r="O657" s="30">
        <v>0</v>
      </c>
      <c r="P657" s="30">
        <v>0</v>
      </c>
      <c r="Q657" s="30">
        <v>0</v>
      </c>
      <c r="R657" s="29">
        <v>0</v>
      </c>
      <c r="S657" s="36">
        <v>0</v>
      </c>
      <c r="T657" s="7" t="s">
        <v>131</v>
      </c>
      <c r="U657" s="7" t="s">
        <v>699</v>
      </c>
      <c r="V657" s="7" t="s">
        <v>699</v>
      </c>
      <c r="W657" s="7" t="s">
        <v>1177</v>
      </c>
      <c r="X657" s="30">
        <v>1</v>
      </c>
      <c r="Y657" s="7" t="s">
        <v>1177</v>
      </c>
      <c r="Z657" s="7" t="s">
        <v>1178</v>
      </c>
      <c r="AA657" s="30">
        <v>0</v>
      </c>
      <c r="AB657" s="36">
        <v>0</v>
      </c>
      <c r="AC657" s="7" t="s">
        <v>1177</v>
      </c>
      <c r="AD657" s="37">
        <v>0</v>
      </c>
      <c r="AE657" s="7" t="s">
        <v>1177</v>
      </c>
      <c r="AF657" s="7" t="s">
        <v>1177</v>
      </c>
      <c r="AG657" s="7" t="s">
        <v>1177</v>
      </c>
      <c r="AH657" s="38"/>
      <c r="AI657" s="36">
        <v>0</v>
      </c>
      <c r="AJ657" s="7" t="s">
        <v>1193</v>
      </c>
      <c r="AK657" s="7" t="s">
        <v>1177</v>
      </c>
      <c r="AL657" s="7" t="s">
        <v>1177</v>
      </c>
      <c r="AM657" s="7" t="s">
        <v>1177</v>
      </c>
      <c r="AN657" s="7" t="s">
        <v>3212</v>
      </c>
      <c r="AO657" s="7" t="s">
        <v>1177</v>
      </c>
      <c r="AP657" s="7" t="s">
        <v>1177</v>
      </c>
      <c r="AQ657" s="7" t="s">
        <v>1177</v>
      </c>
      <c r="AR657" s="29">
        <v>0</v>
      </c>
      <c r="AS657" s="7" t="s">
        <v>1177</v>
      </c>
      <c r="AT657" s="7" t="s">
        <v>1363</v>
      </c>
      <c r="AU657" s="38">
        <v>46275</v>
      </c>
      <c r="AV657" s="39">
        <v>0.60398148148148001</v>
      </c>
    </row>
    <row r="658" spans="1:48" x14ac:dyDescent="0.35">
      <c r="A658" t="str">
        <f t="shared" si="10"/>
        <v>GP082783B838</v>
      </c>
      <c r="B658" s="7" t="s">
        <v>50</v>
      </c>
      <c r="C658" s="7" t="s">
        <v>744</v>
      </c>
      <c r="D658" s="7" t="s">
        <v>48</v>
      </c>
      <c r="E658" s="7" t="s">
        <v>1177</v>
      </c>
      <c r="F658" s="7" t="s">
        <v>128</v>
      </c>
      <c r="G658" s="7" t="s">
        <v>130</v>
      </c>
      <c r="H658" s="7" t="s">
        <v>129</v>
      </c>
      <c r="I658" s="30">
        <v>2</v>
      </c>
      <c r="J658" s="7" t="s">
        <v>1177</v>
      </c>
      <c r="K658" s="7" t="s">
        <v>1178</v>
      </c>
      <c r="L658" s="7" t="s">
        <v>132</v>
      </c>
      <c r="M658" s="7" t="s">
        <v>133</v>
      </c>
      <c r="N658" s="30">
        <v>0</v>
      </c>
      <c r="O658" s="30">
        <v>0</v>
      </c>
      <c r="P658" s="30">
        <v>0</v>
      </c>
      <c r="Q658" s="30">
        <v>0</v>
      </c>
      <c r="R658" s="29">
        <v>0</v>
      </c>
      <c r="S658" s="36">
        <v>0</v>
      </c>
      <c r="T658" s="7" t="s">
        <v>131</v>
      </c>
      <c r="U658" s="7" t="s">
        <v>745</v>
      </c>
      <c r="V658" s="7" t="s">
        <v>745</v>
      </c>
      <c r="W658" s="7" t="s">
        <v>1177</v>
      </c>
      <c r="X658" s="30">
        <v>1</v>
      </c>
      <c r="Y658" s="7" t="s">
        <v>1177</v>
      </c>
      <c r="Z658" s="7" t="s">
        <v>1178</v>
      </c>
      <c r="AA658" s="30">
        <v>0</v>
      </c>
      <c r="AB658" s="36">
        <v>0</v>
      </c>
      <c r="AC658" s="7" t="s">
        <v>1177</v>
      </c>
      <c r="AD658" s="37">
        <v>0</v>
      </c>
      <c r="AE658" s="7" t="s">
        <v>1177</v>
      </c>
      <c r="AF658" s="7" t="s">
        <v>1177</v>
      </c>
      <c r="AG658" s="7" t="s">
        <v>1177</v>
      </c>
      <c r="AH658" s="38"/>
      <c r="AI658" s="36">
        <v>0</v>
      </c>
      <c r="AJ658" s="7" t="s">
        <v>1193</v>
      </c>
      <c r="AK658" s="7" t="s">
        <v>1177</v>
      </c>
      <c r="AL658" s="7" t="s">
        <v>1177</v>
      </c>
      <c r="AM658" s="7" t="s">
        <v>1177</v>
      </c>
      <c r="AN658" s="7" t="s">
        <v>3212</v>
      </c>
      <c r="AO658" s="7" t="s">
        <v>1177</v>
      </c>
      <c r="AP658" s="7" t="s">
        <v>1177</v>
      </c>
      <c r="AQ658" s="7" t="s">
        <v>1177</v>
      </c>
      <c r="AR658" s="29">
        <v>0</v>
      </c>
      <c r="AS658" s="7" t="s">
        <v>1177</v>
      </c>
      <c r="AT658" s="7" t="s">
        <v>1363</v>
      </c>
      <c r="AU658" s="38">
        <v>46275</v>
      </c>
      <c r="AV658" s="39">
        <v>0.60438657407407004</v>
      </c>
    </row>
    <row r="659" spans="1:48" x14ac:dyDescent="0.35">
      <c r="A659" t="str">
        <f t="shared" si="10"/>
        <v>GP082783B856</v>
      </c>
      <c r="B659" s="7" t="s">
        <v>50</v>
      </c>
      <c r="C659" s="7" t="s">
        <v>852</v>
      </c>
      <c r="D659" s="7" t="s">
        <v>21</v>
      </c>
      <c r="E659" s="7" t="s">
        <v>1177</v>
      </c>
      <c r="F659" s="7" t="s">
        <v>128</v>
      </c>
      <c r="G659" s="7" t="s">
        <v>130</v>
      </c>
      <c r="H659" s="7" t="s">
        <v>129</v>
      </c>
      <c r="I659" s="30">
        <v>2</v>
      </c>
      <c r="J659" s="7" t="s">
        <v>1177</v>
      </c>
      <c r="K659" s="7" t="s">
        <v>1178</v>
      </c>
      <c r="L659" s="7" t="s">
        <v>132</v>
      </c>
      <c r="M659" s="7" t="s">
        <v>133</v>
      </c>
      <c r="N659" s="30">
        <v>0</v>
      </c>
      <c r="O659" s="30">
        <v>0</v>
      </c>
      <c r="P659" s="30">
        <v>0</v>
      </c>
      <c r="Q659" s="30">
        <v>0</v>
      </c>
      <c r="R659" s="29">
        <v>0</v>
      </c>
      <c r="S659" s="36">
        <v>0</v>
      </c>
      <c r="T659" s="7" t="s">
        <v>131</v>
      </c>
      <c r="U659" s="7" t="s">
        <v>853</v>
      </c>
      <c r="V659" s="7" t="s">
        <v>853</v>
      </c>
      <c r="W659" s="7" t="s">
        <v>1177</v>
      </c>
      <c r="X659" s="30">
        <v>1</v>
      </c>
      <c r="Y659" s="7" t="s">
        <v>1177</v>
      </c>
      <c r="Z659" s="7" t="s">
        <v>1178</v>
      </c>
      <c r="AA659" s="30">
        <v>0</v>
      </c>
      <c r="AB659" s="36">
        <v>0</v>
      </c>
      <c r="AC659" s="7" t="s">
        <v>1177</v>
      </c>
      <c r="AD659" s="37">
        <v>0</v>
      </c>
      <c r="AE659" s="7" t="s">
        <v>1177</v>
      </c>
      <c r="AF659" s="7" t="s">
        <v>1177</v>
      </c>
      <c r="AG659" s="7" t="s">
        <v>1177</v>
      </c>
      <c r="AH659" s="38"/>
      <c r="AI659" s="36">
        <v>0</v>
      </c>
      <c r="AJ659" s="7" t="s">
        <v>1193</v>
      </c>
      <c r="AK659" s="7" t="s">
        <v>1177</v>
      </c>
      <c r="AL659" s="7" t="s">
        <v>1177</v>
      </c>
      <c r="AM659" s="7" t="s">
        <v>1177</v>
      </c>
      <c r="AN659" s="7" t="s">
        <v>3212</v>
      </c>
      <c r="AO659" s="7" t="s">
        <v>1177</v>
      </c>
      <c r="AP659" s="7" t="s">
        <v>1177</v>
      </c>
      <c r="AQ659" s="7" t="s">
        <v>1177</v>
      </c>
      <c r="AR659" s="29">
        <v>0</v>
      </c>
      <c r="AS659" s="7" t="s">
        <v>1177</v>
      </c>
      <c r="AT659" s="7" t="s">
        <v>1363</v>
      </c>
      <c r="AU659" s="38">
        <v>46275</v>
      </c>
      <c r="AV659" s="39">
        <v>0.60523148148147998</v>
      </c>
    </row>
    <row r="660" spans="1:48" x14ac:dyDescent="0.35">
      <c r="A660" t="str">
        <f t="shared" si="10"/>
        <v>GP082783B857</v>
      </c>
      <c r="B660" s="7" t="s">
        <v>50</v>
      </c>
      <c r="C660" s="7" t="s">
        <v>958</v>
      </c>
      <c r="D660" s="7" t="s">
        <v>23</v>
      </c>
      <c r="E660" s="7" t="s">
        <v>1177</v>
      </c>
      <c r="F660" s="7" t="s">
        <v>128</v>
      </c>
      <c r="G660" s="7" t="s">
        <v>130</v>
      </c>
      <c r="H660" s="7" t="s">
        <v>129</v>
      </c>
      <c r="I660" s="30">
        <v>2</v>
      </c>
      <c r="J660" s="7" t="s">
        <v>1177</v>
      </c>
      <c r="K660" s="7" t="s">
        <v>1178</v>
      </c>
      <c r="L660" s="7" t="s">
        <v>132</v>
      </c>
      <c r="M660" s="7" t="s">
        <v>133</v>
      </c>
      <c r="N660" s="30">
        <v>0</v>
      </c>
      <c r="O660" s="30">
        <v>0</v>
      </c>
      <c r="P660" s="30">
        <v>0</v>
      </c>
      <c r="Q660" s="30">
        <v>0</v>
      </c>
      <c r="R660" s="29">
        <v>0</v>
      </c>
      <c r="S660" s="36">
        <v>0</v>
      </c>
      <c r="T660" s="7" t="s">
        <v>131</v>
      </c>
      <c r="U660" s="7" t="s">
        <v>959</v>
      </c>
      <c r="V660" s="7" t="s">
        <v>959</v>
      </c>
      <c r="W660" s="7" t="s">
        <v>1177</v>
      </c>
      <c r="X660" s="30">
        <v>1</v>
      </c>
      <c r="Y660" s="7" t="s">
        <v>1177</v>
      </c>
      <c r="Z660" s="7" t="s">
        <v>1178</v>
      </c>
      <c r="AA660" s="30">
        <v>0</v>
      </c>
      <c r="AB660" s="36">
        <v>0</v>
      </c>
      <c r="AC660" s="7" t="s">
        <v>1177</v>
      </c>
      <c r="AD660" s="37">
        <v>0</v>
      </c>
      <c r="AE660" s="7" t="s">
        <v>1177</v>
      </c>
      <c r="AF660" s="7" t="s">
        <v>1177</v>
      </c>
      <c r="AG660" s="7" t="s">
        <v>1177</v>
      </c>
      <c r="AH660" s="38"/>
      <c r="AI660" s="36">
        <v>0</v>
      </c>
      <c r="AJ660" s="7" t="s">
        <v>1193</v>
      </c>
      <c r="AK660" s="7" t="s">
        <v>1177</v>
      </c>
      <c r="AL660" s="7" t="s">
        <v>1177</v>
      </c>
      <c r="AM660" s="7" t="s">
        <v>1177</v>
      </c>
      <c r="AN660" s="7" t="s">
        <v>3212</v>
      </c>
      <c r="AO660" s="7" t="s">
        <v>1177</v>
      </c>
      <c r="AP660" s="7" t="s">
        <v>1177</v>
      </c>
      <c r="AQ660" s="7" t="s">
        <v>1177</v>
      </c>
      <c r="AR660" s="29">
        <v>0</v>
      </c>
      <c r="AS660" s="7" t="s">
        <v>1177</v>
      </c>
      <c r="AT660" s="7" t="s">
        <v>1363</v>
      </c>
      <c r="AU660" s="38">
        <v>46275</v>
      </c>
      <c r="AV660" s="39">
        <v>0.60527777777778002</v>
      </c>
    </row>
    <row r="661" spans="1:48" x14ac:dyDescent="0.35">
      <c r="A661" t="str">
        <f t="shared" si="10"/>
        <v>GP082783B864</v>
      </c>
      <c r="B661" s="7" t="s">
        <v>50</v>
      </c>
      <c r="C661" s="7" t="s">
        <v>1010</v>
      </c>
      <c r="D661" s="7" t="s">
        <v>10</v>
      </c>
      <c r="E661" s="7" t="s">
        <v>1177</v>
      </c>
      <c r="F661" s="7" t="s">
        <v>128</v>
      </c>
      <c r="G661" s="7" t="s">
        <v>130</v>
      </c>
      <c r="H661" s="7" t="s">
        <v>129</v>
      </c>
      <c r="I661" s="30">
        <v>5</v>
      </c>
      <c r="J661" s="7" t="s">
        <v>1177</v>
      </c>
      <c r="K661" s="7" t="s">
        <v>1178</v>
      </c>
      <c r="L661" s="7" t="s">
        <v>132</v>
      </c>
      <c r="M661" s="7" t="s">
        <v>133</v>
      </c>
      <c r="N661" s="30">
        <v>0</v>
      </c>
      <c r="O661" s="30">
        <v>0</v>
      </c>
      <c r="P661" s="30">
        <v>0</v>
      </c>
      <c r="Q661" s="30">
        <v>0</v>
      </c>
      <c r="R661" s="29">
        <v>0</v>
      </c>
      <c r="S661" s="36">
        <v>0</v>
      </c>
      <c r="T661" s="7" t="s">
        <v>131</v>
      </c>
      <c r="U661" s="7" t="s">
        <v>1011</v>
      </c>
      <c r="V661" s="7" t="s">
        <v>1011</v>
      </c>
      <c r="W661" s="7" t="s">
        <v>1177</v>
      </c>
      <c r="X661" s="30">
        <v>1</v>
      </c>
      <c r="Y661" s="7" t="s">
        <v>1177</v>
      </c>
      <c r="Z661" s="7" t="s">
        <v>1178</v>
      </c>
      <c r="AA661" s="30">
        <v>0</v>
      </c>
      <c r="AB661" s="36">
        <v>0</v>
      </c>
      <c r="AC661" s="7" t="s">
        <v>1177</v>
      </c>
      <c r="AD661" s="37">
        <v>0</v>
      </c>
      <c r="AE661" s="7" t="s">
        <v>1177</v>
      </c>
      <c r="AF661" s="7" t="s">
        <v>1177</v>
      </c>
      <c r="AG661" s="7" t="s">
        <v>1177</v>
      </c>
      <c r="AH661" s="38"/>
      <c r="AI661" s="36">
        <v>0</v>
      </c>
      <c r="AJ661" s="7" t="s">
        <v>1193</v>
      </c>
      <c r="AK661" s="7" t="s">
        <v>1177</v>
      </c>
      <c r="AL661" s="7" t="s">
        <v>1177</v>
      </c>
      <c r="AM661" s="7" t="s">
        <v>1177</v>
      </c>
      <c r="AN661" s="7" t="s">
        <v>3212</v>
      </c>
      <c r="AO661" s="7" t="s">
        <v>1177</v>
      </c>
      <c r="AP661" s="7" t="s">
        <v>1177</v>
      </c>
      <c r="AQ661" s="7" t="s">
        <v>1177</v>
      </c>
      <c r="AR661" s="29">
        <v>0</v>
      </c>
      <c r="AS661" s="7" t="s">
        <v>1177</v>
      </c>
      <c r="AT661" s="7" t="s">
        <v>1363</v>
      </c>
      <c r="AU661" s="38">
        <v>46275</v>
      </c>
      <c r="AV661" s="39">
        <v>0.60541666666667004</v>
      </c>
    </row>
    <row r="662" spans="1:48" x14ac:dyDescent="0.35">
      <c r="A662" t="str">
        <f t="shared" si="10"/>
        <v>GP082783B865</v>
      </c>
      <c r="B662" s="7" t="s">
        <v>50</v>
      </c>
      <c r="C662" s="7" t="s">
        <v>1039</v>
      </c>
      <c r="D662" s="7" t="s">
        <v>7</v>
      </c>
      <c r="E662" s="7" t="s">
        <v>1177</v>
      </c>
      <c r="F662" s="7" t="s">
        <v>128</v>
      </c>
      <c r="G662" s="7" t="s">
        <v>130</v>
      </c>
      <c r="H662" s="7" t="s">
        <v>129</v>
      </c>
      <c r="I662" s="30">
        <v>10</v>
      </c>
      <c r="J662" s="7" t="s">
        <v>1177</v>
      </c>
      <c r="K662" s="7" t="s">
        <v>1178</v>
      </c>
      <c r="L662" s="7" t="s">
        <v>132</v>
      </c>
      <c r="M662" s="7" t="s">
        <v>133</v>
      </c>
      <c r="N662" s="30">
        <v>0</v>
      </c>
      <c r="O662" s="30">
        <v>0</v>
      </c>
      <c r="P662" s="30">
        <v>0</v>
      </c>
      <c r="Q662" s="30">
        <v>0</v>
      </c>
      <c r="R662" s="29">
        <v>0</v>
      </c>
      <c r="S662" s="36">
        <v>0</v>
      </c>
      <c r="T662" s="7" t="s">
        <v>131</v>
      </c>
      <c r="U662" s="7" t="s">
        <v>1040</v>
      </c>
      <c r="V662" s="7" t="s">
        <v>1040</v>
      </c>
      <c r="W662" s="7" t="s">
        <v>1177</v>
      </c>
      <c r="X662" s="30">
        <v>3</v>
      </c>
      <c r="Y662" s="7" t="s">
        <v>1177</v>
      </c>
      <c r="Z662" s="7" t="s">
        <v>1178</v>
      </c>
      <c r="AA662" s="30">
        <v>0</v>
      </c>
      <c r="AB662" s="36">
        <v>0</v>
      </c>
      <c r="AC662" s="7" t="s">
        <v>1177</v>
      </c>
      <c r="AD662" s="37">
        <v>0</v>
      </c>
      <c r="AE662" s="7" t="s">
        <v>1177</v>
      </c>
      <c r="AF662" s="7" t="s">
        <v>1177</v>
      </c>
      <c r="AG662" s="7" t="s">
        <v>1177</v>
      </c>
      <c r="AH662" s="38"/>
      <c r="AI662" s="36">
        <v>0</v>
      </c>
      <c r="AJ662" s="7" t="s">
        <v>1193</v>
      </c>
      <c r="AK662" s="7" t="s">
        <v>1177</v>
      </c>
      <c r="AL662" s="7" t="s">
        <v>1177</v>
      </c>
      <c r="AM662" s="7" t="s">
        <v>1177</v>
      </c>
      <c r="AN662" s="7" t="s">
        <v>3212</v>
      </c>
      <c r="AO662" s="7" t="s">
        <v>1177</v>
      </c>
      <c r="AP662" s="7" t="s">
        <v>1177</v>
      </c>
      <c r="AQ662" s="7" t="s">
        <v>1177</v>
      </c>
      <c r="AR662" s="29">
        <v>0</v>
      </c>
      <c r="AS662" s="7" t="s">
        <v>1177</v>
      </c>
      <c r="AT662" s="7" t="s">
        <v>1363</v>
      </c>
      <c r="AU662" s="38">
        <v>46275</v>
      </c>
      <c r="AV662" s="39">
        <v>0.60550925925926002</v>
      </c>
    </row>
    <row r="663" spans="1:48" x14ac:dyDescent="0.35">
      <c r="A663" t="str">
        <f t="shared" si="10"/>
        <v>GP082783B867</v>
      </c>
      <c r="B663" s="7" t="s">
        <v>50</v>
      </c>
      <c r="C663" s="7" t="s">
        <v>1059</v>
      </c>
      <c r="D663" s="7" t="s">
        <v>25</v>
      </c>
      <c r="E663" s="7" t="s">
        <v>1177</v>
      </c>
      <c r="F663" s="7" t="s">
        <v>128</v>
      </c>
      <c r="G663" s="7" t="s">
        <v>130</v>
      </c>
      <c r="H663" s="7" t="s">
        <v>129</v>
      </c>
      <c r="I663" s="30">
        <v>3</v>
      </c>
      <c r="J663" s="7" t="s">
        <v>1177</v>
      </c>
      <c r="K663" s="7" t="s">
        <v>1178</v>
      </c>
      <c r="L663" s="7" t="s">
        <v>132</v>
      </c>
      <c r="M663" s="7" t="s">
        <v>133</v>
      </c>
      <c r="N663" s="30">
        <v>0</v>
      </c>
      <c r="O663" s="30">
        <v>0</v>
      </c>
      <c r="P663" s="30">
        <v>0</v>
      </c>
      <c r="Q663" s="30">
        <v>0</v>
      </c>
      <c r="R663" s="29">
        <v>0</v>
      </c>
      <c r="S663" s="36">
        <v>0</v>
      </c>
      <c r="T663" s="7" t="s">
        <v>131</v>
      </c>
      <c r="U663" s="7" t="s">
        <v>1060</v>
      </c>
      <c r="V663" s="7" t="s">
        <v>1060</v>
      </c>
      <c r="W663" s="7" t="s">
        <v>1177</v>
      </c>
      <c r="X663" s="30">
        <v>1</v>
      </c>
      <c r="Y663" s="7" t="s">
        <v>1177</v>
      </c>
      <c r="Z663" s="7" t="s">
        <v>1178</v>
      </c>
      <c r="AA663" s="30">
        <v>0</v>
      </c>
      <c r="AB663" s="36">
        <v>0</v>
      </c>
      <c r="AC663" s="7" t="s">
        <v>1177</v>
      </c>
      <c r="AD663" s="37">
        <v>0</v>
      </c>
      <c r="AE663" s="7" t="s">
        <v>1177</v>
      </c>
      <c r="AF663" s="7" t="s">
        <v>1177</v>
      </c>
      <c r="AG663" s="7" t="s">
        <v>1177</v>
      </c>
      <c r="AH663" s="38"/>
      <c r="AI663" s="36">
        <v>0</v>
      </c>
      <c r="AJ663" s="7" t="s">
        <v>1193</v>
      </c>
      <c r="AK663" s="7" t="s">
        <v>1177</v>
      </c>
      <c r="AL663" s="7" t="s">
        <v>1177</v>
      </c>
      <c r="AM663" s="7" t="s">
        <v>1177</v>
      </c>
      <c r="AN663" s="7" t="s">
        <v>3212</v>
      </c>
      <c r="AO663" s="7" t="s">
        <v>1177</v>
      </c>
      <c r="AP663" s="7" t="s">
        <v>1177</v>
      </c>
      <c r="AQ663" s="7" t="s">
        <v>1177</v>
      </c>
      <c r="AR663" s="29">
        <v>0</v>
      </c>
      <c r="AS663" s="7" t="s">
        <v>1177</v>
      </c>
      <c r="AT663" s="7" t="s">
        <v>1363</v>
      </c>
      <c r="AU663" s="38">
        <v>46275</v>
      </c>
      <c r="AV663" s="39">
        <v>0.60569444444443998</v>
      </c>
    </row>
    <row r="664" spans="1:48" x14ac:dyDescent="0.35">
      <c r="A664" t="str">
        <f t="shared" si="10"/>
        <v>GP083493B856</v>
      </c>
      <c r="B664" s="7" t="s">
        <v>857</v>
      </c>
      <c r="C664" s="7" t="s">
        <v>852</v>
      </c>
      <c r="D664" s="7" t="s">
        <v>21</v>
      </c>
      <c r="E664" s="7" t="s">
        <v>1177</v>
      </c>
      <c r="F664" s="7" t="s">
        <v>128</v>
      </c>
      <c r="G664" s="7" t="s">
        <v>130</v>
      </c>
      <c r="H664" s="7" t="s">
        <v>129</v>
      </c>
      <c r="I664" s="30">
        <v>1</v>
      </c>
      <c r="J664" s="7" t="s">
        <v>1177</v>
      </c>
      <c r="K664" s="7" t="s">
        <v>1178</v>
      </c>
      <c r="L664" s="7" t="s">
        <v>132</v>
      </c>
      <c r="M664" s="7" t="s">
        <v>133</v>
      </c>
      <c r="N664" s="30">
        <v>0</v>
      </c>
      <c r="O664" s="30">
        <v>0</v>
      </c>
      <c r="P664" s="30">
        <v>0</v>
      </c>
      <c r="Q664" s="30">
        <v>0</v>
      </c>
      <c r="R664" s="29">
        <v>0</v>
      </c>
      <c r="S664" s="36">
        <v>0</v>
      </c>
      <c r="T664" s="7" t="s">
        <v>131</v>
      </c>
      <c r="U664" s="7" t="s">
        <v>853</v>
      </c>
      <c r="V664" s="7" t="s">
        <v>853</v>
      </c>
      <c r="W664" s="7" t="s">
        <v>1177</v>
      </c>
      <c r="X664" s="30">
        <v>1</v>
      </c>
      <c r="Y664" s="7" t="s">
        <v>1177</v>
      </c>
      <c r="Z664" s="7" t="s">
        <v>1178</v>
      </c>
      <c r="AA664" s="30">
        <v>0</v>
      </c>
      <c r="AB664" s="36">
        <v>0</v>
      </c>
      <c r="AC664" s="7" t="s">
        <v>1177</v>
      </c>
      <c r="AD664" s="37">
        <v>0</v>
      </c>
      <c r="AE664" s="7" t="s">
        <v>1177</v>
      </c>
      <c r="AF664" s="7" t="s">
        <v>1177</v>
      </c>
      <c r="AG664" s="7" t="s">
        <v>1177</v>
      </c>
      <c r="AH664" s="38"/>
      <c r="AI664" s="36">
        <v>0</v>
      </c>
      <c r="AJ664" s="7" t="s">
        <v>1193</v>
      </c>
      <c r="AK664" s="7" t="s">
        <v>1177</v>
      </c>
      <c r="AL664" s="7" t="s">
        <v>1177</v>
      </c>
      <c r="AM664" s="7" t="s">
        <v>1177</v>
      </c>
      <c r="AN664" s="7" t="s">
        <v>3212</v>
      </c>
      <c r="AO664" s="7" t="s">
        <v>1177</v>
      </c>
      <c r="AP664" s="7" t="s">
        <v>1177</v>
      </c>
      <c r="AQ664" s="7" t="s">
        <v>1177</v>
      </c>
      <c r="AR664" s="29">
        <v>0</v>
      </c>
      <c r="AS664" s="7" t="s">
        <v>1177</v>
      </c>
      <c r="AT664" s="7" t="s">
        <v>1363</v>
      </c>
      <c r="AU664" s="38">
        <v>46275</v>
      </c>
      <c r="AV664" s="39">
        <v>0.60523148148147998</v>
      </c>
    </row>
    <row r="665" spans="1:48" x14ac:dyDescent="0.35">
      <c r="A665" t="str">
        <f t="shared" si="10"/>
        <v>GP084217-001B832</v>
      </c>
      <c r="B665" s="7" t="s">
        <v>668</v>
      </c>
      <c r="C665" s="7" t="s">
        <v>653</v>
      </c>
      <c r="D665" s="7" t="s">
        <v>19</v>
      </c>
      <c r="E665" s="7" t="s">
        <v>1177</v>
      </c>
      <c r="F665" s="7" t="s">
        <v>128</v>
      </c>
      <c r="G665" s="7" t="s">
        <v>130</v>
      </c>
      <c r="H665" s="7" t="s">
        <v>129</v>
      </c>
      <c r="I665" s="30">
        <v>2</v>
      </c>
      <c r="J665" s="7" t="s">
        <v>1177</v>
      </c>
      <c r="K665" s="7" t="s">
        <v>1178</v>
      </c>
      <c r="L665" s="7" t="s">
        <v>132</v>
      </c>
      <c r="M665" s="7" t="s">
        <v>133</v>
      </c>
      <c r="N665" s="30">
        <v>0</v>
      </c>
      <c r="O665" s="30">
        <v>0</v>
      </c>
      <c r="P665" s="30">
        <v>0</v>
      </c>
      <c r="Q665" s="30">
        <v>0</v>
      </c>
      <c r="R665" s="29">
        <v>0</v>
      </c>
      <c r="S665" s="36">
        <v>0</v>
      </c>
      <c r="T665" s="7" t="s">
        <v>131</v>
      </c>
      <c r="U665" s="7" t="s">
        <v>654</v>
      </c>
      <c r="V665" s="7" t="s">
        <v>654</v>
      </c>
      <c r="W665" s="7" t="s">
        <v>1177</v>
      </c>
      <c r="X665" s="30">
        <v>1</v>
      </c>
      <c r="Y665" s="7" t="s">
        <v>1177</v>
      </c>
      <c r="Z665" s="7" t="s">
        <v>1178</v>
      </c>
      <c r="AA665" s="30">
        <v>0</v>
      </c>
      <c r="AB665" s="36">
        <v>0</v>
      </c>
      <c r="AC665" s="7" t="s">
        <v>1177</v>
      </c>
      <c r="AD665" s="37">
        <v>0</v>
      </c>
      <c r="AE665" s="7" t="s">
        <v>1177</v>
      </c>
      <c r="AF665" s="7" t="s">
        <v>1177</v>
      </c>
      <c r="AG665" s="7" t="s">
        <v>1177</v>
      </c>
      <c r="AH665" s="38"/>
      <c r="AI665" s="36">
        <v>0</v>
      </c>
      <c r="AJ665" s="7" t="s">
        <v>1193</v>
      </c>
      <c r="AK665" s="7" t="s">
        <v>1177</v>
      </c>
      <c r="AL665" s="7" t="s">
        <v>1177</v>
      </c>
      <c r="AM665" s="7" t="s">
        <v>1177</v>
      </c>
      <c r="AN665" s="7" t="s">
        <v>3212</v>
      </c>
      <c r="AO665" s="7" t="s">
        <v>1177</v>
      </c>
      <c r="AP665" s="7" t="s">
        <v>1177</v>
      </c>
      <c r="AQ665" s="7" t="s">
        <v>1177</v>
      </c>
      <c r="AR665" s="29">
        <v>0</v>
      </c>
      <c r="AS665" s="7" t="s">
        <v>1177</v>
      </c>
      <c r="AT665" s="7" t="s">
        <v>1363</v>
      </c>
      <c r="AU665" s="38">
        <v>46275</v>
      </c>
      <c r="AV665" s="39">
        <v>0.62336805555555996</v>
      </c>
    </row>
    <row r="666" spans="1:48" x14ac:dyDescent="0.35">
      <c r="A666" t="str">
        <f t="shared" si="10"/>
        <v>GP084217-001B833</v>
      </c>
      <c r="B666" s="7" t="s">
        <v>668</v>
      </c>
      <c r="C666" s="7" t="s">
        <v>698</v>
      </c>
      <c r="D666" s="7" t="s">
        <v>697</v>
      </c>
      <c r="E666" s="7" t="s">
        <v>1177</v>
      </c>
      <c r="F666" s="7" t="s">
        <v>128</v>
      </c>
      <c r="G666" s="7" t="s">
        <v>130</v>
      </c>
      <c r="H666" s="7" t="s">
        <v>129</v>
      </c>
      <c r="I666" s="30">
        <v>14</v>
      </c>
      <c r="J666" s="7" t="s">
        <v>1177</v>
      </c>
      <c r="K666" s="7" t="s">
        <v>1178</v>
      </c>
      <c r="L666" s="7" t="s">
        <v>132</v>
      </c>
      <c r="M666" s="7" t="s">
        <v>133</v>
      </c>
      <c r="N666" s="30">
        <v>0</v>
      </c>
      <c r="O666" s="30">
        <v>0</v>
      </c>
      <c r="P666" s="30">
        <v>0</v>
      </c>
      <c r="Q666" s="30">
        <v>0</v>
      </c>
      <c r="R666" s="29">
        <v>0</v>
      </c>
      <c r="S666" s="36">
        <v>0</v>
      </c>
      <c r="T666" s="7" t="s">
        <v>131</v>
      </c>
      <c r="U666" s="7" t="s">
        <v>699</v>
      </c>
      <c r="V666" s="7" t="s">
        <v>699</v>
      </c>
      <c r="W666" s="7" t="s">
        <v>1177</v>
      </c>
      <c r="X666" s="30">
        <v>4</v>
      </c>
      <c r="Y666" s="7" t="s">
        <v>1177</v>
      </c>
      <c r="Z666" s="7" t="s">
        <v>1178</v>
      </c>
      <c r="AA666" s="30">
        <v>0</v>
      </c>
      <c r="AB666" s="36">
        <v>0</v>
      </c>
      <c r="AC666" s="7" t="s">
        <v>1177</v>
      </c>
      <c r="AD666" s="37">
        <v>0</v>
      </c>
      <c r="AE666" s="7" t="s">
        <v>1177</v>
      </c>
      <c r="AF666" s="7" t="s">
        <v>1177</v>
      </c>
      <c r="AG666" s="7" t="s">
        <v>1177</v>
      </c>
      <c r="AH666" s="38"/>
      <c r="AI666" s="36">
        <v>0</v>
      </c>
      <c r="AJ666" s="7" t="s">
        <v>1193</v>
      </c>
      <c r="AK666" s="7" t="s">
        <v>1177</v>
      </c>
      <c r="AL666" s="7" t="s">
        <v>1177</v>
      </c>
      <c r="AM666" s="7" t="s">
        <v>1177</v>
      </c>
      <c r="AN666" s="7" t="s">
        <v>3212</v>
      </c>
      <c r="AO666" s="7" t="s">
        <v>1177</v>
      </c>
      <c r="AP666" s="7" t="s">
        <v>1177</v>
      </c>
      <c r="AQ666" s="7" t="s">
        <v>1177</v>
      </c>
      <c r="AR666" s="29">
        <v>0</v>
      </c>
      <c r="AS666" s="7" t="s">
        <v>1177</v>
      </c>
      <c r="AT666" s="7" t="s">
        <v>1363</v>
      </c>
      <c r="AU666" s="38">
        <v>46275</v>
      </c>
      <c r="AV666" s="39">
        <v>0.62350694444443999</v>
      </c>
    </row>
    <row r="667" spans="1:48" x14ac:dyDescent="0.35">
      <c r="A667" t="str">
        <f t="shared" si="10"/>
        <v>GP084723B832</v>
      </c>
      <c r="B667" s="7" t="s">
        <v>395</v>
      </c>
      <c r="C667" s="7" t="s">
        <v>653</v>
      </c>
      <c r="D667" s="7" t="s">
        <v>19</v>
      </c>
      <c r="E667" s="7" t="s">
        <v>1177</v>
      </c>
      <c r="F667" s="7" t="s">
        <v>128</v>
      </c>
      <c r="G667" s="7" t="s">
        <v>130</v>
      </c>
      <c r="H667" s="7" t="s">
        <v>129</v>
      </c>
      <c r="I667" s="30">
        <v>2</v>
      </c>
      <c r="J667" s="7" t="s">
        <v>1177</v>
      </c>
      <c r="K667" s="7" t="s">
        <v>1178</v>
      </c>
      <c r="L667" s="7" t="s">
        <v>132</v>
      </c>
      <c r="M667" s="7" t="s">
        <v>133</v>
      </c>
      <c r="N667" s="30">
        <v>0</v>
      </c>
      <c r="O667" s="30">
        <v>0</v>
      </c>
      <c r="P667" s="30">
        <v>0</v>
      </c>
      <c r="Q667" s="30">
        <v>0</v>
      </c>
      <c r="R667" s="29">
        <v>0</v>
      </c>
      <c r="S667" s="36">
        <v>0</v>
      </c>
      <c r="T667" s="7" t="s">
        <v>131</v>
      </c>
      <c r="U667" s="7" t="s">
        <v>654</v>
      </c>
      <c r="V667" s="7" t="s">
        <v>654</v>
      </c>
      <c r="W667" s="7" t="s">
        <v>1177</v>
      </c>
      <c r="X667" s="30">
        <v>1</v>
      </c>
      <c r="Y667" s="7" t="s">
        <v>1177</v>
      </c>
      <c r="Z667" s="7" t="s">
        <v>1178</v>
      </c>
      <c r="AA667" s="30">
        <v>0</v>
      </c>
      <c r="AB667" s="36">
        <v>0</v>
      </c>
      <c r="AC667" s="7" t="s">
        <v>1177</v>
      </c>
      <c r="AD667" s="37">
        <v>0</v>
      </c>
      <c r="AE667" s="7" t="s">
        <v>1177</v>
      </c>
      <c r="AF667" s="7" t="s">
        <v>1177</v>
      </c>
      <c r="AG667" s="7" t="s">
        <v>1177</v>
      </c>
      <c r="AH667" s="38"/>
      <c r="AI667" s="36">
        <v>0</v>
      </c>
      <c r="AJ667" s="7" t="s">
        <v>1193</v>
      </c>
      <c r="AK667" s="7" t="s">
        <v>1177</v>
      </c>
      <c r="AL667" s="7" t="s">
        <v>1177</v>
      </c>
      <c r="AM667" s="7" t="s">
        <v>1177</v>
      </c>
      <c r="AN667" s="7" t="s">
        <v>3212</v>
      </c>
      <c r="AO667" s="7" t="s">
        <v>1177</v>
      </c>
      <c r="AP667" s="7" t="s">
        <v>1177</v>
      </c>
      <c r="AQ667" s="7" t="s">
        <v>1177</v>
      </c>
      <c r="AR667" s="29">
        <v>0</v>
      </c>
      <c r="AS667" s="7" t="s">
        <v>1177</v>
      </c>
      <c r="AT667" s="7" t="s">
        <v>1363</v>
      </c>
      <c r="AU667" s="38">
        <v>46275</v>
      </c>
      <c r="AV667" s="39">
        <v>0.60394675925926</v>
      </c>
    </row>
    <row r="668" spans="1:48" x14ac:dyDescent="0.35">
      <c r="A668" t="str">
        <f t="shared" si="10"/>
        <v>GP086233B825</v>
      </c>
      <c r="B668" s="7" t="s">
        <v>542</v>
      </c>
      <c r="C668" s="7" t="s">
        <v>511</v>
      </c>
      <c r="D668" s="7" t="s">
        <v>16</v>
      </c>
      <c r="E668" s="7" t="s">
        <v>1177</v>
      </c>
      <c r="F668" s="7" t="s">
        <v>128</v>
      </c>
      <c r="G668" s="7" t="s">
        <v>130</v>
      </c>
      <c r="H668" s="7" t="s">
        <v>129</v>
      </c>
      <c r="I668" s="30">
        <v>2</v>
      </c>
      <c r="J668" s="7" t="s">
        <v>1177</v>
      </c>
      <c r="K668" s="7" t="s">
        <v>1178</v>
      </c>
      <c r="L668" s="7" t="s">
        <v>132</v>
      </c>
      <c r="M668" s="7" t="s">
        <v>133</v>
      </c>
      <c r="N668" s="30">
        <v>0</v>
      </c>
      <c r="O668" s="30">
        <v>0</v>
      </c>
      <c r="P668" s="30">
        <v>0</v>
      </c>
      <c r="Q668" s="30">
        <v>0</v>
      </c>
      <c r="R668" s="29">
        <v>0</v>
      </c>
      <c r="S668" s="36">
        <v>0</v>
      </c>
      <c r="T668" s="7" t="s">
        <v>131</v>
      </c>
      <c r="U668" s="7" t="s">
        <v>512</v>
      </c>
      <c r="V668" s="7" t="s">
        <v>512</v>
      </c>
      <c r="W668" s="7" t="s">
        <v>1177</v>
      </c>
      <c r="X668" s="30">
        <v>1</v>
      </c>
      <c r="Y668" s="7" t="s">
        <v>1177</v>
      </c>
      <c r="Z668" s="7" t="s">
        <v>1178</v>
      </c>
      <c r="AA668" s="30">
        <v>0</v>
      </c>
      <c r="AB668" s="36">
        <v>0</v>
      </c>
      <c r="AC668" s="7" t="s">
        <v>1177</v>
      </c>
      <c r="AD668" s="37">
        <v>0</v>
      </c>
      <c r="AE668" s="7" t="s">
        <v>1177</v>
      </c>
      <c r="AF668" s="7" t="s">
        <v>1177</v>
      </c>
      <c r="AG668" s="7" t="s">
        <v>1177</v>
      </c>
      <c r="AH668" s="38"/>
      <c r="AI668" s="36">
        <v>0</v>
      </c>
      <c r="AJ668" s="7" t="s">
        <v>1193</v>
      </c>
      <c r="AK668" s="7" t="s">
        <v>1177</v>
      </c>
      <c r="AL668" s="7" t="s">
        <v>1177</v>
      </c>
      <c r="AM668" s="7" t="s">
        <v>1177</v>
      </c>
      <c r="AN668" s="7" t="s">
        <v>3212</v>
      </c>
      <c r="AO668" s="7" t="s">
        <v>1177</v>
      </c>
      <c r="AP668" s="7" t="s">
        <v>1177</v>
      </c>
      <c r="AQ668" s="7" t="s">
        <v>1177</v>
      </c>
      <c r="AR668" s="29">
        <v>0</v>
      </c>
      <c r="AS668" s="7" t="s">
        <v>1177</v>
      </c>
      <c r="AT668" s="7" t="s">
        <v>1363</v>
      </c>
      <c r="AU668" s="38">
        <v>46275</v>
      </c>
      <c r="AV668" s="39">
        <v>0.62302083333333003</v>
      </c>
    </row>
    <row r="669" spans="1:48" x14ac:dyDescent="0.35">
      <c r="A669" t="str">
        <f t="shared" si="10"/>
        <v>GP087514B832</v>
      </c>
      <c r="B669" s="7" t="s">
        <v>669</v>
      </c>
      <c r="C669" s="7" t="s">
        <v>653</v>
      </c>
      <c r="D669" s="7" t="s">
        <v>19</v>
      </c>
      <c r="E669" s="7" t="s">
        <v>1177</v>
      </c>
      <c r="F669" s="7" t="s">
        <v>128</v>
      </c>
      <c r="G669" s="7" t="s">
        <v>130</v>
      </c>
      <c r="H669" s="7" t="s">
        <v>129</v>
      </c>
      <c r="I669" s="30">
        <v>2</v>
      </c>
      <c r="J669" s="7" t="s">
        <v>1177</v>
      </c>
      <c r="K669" s="7" t="s">
        <v>1178</v>
      </c>
      <c r="L669" s="7" t="s">
        <v>132</v>
      </c>
      <c r="M669" s="7" t="s">
        <v>133</v>
      </c>
      <c r="N669" s="30">
        <v>0</v>
      </c>
      <c r="O669" s="30">
        <v>0</v>
      </c>
      <c r="P669" s="30">
        <v>0</v>
      </c>
      <c r="Q669" s="30">
        <v>0</v>
      </c>
      <c r="R669" s="29">
        <v>0</v>
      </c>
      <c r="S669" s="36">
        <v>0</v>
      </c>
      <c r="T669" s="7" t="s">
        <v>131</v>
      </c>
      <c r="U669" s="7" t="s">
        <v>654</v>
      </c>
      <c r="V669" s="7" t="s">
        <v>654</v>
      </c>
      <c r="W669" s="7" t="s">
        <v>1177</v>
      </c>
      <c r="X669" s="30">
        <v>1</v>
      </c>
      <c r="Y669" s="7" t="s">
        <v>1177</v>
      </c>
      <c r="Z669" s="7" t="s">
        <v>1178</v>
      </c>
      <c r="AA669" s="30">
        <v>0</v>
      </c>
      <c r="AB669" s="36">
        <v>0</v>
      </c>
      <c r="AC669" s="7" t="s">
        <v>1177</v>
      </c>
      <c r="AD669" s="37">
        <v>0</v>
      </c>
      <c r="AE669" s="7" t="s">
        <v>1177</v>
      </c>
      <c r="AF669" s="7" t="s">
        <v>1177</v>
      </c>
      <c r="AG669" s="7" t="s">
        <v>1177</v>
      </c>
      <c r="AH669" s="38"/>
      <c r="AI669" s="36">
        <v>0</v>
      </c>
      <c r="AJ669" s="7" t="s">
        <v>1193</v>
      </c>
      <c r="AK669" s="7" t="s">
        <v>1177</v>
      </c>
      <c r="AL669" s="7" t="s">
        <v>1177</v>
      </c>
      <c r="AM669" s="7" t="s">
        <v>1177</v>
      </c>
      <c r="AN669" s="7" t="s">
        <v>3212</v>
      </c>
      <c r="AO669" s="7" t="s">
        <v>1177</v>
      </c>
      <c r="AP669" s="7" t="s">
        <v>1177</v>
      </c>
      <c r="AQ669" s="7" t="s">
        <v>1177</v>
      </c>
      <c r="AR669" s="29">
        <v>0</v>
      </c>
      <c r="AS669" s="7" t="s">
        <v>1177</v>
      </c>
      <c r="AT669" s="7" t="s">
        <v>1363</v>
      </c>
      <c r="AU669" s="38">
        <v>46275</v>
      </c>
      <c r="AV669" s="39">
        <v>0.60394675925926</v>
      </c>
    </row>
    <row r="670" spans="1:48" x14ac:dyDescent="0.35">
      <c r="A670" t="str">
        <f t="shared" si="10"/>
        <v>GP088284B856</v>
      </c>
      <c r="B670" s="7" t="s">
        <v>858</v>
      </c>
      <c r="C670" s="7" t="s">
        <v>852</v>
      </c>
      <c r="D670" s="7" t="s">
        <v>21</v>
      </c>
      <c r="E670" s="7" t="s">
        <v>1177</v>
      </c>
      <c r="F670" s="7" t="s">
        <v>128</v>
      </c>
      <c r="G670" s="7" t="s">
        <v>130</v>
      </c>
      <c r="H670" s="7" t="s">
        <v>129</v>
      </c>
      <c r="I670" s="30">
        <v>2</v>
      </c>
      <c r="J670" s="7" t="s">
        <v>1177</v>
      </c>
      <c r="K670" s="7" t="s">
        <v>1178</v>
      </c>
      <c r="L670" s="7" t="s">
        <v>132</v>
      </c>
      <c r="M670" s="7" t="s">
        <v>133</v>
      </c>
      <c r="N670" s="30">
        <v>0</v>
      </c>
      <c r="O670" s="30">
        <v>0</v>
      </c>
      <c r="P670" s="30">
        <v>0</v>
      </c>
      <c r="Q670" s="30">
        <v>0</v>
      </c>
      <c r="R670" s="29">
        <v>0</v>
      </c>
      <c r="S670" s="36">
        <v>0</v>
      </c>
      <c r="T670" s="7" t="s">
        <v>131</v>
      </c>
      <c r="U670" s="7" t="s">
        <v>853</v>
      </c>
      <c r="V670" s="7" t="s">
        <v>853</v>
      </c>
      <c r="W670" s="7" t="s">
        <v>1177</v>
      </c>
      <c r="X670" s="30">
        <v>1</v>
      </c>
      <c r="Y670" s="7" t="s">
        <v>1177</v>
      </c>
      <c r="Z670" s="7" t="s">
        <v>1178</v>
      </c>
      <c r="AA670" s="30">
        <v>0</v>
      </c>
      <c r="AB670" s="36">
        <v>0</v>
      </c>
      <c r="AC670" s="7" t="s">
        <v>1177</v>
      </c>
      <c r="AD670" s="37">
        <v>0</v>
      </c>
      <c r="AE670" s="7" t="s">
        <v>1177</v>
      </c>
      <c r="AF670" s="7" t="s">
        <v>1177</v>
      </c>
      <c r="AG670" s="7" t="s">
        <v>1177</v>
      </c>
      <c r="AH670" s="38"/>
      <c r="AI670" s="36">
        <v>0</v>
      </c>
      <c r="AJ670" s="7" t="s">
        <v>1193</v>
      </c>
      <c r="AK670" s="7" t="s">
        <v>1177</v>
      </c>
      <c r="AL670" s="7" t="s">
        <v>1177</v>
      </c>
      <c r="AM670" s="7" t="s">
        <v>1177</v>
      </c>
      <c r="AN670" s="7" t="s">
        <v>3212</v>
      </c>
      <c r="AO670" s="7" t="s">
        <v>1177</v>
      </c>
      <c r="AP670" s="7" t="s">
        <v>1177</v>
      </c>
      <c r="AQ670" s="7" t="s">
        <v>1177</v>
      </c>
      <c r="AR670" s="29">
        <v>0</v>
      </c>
      <c r="AS670" s="7" t="s">
        <v>1177</v>
      </c>
      <c r="AT670" s="7" t="s">
        <v>1363</v>
      </c>
      <c r="AU670" s="38">
        <v>46275</v>
      </c>
      <c r="AV670" s="39">
        <v>0.62490740740741002</v>
      </c>
    </row>
    <row r="671" spans="1:48" x14ac:dyDescent="0.35">
      <c r="A671" t="str">
        <f t="shared" si="10"/>
        <v>GP088285B856</v>
      </c>
      <c r="B671" s="7" t="s">
        <v>859</v>
      </c>
      <c r="C671" s="7" t="s">
        <v>852</v>
      </c>
      <c r="D671" s="7" t="s">
        <v>21</v>
      </c>
      <c r="E671" s="7" t="s">
        <v>1177</v>
      </c>
      <c r="F671" s="7" t="s">
        <v>128</v>
      </c>
      <c r="G671" s="7" t="s">
        <v>130</v>
      </c>
      <c r="H671" s="7" t="s">
        <v>129</v>
      </c>
      <c r="I671" s="30">
        <v>2</v>
      </c>
      <c r="J671" s="7" t="s">
        <v>1177</v>
      </c>
      <c r="K671" s="7" t="s">
        <v>1178</v>
      </c>
      <c r="L671" s="7" t="s">
        <v>132</v>
      </c>
      <c r="M671" s="7" t="s">
        <v>133</v>
      </c>
      <c r="N671" s="30">
        <v>0</v>
      </c>
      <c r="O671" s="30">
        <v>0</v>
      </c>
      <c r="P671" s="30">
        <v>0</v>
      </c>
      <c r="Q671" s="30">
        <v>0</v>
      </c>
      <c r="R671" s="29">
        <v>0</v>
      </c>
      <c r="S671" s="36">
        <v>0</v>
      </c>
      <c r="T671" s="7" t="s">
        <v>131</v>
      </c>
      <c r="U671" s="7" t="s">
        <v>853</v>
      </c>
      <c r="V671" s="7" t="s">
        <v>853</v>
      </c>
      <c r="W671" s="7" t="s">
        <v>1177</v>
      </c>
      <c r="X671" s="30">
        <v>1</v>
      </c>
      <c r="Y671" s="7" t="s">
        <v>1177</v>
      </c>
      <c r="Z671" s="7" t="s">
        <v>1178</v>
      </c>
      <c r="AA671" s="30">
        <v>0</v>
      </c>
      <c r="AB671" s="36">
        <v>0</v>
      </c>
      <c r="AC671" s="7" t="s">
        <v>1177</v>
      </c>
      <c r="AD671" s="37">
        <v>0</v>
      </c>
      <c r="AE671" s="7" t="s">
        <v>1177</v>
      </c>
      <c r="AF671" s="7" t="s">
        <v>1177</v>
      </c>
      <c r="AG671" s="7" t="s">
        <v>1177</v>
      </c>
      <c r="AH671" s="38"/>
      <c r="AI671" s="36">
        <v>0</v>
      </c>
      <c r="AJ671" s="7" t="s">
        <v>1193</v>
      </c>
      <c r="AK671" s="7" t="s">
        <v>1177</v>
      </c>
      <c r="AL671" s="7" t="s">
        <v>1177</v>
      </c>
      <c r="AM671" s="7" t="s">
        <v>1177</v>
      </c>
      <c r="AN671" s="7" t="s">
        <v>3212</v>
      </c>
      <c r="AO671" s="7" t="s">
        <v>1177</v>
      </c>
      <c r="AP671" s="7" t="s">
        <v>1177</v>
      </c>
      <c r="AQ671" s="7" t="s">
        <v>1177</v>
      </c>
      <c r="AR671" s="29">
        <v>0</v>
      </c>
      <c r="AS671" s="7" t="s">
        <v>1177</v>
      </c>
      <c r="AT671" s="7" t="s">
        <v>1363</v>
      </c>
      <c r="AU671" s="38">
        <v>46275</v>
      </c>
      <c r="AV671" s="39">
        <v>0.62486111111110998</v>
      </c>
    </row>
    <row r="672" spans="1:48" x14ac:dyDescent="0.35">
      <c r="A672" t="str">
        <f t="shared" si="10"/>
        <v>GP089087B825</v>
      </c>
      <c r="B672" s="7" t="s">
        <v>164</v>
      </c>
      <c r="C672" s="7" t="s">
        <v>511</v>
      </c>
      <c r="D672" s="7" t="s">
        <v>16</v>
      </c>
      <c r="E672" s="7" t="s">
        <v>1177</v>
      </c>
      <c r="F672" s="7" t="s">
        <v>134</v>
      </c>
      <c r="G672" s="7" t="s">
        <v>130</v>
      </c>
      <c r="H672" s="7" t="s">
        <v>129</v>
      </c>
      <c r="I672" s="30">
        <v>5</v>
      </c>
      <c r="J672" s="7" t="s">
        <v>1177</v>
      </c>
      <c r="K672" s="7" t="s">
        <v>1178</v>
      </c>
      <c r="L672" s="7" t="s">
        <v>132</v>
      </c>
      <c r="M672" s="7" t="s">
        <v>133</v>
      </c>
      <c r="N672" s="30">
        <v>0</v>
      </c>
      <c r="O672" s="30">
        <v>0</v>
      </c>
      <c r="P672" s="30">
        <v>0</v>
      </c>
      <c r="Q672" s="30">
        <v>0</v>
      </c>
      <c r="R672" s="29">
        <v>0</v>
      </c>
      <c r="S672" s="36">
        <v>0</v>
      </c>
      <c r="T672" s="7" t="s">
        <v>131</v>
      </c>
      <c r="U672" s="7" t="s">
        <v>512</v>
      </c>
      <c r="V672" s="7" t="s">
        <v>512</v>
      </c>
      <c r="W672" s="7" t="s">
        <v>1177</v>
      </c>
      <c r="X672" s="30">
        <v>5</v>
      </c>
      <c r="Y672" s="7" t="s">
        <v>1177</v>
      </c>
      <c r="Z672" s="7" t="s">
        <v>1178</v>
      </c>
      <c r="AA672" s="30">
        <v>0</v>
      </c>
      <c r="AB672" s="36">
        <v>0</v>
      </c>
      <c r="AC672" s="7" t="s">
        <v>1177</v>
      </c>
      <c r="AD672" s="37">
        <v>0</v>
      </c>
      <c r="AE672" s="7" t="s">
        <v>1177</v>
      </c>
      <c r="AF672" s="7" t="s">
        <v>1177</v>
      </c>
      <c r="AG672" s="7" t="s">
        <v>1177</v>
      </c>
      <c r="AH672" s="38"/>
      <c r="AI672" s="36">
        <v>0</v>
      </c>
      <c r="AJ672" s="7" t="s">
        <v>1193</v>
      </c>
      <c r="AK672" s="7" t="s">
        <v>1177</v>
      </c>
      <c r="AL672" s="7" t="s">
        <v>1177</v>
      </c>
      <c r="AM672" s="7" t="s">
        <v>1177</v>
      </c>
      <c r="AN672" s="7" t="s">
        <v>3212</v>
      </c>
      <c r="AO672" s="7" t="s">
        <v>1177</v>
      </c>
      <c r="AP672" s="7" t="s">
        <v>1177</v>
      </c>
      <c r="AQ672" s="7" t="s">
        <v>1177</v>
      </c>
      <c r="AR672" s="29">
        <v>0</v>
      </c>
      <c r="AS672" s="7" t="s">
        <v>1177</v>
      </c>
      <c r="AT672" s="7" t="s">
        <v>1363</v>
      </c>
      <c r="AU672" s="38">
        <v>46275</v>
      </c>
      <c r="AV672" s="39">
        <v>0.60353009259259005</v>
      </c>
    </row>
    <row r="673" spans="1:48" x14ac:dyDescent="0.35">
      <c r="A673" t="str">
        <f t="shared" si="10"/>
        <v>GP089087B856</v>
      </c>
      <c r="B673" s="7" t="s">
        <v>164</v>
      </c>
      <c r="C673" s="7" t="s">
        <v>852</v>
      </c>
      <c r="D673" s="7" t="s">
        <v>21</v>
      </c>
      <c r="E673" s="7" t="s">
        <v>1177</v>
      </c>
      <c r="F673" s="7" t="s">
        <v>134</v>
      </c>
      <c r="G673" s="7" t="s">
        <v>130</v>
      </c>
      <c r="H673" s="7" t="s">
        <v>129</v>
      </c>
      <c r="I673" s="30">
        <v>48</v>
      </c>
      <c r="J673" s="7" t="s">
        <v>1177</v>
      </c>
      <c r="K673" s="7" t="s">
        <v>1178</v>
      </c>
      <c r="L673" s="7" t="s">
        <v>132</v>
      </c>
      <c r="M673" s="7" t="s">
        <v>133</v>
      </c>
      <c r="N673" s="30">
        <v>0</v>
      </c>
      <c r="O673" s="30">
        <v>0</v>
      </c>
      <c r="P673" s="30">
        <v>0</v>
      </c>
      <c r="Q673" s="30">
        <v>0</v>
      </c>
      <c r="R673" s="29">
        <v>0</v>
      </c>
      <c r="S673" s="36">
        <v>0</v>
      </c>
      <c r="T673" s="7" t="s">
        <v>131</v>
      </c>
      <c r="U673" s="7" t="s">
        <v>853</v>
      </c>
      <c r="V673" s="7" t="s">
        <v>853</v>
      </c>
      <c r="W673" s="7" t="s">
        <v>1177</v>
      </c>
      <c r="X673" s="30">
        <v>48</v>
      </c>
      <c r="Y673" s="7" t="s">
        <v>1177</v>
      </c>
      <c r="Z673" s="7" t="s">
        <v>1178</v>
      </c>
      <c r="AA673" s="30">
        <v>0</v>
      </c>
      <c r="AB673" s="36">
        <v>0</v>
      </c>
      <c r="AC673" s="7" t="s">
        <v>1177</v>
      </c>
      <c r="AD673" s="37">
        <v>0</v>
      </c>
      <c r="AE673" s="7" t="s">
        <v>1177</v>
      </c>
      <c r="AF673" s="7" t="s">
        <v>1177</v>
      </c>
      <c r="AG673" s="7" t="s">
        <v>1177</v>
      </c>
      <c r="AH673" s="38"/>
      <c r="AI673" s="36">
        <v>0</v>
      </c>
      <c r="AJ673" s="7" t="s">
        <v>1193</v>
      </c>
      <c r="AK673" s="7" t="s">
        <v>1177</v>
      </c>
      <c r="AL673" s="7" t="s">
        <v>1177</v>
      </c>
      <c r="AM673" s="7" t="s">
        <v>1177</v>
      </c>
      <c r="AN673" s="7" t="s">
        <v>3212</v>
      </c>
      <c r="AO673" s="7" t="s">
        <v>1177</v>
      </c>
      <c r="AP673" s="7" t="s">
        <v>1177</v>
      </c>
      <c r="AQ673" s="7" t="s">
        <v>1177</v>
      </c>
      <c r="AR673" s="29">
        <v>0</v>
      </c>
      <c r="AS673" s="7" t="s">
        <v>1177</v>
      </c>
      <c r="AT673" s="7" t="s">
        <v>1363</v>
      </c>
      <c r="AU673" s="38">
        <v>46275</v>
      </c>
      <c r="AV673" s="39">
        <v>0.60521990740741005</v>
      </c>
    </row>
    <row r="674" spans="1:48" x14ac:dyDescent="0.35">
      <c r="A674" t="str">
        <f t="shared" si="10"/>
        <v>GP089087B857</v>
      </c>
      <c r="B674" s="7" t="s">
        <v>164</v>
      </c>
      <c r="C674" s="7" t="s">
        <v>958</v>
      </c>
      <c r="D674" s="7" t="s">
        <v>23</v>
      </c>
      <c r="E674" s="7" t="s">
        <v>1177</v>
      </c>
      <c r="F674" s="7" t="s">
        <v>134</v>
      </c>
      <c r="G674" s="7" t="s">
        <v>130</v>
      </c>
      <c r="H674" s="7" t="s">
        <v>129</v>
      </c>
      <c r="I674" s="30">
        <v>33</v>
      </c>
      <c r="J674" s="7" t="s">
        <v>1177</v>
      </c>
      <c r="K674" s="7" t="s">
        <v>1178</v>
      </c>
      <c r="L674" s="7" t="s">
        <v>132</v>
      </c>
      <c r="M674" s="7" t="s">
        <v>133</v>
      </c>
      <c r="N674" s="30">
        <v>0</v>
      </c>
      <c r="O674" s="30">
        <v>0</v>
      </c>
      <c r="P674" s="30">
        <v>0</v>
      </c>
      <c r="Q674" s="30">
        <v>0</v>
      </c>
      <c r="R674" s="29">
        <v>0</v>
      </c>
      <c r="S674" s="36">
        <v>0</v>
      </c>
      <c r="T674" s="7" t="s">
        <v>131</v>
      </c>
      <c r="U674" s="7" t="s">
        <v>959</v>
      </c>
      <c r="V674" s="7" t="s">
        <v>959</v>
      </c>
      <c r="W674" s="7" t="s">
        <v>1177</v>
      </c>
      <c r="X674" s="30">
        <v>33</v>
      </c>
      <c r="Y674" s="7" t="s">
        <v>1177</v>
      </c>
      <c r="Z674" s="7" t="s">
        <v>1178</v>
      </c>
      <c r="AA674" s="30">
        <v>0</v>
      </c>
      <c r="AB674" s="36">
        <v>0</v>
      </c>
      <c r="AC674" s="7" t="s">
        <v>1177</v>
      </c>
      <c r="AD674" s="37">
        <v>0</v>
      </c>
      <c r="AE674" s="7" t="s">
        <v>1177</v>
      </c>
      <c r="AF674" s="7" t="s">
        <v>1177</v>
      </c>
      <c r="AG674" s="7" t="s">
        <v>1177</v>
      </c>
      <c r="AH674" s="38"/>
      <c r="AI674" s="36">
        <v>0</v>
      </c>
      <c r="AJ674" s="7" t="s">
        <v>1193</v>
      </c>
      <c r="AK674" s="7" t="s">
        <v>1177</v>
      </c>
      <c r="AL674" s="7" t="s">
        <v>1177</v>
      </c>
      <c r="AM674" s="7" t="s">
        <v>1177</v>
      </c>
      <c r="AN674" s="7" t="s">
        <v>3212</v>
      </c>
      <c r="AO674" s="7" t="s">
        <v>1177</v>
      </c>
      <c r="AP674" s="7" t="s">
        <v>1177</v>
      </c>
      <c r="AQ674" s="7" t="s">
        <v>1177</v>
      </c>
      <c r="AR674" s="29">
        <v>0</v>
      </c>
      <c r="AS674" s="7" t="s">
        <v>1177</v>
      </c>
      <c r="AT674" s="7" t="s">
        <v>1363</v>
      </c>
      <c r="AU674" s="38">
        <v>46275</v>
      </c>
      <c r="AV674" s="39">
        <v>0.60530092592592999</v>
      </c>
    </row>
    <row r="675" spans="1:48" x14ac:dyDescent="0.35">
      <c r="A675" t="str">
        <f t="shared" si="10"/>
        <v>GP089087B864</v>
      </c>
      <c r="B675" s="7" t="s">
        <v>164</v>
      </c>
      <c r="C675" s="7" t="s">
        <v>1010</v>
      </c>
      <c r="D675" s="7" t="s">
        <v>10</v>
      </c>
      <c r="E675" s="7" t="s">
        <v>1177</v>
      </c>
      <c r="F675" s="7" t="s">
        <v>134</v>
      </c>
      <c r="G675" s="7" t="s">
        <v>130</v>
      </c>
      <c r="H675" s="7" t="s">
        <v>129</v>
      </c>
      <c r="I675" s="30">
        <v>2</v>
      </c>
      <c r="J675" s="7" t="s">
        <v>1177</v>
      </c>
      <c r="K675" s="7" t="s">
        <v>1178</v>
      </c>
      <c r="L675" s="7" t="s">
        <v>132</v>
      </c>
      <c r="M675" s="7" t="s">
        <v>133</v>
      </c>
      <c r="N675" s="30">
        <v>0</v>
      </c>
      <c r="O675" s="30">
        <v>0</v>
      </c>
      <c r="P675" s="30">
        <v>0</v>
      </c>
      <c r="Q675" s="30">
        <v>0</v>
      </c>
      <c r="R675" s="29">
        <v>0</v>
      </c>
      <c r="S675" s="36">
        <v>0</v>
      </c>
      <c r="T675" s="7" t="s">
        <v>131</v>
      </c>
      <c r="U675" s="7" t="s">
        <v>1011</v>
      </c>
      <c r="V675" s="7" t="s">
        <v>1011</v>
      </c>
      <c r="W675" s="7" t="s">
        <v>1177</v>
      </c>
      <c r="X675" s="30">
        <v>2</v>
      </c>
      <c r="Y675" s="7" t="s">
        <v>1177</v>
      </c>
      <c r="Z675" s="7" t="s">
        <v>1178</v>
      </c>
      <c r="AA675" s="30">
        <v>0</v>
      </c>
      <c r="AB675" s="36">
        <v>0</v>
      </c>
      <c r="AC675" s="7" t="s">
        <v>1177</v>
      </c>
      <c r="AD675" s="37">
        <v>0</v>
      </c>
      <c r="AE675" s="7" t="s">
        <v>1177</v>
      </c>
      <c r="AF675" s="7" t="s">
        <v>1177</v>
      </c>
      <c r="AG675" s="7" t="s">
        <v>1177</v>
      </c>
      <c r="AH675" s="38"/>
      <c r="AI675" s="36">
        <v>0</v>
      </c>
      <c r="AJ675" s="7" t="s">
        <v>1193</v>
      </c>
      <c r="AK675" s="7" t="s">
        <v>1177</v>
      </c>
      <c r="AL675" s="7" t="s">
        <v>1177</v>
      </c>
      <c r="AM675" s="7" t="s">
        <v>1177</v>
      </c>
      <c r="AN675" s="7" t="s">
        <v>3212</v>
      </c>
      <c r="AO675" s="7" t="s">
        <v>1177</v>
      </c>
      <c r="AP675" s="7" t="s">
        <v>1177</v>
      </c>
      <c r="AQ675" s="7" t="s">
        <v>1177</v>
      </c>
      <c r="AR675" s="29">
        <v>0</v>
      </c>
      <c r="AS675" s="7" t="s">
        <v>1177</v>
      </c>
      <c r="AT675" s="7" t="s">
        <v>1363</v>
      </c>
      <c r="AU675" s="38">
        <v>46275</v>
      </c>
      <c r="AV675" s="39">
        <v>0.60542824074073998</v>
      </c>
    </row>
    <row r="676" spans="1:48" x14ac:dyDescent="0.35">
      <c r="A676" t="str">
        <f t="shared" si="10"/>
        <v>GP089087B865</v>
      </c>
      <c r="B676" s="7" t="s">
        <v>164</v>
      </c>
      <c r="C676" s="7" t="s">
        <v>1039</v>
      </c>
      <c r="D676" s="7" t="s">
        <v>7</v>
      </c>
      <c r="E676" s="7" t="s">
        <v>1177</v>
      </c>
      <c r="F676" s="7" t="s">
        <v>134</v>
      </c>
      <c r="G676" s="7" t="s">
        <v>130</v>
      </c>
      <c r="H676" s="7" t="s">
        <v>129</v>
      </c>
      <c r="I676" s="30">
        <v>12</v>
      </c>
      <c r="J676" s="7" t="s">
        <v>1177</v>
      </c>
      <c r="K676" s="7" t="s">
        <v>1178</v>
      </c>
      <c r="L676" s="7" t="s">
        <v>132</v>
      </c>
      <c r="M676" s="7" t="s">
        <v>133</v>
      </c>
      <c r="N676" s="30">
        <v>0</v>
      </c>
      <c r="O676" s="30">
        <v>0</v>
      </c>
      <c r="P676" s="30">
        <v>0</v>
      </c>
      <c r="Q676" s="30">
        <v>0</v>
      </c>
      <c r="R676" s="29">
        <v>0</v>
      </c>
      <c r="S676" s="36">
        <v>0</v>
      </c>
      <c r="T676" s="7" t="s">
        <v>131</v>
      </c>
      <c r="U676" s="7" t="s">
        <v>1040</v>
      </c>
      <c r="V676" s="7" t="s">
        <v>1040</v>
      </c>
      <c r="W676" s="7" t="s">
        <v>1177</v>
      </c>
      <c r="X676" s="30">
        <v>12</v>
      </c>
      <c r="Y676" s="7" t="s">
        <v>1177</v>
      </c>
      <c r="Z676" s="7" t="s">
        <v>1178</v>
      </c>
      <c r="AA676" s="30">
        <v>0</v>
      </c>
      <c r="AB676" s="36">
        <v>0</v>
      </c>
      <c r="AC676" s="7" t="s">
        <v>1177</v>
      </c>
      <c r="AD676" s="37">
        <v>0</v>
      </c>
      <c r="AE676" s="7" t="s">
        <v>1177</v>
      </c>
      <c r="AF676" s="7" t="s">
        <v>1177</v>
      </c>
      <c r="AG676" s="7" t="s">
        <v>1177</v>
      </c>
      <c r="AH676" s="38"/>
      <c r="AI676" s="36">
        <v>0</v>
      </c>
      <c r="AJ676" s="7" t="s">
        <v>1193</v>
      </c>
      <c r="AK676" s="7" t="s">
        <v>1177</v>
      </c>
      <c r="AL676" s="7" t="s">
        <v>1177</v>
      </c>
      <c r="AM676" s="7" t="s">
        <v>1177</v>
      </c>
      <c r="AN676" s="7" t="s">
        <v>3212</v>
      </c>
      <c r="AO676" s="7" t="s">
        <v>1177</v>
      </c>
      <c r="AP676" s="7" t="s">
        <v>1177</v>
      </c>
      <c r="AQ676" s="7" t="s">
        <v>1177</v>
      </c>
      <c r="AR676" s="29">
        <v>0</v>
      </c>
      <c r="AS676" s="7" t="s">
        <v>1177</v>
      </c>
      <c r="AT676" s="7" t="s">
        <v>1363</v>
      </c>
      <c r="AU676" s="38">
        <v>46275</v>
      </c>
      <c r="AV676" s="39">
        <v>0.60552083333332996</v>
      </c>
    </row>
    <row r="677" spans="1:48" x14ac:dyDescent="0.35">
      <c r="A677" t="str">
        <f t="shared" si="10"/>
        <v>GP089087B867</v>
      </c>
      <c r="B677" s="7" t="s">
        <v>164</v>
      </c>
      <c r="C677" s="7" t="s">
        <v>1059</v>
      </c>
      <c r="D677" s="7" t="s">
        <v>25</v>
      </c>
      <c r="E677" s="7" t="s">
        <v>1177</v>
      </c>
      <c r="F677" s="7" t="s">
        <v>134</v>
      </c>
      <c r="G677" s="7" t="s">
        <v>130</v>
      </c>
      <c r="H677" s="7" t="s">
        <v>129</v>
      </c>
      <c r="I677" s="30">
        <v>39</v>
      </c>
      <c r="J677" s="7" t="s">
        <v>1177</v>
      </c>
      <c r="K677" s="7" t="s">
        <v>1178</v>
      </c>
      <c r="L677" s="7" t="s">
        <v>132</v>
      </c>
      <c r="M677" s="7" t="s">
        <v>133</v>
      </c>
      <c r="N677" s="30">
        <v>0</v>
      </c>
      <c r="O677" s="30">
        <v>0</v>
      </c>
      <c r="P677" s="30">
        <v>0</v>
      </c>
      <c r="Q677" s="30">
        <v>0</v>
      </c>
      <c r="R677" s="29">
        <v>0</v>
      </c>
      <c r="S677" s="36">
        <v>0</v>
      </c>
      <c r="T677" s="7" t="s">
        <v>131</v>
      </c>
      <c r="U677" s="7" t="s">
        <v>1060</v>
      </c>
      <c r="V677" s="7" t="s">
        <v>1060</v>
      </c>
      <c r="W677" s="7" t="s">
        <v>1177</v>
      </c>
      <c r="X677" s="30">
        <v>39</v>
      </c>
      <c r="Y677" s="7" t="s">
        <v>1177</v>
      </c>
      <c r="Z677" s="7" t="s">
        <v>1178</v>
      </c>
      <c r="AA677" s="30">
        <v>0</v>
      </c>
      <c r="AB677" s="36">
        <v>0</v>
      </c>
      <c r="AC677" s="7" t="s">
        <v>1177</v>
      </c>
      <c r="AD677" s="37">
        <v>0</v>
      </c>
      <c r="AE677" s="7" t="s">
        <v>1177</v>
      </c>
      <c r="AF677" s="7" t="s">
        <v>1177</v>
      </c>
      <c r="AG677" s="7" t="s">
        <v>1177</v>
      </c>
      <c r="AH677" s="38"/>
      <c r="AI677" s="36">
        <v>0</v>
      </c>
      <c r="AJ677" s="7" t="s">
        <v>1193</v>
      </c>
      <c r="AK677" s="7" t="s">
        <v>1177</v>
      </c>
      <c r="AL677" s="7" t="s">
        <v>1177</v>
      </c>
      <c r="AM677" s="7" t="s">
        <v>1177</v>
      </c>
      <c r="AN677" s="7" t="s">
        <v>3212</v>
      </c>
      <c r="AO677" s="7" t="s">
        <v>1177</v>
      </c>
      <c r="AP677" s="7" t="s">
        <v>1177</v>
      </c>
      <c r="AQ677" s="7" t="s">
        <v>1177</v>
      </c>
      <c r="AR677" s="29">
        <v>0</v>
      </c>
      <c r="AS677" s="7" t="s">
        <v>1177</v>
      </c>
      <c r="AT677" s="7" t="s">
        <v>1363</v>
      </c>
      <c r="AU677" s="38">
        <v>46275</v>
      </c>
      <c r="AV677" s="39">
        <v>0.60565972222221998</v>
      </c>
    </row>
    <row r="678" spans="1:48" x14ac:dyDescent="0.35">
      <c r="A678" t="str">
        <f t="shared" si="10"/>
        <v>GP091014B825</v>
      </c>
      <c r="B678" s="7" t="s">
        <v>52</v>
      </c>
      <c r="C678" s="7" t="s">
        <v>511</v>
      </c>
      <c r="D678" s="7" t="s">
        <v>16</v>
      </c>
      <c r="E678" s="7" t="s">
        <v>1177</v>
      </c>
      <c r="F678" s="7" t="s">
        <v>128</v>
      </c>
      <c r="G678" s="7" t="s">
        <v>130</v>
      </c>
      <c r="H678" s="7" t="s">
        <v>129</v>
      </c>
      <c r="I678" s="30">
        <v>1</v>
      </c>
      <c r="J678" s="7" t="s">
        <v>1177</v>
      </c>
      <c r="K678" s="7" t="s">
        <v>1178</v>
      </c>
      <c r="L678" s="7" t="s">
        <v>132</v>
      </c>
      <c r="M678" s="7" t="s">
        <v>133</v>
      </c>
      <c r="N678" s="30">
        <v>0</v>
      </c>
      <c r="O678" s="30">
        <v>0</v>
      </c>
      <c r="P678" s="30">
        <v>0</v>
      </c>
      <c r="Q678" s="30">
        <v>0</v>
      </c>
      <c r="R678" s="29">
        <v>0</v>
      </c>
      <c r="S678" s="36">
        <v>0</v>
      </c>
      <c r="T678" s="7" t="s">
        <v>131</v>
      </c>
      <c r="U678" s="7" t="s">
        <v>512</v>
      </c>
      <c r="V678" s="7" t="s">
        <v>512</v>
      </c>
      <c r="W678" s="7" t="s">
        <v>1177</v>
      </c>
      <c r="X678" s="30">
        <v>1</v>
      </c>
      <c r="Y678" s="7" t="s">
        <v>1177</v>
      </c>
      <c r="Z678" s="7" t="s">
        <v>1178</v>
      </c>
      <c r="AA678" s="30">
        <v>0</v>
      </c>
      <c r="AB678" s="36">
        <v>0</v>
      </c>
      <c r="AC678" s="7" t="s">
        <v>1177</v>
      </c>
      <c r="AD678" s="37">
        <v>0</v>
      </c>
      <c r="AE678" s="7" t="s">
        <v>1177</v>
      </c>
      <c r="AF678" s="7" t="s">
        <v>1177</v>
      </c>
      <c r="AG678" s="7" t="s">
        <v>1177</v>
      </c>
      <c r="AH678" s="38"/>
      <c r="AI678" s="36">
        <v>0</v>
      </c>
      <c r="AJ678" s="7" t="s">
        <v>1193</v>
      </c>
      <c r="AK678" s="7" t="s">
        <v>1177</v>
      </c>
      <c r="AL678" s="7" t="s">
        <v>1177</v>
      </c>
      <c r="AM678" s="7" t="s">
        <v>1177</v>
      </c>
      <c r="AN678" s="7" t="s">
        <v>3212</v>
      </c>
      <c r="AO678" s="7" t="s">
        <v>1177</v>
      </c>
      <c r="AP678" s="7" t="s">
        <v>1177</v>
      </c>
      <c r="AQ678" s="7" t="s">
        <v>1177</v>
      </c>
      <c r="AR678" s="29">
        <v>0</v>
      </c>
      <c r="AS678" s="7" t="s">
        <v>1177</v>
      </c>
      <c r="AT678" s="7" t="s">
        <v>1363</v>
      </c>
      <c r="AU678" s="38">
        <v>46275</v>
      </c>
      <c r="AV678" s="39">
        <v>0.60349537037037004</v>
      </c>
    </row>
    <row r="679" spans="1:48" x14ac:dyDescent="0.35">
      <c r="A679" t="str">
        <f t="shared" si="10"/>
        <v>GP091016B825</v>
      </c>
      <c r="B679" s="7" t="s">
        <v>249</v>
      </c>
      <c r="C679" s="7" t="s">
        <v>511</v>
      </c>
      <c r="D679" s="7" t="s">
        <v>16</v>
      </c>
      <c r="E679" s="7" t="s">
        <v>1177</v>
      </c>
      <c r="F679" s="7" t="s">
        <v>128</v>
      </c>
      <c r="G679" s="7" t="s">
        <v>130</v>
      </c>
      <c r="H679" s="7" t="s">
        <v>129</v>
      </c>
      <c r="I679" s="30">
        <v>2</v>
      </c>
      <c r="J679" s="7" t="s">
        <v>1177</v>
      </c>
      <c r="K679" s="7" t="s">
        <v>1178</v>
      </c>
      <c r="L679" s="7" t="s">
        <v>132</v>
      </c>
      <c r="M679" s="7" t="s">
        <v>133</v>
      </c>
      <c r="N679" s="30">
        <v>0</v>
      </c>
      <c r="O679" s="30">
        <v>0</v>
      </c>
      <c r="P679" s="30">
        <v>0</v>
      </c>
      <c r="Q679" s="30">
        <v>0</v>
      </c>
      <c r="R679" s="29">
        <v>0</v>
      </c>
      <c r="S679" s="36">
        <v>0</v>
      </c>
      <c r="T679" s="7" t="s">
        <v>131</v>
      </c>
      <c r="U679" s="7" t="s">
        <v>512</v>
      </c>
      <c r="V679" s="7" t="s">
        <v>512</v>
      </c>
      <c r="W679" s="7" t="s">
        <v>1177</v>
      </c>
      <c r="X679" s="30">
        <v>1</v>
      </c>
      <c r="Y679" s="7" t="s">
        <v>1177</v>
      </c>
      <c r="Z679" s="7" t="s">
        <v>1178</v>
      </c>
      <c r="AA679" s="30">
        <v>0</v>
      </c>
      <c r="AB679" s="36">
        <v>0</v>
      </c>
      <c r="AC679" s="7" t="s">
        <v>1177</v>
      </c>
      <c r="AD679" s="37">
        <v>0</v>
      </c>
      <c r="AE679" s="7" t="s">
        <v>1177</v>
      </c>
      <c r="AF679" s="7" t="s">
        <v>1177</v>
      </c>
      <c r="AG679" s="7" t="s">
        <v>1177</v>
      </c>
      <c r="AH679" s="38"/>
      <c r="AI679" s="36">
        <v>0</v>
      </c>
      <c r="AJ679" s="7" t="s">
        <v>1193</v>
      </c>
      <c r="AK679" s="7" t="s">
        <v>1177</v>
      </c>
      <c r="AL679" s="7" t="s">
        <v>1177</v>
      </c>
      <c r="AM679" s="7" t="s">
        <v>1177</v>
      </c>
      <c r="AN679" s="7" t="s">
        <v>3212</v>
      </c>
      <c r="AO679" s="7" t="s">
        <v>1177</v>
      </c>
      <c r="AP679" s="7" t="s">
        <v>1177</v>
      </c>
      <c r="AQ679" s="7" t="s">
        <v>1177</v>
      </c>
      <c r="AR679" s="29">
        <v>0</v>
      </c>
      <c r="AS679" s="7" t="s">
        <v>1177</v>
      </c>
      <c r="AT679" s="7" t="s">
        <v>1363</v>
      </c>
      <c r="AU679" s="38">
        <v>46275</v>
      </c>
      <c r="AV679" s="39">
        <v>0.60349537037037004</v>
      </c>
    </row>
    <row r="680" spans="1:48" x14ac:dyDescent="0.35">
      <c r="A680" t="str">
        <f t="shared" si="10"/>
        <v>GP091016B832</v>
      </c>
      <c r="B680" s="7" t="s">
        <v>249</v>
      </c>
      <c r="C680" s="7" t="s">
        <v>653</v>
      </c>
      <c r="D680" s="7" t="s">
        <v>19</v>
      </c>
      <c r="E680" s="7" t="s">
        <v>1177</v>
      </c>
      <c r="F680" s="7" t="s">
        <v>128</v>
      </c>
      <c r="G680" s="7" t="s">
        <v>130</v>
      </c>
      <c r="H680" s="7" t="s">
        <v>129</v>
      </c>
      <c r="I680" s="30">
        <v>4</v>
      </c>
      <c r="J680" s="7" t="s">
        <v>1177</v>
      </c>
      <c r="K680" s="7" t="s">
        <v>1178</v>
      </c>
      <c r="L680" s="7" t="s">
        <v>132</v>
      </c>
      <c r="M680" s="7" t="s">
        <v>133</v>
      </c>
      <c r="N680" s="30">
        <v>0</v>
      </c>
      <c r="O680" s="30">
        <v>0</v>
      </c>
      <c r="P680" s="30">
        <v>0</v>
      </c>
      <c r="Q680" s="30">
        <v>0</v>
      </c>
      <c r="R680" s="29">
        <v>0</v>
      </c>
      <c r="S680" s="36">
        <v>0</v>
      </c>
      <c r="T680" s="7" t="s">
        <v>131</v>
      </c>
      <c r="U680" s="7" t="s">
        <v>654</v>
      </c>
      <c r="V680" s="7" t="s">
        <v>654</v>
      </c>
      <c r="W680" s="7" t="s">
        <v>1177</v>
      </c>
      <c r="X680" s="30">
        <v>1</v>
      </c>
      <c r="Y680" s="7" t="s">
        <v>1177</v>
      </c>
      <c r="Z680" s="7" t="s">
        <v>1178</v>
      </c>
      <c r="AA680" s="30">
        <v>0</v>
      </c>
      <c r="AB680" s="36">
        <v>0</v>
      </c>
      <c r="AC680" s="7" t="s">
        <v>1177</v>
      </c>
      <c r="AD680" s="37">
        <v>0</v>
      </c>
      <c r="AE680" s="7" t="s">
        <v>1177</v>
      </c>
      <c r="AF680" s="7" t="s">
        <v>1177</v>
      </c>
      <c r="AG680" s="7" t="s">
        <v>1177</v>
      </c>
      <c r="AH680" s="38"/>
      <c r="AI680" s="36">
        <v>0</v>
      </c>
      <c r="AJ680" s="7" t="s">
        <v>1193</v>
      </c>
      <c r="AK680" s="7" t="s">
        <v>1177</v>
      </c>
      <c r="AL680" s="7" t="s">
        <v>1177</v>
      </c>
      <c r="AM680" s="7" t="s">
        <v>1177</v>
      </c>
      <c r="AN680" s="7" t="s">
        <v>3212</v>
      </c>
      <c r="AO680" s="7" t="s">
        <v>1177</v>
      </c>
      <c r="AP680" s="7" t="s">
        <v>1177</v>
      </c>
      <c r="AQ680" s="7" t="s">
        <v>1177</v>
      </c>
      <c r="AR680" s="29">
        <v>0</v>
      </c>
      <c r="AS680" s="7" t="s">
        <v>1177</v>
      </c>
      <c r="AT680" s="7" t="s">
        <v>1363</v>
      </c>
      <c r="AU680" s="38">
        <v>46275</v>
      </c>
      <c r="AV680" s="39">
        <v>0.60394675925926</v>
      </c>
    </row>
    <row r="681" spans="1:48" x14ac:dyDescent="0.35">
      <c r="A681" t="str">
        <f t="shared" si="10"/>
        <v>GP091016B838</v>
      </c>
      <c r="B681" s="7" t="s">
        <v>249</v>
      </c>
      <c r="C681" s="7" t="s">
        <v>744</v>
      </c>
      <c r="D681" s="7" t="s">
        <v>48</v>
      </c>
      <c r="E681" s="7" t="s">
        <v>1177</v>
      </c>
      <c r="F681" s="7" t="s">
        <v>128</v>
      </c>
      <c r="G681" s="7" t="s">
        <v>130</v>
      </c>
      <c r="H681" s="7" t="s">
        <v>129</v>
      </c>
      <c r="I681" s="30">
        <v>2</v>
      </c>
      <c r="J681" s="7" t="s">
        <v>1177</v>
      </c>
      <c r="K681" s="7" t="s">
        <v>1178</v>
      </c>
      <c r="L681" s="7" t="s">
        <v>132</v>
      </c>
      <c r="M681" s="7" t="s">
        <v>133</v>
      </c>
      <c r="N681" s="30">
        <v>0</v>
      </c>
      <c r="O681" s="30">
        <v>0</v>
      </c>
      <c r="P681" s="30">
        <v>0</v>
      </c>
      <c r="Q681" s="30">
        <v>0</v>
      </c>
      <c r="R681" s="29">
        <v>0</v>
      </c>
      <c r="S681" s="36">
        <v>0</v>
      </c>
      <c r="T681" s="7" t="s">
        <v>131</v>
      </c>
      <c r="U681" s="7" t="s">
        <v>745</v>
      </c>
      <c r="V681" s="7" t="s">
        <v>745</v>
      </c>
      <c r="W681" s="7" t="s">
        <v>1177</v>
      </c>
      <c r="X681" s="30">
        <v>1</v>
      </c>
      <c r="Y681" s="7" t="s">
        <v>1177</v>
      </c>
      <c r="Z681" s="7" t="s">
        <v>1178</v>
      </c>
      <c r="AA681" s="30">
        <v>0</v>
      </c>
      <c r="AB681" s="36">
        <v>0</v>
      </c>
      <c r="AC681" s="7" t="s">
        <v>1177</v>
      </c>
      <c r="AD681" s="37">
        <v>0</v>
      </c>
      <c r="AE681" s="7" t="s">
        <v>1177</v>
      </c>
      <c r="AF681" s="7" t="s">
        <v>1177</v>
      </c>
      <c r="AG681" s="7" t="s">
        <v>1177</v>
      </c>
      <c r="AH681" s="38"/>
      <c r="AI681" s="36">
        <v>0</v>
      </c>
      <c r="AJ681" s="7" t="s">
        <v>1193</v>
      </c>
      <c r="AK681" s="7" t="s">
        <v>1177</v>
      </c>
      <c r="AL681" s="7" t="s">
        <v>1177</v>
      </c>
      <c r="AM681" s="7" t="s">
        <v>1177</v>
      </c>
      <c r="AN681" s="7" t="s">
        <v>3212</v>
      </c>
      <c r="AO681" s="7" t="s">
        <v>1177</v>
      </c>
      <c r="AP681" s="7" t="s">
        <v>1177</v>
      </c>
      <c r="AQ681" s="7" t="s">
        <v>1177</v>
      </c>
      <c r="AR681" s="29">
        <v>0</v>
      </c>
      <c r="AS681" s="7" t="s">
        <v>1177</v>
      </c>
      <c r="AT681" s="7" t="s">
        <v>1363</v>
      </c>
      <c r="AU681" s="38">
        <v>46275</v>
      </c>
      <c r="AV681" s="39">
        <v>0.60438657407407004</v>
      </c>
    </row>
    <row r="682" spans="1:48" x14ac:dyDescent="0.35">
      <c r="A682" t="str">
        <f t="shared" si="10"/>
        <v>GP091027B825</v>
      </c>
      <c r="B682" s="7" t="s">
        <v>165</v>
      </c>
      <c r="C682" s="7" t="s">
        <v>511</v>
      </c>
      <c r="D682" s="7" t="s">
        <v>16</v>
      </c>
      <c r="E682" s="7" t="s">
        <v>1177</v>
      </c>
      <c r="F682" s="7" t="s">
        <v>128</v>
      </c>
      <c r="G682" s="7" t="s">
        <v>130</v>
      </c>
      <c r="H682" s="7" t="s">
        <v>129</v>
      </c>
      <c r="I682" s="30">
        <v>2</v>
      </c>
      <c r="J682" s="7" t="s">
        <v>1177</v>
      </c>
      <c r="K682" s="7" t="s">
        <v>1178</v>
      </c>
      <c r="L682" s="7" t="s">
        <v>132</v>
      </c>
      <c r="M682" s="7" t="s">
        <v>133</v>
      </c>
      <c r="N682" s="30">
        <v>0</v>
      </c>
      <c r="O682" s="30">
        <v>0</v>
      </c>
      <c r="P682" s="30">
        <v>0</v>
      </c>
      <c r="Q682" s="30">
        <v>0</v>
      </c>
      <c r="R682" s="29">
        <v>0</v>
      </c>
      <c r="S682" s="36">
        <v>0</v>
      </c>
      <c r="T682" s="7" t="s">
        <v>131</v>
      </c>
      <c r="U682" s="7" t="s">
        <v>512</v>
      </c>
      <c r="V682" s="7" t="s">
        <v>512</v>
      </c>
      <c r="W682" s="7" t="s">
        <v>1177</v>
      </c>
      <c r="X682" s="30">
        <v>1</v>
      </c>
      <c r="Y682" s="7" t="s">
        <v>1177</v>
      </c>
      <c r="Z682" s="7" t="s">
        <v>1178</v>
      </c>
      <c r="AA682" s="30">
        <v>0</v>
      </c>
      <c r="AB682" s="36">
        <v>0</v>
      </c>
      <c r="AC682" s="7" t="s">
        <v>1177</v>
      </c>
      <c r="AD682" s="37">
        <v>0</v>
      </c>
      <c r="AE682" s="7" t="s">
        <v>1177</v>
      </c>
      <c r="AF682" s="7" t="s">
        <v>1177</v>
      </c>
      <c r="AG682" s="7" t="s">
        <v>1177</v>
      </c>
      <c r="AH682" s="38"/>
      <c r="AI682" s="36">
        <v>0</v>
      </c>
      <c r="AJ682" s="7" t="s">
        <v>1193</v>
      </c>
      <c r="AK682" s="7" t="s">
        <v>1177</v>
      </c>
      <c r="AL682" s="7" t="s">
        <v>1177</v>
      </c>
      <c r="AM682" s="7" t="s">
        <v>1177</v>
      </c>
      <c r="AN682" s="7" t="s">
        <v>3212</v>
      </c>
      <c r="AO682" s="7" t="s">
        <v>1177</v>
      </c>
      <c r="AP682" s="7" t="s">
        <v>1177</v>
      </c>
      <c r="AQ682" s="7" t="s">
        <v>1177</v>
      </c>
      <c r="AR682" s="29">
        <v>0</v>
      </c>
      <c r="AS682" s="7" t="s">
        <v>1177</v>
      </c>
      <c r="AT682" s="7" t="s">
        <v>1363</v>
      </c>
      <c r="AU682" s="38">
        <v>46275</v>
      </c>
      <c r="AV682" s="39">
        <v>0.60349537037037004</v>
      </c>
    </row>
    <row r="683" spans="1:48" x14ac:dyDescent="0.35">
      <c r="A683" t="str">
        <f t="shared" si="10"/>
        <v>GP091027B832</v>
      </c>
      <c r="B683" s="7" t="s">
        <v>165</v>
      </c>
      <c r="C683" s="7" t="s">
        <v>653</v>
      </c>
      <c r="D683" s="7" t="s">
        <v>19</v>
      </c>
      <c r="E683" s="7" t="s">
        <v>1177</v>
      </c>
      <c r="F683" s="7" t="s">
        <v>128</v>
      </c>
      <c r="G683" s="7" t="s">
        <v>130</v>
      </c>
      <c r="H683" s="7" t="s">
        <v>129</v>
      </c>
      <c r="I683" s="30">
        <v>2</v>
      </c>
      <c r="J683" s="7" t="s">
        <v>1177</v>
      </c>
      <c r="K683" s="7" t="s">
        <v>1178</v>
      </c>
      <c r="L683" s="7" t="s">
        <v>132</v>
      </c>
      <c r="M683" s="7" t="s">
        <v>133</v>
      </c>
      <c r="N683" s="30">
        <v>0</v>
      </c>
      <c r="O683" s="30">
        <v>0</v>
      </c>
      <c r="P683" s="30">
        <v>0</v>
      </c>
      <c r="Q683" s="30">
        <v>0</v>
      </c>
      <c r="R683" s="29">
        <v>0</v>
      </c>
      <c r="S683" s="36">
        <v>0</v>
      </c>
      <c r="T683" s="7" t="s">
        <v>131</v>
      </c>
      <c r="U683" s="7" t="s">
        <v>654</v>
      </c>
      <c r="V683" s="7" t="s">
        <v>654</v>
      </c>
      <c r="W683" s="7" t="s">
        <v>1177</v>
      </c>
      <c r="X683" s="30">
        <v>1</v>
      </c>
      <c r="Y683" s="7" t="s">
        <v>1177</v>
      </c>
      <c r="Z683" s="7" t="s">
        <v>1178</v>
      </c>
      <c r="AA683" s="30">
        <v>0</v>
      </c>
      <c r="AB683" s="36">
        <v>0</v>
      </c>
      <c r="AC683" s="7" t="s">
        <v>1177</v>
      </c>
      <c r="AD683" s="37">
        <v>0</v>
      </c>
      <c r="AE683" s="7" t="s">
        <v>1177</v>
      </c>
      <c r="AF683" s="7" t="s">
        <v>1177</v>
      </c>
      <c r="AG683" s="7" t="s">
        <v>1177</v>
      </c>
      <c r="AH683" s="38"/>
      <c r="AI683" s="36">
        <v>0</v>
      </c>
      <c r="AJ683" s="7" t="s">
        <v>1193</v>
      </c>
      <c r="AK683" s="7" t="s">
        <v>1177</v>
      </c>
      <c r="AL683" s="7" t="s">
        <v>1177</v>
      </c>
      <c r="AM683" s="7" t="s">
        <v>1177</v>
      </c>
      <c r="AN683" s="7" t="s">
        <v>3212</v>
      </c>
      <c r="AO683" s="7" t="s">
        <v>1177</v>
      </c>
      <c r="AP683" s="7" t="s">
        <v>1177</v>
      </c>
      <c r="AQ683" s="7" t="s">
        <v>1177</v>
      </c>
      <c r="AR683" s="29">
        <v>0</v>
      </c>
      <c r="AS683" s="7" t="s">
        <v>1177</v>
      </c>
      <c r="AT683" s="7" t="s">
        <v>1363</v>
      </c>
      <c r="AU683" s="38">
        <v>46275</v>
      </c>
      <c r="AV683" s="39">
        <v>0.60394675925926</v>
      </c>
    </row>
    <row r="684" spans="1:48" x14ac:dyDescent="0.35">
      <c r="A684" t="str">
        <f t="shared" si="10"/>
        <v>GP091030B825</v>
      </c>
      <c r="B684" s="7" t="s">
        <v>166</v>
      </c>
      <c r="C684" s="7" t="s">
        <v>511</v>
      </c>
      <c r="D684" s="7" t="s">
        <v>16</v>
      </c>
      <c r="E684" s="7" t="s">
        <v>1177</v>
      </c>
      <c r="F684" s="7" t="s">
        <v>128</v>
      </c>
      <c r="G684" s="7" t="s">
        <v>130</v>
      </c>
      <c r="H684" s="7" t="s">
        <v>129</v>
      </c>
      <c r="I684" s="30">
        <v>1</v>
      </c>
      <c r="J684" s="7" t="s">
        <v>1177</v>
      </c>
      <c r="K684" s="7" t="s">
        <v>1178</v>
      </c>
      <c r="L684" s="7" t="s">
        <v>132</v>
      </c>
      <c r="M684" s="7" t="s">
        <v>133</v>
      </c>
      <c r="N684" s="30">
        <v>0</v>
      </c>
      <c r="O684" s="30">
        <v>0</v>
      </c>
      <c r="P684" s="30">
        <v>0</v>
      </c>
      <c r="Q684" s="30">
        <v>0</v>
      </c>
      <c r="R684" s="29">
        <v>0</v>
      </c>
      <c r="S684" s="36">
        <v>0</v>
      </c>
      <c r="T684" s="7" t="s">
        <v>131</v>
      </c>
      <c r="U684" s="7" t="s">
        <v>512</v>
      </c>
      <c r="V684" s="7" t="s">
        <v>512</v>
      </c>
      <c r="W684" s="7" t="s">
        <v>1177</v>
      </c>
      <c r="X684" s="30">
        <v>1</v>
      </c>
      <c r="Y684" s="7" t="s">
        <v>1177</v>
      </c>
      <c r="Z684" s="7" t="s">
        <v>1178</v>
      </c>
      <c r="AA684" s="30">
        <v>0</v>
      </c>
      <c r="AB684" s="36">
        <v>0</v>
      </c>
      <c r="AC684" s="7" t="s">
        <v>1177</v>
      </c>
      <c r="AD684" s="37">
        <v>0</v>
      </c>
      <c r="AE684" s="7" t="s">
        <v>1177</v>
      </c>
      <c r="AF684" s="7" t="s">
        <v>1177</v>
      </c>
      <c r="AG684" s="7" t="s">
        <v>1177</v>
      </c>
      <c r="AH684" s="38"/>
      <c r="AI684" s="36">
        <v>0</v>
      </c>
      <c r="AJ684" s="7" t="s">
        <v>1193</v>
      </c>
      <c r="AK684" s="7" t="s">
        <v>1177</v>
      </c>
      <c r="AL684" s="7" t="s">
        <v>1177</v>
      </c>
      <c r="AM684" s="7" t="s">
        <v>1177</v>
      </c>
      <c r="AN684" s="7" t="s">
        <v>3212</v>
      </c>
      <c r="AO684" s="7" t="s">
        <v>1177</v>
      </c>
      <c r="AP684" s="7" t="s">
        <v>1177</v>
      </c>
      <c r="AQ684" s="7" t="s">
        <v>1177</v>
      </c>
      <c r="AR684" s="29">
        <v>0</v>
      </c>
      <c r="AS684" s="7" t="s">
        <v>1177</v>
      </c>
      <c r="AT684" s="7" t="s">
        <v>1363</v>
      </c>
      <c r="AU684" s="38">
        <v>46275</v>
      </c>
      <c r="AV684" s="39">
        <v>0.60350694444443997</v>
      </c>
    </row>
    <row r="685" spans="1:48" x14ac:dyDescent="0.35">
      <c r="A685" t="str">
        <f t="shared" si="10"/>
        <v>GP091030B832</v>
      </c>
      <c r="B685" s="7" t="s">
        <v>166</v>
      </c>
      <c r="C685" s="7" t="s">
        <v>653</v>
      </c>
      <c r="D685" s="7" t="s">
        <v>19</v>
      </c>
      <c r="E685" s="7" t="s">
        <v>1177</v>
      </c>
      <c r="F685" s="7" t="s">
        <v>128</v>
      </c>
      <c r="G685" s="7" t="s">
        <v>130</v>
      </c>
      <c r="H685" s="7" t="s">
        <v>129</v>
      </c>
      <c r="I685" s="30">
        <v>1</v>
      </c>
      <c r="J685" s="7" t="s">
        <v>1177</v>
      </c>
      <c r="K685" s="7" t="s">
        <v>1178</v>
      </c>
      <c r="L685" s="7" t="s">
        <v>132</v>
      </c>
      <c r="M685" s="7" t="s">
        <v>133</v>
      </c>
      <c r="N685" s="30">
        <v>0</v>
      </c>
      <c r="O685" s="30">
        <v>0</v>
      </c>
      <c r="P685" s="30">
        <v>0</v>
      </c>
      <c r="Q685" s="30">
        <v>0</v>
      </c>
      <c r="R685" s="29">
        <v>0</v>
      </c>
      <c r="S685" s="36">
        <v>0</v>
      </c>
      <c r="T685" s="7" t="s">
        <v>131</v>
      </c>
      <c r="U685" s="7" t="s">
        <v>654</v>
      </c>
      <c r="V685" s="7" t="s">
        <v>654</v>
      </c>
      <c r="W685" s="7" t="s">
        <v>1177</v>
      </c>
      <c r="X685" s="30">
        <v>1</v>
      </c>
      <c r="Y685" s="7" t="s">
        <v>1177</v>
      </c>
      <c r="Z685" s="7" t="s">
        <v>1178</v>
      </c>
      <c r="AA685" s="30">
        <v>0</v>
      </c>
      <c r="AB685" s="36">
        <v>0</v>
      </c>
      <c r="AC685" s="7" t="s">
        <v>1177</v>
      </c>
      <c r="AD685" s="37">
        <v>0</v>
      </c>
      <c r="AE685" s="7" t="s">
        <v>1177</v>
      </c>
      <c r="AF685" s="7" t="s">
        <v>1177</v>
      </c>
      <c r="AG685" s="7" t="s">
        <v>1177</v>
      </c>
      <c r="AH685" s="38"/>
      <c r="AI685" s="36">
        <v>0</v>
      </c>
      <c r="AJ685" s="7" t="s">
        <v>1193</v>
      </c>
      <c r="AK685" s="7" t="s">
        <v>1177</v>
      </c>
      <c r="AL685" s="7" t="s">
        <v>1177</v>
      </c>
      <c r="AM685" s="7" t="s">
        <v>1177</v>
      </c>
      <c r="AN685" s="7" t="s">
        <v>3212</v>
      </c>
      <c r="AO685" s="7" t="s">
        <v>1177</v>
      </c>
      <c r="AP685" s="7" t="s">
        <v>1177</v>
      </c>
      <c r="AQ685" s="7" t="s">
        <v>1177</v>
      </c>
      <c r="AR685" s="29">
        <v>0</v>
      </c>
      <c r="AS685" s="7" t="s">
        <v>1177</v>
      </c>
      <c r="AT685" s="7" t="s">
        <v>1363</v>
      </c>
      <c r="AU685" s="38">
        <v>46275</v>
      </c>
      <c r="AV685" s="39">
        <v>0.60394675925926</v>
      </c>
    </row>
    <row r="686" spans="1:48" x14ac:dyDescent="0.35">
      <c r="A686" t="str">
        <f t="shared" si="10"/>
        <v>GP091143B838</v>
      </c>
      <c r="B686" s="7" t="s">
        <v>634</v>
      </c>
      <c r="C686" s="7" t="s">
        <v>744</v>
      </c>
      <c r="D686" s="7" t="s">
        <v>48</v>
      </c>
      <c r="E686" s="7" t="s">
        <v>1177</v>
      </c>
      <c r="F686" s="7" t="s">
        <v>128</v>
      </c>
      <c r="G686" s="7" t="s">
        <v>130</v>
      </c>
      <c r="H686" s="7" t="s">
        <v>129</v>
      </c>
      <c r="I686" s="30">
        <v>2</v>
      </c>
      <c r="J686" s="7" t="s">
        <v>1177</v>
      </c>
      <c r="K686" s="7" t="s">
        <v>1178</v>
      </c>
      <c r="L686" s="7" t="s">
        <v>132</v>
      </c>
      <c r="M686" s="7" t="s">
        <v>133</v>
      </c>
      <c r="N686" s="30">
        <v>0</v>
      </c>
      <c r="O686" s="30">
        <v>0</v>
      </c>
      <c r="P686" s="30">
        <v>0</v>
      </c>
      <c r="Q686" s="30">
        <v>0</v>
      </c>
      <c r="R686" s="29">
        <v>0</v>
      </c>
      <c r="S686" s="36">
        <v>0</v>
      </c>
      <c r="T686" s="7" t="s">
        <v>131</v>
      </c>
      <c r="U686" s="7" t="s">
        <v>745</v>
      </c>
      <c r="V686" s="7" t="s">
        <v>745</v>
      </c>
      <c r="W686" s="7" t="s">
        <v>1177</v>
      </c>
      <c r="X686" s="30">
        <v>1</v>
      </c>
      <c r="Y686" s="7" t="s">
        <v>1177</v>
      </c>
      <c r="Z686" s="7" t="s">
        <v>1178</v>
      </c>
      <c r="AA686" s="30">
        <v>0</v>
      </c>
      <c r="AB686" s="36">
        <v>0</v>
      </c>
      <c r="AC686" s="7" t="s">
        <v>1177</v>
      </c>
      <c r="AD686" s="37">
        <v>0</v>
      </c>
      <c r="AE686" s="7" t="s">
        <v>1177</v>
      </c>
      <c r="AF686" s="7" t="s">
        <v>1177</v>
      </c>
      <c r="AG686" s="7" t="s">
        <v>1177</v>
      </c>
      <c r="AH686" s="38"/>
      <c r="AI686" s="36">
        <v>0</v>
      </c>
      <c r="AJ686" s="7" t="s">
        <v>1193</v>
      </c>
      <c r="AK686" s="7" t="s">
        <v>1177</v>
      </c>
      <c r="AL686" s="7" t="s">
        <v>1177</v>
      </c>
      <c r="AM686" s="7" t="s">
        <v>1177</v>
      </c>
      <c r="AN686" s="7" t="s">
        <v>3212</v>
      </c>
      <c r="AO686" s="7" t="s">
        <v>1177</v>
      </c>
      <c r="AP686" s="7" t="s">
        <v>1177</v>
      </c>
      <c r="AQ686" s="7" t="s">
        <v>1177</v>
      </c>
      <c r="AR686" s="29">
        <v>0</v>
      </c>
      <c r="AS686" s="7" t="s">
        <v>1177</v>
      </c>
      <c r="AT686" s="7" t="s">
        <v>1363</v>
      </c>
      <c r="AU686" s="38">
        <v>46275</v>
      </c>
      <c r="AV686" s="39">
        <v>0.60438657407407004</v>
      </c>
    </row>
    <row r="687" spans="1:48" x14ac:dyDescent="0.35">
      <c r="A687" t="str">
        <f t="shared" si="10"/>
        <v>GP091144B825</v>
      </c>
      <c r="B687" s="7" t="s">
        <v>250</v>
      </c>
      <c r="C687" s="7" t="s">
        <v>511</v>
      </c>
      <c r="D687" s="7" t="s">
        <v>16</v>
      </c>
      <c r="E687" s="7" t="s">
        <v>1177</v>
      </c>
      <c r="F687" s="7" t="s">
        <v>128</v>
      </c>
      <c r="G687" s="7" t="s">
        <v>130</v>
      </c>
      <c r="H687" s="7" t="s">
        <v>129</v>
      </c>
      <c r="I687" s="30">
        <v>8</v>
      </c>
      <c r="J687" s="7" t="s">
        <v>1177</v>
      </c>
      <c r="K687" s="7" t="s">
        <v>1178</v>
      </c>
      <c r="L687" s="7" t="s">
        <v>132</v>
      </c>
      <c r="M687" s="7" t="s">
        <v>133</v>
      </c>
      <c r="N687" s="30">
        <v>0</v>
      </c>
      <c r="O687" s="30">
        <v>0</v>
      </c>
      <c r="P687" s="30">
        <v>0</v>
      </c>
      <c r="Q687" s="30">
        <v>0</v>
      </c>
      <c r="R687" s="29">
        <v>0</v>
      </c>
      <c r="S687" s="36">
        <v>0</v>
      </c>
      <c r="T687" s="7" t="s">
        <v>131</v>
      </c>
      <c r="U687" s="7" t="s">
        <v>512</v>
      </c>
      <c r="V687" s="7" t="s">
        <v>512</v>
      </c>
      <c r="W687" s="7" t="s">
        <v>1177</v>
      </c>
      <c r="X687" s="30">
        <v>2</v>
      </c>
      <c r="Y687" s="7" t="s">
        <v>1177</v>
      </c>
      <c r="Z687" s="7" t="s">
        <v>1178</v>
      </c>
      <c r="AA687" s="30">
        <v>0</v>
      </c>
      <c r="AB687" s="36">
        <v>0</v>
      </c>
      <c r="AC687" s="7" t="s">
        <v>1177</v>
      </c>
      <c r="AD687" s="37">
        <v>0</v>
      </c>
      <c r="AE687" s="7" t="s">
        <v>1177</v>
      </c>
      <c r="AF687" s="7" t="s">
        <v>1177</v>
      </c>
      <c r="AG687" s="7" t="s">
        <v>1177</v>
      </c>
      <c r="AH687" s="38"/>
      <c r="AI687" s="36">
        <v>0</v>
      </c>
      <c r="AJ687" s="7" t="s">
        <v>1193</v>
      </c>
      <c r="AK687" s="7" t="s">
        <v>1177</v>
      </c>
      <c r="AL687" s="7" t="s">
        <v>1177</v>
      </c>
      <c r="AM687" s="7" t="s">
        <v>1177</v>
      </c>
      <c r="AN687" s="7" t="s">
        <v>3212</v>
      </c>
      <c r="AO687" s="7" t="s">
        <v>1177</v>
      </c>
      <c r="AP687" s="7" t="s">
        <v>1177</v>
      </c>
      <c r="AQ687" s="7" t="s">
        <v>1177</v>
      </c>
      <c r="AR687" s="29">
        <v>0</v>
      </c>
      <c r="AS687" s="7" t="s">
        <v>1177</v>
      </c>
      <c r="AT687" s="7" t="s">
        <v>1363</v>
      </c>
      <c r="AU687" s="38">
        <v>46275</v>
      </c>
      <c r="AV687" s="39">
        <v>0.60350694444443997</v>
      </c>
    </row>
    <row r="688" spans="1:48" x14ac:dyDescent="0.35">
      <c r="A688" t="str">
        <f t="shared" si="10"/>
        <v>GP091144B832</v>
      </c>
      <c r="B688" s="7" t="s">
        <v>250</v>
      </c>
      <c r="C688" s="7" t="s">
        <v>653</v>
      </c>
      <c r="D688" s="7" t="s">
        <v>19</v>
      </c>
      <c r="E688" s="7" t="s">
        <v>1177</v>
      </c>
      <c r="F688" s="7" t="s">
        <v>128</v>
      </c>
      <c r="G688" s="7" t="s">
        <v>130</v>
      </c>
      <c r="H688" s="7" t="s">
        <v>129</v>
      </c>
      <c r="I688" s="30">
        <v>6</v>
      </c>
      <c r="J688" s="7" t="s">
        <v>1177</v>
      </c>
      <c r="K688" s="7" t="s">
        <v>1178</v>
      </c>
      <c r="L688" s="7" t="s">
        <v>132</v>
      </c>
      <c r="M688" s="7" t="s">
        <v>133</v>
      </c>
      <c r="N688" s="30">
        <v>0</v>
      </c>
      <c r="O688" s="30">
        <v>0</v>
      </c>
      <c r="P688" s="30">
        <v>0</v>
      </c>
      <c r="Q688" s="30">
        <v>0</v>
      </c>
      <c r="R688" s="29">
        <v>0</v>
      </c>
      <c r="S688" s="36">
        <v>0</v>
      </c>
      <c r="T688" s="7" t="s">
        <v>131</v>
      </c>
      <c r="U688" s="7" t="s">
        <v>654</v>
      </c>
      <c r="V688" s="7" t="s">
        <v>654</v>
      </c>
      <c r="W688" s="7" t="s">
        <v>1177</v>
      </c>
      <c r="X688" s="30">
        <v>2</v>
      </c>
      <c r="Y688" s="7" t="s">
        <v>1177</v>
      </c>
      <c r="Z688" s="7" t="s">
        <v>1178</v>
      </c>
      <c r="AA688" s="30">
        <v>0</v>
      </c>
      <c r="AB688" s="36">
        <v>0</v>
      </c>
      <c r="AC688" s="7" t="s">
        <v>1177</v>
      </c>
      <c r="AD688" s="37">
        <v>0</v>
      </c>
      <c r="AE688" s="7" t="s">
        <v>1177</v>
      </c>
      <c r="AF688" s="7" t="s">
        <v>1177</v>
      </c>
      <c r="AG688" s="7" t="s">
        <v>1177</v>
      </c>
      <c r="AH688" s="38"/>
      <c r="AI688" s="36">
        <v>0</v>
      </c>
      <c r="AJ688" s="7" t="s">
        <v>1193</v>
      </c>
      <c r="AK688" s="7" t="s">
        <v>1177</v>
      </c>
      <c r="AL688" s="7" t="s">
        <v>1177</v>
      </c>
      <c r="AM688" s="7" t="s">
        <v>1177</v>
      </c>
      <c r="AN688" s="7" t="s">
        <v>3212</v>
      </c>
      <c r="AO688" s="7" t="s">
        <v>1177</v>
      </c>
      <c r="AP688" s="7" t="s">
        <v>1177</v>
      </c>
      <c r="AQ688" s="7" t="s">
        <v>1177</v>
      </c>
      <c r="AR688" s="29">
        <v>0</v>
      </c>
      <c r="AS688" s="7" t="s">
        <v>1177</v>
      </c>
      <c r="AT688" s="7" t="s">
        <v>1363</v>
      </c>
      <c r="AU688" s="38">
        <v>46275</v>
      </c>
      <c r="AV688" s="39">
        <v>0.60394675925926</v>
      </c>
    </row>
    <row r="689" spans="1:48" x14ac:dyDescent="0.35">
      <c r="A689" t="str">
        <f t="shared" si="10"/>
        <v>GP091144B838</v>
      </c>
      <c r="B689" s="7" t="s">
        <v>250</v>
      </c>
      <c r="C689" s="7" t="s">
        <v>744</v>
      </c>
      <c r="D689" s="7" t="s">
        <v>48</v>
      </c>
      <c r="E689" s="7" t="s">
        <v>1177</v>
      </c>
      <c r="F689" s="7" t="s">
        <v>128</v>
      </c>
      <c r="G689" s="7" t="s">
        <v>130</v>
      </c>
      <c r="H689" s="7" t="s">
        <v>129</v>
      </c>
      <c r="I689" s="30">
        <v>3</v>
      </c>
      <c r="J689" s="7" t="s">
        <v>1177</v>
      </c>
      <c r="K689" s="7" t="s">
        <v>1178</v>
      </c>
      <c r="L689" s="7" t="s">
        <v>132</v>
      </c>
      <c r="M689" s="7" t="s">
        <v>133</v>
      </c>
      <c r="N689" s="30">
        <v>0</v>
      </c>
      <c r="O689" s="30">
        <v>0</v>
      </c>
      <c r="P689" s="30">
        <v>0</v>
      </c>
      <c r="Q689" s="30">
        <v>0</v>
      </c>
      <c r="R689" s="29">
        <v>0</v>
      </c>
      <c r="S689" s="36">
        <v>0</v>
      </c>
      <c r="T689" s="7" t="s">
        <v>131</v>
      </c>
      <c r="U689" s="7" t="s">
        <v>745</v>
      </c>
      <c r="V689" s="7" t="s">
        <v>745</v>
      </c>
      <c r="W689" s="7" t="s">
        <v>1177</v>
      </c>
      <c r="X689" s="30">
        <v>1</v>
      </c>
      <c r="Y689" s="7" t="s">
        <v>1177</v>
      </c>
      <c r="Z689" s="7" t="s">
        <v>1178</v>
      </c>
      <c r="AA689" s="30">
        <v>0</v>
      </c>
      <c r="AB689" s="36">
        <v>0</v>
      </c>
      <c r="AC689" s="7" t="s">
        <v>1177</v>
      </c>
      <c r="AD689" s="37">
        <v>0</v>
      </c>
      <c r="AE689" s="7" t="s">
        <v>1177</v>
      </c>
      <c r="AF689" s="7" t="s">
        <v>1177</v>
      </c>
      <c r="AG689" s="7" t="s">
        <v>1177</v>
      </c>
      <c r="AH689" s="38"/>
      <c r="AI689" s="36">
        <v>0</v>
      </c>
      <c r="AJ689" s="7" t="s">
        <v>1193</v>
      </c>
      <c r="AK689" s="7" t="s">
        <v>1177</v>
      </c>
      <c r="AL689" s="7" t="s">
        <v>1177</v>
      </c>
      <c r="AM689" s="7" t="s">
        <v>1177</v>
      </c>
      <c r="AN689" s="7" t="s">
        <v>3212</v>
      </c>
      <c r="AO689" s="7" t="s">
        <v>1177</v>
      </c>
      <c r="AP689" s="7" t="s">
        <v>1177</v>
      </c>
      <c r="AQ689" s="7" t="s">
        <v>1177</v>
      </c>
      <c r="AR689" s="29">
        <v>0</v>
      </c>
      <c r="AS689" s="7" t="s">
        <v>1177</v>
      </c>
      <c r="AT689" s="7" t="s">
        <v>1363</v>
      </c>
      <c r="AU689" s="38">
        <v>46275</v>
      </c>
      <c r="AV689" s="39">
        <v>0.60446759259258998</v>
      </c>
    </row>
    <row r="690" spans="1:48" x14ac:dyDescent="0.35">
      <c r="A690" t="str">
        <f t="shared" si="10"/>
        <v>GP091181B838</v>
      </c>
      <c r="B690" s="7" t="s">
        <v>492</v>
      </c>
      <c r="C690" s="7" t="s">
        <v>744</v>
      </c>
      <c r="D690" s="7" t="s">
        <v>48</v>
      </c>
      <c r="E690" s="7" t="s">
        <v>1177</v>
      </c>
      <c r="F690" s="7" t="s">
        <v>128</v>
      </c>
      <c r="G690" s="7" t="s">
        <v>130</v>
      </c>
      <c r="H690" s="7" t="s">
        <v>129</v>
      </c>
      <c r="I690" s="30">
        <v>3</v>
      </c>
      <c r="J690" s="7" t="s">
        <v>1177</v>
      </c>
      <c r="K690" s="7" t="s">
        <v>1178</v>
      </c>
      <c r="L690" s="7" t="s">
        <v>132</v>
      </c>
      <c r="M690" s="7" t="s">
        <v>133</v>
      </c>
      <c r="N690" s="30">
        <v>0</v>
      </c>
      <c r="O690" s="30">
        <v>0</v>
      </c>
      <c r="P690" s="30">
        <v>0</v>
      </c>
      <c r="Q690" s="30">
        <v>0</v>
      </c>
      <c r="R690" s="29">
        <v>0</v>
      </c>
      <c r="S690" s="36">
        <v>0</v>
      </c>
      <c r="T690" s="7" t="s">
        <v>131</v>
      </c>
      <c r="U690" s="7" t="s">
        <v>745</v>
      </c>
      <c r="V690" s="7" t="s">
        <v>745</v>
      </c>
      <c r="W690" s="7" t="s">
        <v>1177</v>
      </c>
      <c r="X690" s="30">
        <v>1</v>
      </c>
      <c r="Y690" s="7" t="s">
        <v>1177</v>
      </c>
      <c r="Z690" s="7" t="s">
        <v>1178</v>
      </c>
      <c r="AA690" s="30">
        <v>0</v>
      </c>
      <c r="AB690" s="36">
        <v>0</v>
      </c>
      <c r="AC690" s="7" t="s">
        <v>1177</v>
      </c>
      <c r="AD690" s="37">
        <v>0</v>
      </c>
      <c r="AE690" s="7" t="s">
        <v>1177</v>
      </c>
      <c r="AF690" s="7" t="s">
        <v>1177</v>
      </c>
      <c r="AG690" s="7" t="s">
        <v>1177</v>
      </c>
      <c r="AH690" s="38"/>
      <c r="AI690" s="36">
        <v>0</v>
      </c>
      <c r="AJ690" s="7" t="s">
        <v>1193</v>
      </c>
      <c r="AK690" s="7" t="s">
        <v>1177</v>
      </c>
      <c r="AL690" s="7" t="s">
        <v>1177</v>
      </c>
      <c r="AM690" s="7" t="s">
        <v>1177</v>
      </c>
      <c r="AN690" s="7" t="s">
        <v>3212</v>
      </c>
      <c r="AO690" s="7" t="s">
        <v>1177</v>
      </c>
      <c r="AP690" s="7" t="s">
        <v>1177</v>
      </c>
      <c r="AQ690" s="7" t="s">
        <v>1177</v>
      </c>
      <c r="AR690" s="29">
        <v>0</v>
      </c>
      <c r="AS690" s="7" t="s">
        <v>1177</v>
      </c>
      <c r="AT690" s="7" t="s">
        <v>1363</v>
      </c>
      <c r="AU690" s="38">
        <v>46275</v>
      </c>
      <c r="AV690" s="39">
        <v>0.60446759259258998</v>
      </c>
    </row>
    <row r="691" spans="1:48" x14ac:dyDescent="0.35">
      <c r="A691" t="str">
        <f t="shared" si="10"/>
        <v>GP091182B825</v>
      </c>
      <c r="B691" s="7" t="s">
        <v>167</v>
      </c>
      <c r="C691" s="7" t="s">
        <v>511</v>
      </c>
      <c r="D691" s="7" t="s">
        <v>16</v>
      </c>
      <c r="E691" s="7" t="s">
        <v>1177</v>
      </c>
      <c r="F691" s="7" t="s">
        <v>128</v>
      </c>
      <c r="G691" s="7" t="s">
        <v>130</v>
      </c>
      <c r="H691" s="7" t="s">
        <v>129</v>
      </c>
      <c r="I691" s="30">
        <v>2</v>
      </c>
      <c r="J691" s="7" t="s">
        <v>1177</v>
      </c>
      <c r="K691" s="7" t="s">
        <v>1178</v>
      </c>
      <c r="L691" s="7" t="s">
        <v>132</v>
      </c>
      <c r="M691" s="7" t="s">
        <v>133</v>
      </c>
      <c r="N691" s="30">
        <v>0</v>
      </c>
      <c r="O691" s="30">
        <v>0</v>
      </c>
      <c r="P691" s="30">
        <v>0</v>
      </c>
      <c r="Q691" s="30">
        <v>0</v>
      </c>
      <c r="R691" s="29">
        <v>0</v>
      </c>
      <c r="S691" s="36">
        <v>0</v>
      </c>
      <c r="T691" s="7" t="s">
        <v>131</v>
      </c>
      <c r="U691" s="7" t="s">
        <v>512</v>
      </c>
      <c r="V691" s="7" t="s">
        <v>512</v>
      </c>
      <c r="W691" s="7" t="s">
        <v>1177</v>
      </c>
      <c r="X691" s="30">
        <v>1</v>
      </c>
      <c r="Y691" s="7" t="s">
        <v>1177</v>
      </c>
      <c r="Z691" s="7" t="s">
        <v>1178</v>
      </c>
      <c r="AA691" s="30">
        <v>0</v>
      </c>
      <c r="AB691" s="36">
        <v>0</v>
      </c>
      <c r="AC691" s="7" t="s">
        <v>1177</v>
      </c>
      <c r="AD691" s="37">
        <v>0</v>
      </c>
      <c r="AE691" s="7" t="s">
        <v>1177</v>
      </c>
      <c r="AF691" s="7" t="s">
        <v>1177</v>
      </c>
      <c r="AG691" s="7" t="s">
        <v>1177</v>
      </c>
      <c r="AH691" s="38"/>
      <c r="AI691" s="36">
        <v>0</v>
      </c>
      <c r="AJ691" s="7" t="s">
        <v>1193</v>
      </c>
      <c r="AK691" s="7" t="s">
        <v>1177</v>
      </c>
      <c r="AL691" s="7" t="s">
        <v>1177</v>
      </c>
      <c r="AM691" s="7" t="s">
        <v>1177</v>
      </c>
      <c r="AN691" s="7" t="s">
        <v>3212</v>
      </c>
      <c r="AO691" s="7" t="s">
        <v>1177</v>
      </c>
      <c r="AP691" s="7" t="s">
        <v>1177</v>
      </c>
      <c r="AQ691" s="7" t="s">
        <v>1177</v>
      </c>
      <c r="AR691" s="29">
        <v>0</v>
      </c>
      <c r="AS691" s="7" t="s">
        <v>1177</v>
      </c>
      <c r="AT691" s="7" t="s">
        <v>1363</v>
      </c>
      <c r="AU691" s="38">
        <v>46275</v>
      </c>
      <c r="AV691" s="39">
        <v>0.60350694444443997</v>
      </c>
    </row>
    <row r="692" spans="1:48" x14ac:dyDescent="0.35">
      <c r="A692" t="str">
        <f t="shared" si="10"/>
        <v>GP091182B832</v>
      </c>
      <c r="B692" s="7" t="s">
        <v>167</v>
      </c>
      <c r="C692" s="7" t="s">
        <v>653</v>
      </c>
      <c r="D692" s="7" t="s">
        <v>19</v>
      </c>
      <c r="E692" s="7" t="s">
        <v>1177</v>
      </c>
      <c r="F692" s="7" t="s">
        <v>128</v>
      </c>
      <c r="G692" s="7" t="s">
        <v>130</v>
      </c>
      <c r="H692" s="7" t="s">
        <v>129</v>
      </c>
      <c r="I692" s="30">
        <v>2</v>
      </c>
      <c r="J692" s="7" t="s">
        <v>1177</v>
      </c>
      <c r="K692" s="7" t="s">
        <v>1178</v>
      </c>
      <c r="L692" s="7" t="s">
        <v>132</v>
      </c>
      <c r="M692" s="7" t="s">
        <v>133</v>
      </c>
      <c r="N692" s="30">
        <v>0</v>
      </c>
      <c r="O692" s="30">
        <v>0</v>
      </c>
      <c r="P692" s="30">
        <v>0</v>
      </c>
      <c r="Q692" s="30">
        <v>0</v>
      </c>
      <c r="R692" s="29">
        <v>0</v>
      </c>
      <c r="S692" s="36">
        <v>0</v>
      </c>
      <c r="T692" s="7" t="s">
        <v>131</v>
      </c>
      <c r="U692" s="7" t="s">
        <v>654</v>
      </c>
      <c r="V692" s="7" t="s">
        <v>654</v>
      </c>
      <c r="W692" s="7" t="s">
        <v>1177</v>
      </c>
      <c r="X692" s="30">
        <v>1</v>
      </c>
      <c r="Y692" s="7" t="s">
        <v>1177</v>
      </c>
      <c r="Z692" s="7" t="s">
        <v>1178</v>
      </c>
      <c r="AA692" s="30">
        <v>0</v>
      </c>
      <c r="AB692" s="36">
        <v>0</v>
      </c>
      <c r="AC692" s="7" t="s">
        <v>1177</v>
      </c>
      <c r="AD692" s="37">
        <v>0</v>
      </c>
      <c r="AE692" s="7" t="s">
        <v>1177</v>
      </c>
      <c r="AF692" s="7" t="s">
        <v>1177</v>
      </c>
      <c r="AG692" s="7" t="s">
        <v>1177</v>
      </c>
      <c r="AH692" s="38"/>
      <c r="AI692" s="36">
        <v>0</v>
      </c>
      <c r="AJ692" s="7" t="s">
        <v>1193</v>
      </c>
      <c r="AK692" s="7" t="s">
        <v>1177</v>
      </c>
      <c r="AL692" s="7" t="s">
        <v>1177</v>
      </c>
      <c r="AM692" s="7" t="s">
        <v>1177</v>
      </c>
      <c r="AN692" s="7" t="s">
        <v>3212</v>
      </c>
      <c r="AO692" s="7" t="s">
        <v>1177</v>
      </c>
      <c r="AP692" s="7" t="s">
        <v>1177</v>
      </c>
      <c r="AQ692" s="7" t="s">
        <v>1177</v>
      </c>
      <c r="AR692" s="29">
        <v>0</v>
      </c>
      <c r="AS692" s="7" t="s">
        <v>1177</v>
      </c>
      <c r="AT692" s="7" t="s">
        <v>1363</v>
      </c>
      <c r="AU692" s="38">
        <v>46275</v>
      </c>
      <c r="AV692" s="39">
        <v>0.60394675925926</v>
      </c>
    </row>
    <row r="693" spans="1:48" x14ac:dyDescent="0.35">
      <c r="A693" t="str">
        <f t="shared" si="10"/>
        <v>GP091182B838</v>
      </c>
      <c r="B693" s="7" t="s">
        <v>167</v>
      </c>
      <c r="C693" s="7" t="s">
        <v>744</v>
      </c>
      <c r="D693" s="7" t="s">
        <v>48</v>
      </c>
      <c r="E693" s="7" t="s">
        <v>1177</v>
      </c>
      <c r="F693" s="7" t="s">
        <v>128</v>
      </c>
      <c r="G693" s="7" t="s">
        <v>130</v>
      </c>
      <c r="H693" s="7" t="s">
        <v>129</v>
      </c>
      <c r="I693" s="30">
        <v>2</v>
      </c>
      <c r="J693" s="7" t="s">
        <v>1177</v>
      </c>
      <c r="K693" s="7" t="s">
        <v>1178</v>
      </c>
      <c r="L693" s="7" t="s">
        <v>132</v>
      </c>
      <c r="M693" s="7" t="s">
        <v>133</v>
      </c>
      <c r="N693" s="30">
        <v>0</v>
      </c>
      <c r="O693" s="30">
        <v>0</v>
      </c>
      <c r="P693" s="30">
        <v>0</v>
      </c>
      <c r="Q693" s="30">
        <v>0</v>
      </c>
      <c r="R693" s="29">
        <v>0</v>
      </c>
      <c r="S693" s="36">
        <v>0</v>
      </c>
      <c r="T693" s="7" t="s">
        <v>131</v>
      </c>
      <c r="U693" s="7" t="s">
        <v>745</v>
      </c>
      <c r="V693" s="7" t="s">
        <v>745</v>
      </c>
      <c r="W693" s="7" t="s">
        <v>1177</v>
      </c>
      <c r="X693" s="30">
        <v>1</v>
      </c>
      <c r="Y693" s="7" t="s">
        <v>1177</v>
      </c>
      <c r="Z693" s="7" t="s">
        <v>1178</v>
      </c>
      <c r="AA693" s="30">
        <v>0</v>
      </c>
      <c r="AB693" s="36">
        <v>0</v>
      </c>
      <c r="AC693" s="7" t="s">
        <v>1177</v>
      </c>
      <c r="AD693" s="37">
        <v>0</v>
      </c>
      <c r="AE693" s="7" t="s">
        <v>1177</v>
      </c>
      <c r="AF693" s="7" t="s">
        <v>1177</v>
      </c>
      <c r="AG693" s="7" t="s">
        <v>1177</v>
      </c>
      <c r="AH693" s="38"/>
      <c r="AI693" s="36">
        <v>0</v>
      </c>
      <c r="AJ693" s="7" t="s">
        <v>1193</v>
      </c>
      <c r="AK693" s="7" t="s">
        <v>1177</v>
      </c>
      <c r="AL693" s="7" t="s">
        <v>1177</v>
      </c>
      <c r="AM693" s="7" t="s">
        <v>1177</v>
      </c>
      <c r="AN693" s="7" t="s">
        <v>3212</v>
      </c>
      <c r="AO693" s="7" t="s">
        <v>1177</v>
      </c>
      <c r="AP693" s="7" t="s">
        <v>1177</v>
      </c>
      <c r="AQ693" s="7" t="s">
        <v>1177</v>
      </c>
      <c r="AR693" s="29">
        <v>0</v>
      </c>
      <c r="AS693" s="7" t="s">
        <v>1177</v>
      </c>
      <c r="AT693" s="7" t="s">
        <v>1363</v>
      </c>
      <c r="AU693" s="38">
        <v>46275</v>
      </c>
      <c r="AV693" s="39">
        <v>0.60446759259258998</v>
      </c>
    </row>
    <row r="694" spans="1:48" x14ac:dyDescent="0.35">
      <c r="A694" t="str">
        <f t="shared" si="10"/>
        <v>GP091183B825</v>
      </c>
      <c r="B694" s="7" t="s">
        <v>168</v>
      </c>
      <c r="C694" s="7" t="s">
        <v>511</v>
      </c>
      <c r="D694" s="7" t="s">
        <v>16</v>
      </c>
      <c r="E694" s="7" t="s">
        <v>1177</v>
      </c>
      <c r="F694" s="7" t="s">
        <v>128</v>
      </c>
      <c r="G694" s="7" t="s">
        <v>130</v>
      </c>
      <c r="H694" s="7" t="s">
        <v>129</v>
      </c>
      <c r="I694" s="30">
        <v>2</v>
      </c>
      <c r="J694" s="7" t="s">
        <v>1177</v>
      </c>
      <c r="K694" s="7" t="s">
        <v>1178</v>
      </c>
      <c r="L694" s="7" t="s">
        <v>132</v>
      </c>
      <c r="M694" s="7" t="s">
        <v>133</v>
      </c>
      <c r="N694" s="30">
        <v>0</v>
      </c>
      <c r="O694" s="30">
        <v>0</v>
      </c>
      <c r="P694" s="30">
        <v>0</v>
      </c>
      <c r="Q694" s="30">
        <v>0</v>
      </c>
      <c r="R694" s="29">
        <v>0</v>
      </c>
      <c r="S694" s="36">
        <v>0</v>
      </c>
      <c r="T694" s="7" t="s">
        <v>131</v>
      </c>
      <c r="U694" s="7" t="s">
        <v>512</v>
      </c>
      <c r="V694" s="7" t="s">
        <v>512</v>
      </c>
      <c r="W694" s="7" t="s">
        <v>1177</v>
      </c>
      <c r="X694" s="30">
        <v>1</v>
      </c>
      <c r="Y694" s="7" t="s">
        <v>1177</v>
      </c>
      <c r="Z694" s="7" t="s">
        <v>1178</v>
      </c>
      <c r="AA694" s="30">
        <v>0</v>
      </c>
      <c r="AB694" s="36">
        <v>0</v>
      </c>
      <c r="AC694" s="7" t="s">
        <v>1177</v>
      </c>
      <c r="AD694" s="37">
        <v>0</v>
      </c>
      <c r="AE694" s="7" t="s">
        <v>1177</v>
      </c>
      <c r="AF694" s="7" t="s">
        <v>1177</v>
      </c>
      <c r="AG694" s="7" t="s">
        <v>1177</v>
      </c>
      <c r="AH694" s="38"/>
      <c r="AI694" s="36">
        <v>0</v>
      </c>
      <c r="AJ694" s="7" t="s">
        <v>1193</v>
      </c>
      <c r="AK694" s="7" t="s">
        <v>1177</v>
      </c>
      <c r="AL694" s="7" t="s">
        <v>1177</v>
      </c>
      <c r="AM694" s="7" t="s">
        <v>1177</v>
      </c>
      <c r="AN694" s="7" t="s">
        <v>3212</v>
      </c>
      <c r="AO694" s="7" t="s">
        <v>1177</v>
      </c>
      <c r="AP694" s="7" t="s">
        <v>1177</v>
      </c>
      <c r="AQ694" s="7" t="s">
        <v>1177</v>
      </c>
      <c r="AR694" s="29">
        <v>0</v>
      </c>
      <c r="AS694" s="7" t="s">
        <v>1177</v>
      </c>
      <c r="AT694" s="7" t="s">
        <v>1363</v>
      </c>
      <c r="AU694" s="38">
        <v>46275</v>
      </c>
      <c r="AV694" s="39">
        <v>0.60350694444443997</v>
      </c>
    </row>
    <row r="695" spans="1:48" x14ac:dyDescent="0.35">
      <c r="A695" t="str">
        <f t="shared" si="10"/>
        <v>GP091183B838</v>
      </c>
      <c r="B695" s="7" t="s">
        <v>168</v>
      </c>
      <c r="C695" s="7" t="s">
        <v>744</v>
      </c>
      <c r="D695" s="7" t="s">
        <v>48</v>
      </c>
      <c r="E695" s="7" t="s">
        <v>1177</v>
      </c>
      <c r="F695" s="7" t="s">
        <v>128</v>
      </c>
      <c r="G695" s="7" t="s">
        <v>130</v>
      </c>
      <c r="H695" s="7" t="s">
        <v>129</v>
      </c>
      <c r="I695" s="30">
        <v>2</v>
      </c>
      <c r="J695" s="7" t="s">
        <v>1177</v>
      </c>
      <c r="K695" s="7" t="s">
        <v>1178</v>
      </c>
      <c r="L695" s="7" t="s">
        <v>132</v>
      </c>
      <c r="M695" s="7" t="s">
        <v>133</v>
      </c>
      <c r="N695" s="30">
        <v>0</v>
      </c>
      <c r="O695" s="30">
        <v>0</v>
      </c>
      <c r="P695" s="30">
        <v>0</v>
      </c>
      <c r="Q695" s="30">
        <v>0</v>
      </c>
      <c r="R695" s="29">
        <v>0</v>
      </c>
      <c r="S695" s="36">
        <v>0</v>
      </c>
      <c r="T695" s="7" t="s">
        <v>131</v>
      </c>
      <c r="U695" s="7" t="s">
        <v>745</v>
      </c>
      <c r="V695" s="7" t="s">
        <v>745</v>
      </c>
      <c r="W695" s="7" t="s">
        <v>1177</v>
      </c>
      <c r="X695" s="30">
        <v>1</v>
      </c>
      <c r="Y695" s="7" t="s">
        <v>1177</v>
      </c>
      <c r="Z695" s="7" t="s">
        <v>1178</v>
      </c>
      <c r="AA695" s="30">
        <v>0</v>
      </c>
      <c r="AB695" s="36">
        <v>0</v>
      </c>
      <c r="AC695" s="7" t="s">
        <v>1177</v>
      </c>
      <c r="AD695" s="37">
        <v>0</v>
      </c>
      <c r="AE695" s="7" t="s">
        <v>1177</v>
      </c>
      <c r="AF695" s="7" t="s">
        <v>1177</v>
      </c>
      <c r="AG695" s="7" t="s">
        <v>1177</v>
      </c>
      <c r="AH695" s="38"/>
      <c r="AI695" s="36">
        <v>0</v>
      </c>
      <c r="AJ695" s="7" t="s">
        <v>1193</v>
      </c>
      <c r="AK695" s="7" t="s">
        <v>1177</v>
      </c>
      <c r="AL695" s="7" t="s">
        <v>1177</v>
      </c>
      <c r="AM695" s="7" t="s">
        <v>1177</v>
      </c>
      <c r="AN695" s="7" t="s">
        <v>3212</v>
      </c>
      <c r="AO695" s="7" t="s">
        <v>1177</v>
      </c>
      <c r="AP695" s="7" t="s">
        <v>1177</v>
      </c>
      <c r="AQ695" s="7" t="s">
        <v>1177</v>
      </c>
      <c r="AR695" s="29">
        <v>0</v>
      </c>
      <c r="AS695" s="7" t="s">
        <v>1177</v>
      </c>
      <c r="AT695" s="7" t="s">
        <v>1363</v>
      </c>
      <c r="AU695" s="38">
        <v>46275</v>
      </c>
      <c r="AV695" s="39">
        <v>0.60446759259258998</v>
      </c>
    </row>
    <row r="696" spans="1:48" x14ac:dyDescent="0.35">
      <c r="A696" t="str">
        <f t="shared" si="10"/>
        <v>GP091184B838</v>
      </c>
      <c r="B696" s="7" t="s">
        <v>169</v>
      </c>
      <c r="C696" s="7" t="s">
        <v>744</v>
      </c>
      <c r="D696" s="7" t="s">
        <v>48</v>
      </c>
      <c r="E696" s="7" t="s">
        <v>1177</v>
      </c>
      <c r="F696" s="7" t="s">
        <v>128</v>
      </c>
      <c r="G696" s="7" t="s">
        <v>130</v>
      </c>
      <c r="H696" s="7" t="s">
        <v>129</v>
      </c>
      <c r="I696" s="30">
        <v>2</v>
      </c>
      <c r="J696" s="7" t="s">
        <v>1177</v>
      </c>
      <c r="K696" s="7" t="s">
        <v>1178</v>
      </c>
      <c r="L696" s="7" t="s">
        <v>132</v>
      </c>
      <c r="M696" s="7" t="s">
        <v>133</v>
      </c>
      <c r="N696" s="30">
        <v>0</v>
      </c>
      <c r="O696" s="30">
        <v>0</v>
      </c>
      <c r="P696" s="30">
        <v>0</v>
      </c>
      <c r="Q696" s="30">
        <v>0</v>
      </c>
      <c r="R696" s="29">
        <v>0</v>
      </c>
      <c r="S696" s="36">
        <v>0</v>
      </c>
      <c r="T696" s="7" t="s">
        <v>131</v>
      </c>
      <c r="U696" s="7" t="s">
        <v>745</v>
      </c>
      <c r="V696" s="7" t="s">
        <v>745</v>
      </c>
      <c r="W696" s="7" t="s">
        <v>1177</v>
      </c>
      <c r="X696" s="30">
        <v>1</v>
      </c>
      <c r="Y696" s="7" t="s">
        <v>1177</v>
      </c>
      <c r="Z696" s="7" t="s">
        <v>1178</v>
      </c>
      <c r="AA696" s="30">
        <v>0</v>
      </c>
      <c r="AB696" s="36">
        <v>0</v>
      </c>
      <c r="AC696" s="7" t="s">
        <v>1177</v>
      </c>
      <c r="AD696" s="37">
        <v>0</v>
      </c>
      <c r="AE696" s="7" t="s">
        <v>1177</v>
      </c>
      <c r="AF696" s="7" t="s">
        <v>1177</v>
      </c>
      <c r="AG696" s="7" t="s">
        <v>1177</v>
      </c>
      <c r="AH696" s="38"/>
      <c r="AI696" s="36">
        <v>0</v>
      </c>
      <c r="AJ696" s="7" t="s">
        <v>1193</v>
      </c>
      <c r="AK696" s="7" t="s">
        <v>1177</v>
      </c>
      <c r="AL696" s="7" t="s">
        <v>1177</v>
      </c>
      <c r="AM696" s="7" t="s">
        <v>1177</v>
      </c>
      <c r="AN696" s="7" t="s">
        <v>3212</v>
      </c>
      <c r="AO696" s="7" t="s">
        <v>1177</v>
      </c>
      <c r="AP696" s="7" t="s">
        <v>1177</v>
      </c>
      <c r="AQ696" s="7" t="s">
        <v>1177</v>
      </c>
      <c r="AR696" s="29">
        <v>0</v>
      </c>
      <c r="AS696" s="7" t="s">
        <v>1177</v>
      </c>
      <c r="AT696" s="7" t="s">
        <v>1363</v>
      </c>
      <c r="AU696" s="38">
        <v>46275</v>
      </c>
      <c r="AV696" s="39">
        <v>0.60446759259258998</v>
      </c>
    </row>
    <row r="697" spans="1:48" x14ac:dyDescent="0.35">
      <c r="A697" t="str">
        <f t="shared" si="10"/>
        <v>GP091185B838</v>
      </c>
      <c r="B697" s="7" t="s">
        <v>251</v>
      </c>
      <c r="C697" s="7" t="s">
        <v>744</v>
      </c>
      <c r="D697" s="7" t="s">
        <v>48</v>
      </c>
      <c r="E697" s="7" t="s">
        <v>1177</v>
      </c>
      <c r="F697" s="7" t="s">
        <v>128</v>
      </c>
      <c r="G697" s="7" t="s">
        <v>130</v>
      </c>
      <c r="H697" s="7" t="s">
        <v>129</v>
      </c>
      <c r="I697" s="30">
        <v>1</v>
      </c>
      <c r="J697" s="7" t="s">
        <v>1177</v>
      </c>
      <c r="K697" s="7" t="s">
        <v>1178</v>
      </c>
      <c r="L697" s="7" t="s">
        <v>132</v>
      </c>
      <c r="M697" s="7" t="s">
        <v>133</v>
      </c>
      <c r="N697" s="30">
        <v>0</v>
      </c>
      <c r="O697" s="30">
        <v>0</v>
      </c>
      <c r="P697" s="30">
        <v>0</v>
      </c>
      <c r="Q697" s="30">
        <v>0</v>
      </c>
      <c r="R697" s="29">
        <v>0</v>
      </c>
      <c r="S697" s="36">
        <v>0</v>
      </c>
      <c r="T697" s="7" t="s">
        <v>131</v>
      </c>
      <c r="U697" s="7" t="s">
        <v>745</v>
      </c>
      <c r="V697" s="7" t="s">
        <v>745</v>
      </c>
      <c r="W697" s="7" t="s">
        <v>1177</v>
      </c>
      <c r="X697" s="30">
        <v>1</v>
      </c>
      <c r="Y697" s="7" t="s">
        <v>1177</v>
      </c>
      <c r="Z697" s="7" t="s">
        <v>1178</v>
      </c>
      <c r="AA697" s="30">
        <v>0</v>
      </c>
      <c r="AB697" s="36">
        <v>0</v>
      </c>
      <c r="AC697" s="7" t="s">
        <v>1177</v>
      </c>
      <c r="AD697" s="37">
        <v>0</v>
      </c>
      <c r="AE697" s="7" t="s">
        <v>1177</v>
      </c>
      <c r="AF697" s="7" t="s">
        <v>1177</v>
      </c>
      <c r="AG697" s="7" t="s">
        <v>1177</v>
      </c>
      <c r="AH697" s="38"/>
      <c r="AI697" s="36">
        <v>0</v>
      </c>
      <c r="AJ697" s="7" t="s">
        <v>1193</v>
      </c>
      <c r="AK697" s="7" t="s">
        <v>1177</v>
      </c>
      <c r="AL697" s="7" t="s">
        <v>1177</v>
      </c>
      <c r="AM697" s="7" t="s">
        <v>1177</v>
      </c>
      <c r="AN697" s="7" t="s">
        <v>3212</v>
      </c>
      <c r="AO697" s="7" t="s">
        <v>1177</v>
      </c>
      <c r="AP697" s="7" t="s">
        <v>1177</v>
      </c>
      <c r="AQ697" s="7" t="s">
        <v>1177</v>
      </c>
      <c r="AR697" s="29">
        <v>0</v>
      </c>
      <c r="AS697" s="7" t="s">
        <v>1177</v>
      </c>
      <c r="AT697" s="7" t="s">
        <v>1363</v>
      </c>
      <c r="AU697" s="38">
        <v>46275</v>
      </c>
      <c r="AV697" s="39">
        <v>0.60446759259258998</v>
      </c>
    </row>
    <row r="698" spans="1:48" x14ac:dyDescent="0.35">
      <c r="A698" t="str">
        <f t="shared" si="10"/>
        <v>GP091188B825</v>
      </c>
      <c r="B698" s="7" t="s">
        <v>170</v>
      </c>
      <c r="C698" s="7" t="s">
        <v>511</v>
      </c>
      <c r="D698" s="7" t="s">
        <v>16</v>
      </c>
      <c r="E698" s="7" t="s">
        <v>1177</v>
      </c>
      <c r="F698" s="7" t="s">
        <v>128</v>
      </c>
      <c r="G698" s="7" t="s">
        <v>130</v>
      </c>
      <c r="H698" s="7" t="s">
        <v>129</v>
      </c>
      <c r="I698" s="30">
        <v>2</v>
      </c>
      <c r="J698" s="7" t="s">
        <v>1177</v>
      </c>
      <c r="K698" s="7" t="s">
        <v>1178</v>
      </c>
      <c r="L698" s="7" t="s">
        <v>132</v>
      </c>
      <c r="M698" s="7" t="s">
        <v>133</v>
      </c>
      <c r="N698" s="30">
        <v>0</v>
      </c>
      <c r="O698" s="30">
        <v>0</v>
      </c>
      <c r="P698" s="30">
        <v>0</v>
      </c>
      <c r="Q698" s="30">
        <v>0</v>
      </c>
      <c r="R698" s="29">
        <v>0</v>
      </c>
      <c r="S698" s="36">
        <v>0</v>
      </c>
      <c r="T698" s="7" t="s">
        <v>131</v>
      </c>
      <c r="U698" s="7" t="s">
        <v>512</v>
      </c>
      <c r="V698" s="7" t="s">
        <v>512</v>
      </c>
      <c r="W698" s="7" t="s">
        <v>1177</v>
      </c>
      <c r="X698" s="30">
        <v>1</v>
      </c>
      <c r="Y698" s="7" t="s">
        <v>1177</v>
      </c>
      <c r="Z698" s="7" t="s">
        <v>1178</v>
      </c>
      <c r="AA698" s="30">
        <v>0</v>
      </c>
      <c r="AB698" s="36">
        <v>0</v>
      </c>
      <c r="AC698" s="7" t="s">
        <v>1177</v>
      </c>
      <c r="AD698" s="37">
        <v>0</v>
      </c>
      <c r="AE698" s="7" t="s">
        <v>1177</v>
      </c>
      <c r="AF698" s="7" t="s">
        <v>1177</v>
      </c>
      <c r="AG698" s="7" t="s">
        <v>1177</v>
      </c>
      <c r="AH698" s="38"/>
      <c r="AI698" s="36">
        <v>0</v>
      </c>
      <c r="AJ698" s="7" t="s">
        <v>1193</v>
      </c>
      <c r="AK698" s="7" t="s">
        <v>1177</v>
      </c>
      <c r="AL698" s="7" t="s">
        <v>1177</v>
      </c>
      <c r="AM698" s="7" t="s">
        <v>1177</v>
      </c>
      <c r="AN698" s="7" t="s">
        <v>3212</v>
      </c>
      <c r="AO698" s="7" t="s">
        <v>1177</v>
      </c>
      <c r="AP698" s="7" t="s">
        <v>1177</v>
      </c>
      <c r="AQ698" s="7" t="s">
        <v>1177</v>
      </c>
      <c r="AR698" s="29">
        <v>0</v>
      </c>
      <c r="AS698" s="7" t="s">
        <v>1177</v>
      </c>
      <c r="AT698" s="7" t="s">
        <v>1363</v>
      </c>
      <c r="AU698" s="38">
        <v>46275</v>
      </c>
      <c r="AV698" s="39">
        <v>0.60350694444443997</v>
      </c>
    </row>
    <row r="699" spans="1:48" x14ac:dyDescent="0.35">
      <c r="A699" t="str">
        <f t="shared" si="10"/>
        <v>GP091188B832</v>
      </c>
      <c r="B699" s="7" t="s">
        <v>170</v>
      </c>
      <c r="C699" s="7" t="s">
        <v>653</v>
      </c>
      <c r="D699" s="7" t="s">
        <v>19</v>
      </c>
      <c r="E699" s="7" t="s">
        <v>1177</v>
      </c>
      <c r="F699" s="7" t="s">
        <v>128</v>
      </c>
      <c r="G699" s="7" t="s">
        <v>130</v>
      </c>
      <c r="H699" s="7" t="s">
        <v>129</v>
      </c>
      <c r="I699" s="30">
        <v>2</v>
      </c>
      <c r="J699" s="7" t="s">
        <v>1177</v>
      </c>
      <c r="K699" s="7" t="s">
        <v>1178</v>
      </c>
      <c r="L699" s="7" t="s">
        <v>132</v>
      </c>
      <c r="M699" s="7" t="s">
        <v>133</v>
      </c>
      <c r="N699" s="30">
        <v>0</v>
      </c>
      <c r="O699" s="30">
        <v>0</v>
      </c>
      <c r="P699" s="30">
        <v>0</v>
      </c>
      <c r="Q699" s="30">
        <v>0</v>
      </c>
      <c r="R699" s="29">
        <v>0</v>
      </c>
      <c r="S699" s="36">
        <v>0</v>
      </c>
      <c r="T699" s="7" t="s">
        <v>131</v>
      </c>
      <c r="U699" s="7" t="s">
        <v>654</v>
      </c>
      <c r="V699" s="7" t="s">
        <v>654</v>
      </c>
      <c r="W699" s="7" t="s">
        <v>1177</v>
      </c>
      <c r="X699" s="30">
        <v>1</v>
      </c>
      <c r="Y699" s="7" t="s">
        <v>1177</v>
      </c>
      <c r="Z699" s="7" t="s">
        <v>1178</v>
      </c>
      <c r="AA699" s="30">
        <v>0</v>
      </c>
      <c r="AB699" s="36">
        <v>0</v>
      </c>
      <c r="AC699" s="7" t="s">
        <v>1177</v>
      </c>
      <c r="AD699" s="37">
        <v>0</v>
      </c>
      <c r="AE699" s="7" t="s">
        <v>1177</v>
      </c>
      <c r="AF699" s="7" t="s">
        <v>1177</v>
      </c>
      <c r="AG699" s="7" t="s">
        <v>1177</v>
      </c>
      <c r="AH699" s="38"/>
      <c r="AI699" s="36">
        <v>0</v>
      </c>
      <c r="AJ699" s="7" t="s">
        <v>1193</v>
      </c>
      <c r="AK699" s="7" t="s">
        <v>1177</v>
      </c>
      <c r="AL699" s="7" t="s">
        <v>1177</v>
      </c>
      <c r="AM699" s="7" t="s">
        <v>1177</v>
      </c>
      <c r="AN699" s="7" t="s">
        <v>3212</v>
      </c>
      <c r="AO699" s="7" t="s">
        <v>1177</v>
      </c>
      <c r="AP699" s="7" t="s">
        <v>1177</v>
      </c>
      <c r="AQ699" s="7" t="s">
        <v>1177</v>
      </c>
      <c r="AR699" s="29">
        <v>0</v>
      </c>
      <c r="AS699" s="7" t="s">
        <v>1177</v>
      </c>
      <c r="AT699" s="7" t="s">
        <v>1363</v>
      </c>
      <c r="AU699" s="38">
        <v>46275</v>
      </c>
      <c r="AV699" s="39">
        <v>0.60394675925926</v>
      </c>
    </row>
    <row r="700" spans="1:48" x14ac:dyDescent="0.35">
      <c r="A700" t="str">
        <f t="shared" si="10"/>
        <v>GP091188B838</v>
      </c>
      <c r="B700" s="7" t="s">
        <v>170</v>
      </c>
      <c r="C700" s="7" t="s">
        <v>744</v>
      </c>
      <c r="D700" s="7" t="s">
        <v>48</v>
      </c>
      <c r="E700" s="7" t="s">
        <v>1177</v>
      </c>
      <c r="F700" s="7" t="s">
        <v>128</v>
      </c>
      <c r="G700" s="7" t="s">
        <v>130</v>
      </c>
      <c r="H700" s="7" t="s">
        <v>129</v>
      </c>
      <c r="I700" s="30">
        <v>2</v>
      </c>
      <c r="J700" s="7" t="s">
        <v>1177</v>
      </c>
      <c r="K700" s="7" t="s">
        <v>1178</v>
      </c>
      <c r="L700" s="7" t="s">
        <v>132</v>
      </c>
      <c r="M700" s="7" t="s">
        <v>133</v>
      </c>
      <c r="N700" s="30">
        <v>0</v>
      </c>
      <c r="O700" s="30">
        <v>0</v>
      </c>
      <c r="P700" s="30">
        <v>0</v>
      </c>
      <c r="Q700" s="30">
        <v>0</v>
      </c>
      <c r="R700" s="29">
        <v>0</v>
      </c>
      <c r="S700" s="36">
        <v>0</v>
      </c>
      <c r="T700" s="7" t="s">
        <v>131</v>
      </c>
      <c r="U700" s="7" t="s">
        <v>745</v>
      </c>
      <c r="V700" s="7" t="s">
        <v>745</v>
      </c>
      <c r="W700" s="7" t="s">
        <v>1177</v>
      </c>
      <c r="X700" s="30">
        <v>1</v>
      </c>
      <c r="Y700" s="7" t="s">
        <v>1177</v>
      </c>
      <c r="Z700" s="7" t="s">
        <v>1178</v>
      </c>
      <c r="AA700" s="30">
        <v>0</v>
      </c>
      <c r="AB700" s="36">
        <v>0</v>
      </c>
      <c r="AC700" s="7" t="s">
        <v>1177</v>
      </c>
      <c r="AD700" s="37">
        <v>0</v>
      </c>
      <c r="AE700" s="7" t="s">
        <v>1177</v>
      </c>
      <c r="AF700" s="7" t="s">
        <v>1177</v>
      </c>
      <c r="AG700" s="7" t="s">
        <v>1177</v>
      </c>
      <c r="AH700" s="38"/>
      <c r="AI700" s="36">
        <v>0</v>
      </c>
      <c r="AJ700" s="7" t="s">
        <v>1193</v>
      </c>
      <c r="AK700" s="7" t="s">
        <v>1177</v>
      </c>
      <c r="AL700" s="7" t="s">
        <v>1177</v>
      </c>
      <c r="AM700" s="7" t="s">
        <v>1177</v>
      </c>
      <c r="AN700" s="7" t="s">
        <v>3212</v>
      </c>
      <c r="AO700" s="7" t="s">
        <v>1177</v>
      </c>
      <c r="AP700" s="7" t="s">
        <v>1177</v>
      </c>
      <c r="AQ700" s="7" t="s">
        <v>1177</v>
      </c>
      <c r="AR700" s="29">
        <v>0</v>
      </c>
      <c r="AS700" s="7" t="s">
        <v>1177</v>
      </c>
      <c r="AT700" s="7" t="s">
        <v>1363</v>
      </c>
      <c r="AU700" s="38">
        <v>46275</v>
      </c>
      <c r="AV700" s="39">
        <v>0.60447916666667001</v>
      </c>
    </row>
    <row r="701" spans="1:48" x14ac:dyDescent="0.35">
      <c r="A701" t="str">
        <f t="shared" si="10"/>
        <v>GP091195B832</v>
      </c>
      <c r="B701" s="7" t="s">
        <v>449</v>
      </c>
      <c r="C701" s="7" t="s">
        <v>653</v>
      </c>
      <c r="D701" s="7" t="s">
        <v>19</v>
      </c>
      <c r="E701" s="7" t="s">
        <v>1177</v>
      </c>
      <c r="F701" s="7" t="s">
        <v>128</v>
      </c>
      <c r="G701" s="7" t="s">
        <v>130</v>
      </c>
      <c r="H701" s="7" t="s">
        <v>129</v>
      </c>
      <c r="I701" s="30">
        <v>3</v>
      </c>
      <c r="J701" s="7" t="s">
        <v>1177</v>
      </c>
      <c r="K701" s="7" t="s">
        <v>1178</v>
      </c>
      <c r="L701" s="7" t="s">
        <v>132</v>
      </c>
      <c r="M701" s="7" t="s">
        <v>133</v>
      </c>
      <c r="N701" s="30">
        <v>0</v>
      </c>
      <c r="O701" s="30">
        <v>0</v>
      </c>
      <c r="P701" s="30">
        <v>0</v>
      </c>
      <c r="Q701" s="30">
        <v>0</v>
      </c>
      <c r="R701" s="29">
        <v>0</v>
      </c>
      <c r="S701" s="36">
        <v>0</v>
      </c>
      <c r="T701" s="7" t="s">
        <v>131</v>
      </c>
      <c r="U701" s="7" t="s">
        <v>654</v>
      </c>
      <c r="V701" s="7" t="s">
        <v>654</v>
      </c>
      <c r="W701" s="7" t="s">
        <v>1177</v>
      </c>
      <c r="X701" s="30">
        <v>1</v>
      </c>
      <c r="Y701" s="7" t="s">
        <v>1177</v>
      </c>
      <c r="Z701" s="7" t="s">
        <v>1178</v>
      </c>
      <c r="AA701" s="30">
        <v>0</v>
      </c>
      <c r="AB701" s="36">
        <v>0</v>
      </c>
      <c r="AC701" s="7" t="s">
        <v>1177</v>
      </c>
      <c r="AD701" s="37">
        <v>0</v>
      </c>
      <c r="AE701" s="7" t="s">
        <v>1177</v>
      </c>
      <c r="AF701" s="7" t="s">
        <v>1177</v>
      </c>
      <c r="AG701" s="7" t="s">
        <v>1177</v>
      </c>
      <c r="AH701" s="38"/>
      <c r="AI701" s="36">
        <v>0</v>
      </c>
      <c r="AJ701" s="7" t="s">
        <v>1193</v>
      </c>
      <c r="AK701" s="7" t="s">
        <v>1177</v>
      </c>
      <c r="AL701" s="7" t="s">
        <v>1177</v>
      </c>
      <c r="AM701" s="7" t="s">
        <v>1177</v>
      </c>
      <c r="AN701" s="7" t="s">
        <v>3212</v>
      </c>
      <c r="AO701" s="7" t="s">
        <v>1177</v>
      </c>
      <c r="AP701" s="7" t="s">
        <v>1177</v>
      </c>
      <c r="AQ701" s="7" t="s">
        <v>1177</v>
      </c>
      <c r="AR701" s="29">
        <v>0</v>
      </c>
      <c r="AS701" s="7" t="s">
        <v>1177</v>
      </c>
      <c r="AT701" s="7" t="s">
        <v>1363</v>
      </c>
      <c r="AU701" s="38">
        <v>46275</v>
      </c>
      <c r="AV701" s="39">
        <v>0.60393518518518996</v>
      </c>
    </row>
    <row r="702" spans="1:48" x14ac:dyDescent="0.35">
      <c r="A702" t="str">
        <f t="shared" si="10"/>
        <v>GP091205B825</v>
      </c>
      <c r="B702" s="7" t="s">
        <v>252</v>
      </c>
      <c r="C702" s="7" t="s">
        <v>511</v>
      </c>
      <c r="D702" s="7" t="s">
        <v>16</v>
      </c>
      <c r="E702" s="7" t="s">
        <v>1177</v>
      </c>
      <c r="F702" s="7" t="s">
        <v>128</v>
      </c>
      <c r="G702" s="7" t="s">
        <v>130</v>
      </c>
      <c r="H702" s="7" t="s">
        <v>129</v>
      </c>
      <c r="I702" s="30">
        <v>2</v>
      </c>
      <c r="J702" s="7" t="s">
        <v>1177</v>
      </c>
      <c r="K702" s="7" t="s">
        <v>1178</v>
      </c>
      <c r="L702" s="7" t="s">
        <v>132</v>
      </c>
      <c r="M702" s="7" t="s">
        <v>133</v>
      </c>
      <c r="N702" s="30">
        <v>0</v>
      </c>
      <c r="O702" s="30">
        <v>0</v>
      </c>
      <c r="P702" s="30">
        <v>0</v>
      </c>
      <c r="Q702" s="30">
        <v>0</v>
      </c>
      <c r="R702" s="29">
        <v>0</v>
      </c>
      <c r="S702" s="36">
        <v>0</v>
      </c>
      <c r="T702" s="7" t="s">
        <v>131</v>
      </c>
      <c r="U702" s="7" t="s">
        <v>512</v>
      </c>
      <c r="V702" s="7" t="s">
        <v>512</v>
      </c>
      <c r="W702" s="7" t="s">
        <v>1177</v>
      </c>
      <c r="X702" s="30">
        <v>1</v>
      </c>
      <c r="Y702" s="7" t="s">
        <v>1177</v>
      </c>
      <c r="Z702" s="7" t="s">
        <v>1178</v>
      </c>
      <c r="AA702" s="30">
        <v>0</v>
      </c>
      <c r="AB702" s="36">
        <v>0</v>
      </c>
      <c r="AC702" s="7" t="s">
        <v>1177</v>
      </c>
      <c r="AD702" s="37">
        <v>0</v>
      </c>
      <c r="AE702" s="7" t="s">
        <v>1177</v>
      </c>
      <c r="AF702" s="7" t="s">
        <v>1177</v>
      </c>
      <c r="AG702" s="7" t="s">
        <v>1177</v>
      </c>
      <c r="AH702" s="38"/>
      <c r="AI702" s="36">
        <v>0</v>
      </c>
      <c r="AJ702" s="7" t="s">
        <v>1193</v>
      </c>
      <c r="AK702" s="7" t="s">
        <v>1177</v>
      </c>
      <c r="AL702" s="7" t="s">
        <v>1177</v>
      </c>
      <c r="AM702" s="7" t="s">
        <v>1177</v>
      </c>
      <c r="AN702" s="7" t="s">
        <v>3212</v>
      </c>
      <c r="AO702" s="7" t="s">
        <v>1177</v>
      </c>
      <c r="AP702" s="7" t="s">
        <v>1177</v>
      </c>
      <c r="AQ702" s="7" t="s">
        <v>1177</v>
      </c>
      <c r="AR702" s="29">
        <v>0</v>
      </c>
      <c r="AS702" s="7" t="s">
        <v>1177</v>
      </c>
      <c r="AT702" s="7" t="s">
        <v>1363</v>
      </c>
      <c r="AU702" s="38">
        <v>46275</v>
      </c>
      <c r="AV702" s="39">
        <v>0.60350694444443997</v>
      </c>
    </row>
    <row r="703" spans="1:48" x14ac:dyDescent="0.35">
      <c r="A703" t="str">
        <f t="shared" si="10"/>
        <v>GP091205B832</v>
      </c>
      <c r="B703" s="7" t="s">
        <v>252</v>
      </c>
      <c r="C703" s="7" t="s">
        <v>653</v>
      </c>
      <c r="D703" s="7" t="s">
        <v>19</v>
      </c>
      <c r="E703" s="7" t="s">
        <v>1177</v>
      </c>
      <c r="F703" s="7" t="s">
        <v>128</v>
      </c>
      <c r="G703" s="7" t="s">
        <v>130</v>
      </c>
      <c r="H703" s="7" t="s">
        <v>129</v>
      </c>
      <c r="I703" s="30">
        <v>2</v>
      </c>
      <c r="J703" s="7" t="s">
        <v>1177</v>
      </c>
      <c r="K703" s="7" t="s">
        <v>1178</v>
      </c>
      <c r="L703" s="7" t="s">
        <v>132</v>
      </c>
      <c r="M703" s="7" t="s">
        <v>133</v>
      </c>
      <c r="N703" s="30">
        <v>0</v>
      </c>
      <c r="O703" s="30">
        <v>0</v>
      </c>
      <c r="P703" s="30">
        <v>0</v>
      </c>
      <c r="Q703" s="30">
        <v>0</v>
      </c>
      <c r="R703" s="29">
        <v>0</v>
      </c>
      <c r="S703" s="36">
        <v>0</v>
      </c>
      <c r="T703" s="7" t="s">
        <v>131</v>
      </c>
      <c r="U703" s="7" t="s">
        <v>654</v>
      </c>
      <c r="V703" s="7" t="s">
        <v>654</v>
      </c>
      <c r="W703" s="7" t="s">
        <v>1177</v>
      </c>
      <c r="X703" s="30">
        <v>1</v>
      </c>
      <c r="Y703" s="7" t="s">
        <v>1177</v>
      </c>
      <c r="Z703" s="7" t="s">
        <v>1178</v>
      </c>
      <c r="AA703" s="30">
        <v>0</v>
      </c>
      <c r="AB703" s="36">
        <v>0</v>
      </c>
      <c r="AC703" s="7" t="s">
        <v>1177</v>
      </c>
      <c r="AD703" s="37">
        <v>0</v>
      </c>
      <c r="AE703" s="7" t="s">
        <v>1177</v>
      </c>
      <c r="AF703" s="7" t="s">
        <v>1177</v>
      </c>
      <c r="AG703" s="7" t="s">
        <v>1177</v>
      </c>
      <c r="AH703" s="38"/>
      <c r="AI703" s="36">
        <v>0</v>
      </c>
      <c r="AJ703" s="7" t="s">
        <v>1193</v>
      </c>
      <c r="AK703" s="7" t="s">
        <v>1177</v>
      </c>
      <c r="AL703" s="7" t="s">
        <v>1177</v>
      </c>
      <c r="AM703" s="7" t="s">
        <v>1177</v>
      </c>
      <c r="AN703" s="7" t="s">
        <v>3212</v>
      </c>
      <c r="AO703" s="7" t="s">
        <v>1177</v>
      </c>
      <c r="AP703" s="7" t="s">
        <v>1177</v>
      </c>
      <c r="AQ703" s="7" t="s">
        <v>1177</v>
      </c>
      <c r="AR703" s="29">
        <v>0</v>
      </c>
      <c r="AS703" s="7" t="s">
        <v>1177</v>
      </c>
      <c r="AT703" s="7" t="s">
        <v>1363</v>
      </c>
      <c r="AU703" s="38">
        <v>46275</v>
      </c>
      <c r="AV703" s="39">
        <v>0.60393518518518996</v>
      </c>
    </row>
    <row r="704" spans="1:48" x14ac:dyDescent="0.35">
      <c r="A704" t="str">
        <f t="shared" si="10"/>
        <v>GP091205B838</v>
      </c>
      <c r="B704" s="7" t="s">
        <v>252</v>
      </c>
      <c r="C704" s="7" t="s">
        <v>744</v>
      </c>
      <c r="D704" s="7" t="s">
        <v>48</v>
      </c>
      <c r="E704" s="7" t="s">
        <v>1177</v>
      </c>
      <c r="F704" s="7" t="s">
        <v>128</v>
      </c>
      <c r="G704" s="7" t="s">
        <v>130</v>
      </c>
      <c r="H704" s="7" t="s">
        <v>129</v>
      </c>
      <c r="I704" s="30">
        <v>2</v>
      </c>
      <c r="J704" s="7" t="s">
        <v>1177</v>
      </c>
      <c r="K704" s="7" t="s">
        <v>1178</v>
      </c>
      <c r="L704" s="7" t="s">
        <v>132</v>
      </c>
      <c r="M704" s="7" t="s">
        <v>133</v>
      </c>
      <c r="N704" s="30">
        <v>0</v>
      </c>
      <c r="O704" s="30">
        <v>0</v>
      </c>
      <c r="P704" s="30">
        <v>0</v>
      </c>
      <c r="Q704" s="30">
        <v>0</v>
      </c>
      <c r="R704" s="29">
        <v>0</v>
      </c>
      <c r="S704" s="36">
        <v>0</v>
      </c>
      <c r="T704" s="7" t="s">
        <v>131</v>
      </c>
      <c r="U704" s="7" t="s">
        <v>745</v>
      </c>
      <c r="V704" s="7" t="s">
        <v>745</v>
      </c>
      <c r="W704" s="7" t="s">
        <v>1177</v>
      </c>
      <c r="X704" s="30">
        <v>1</v>
      </c>
      <c r="Y704" s="7" t="s">
        <v>1177</v>
      </c>
      <c r="Z704" s="7" t="s">
        <v>1178</v>
      </c>
      <c r="AA704" s="30">
        <v>0</v>
      </c>
      <c r="AB704" s="36">
        <v>0</v>
      </c>
      <c r="AC704" s="7" t="s">
        <v>1177</v>
      </c>
      <c r="AD704" s="37">
        <v>0</v>
      </c>
      <c r="AE704" s="7" t="s">
        <v>1177</v>
      </c>
      <c r="AF704" s="7" t="s">
        <v>1177</v>
      </c>
      <c r="AG704" s="7" t="s">
        <v>1177</v>
      </c>
      <c r="AH704" s="38"/>
      <c r="AI704" s="36">
        <v>0</v>
      </c>
      <c r="AJ704" s="7" t="s">
        <v>1193</v>
      </c>
      <c r="AK704" s="7" t="s">
        <v>1177</v>
      </c>
      <c r="AL704" s="7" t="s">
        <v>1177</v>
      </c>
      <c r="AM704" s="7" t="s">
        <v>1177</v>
      </c>
      <c r="AN704" s="7" t="s">
        <v>3212</v>
      </c>
      <c r="AO704" s="7" t="s">
        <v>1177</v>
      </c>
      <c r="AP704" s="7" t="s">
        <v>1177</v>
      </c>
      <c r="AQ704" s="7" t="s">
        <v>1177</v>
      </c>
      <c r="AR704" s="29">
        <v>0</v>
      </c>
      <c r="AS704" s="7" t="s">
        <v>1177</v>
      </c>
      <c r="AT704" s="7" t="s">
        <v>1363</v>
      </c>
      <c r="AU704" s="38">
        <v>46275</v>
      </c>
      <c r="AV704" s="39">
        <v>0.60447916666667001</v>
      </c>
    </row>
    <row r="705" spans="1:48" x14ac:dyDescent="0.35">
      <c r="A705" t="str">
        <f t="shared" si="10"/>
        <v>GP091208B825</v>
      </c>
      <c r="B705" s="7" t="s">
        <v>318</v>
      </c>
      <c r="C705" s="7" t="s">
        <v>511</v>
      </c>
      <c r="D705" s="7" t="s">
        <v>16</v>
      </c>
      <c r="E705" s="7" t="s">
        <v>1177</v>
      </c>
      <c r="F705" s="7" t="s">
        <v>128</v>
      </c>
      <c r="G705" s="7" t="s">
        <v>130</v>
      </c>
      <c r="H705" s="7" t="s">
        <v>129</v>
      </c>
      <c r="I705" s="30">
        <v>1</v>
      </c>
      <c r="J705" s="7" t="s">
        <v>1177</v>
      </c>
      <c r="K705" s="7" t="s">
        <v>1178</v>
      </c>
      <c r="L705" s="7" t="s">
        <v>132</v>
      </c>
      <c r="M705" s="7" t="s">
        <v>133</v>
      </c>
      <c r="N705" s="30">
        <v>0</v>
      </c>
      <c r="O705" s="30">
        <v>0</v>
      </c>
      <c r="P705" s="30">
        <v>0</v>
      </c>
      <c r="Q705" s="30">
        <v>0</v>
      </c>
      <c r="R705" s="29">
        <v>0</v>
      </c>
      <c r="S705" s="36">
        <v>0</v>
      </c>
      <c r="T705" s="7" t="s">
        <v>131</v>
      </c>
      <c r="U705" s="7" t="s">
        <v>512</v>
      </c>
      <c r="V705" s="7" t="s">
        <v>512</v>
      </c>
      <c r="W705" s="7" t="s">
        <v>1177</v>
      </c>
      <c r="X705" s="30">
        <v>1</v>
      </c>
      <c r="Y705" s="7" t="s">
        <v>1177</v>
      </c>
      <c r="Z705" s="7" t="s">
        <v>1178</v>
      </c>
      <c r="AA705" s="30">
        <v>0</v>
      </c>
      <c r="AB705" s="36">
        <v>0</v>
      </c>
      <c r="AC705" s="7" t="s">
        <v>1177</v>
      </c>
      <c r="AD705" s="37">
        <v>0</v>
      </c>
      <c r="AE705" s="7" t="s">
        <v>1177</v>
      </c>
      <c r="AF705" s="7" t="s">
        <v>1177</v>
      </c>
      <c r="AG705" s="7" t="s">
        <v>1177</v>
      </c>
      <c r="AH705" s="38"/>
      <c r="AI705" s="36">
        <v>0</v>
      </c>
      <c r="AJ705" s="7" t="s">
        <v>1193</v>
      </c>
      <c r="AK705" s="7" t="s">
        <v>1177</v>
      </c>
      <c r="AL705" s="7" t="s">
        <v>1177</v>
      </c>
      <c r="AM705" s="7" t="s">
        <v>1177</v>
      </c>
      <c r="AN705" s="7" t="s">
        <v>3212</v>
      </c>
      <c r="AO705" s="7" t="s">
        <v>1177</v>
      </c>
      <c r="AP705" s="7" t="s">
        <v>1177</v>
      </c>
      <c r="AQ705" s="7" t="s">
        <v>1177</v>
      </c>
      <c r="AR705" s="29">
        <v>0</v>
      </c>
      <c r="AS705" s="7" t="s">
        <v>1177</v>
      </c>
      <c r="AT705" s="7" t="s">
        <v>1363</v>
      </c>
      <c r="AU705" s="38">
        <v>46275</v>
      </c>
      <c r="AV705" s="39">
        <v>0.60350694444443997</v>
      </c>
    </row>
    <row r="706" spans="1:48" x14ac:dyDescent="0.35">
      <c r="A706" t="str">
        <f t="shared" si="10"/>
        <v>GP091223B825</v>
      </c>
      <c r="B706" s="7" t="s">
        <v>319</v>
      </c>
      <c r="C706" s="7" t="s">
        <v>511</v>
      </c>
      <c r="D706" s="7" t="s">
        <v>16</v>
      </c>
      <c r="E706" s="7" t="s">
        <v>1177</v>
      </c>
      <c r="F706" s="7" t="s">
        <v>128</v>
      </c>
      <c r="G706" s="7" t="s">
        <v>130</v>
      </c>
      <c r="H706" s="7" t="s">
        <v>129</v>
      </c>
      <c r="I706" s="30">
        <v>2</v>
      </c>
      <c r="J706" s="7" t="s">
        <v>1177</v>
      </c>
      <c r="K706" s="7" t="s">
        <v>1178</v>
      </c>
      <c r="L706" s="7" t="s">
        <v>132</v>
      </c>
      <c r="M706" s="7" t="s">
        <v>133</v>
      </c>
      <c r="N706" s="30">
        <v>0</v>
      </c>
      <c r="O706" s="30">
        <v>0</v>
      </c>
      <c r="P706" s="30">
        <v>0</v>
      </c>
      <c r="Q706" s="30">
        <v>0</v>
      </c>
      <c r="R706" s="29">
        <v>0</v>
      </c>
      <c r="S706" s="36">
        <v>0</v>
      </c>
      <c r="T706" s="7" t="s">
        <v>131</v>
      </c>
      <c r="U706" s="7" t="s">
        <v>512</v>
      </c>
      <c r="V706" s="7" t="s">
        <v>512</v>
      </c>
      <c r="W706" s="7" t="s">
        <v>1177</v>
      </c>
      <c r="X706" s="30">
        <v>1</v>
      </c>
      <c r="Y706" s="7" t="s">
        <v>1177</v>
      </c>
      <c r="Z706" s="7" t="s">
        <v>1178</v>
      </c>
      <c r="AA706" s="30">
        <v>0</v>
      </c>
      <c r="AB706" s="36">
        <v>0</v>
      </c>
      <c r="AC706" s="7" t="s">
        <v>1177</v>
      </c>
      <c r="AD706" s="37">
        <v>0</v>
      </c>
      <c r="AE706" s="7" t="s">
        <v>1177</v>
      </c>
      <c r="AF706" s="7" t="s">
        <v>1177</v>
      </c>
      <c r="AG706" s="7" t="s">
        <v>1177</v>
      </c>
      <c r="AH706" s="38"/>
      <c r="AI706" s="36">
        <v>0</v>
      </c>
      <c r="AJ706" s="7" t="s">
        <v>1193</v>
      </c>
      <c r="AK706" s="7" t="s">
        <v>1177</v>
      </c>
      <c r="AL706" s="7" t="s">
        <v>1177</v>
      </c>
      <c r="AM706" s="7" t="s">
        <v>1177</v>
      </c>
      <c r="AN706" s="7" t="s">
        <v>3212</v>
      </c>
      <c r="AO706" s="7" t="s">
        <v>1177</v>
      </c>
      <c r="AP706" s="7" t="s">
        <v>1177</v>
      </c>
      <c r="AQ706" s="7" t="s">
        <v>1177</v>
      </c>
      <c r="AR706" s="29">
        <v>0</v>
      </c>
      <c r="AS706" s="7" t="s">
        <v>1177</v>
      </c>
      <c r="AT706" s="7" t="s">
        <v>1363</v>
      </c>
      <c r="AU706" s="38">
        <v>46275</v>
      </c>
      <c r="AV706" s="39">
        <v>0.60350694444443997</v>
      </c>
    </row>
    <row r="707" spans="1:48" x14ac:dyDescent="0.35">
      <c r="A707" t="str">
        <f t="shared" ref="A707:A770" si="11">_xlfn.CONCAT(B707,D707)</f>
        <v>GP091223B838</v>
      </c>
      <c r="B707" s="7" t="s">
        <v>319</v>
      </c>
      <c r="C707" s="7" t="s">
        <v>744</v>
      </c>
      <c r="D707" s="7" t="s">
        <v>48</v>
      </c>
      <c r="E707" s="7" t="s">
        <v>1177</v>
      </c>
      <c r="F707" s="7" t="s">
        <v>128</v>
      </c>
      <c r="G707" s="7" t="s">
        <v>130</v>
      </c>
      <c r="H707" s="7" t="s">
        <v>129</v>
      </c>
      <c r="I707" s="30">
        <v>2</v>
      </c>
      <c r="J707" s="7" t="s">
        <v>1177</v>
      </c>
      <c r="K707" s="7" t="s">
        <v>1178</v>
      </c>
      <c r="L707" s="7" t="s">
        <v>132</v>
      </c>
      <c r="M707" s="7" t="s">
        <v>133</v>
      </c>
      <c r="N707" s="30">
        <v>0</v>
      </c>
      <c r="O707" s="30">
        <v>0</v>
      </c>
      <c r="P707" s="30">
        <v>0</v>
      </c>
      <c r="Q707" s="30">
        <v>0</v>
      </c>
      <c r="R707" s="29">
        <v>0</v>
      </c>
      <c r="S707" s="36">
        <v>0</v>
      </c>
      <c r="T707" s="7" t="s">
        <v>131</v>
      </c>
      <c r="U707" s="7" t="s">
        <v>745</v>
      </c>
      <c r="V707" s="7" t="s">
        <v>745</v>
      </c>
      <c r="W707" s="7" t="s">
        <v>1177</v>
      </c>
      <c r="X707" s="30">
        <v>1</v>
      </c>
      <c r="Y707" s="7" t="s">
        <v>1177</v>
      </c>
      <c r="Z707" s="7" t="s">
        <v>1178</v>
      </c>
      <c r="AA707" s="30">
        <v>0</v>
      </c>
      <c r="AB707" s="36">
        <v>0</v>
      </c>
      <c r="AC707" s="7" t="s">
        <v>1177</v>
      </c>
      <c r="AD707" s="37">
        <v>0</v>
      </c>
      <c r="AE707" s="7" t="s">
        <v>1177</v>
      </c>
      <c r="AF707" s="7" t="s">
        <v>1177</v>
      </c>
      <c r="AG707" s="7" t="s">
        <v>1177</v>
      </c>
      <c r="AH707" s="38"/>
      <c r="AI707" s="36">
        <v>0</v>
      </c>
      <c r="AJ707" s="7" t="s">
        <v>1193</v>
      </c>
      <c r="AK707" s="7" t="s">
        <v>1177</v>
      </c>
      <c r="AL707" s="7" t="s">
        <v>1177</v>
      </c>
      <c r="AM707" s="7" t="s">
        <v>1177</v>
      </c>
      <c r="AN707" s="7" t="s">
        <v>3212</v>
      </c>
      <c r="AO707" s="7" t="s">
        <v>1177</v>
      </c>
      <c r="AP707" s="7" t="s">
        <v>1177</v>
      </c>
      <c r="AQ707" s="7" t="s">
        <v>1177</v>
      </c>
      <c r="AR707" s="29">
        <v>0</v>
      </c>
      <c r="AS707" s="7" t="s">
        <v>1177</v>
      </c>
      <c r="AT707" s="7" t="s">
        <v>1363</v>
      </c>
      <c r="AU707" s="38">
        <v>46275</v>
      </c>
      <c r="AV707" s="39">
        <v>0.60447916666667001</v>
      </c>
    </row>
    <row r="708" spans="1:48" x14ac:dyDescent="0.35">
      <c r="A708" t="str">
        <f t="shared" si="11"/>
        <v>GP091699B867</v>
      </c>
      <c r="B708" s="7" t="s">
        <v>780</v>
      </c>
      <c r="C708" s="7" t="s">
        <v>1059</v>
      </c>
      <c r="D708" s="7" t="s">
        <v>25</v>
      </c>
      <c r="E708" s="7" t="s">
        <v>1177</v>
      </c>
      <c r="F708" s="7" t="s">
        <v>134</v>
      </c>
      <c r="G708" s="7" t="s">
        <v>130</v>
      </c>
      <c r="H708" s="7" t="s">
        <v>129</v>
      </c>
      <c r="I708" s="30">
        <v>2</v>
      </c>
      <c r="J708" s="7" t="s">
        <v>1177</v>
      </c>
      <c r="K708" s="7" t="s">
        <v>1178</v>
      </c>
      <c r="L708" s="7" t="s">
        <v>132</v>
      </c>
      <c r="M708" s="7" t="s">
        <v>133</v>
      </c>
      <c r="N708" s="30">
        <v>0</v>
      </c>
      <c r="O708" s="30">
        <v>0</v>
      </c>
      <c r="P708" s="30">
        <v>0</v>
      </c>
      <c r="Q708" s="30">
        <v>0</v>
      </c>
      <c r="R708" s="29">
        <v>0</v>
      </c>
      <c r="S708" s="36">
        <v>0</v>
      </c>
      <c r="T708" s="7" t="s">
        <v>131</v>
      </c>
      <c r="U708" s="7" t="s">
        <v>1060</v>
      </c>
      <c r="V708" s="7" t="s">
        <v>1060</v>
      </c>
      <c r="W708" s="7" t="s">
        <v>1177</v>
      </c>
      <c r="X708" s="30">
        <v>2</v>
      </c>
      <c r="Y708" s="7" t="s">
        <v>1177</v>
      </c>
      <c r="Z708" s="7" t="s">
        <v>1178</v>
      </c>
      <c r="AA708" s="30">
        <v>0</v>
      </c>
      <c r="AB708" s="36">
        <v>0</v>
      </c>
      <c r="AC708" s="7" t="s">
        <v>1177</v>
      </c>
      <c r="AD708" s="37">
        <v>0</v>
      </c>
      <c r="AE708" s="7" t="s">
        <v>1177</v>
      </c>
      <c r="AF708" s="7" t="s">
        <v>1177</v>
      </c>
      <c r="AG708" s="7" t="s">
        <v>1177</v>
      </c>
      <c r="AH708" s="38"/>
      <c r="AI708" s="36">
        <v>0</v>
      </c>
      <c r="AJ708" s="7" t="s">
        <v>1193</v>
      </c>
      <c r="AK708" s="7" t="s">
        <v>1177</v>
      </c>
      <c r="AL708" s="7" t="s">
        <v>1177</v>
      </c>
      <c r="AM708" s="7" t="s">
        <v>1177</v>
      </c>
      <c r="AN708" s="7" t="s">
        <v>3212</v>
      </c>
      <c r="AO708" s="7" t="s">
        <v>1177</v>
      </c>
      <c r="AP708" s="7" t="s">
        <v>1177</v>
      </c>
      <c r="AQ708" s="7" t="s">
        <v>1177</v>
      </c>
      <c r="AR708" s="29">
        <v>0</v>
      </c>
      <c r="AS708" s="7" t="s">
        <v>1177</v>
      </c>
      <c r="AT708" s="7" t="s">
        <v>1363</v>
      </c>
      <c r="AU708" s="38">
        <v>46275</v>
      </c>
      <c r="AV708" s="39">
        <v>0.62730324074073995</v>
      </c>
    </row>
    <row r="709" spans="1:48" x14ac:dyDescent="0.35">
      <c r="A709" t="str">
        <f t="shared" si="11"/>
        <v>GP092844B825</v>
      </c>
      <c r="B709" s="7" t="s">
        <v>253</v>
      </c>
      <c r="C709" s="7" t="s">
        <v>511</v>
      </c>
      <c r="D709" s="7" t="s">
        <v>16</v>
      </c>
      <c r="E709" s="7" t="s">
        <v>1177</v>
      </c>
      <c r="F709" s="7" t="s">
        <v>128</v>
      </c>
      <c r="G709" s="7" t="s">
        <v>130</v>
      </c>
      <c r="H709" s="7" t="s">
        <v>129</v>
      </c>
      <c r="I709" s="30">
        <v>2</v>
      </c>
      <c r="J709" s="7" t="s">
        <v>1177</v>
      </c>
      <c r="K709" s="7" t="s">
        <v>1178</v>
      </c>
      <c r="L709" s="7" t="s">
        <v>132</v>
      </c>
      <c r="M709" s="7" t="s">
        <v>133</v>
      </c>
      <c r="N709" s="30">
        <v>0</v>
      </c>
      <c r="O709" s="30">
        <v>0</v>
      </c>
      <c r="P709" s="30">
        <v>0</v>
      </c>
      <c r="Q709" s="30">
        <v>0</v>
      </c>
      <c r="R709" s="29">
        <v>0</v>
      </c>
      <c r="S709" s="36">
        <v>0</v>
      </c>
      <c r="T709" s="7" t="s">
        <v>131</v>
      </c>
      <c r="U709" s="7" t="s">
        <v>512</v>
      </c>
      <c r="V709" s="7" t="s">
        <v>512</v>
      </c>
      <c r="W709" s="7" t="s">
        <v>1177</v>
      </c>
      <c r="X709" s="30">
        <v>1</v>
      </c>
      <c r="Y709" s="7" t="s">
        <v>1177</v>
      </c>
      <c r="Z709" s="7" t="s">
        <v>1178</v>
      </c>
      <c r="AA709" s="30">
        <v>0</v>
      </c>
      <c r="AB709" s="36">
        <v>0</v>
      </c>
      <c r="AC709" s="7" t="s">
        <v>1177</v>
      </c>
      <c r="AD709" s="37">
        <v>0</v>
      </c>
      <c r="AE709" s="7" t="s">
        <v>1177</v>
      </c>
      <c r="AF709" s="7" t="s">
        <v>1177</v>
      </c>
      <c r="AG709" s="7" t="s">
        <v>1177</v>
      </c>
      <c r="AH709" s="38"/>
      <c r="AI709" s="36">
        <v>0</v>
      </c>
      <c r="AJ709" s="7" t="s">
        <v>1193</v>
      </c>
      <c r="AK709" s="7" t="s">
        <v>1177</v>
      </c>
      <c r="AL709" s="7" t="s">
        <v>1177</v>
      </c>
      <c r="AM709" s="7" t="s">
        <v>1177</v>
      </c>
      <c r="AN709" s="7" t="s">
        <v>3212</v>
      </c>
      <c r="AO709" s="7" t="s">
        <v>1177</v>
      </c>
      <c r="AP709" s="7" t="s">
        <v>1177</v>
      </c>
      <c r="AQ709" s="7" t="s">
        <v>1177</v>
      </c>
      <c r="AR709" s="29">
        <v>0</v>
      </c>
      <c r="AS709" s="7" t="s">
        <v>1177</v>
      </c>
      <c r="AT709" s="7" t="s">
        <v>1363</v>
      </c>
      <c r="AU709" s="38">
        <v>46275</v>
      </c>
      <c r="AV709" s="39">
        <v>0.62302083333333003</v>
      </c>
    </row>
    <row r="710" spans="1:48" x14ac:dyDescent="0.35">
      <c r="A710" t="str">
        <f t="shared" si="11"/>
        <v>GP093195B857</v>
      </c>
      <c r="B710" s="7" t="s">
        <v>968</v>
      </c>
      <c r="C710" s="7" t="s">
        <v>958</v>
      </c>
      <c r="D710" s="7" t="s">
        <v>23</v>
      </c>
      <c r="E710" s="7" t="s">
        <v>1177</v>
      </c>
      <c r="F710" s="7" t="s">
        <v>128</v>
      </c>
      <c r="G710" s="7" t="s">
        <v>130</v>
      </c>
      <c r="H710" s="7" t="s">
        <v>129</v>
      </c>
      <c r="I710" s="30">
        <v>2</v>
      </c>
      <c r="J710" s="7" t="s">
        <v>1177</v>
      </c>
      <c r="K710" s="7" t="s">
        <v>1178</v>
      </c>
      <c r="L710" s="7" t="s">
        <v>132</v>
      </c>
      <c r="M710" s="7" t="s">
        <v>133</v>
      </c>
      <c r="N710" s="30">
        <v>0</v>
      </c>
      <c r="O710" s="30">
        <v>0</v>
      </c>
      <c r="P710" s="30">
        <v>0</v>
      </c>
      <c r="Q710" s="30">
        <v>0</v>
      </c>
      <c r="R710" s="29">
        <v>0</v>
      </c>
      <c r="S710" s="36">
        <v>0</v>
      </c>
      <c r="T710" s="7" t="s">
        <v>131</v>
      </c>
      <c r="U710" s="7" t="s">
        <v>959</v>
      </c>
      <c r="V710" s="7" t="s">
        <v>959</v>
      </c>
      <c r="W710" s="7" t="s">
        <v>1177</v>
      </c>
      <c r="X710" s="30">
        <v>1</v>
      </c>
      <c r="Y710" s="7" t="s">
        <v>1177</v>
      </c>
      <c r="Z710" s="7" t="s">
        <v>1178</v>
      </c>
      <c r="AA710" s="30">
        <v>0</v>
      </c>
      <c r="AB710" s="36">
        <v>0</v>
      </c>
      <c r="AC710" s="7" t="s">
        <v>1177</v>
      </c>
      <c r="AD710" s="37">
        <v>0</v>
      </c>
      <c r="AE710" s="7" t="s">
        <v>1177</v>
      </c>
      <c r="AF710" s="7" t="s">
        <v>1177</v>
      </c>
      <c r="AG710" s="7" t="s">
        <v>1177</v>
      </c>
      <c r="AH710" s="38"/>
      <c r="AI710" s="36">
        <v>0</v>
      </c>
      <c r="AJ710" s="7" t="s">
        <v>1193</v>
      </c>
      <c r="AK710" s="7" t="s">
        <v>1177</v>
      </c>
      <c r="AL710" s="7" t="s">
        <v>1177</v>
      </c>
      <c r="AM710" s="7" t="s">
        <v>1177</v>
      </c>
      <c r="AN710" s="7" t="s">
        <v>3212</v>
      </c>
      <c r="AO710" s="7" t="s">
        <v>1177</v>
      </c>
      <c r="AP710" s="7" t="s">
        <v>1177</v>
      </c>
      <c r="AQ710" s="7" t="s">
        <v>1177</v>
      </c>
      <c r="AR710" s="29">
        <v>0</v>
      </c>
      <c r="AS710" s="7" t="s">
        <v>1177</v>
      </c>
      <c r="AT710" s="7" t="s">
        <v>1363</v>
      </c>
      <c r="AU710" s="38">
        <v>46275</v>
      </c>
      <c r="AV710" s="39">
        <v>0.60526620370369999</v>
      </c>
    </row>
    <row r="711" spans="1:48" x14ac:dyDescent="0.35">
      <c r="A711" t="str">
        <f t="shared" si="11"/>
        <v>GP095586B825</v>
      </c>
      <c r="B711" s="7" t="s">
        <v>254</v>
      </c>
      <c r="C711" s="7" t="s">
        <v>511</v>
      </c>
      <c r="D711" s="7" t="s">
        <v>16</v>
      </c>
      <c r="E711" s="7" t="s">
        <v>1177</v>
      </c>
      <c r="F711" s="7" t="s">
        <v>134</v>
      </c>
      <c r="G711" s="7" t="s">
        <v>130</v>
      </c>
      <c r="H711" s="7" t="s">
        <v>129</v>
      </c>
      <c r="I711" s="30">
        <v>3</v>
      </c>
      <c r="J711" s="7" t="s">
        <v>1177</v>
      </c>
      <c r="K711" s="7" t="s">
        <v>1178</v>
      </c>
      <c r="L711" s="7" t="s">
        <v>132</v>
      </c>
      <c r="M711" s="7" t="s">
        <v>133</v>
      </c>
      <c r="N711" s="30">
        <v>0</v>
      </c>
      <c r="O711" s="30">
        <v>0</v>
      </c>
      <c r="P711" s="30">
        <v>0</v>
      </c>
      <c r="Q711" s="30">
        <v>0</v>
      </c>
      <c r="R711" s="29">
        <v>0</v>
      </c>
      <c r="S711" s="36">
        <v>0</v>
      </c>
      <c r="T711" s="7" t="s">
        <v>131</v>
      </c>
      <c r="U711" s="7" t="s">
        <v>512</v>
      </c>
      <c r="V711" s="7" t="s">
        <v>512</v>
      </c>
      <c r="W711" s="7" t="s">
        <v>1177</v>
      </c>
      <c r="X711" s="30">
        <v>3</v>
      </c>
      <c r="Y711" s="7" t="s">
        <v>1177</v>
      </c>
      <c r="Z711" s="7" t="s">
        <v>1178</v>
      </c>
      <c r="AA711" s="30">
        <v>0</v>
      </c>
      <c r="AB711" s="36">
        <v>0</v>
      </c>
      <c r="AC711" s="7" t="s">
        <v>1177</v>
      </c>
      <c r="AD711" s="37">
        <v>0</v>
      </c>
      <c r="AE711" s="7" t="s">
        <v>1177</v>
      </c>
      <c r="AF711" s="7" t="s">
        <v>1177</v>
      </c>
      <c r="AG711" s="7" t="s">
        <v>1177</v>
      </c>
      <c r="AH711" s="38"/>
      <c r="AI711" s="36">
        <v>0</v>
      </c>
      <c r="AJ711" s="7" t="s">
        <v>1193</v>
      </c>
      <c r="AK711" s="7" t="s">
        <v>1177</v>
      </c>
      <c r="AL711" s="7" t="s">
        <v>1177</v>
      </c>
      <c r="AM711" s="7" t="s">
        <v>1177</v>
      </c>
      <c r="AN711" s="7" t="s">
        <v>3212</v>
      </c>
      <c r="AO711" s="7" t="s">
        <v>1177</v>
      </c>
      <c r="AP711" s="7" t="s">
        <v>1177</v>
      </c>
      <c r="AQ711" s="7" t="s">
        <v>1177</v>
      </c>
      <c r="AR711" s="29">
        <v>0</v>
      </c>
      <c r="AS711" s="7" t="s">
        <v>1177</v>
      </c>
      <c r="AT711" s="7" t="s">
        <v>1363</v>
      </c>
      <c r="AU711" s="38">
        <v>46275</v>
      </c>
      <c r="AV711" s="39">
        <v>0.60353009259259005</v>
      </c>
    </row>
    <row r="712" spans="1:48" x14ac:dyDescent="0.35">
      <c r="A712" t="str">
        <f t="shared" si="11"/>
        <v>GP095586B832</v>
      </c>
      <c r="B712" s="7" t="s">
        <v>254</v>
      </c>
      <c r="C712" s="7" t="s">
        <v>653</v>
      </c>
      <c r="D712" s="7" t="s">
        <v>19</v>
      </c>
      <c r="E712" s="7" t="s">
        <v>1177</v>
      </c>
      <c r="F712" s="7" t="s">
        <v>134</v>
      </c>
      <c r="G712" s="7" t="s">
        <v>130</v>
      </c>
      <c r="H712" s="7" t="s">
        <v>129</v>
      </c>
      <c r="I712" s="30">
        <v>2</v>
      </c>
      <c r="J712" s="7" t="s">
        <v>1177</v>
      </c>
      <c r="K712" s="7" t="s">
        <v>1178</v>
      </c>
      <c r="L712" s="7" t="s">
        <v>132</v>
      </c>
      <c r="M712" s="7" t="s">
        <v>133</v>
      </c>
      <c r="N712" s="30">
        <v>0</v>
      </c>
      <c r="O712" s="30">
        <v>0</v>
      </c>
      <c r="P712" s="30">
        <v>0</v>
      </c>
      <c r="Q712" s="30">
        <v>0</v>
      </c>
      <c r="R712" s="29">
        <v>0</v>
      </c>
      <c r="S712" s="36">
        <v>0</v>
      </c>
      <c r="T712" s="7" t="s">
        <v>131</v>
      </c>
      <c r="U712" s="7" t="s">
        <v>654</v>
      </c>
      <c r="V712" s="7" t="s">
        <v>654</v>
      </c>
      <c r="W712" s="7" t="s">
        <v>1177</v>
      </c>
      <c r="X712" s="30">
        <v>2</v>
      </c>
      <c r="Y712" s="7" t="s">
        <v>1177</v>
      </c>
      <c r="Z712" s="7" t="s">
        <v>1178</v>
      </c>
      <c r="AA712" s="30">
        <v>0</v>
      </c>
      <c r="AB712" s="36">
        <v>0</v>
      </c>
      <c r="AC712" s="7" t="s">
        <v>1177</v>
      </c>
      <c r="AD712" s="37">
        <v>0</v>
      </c>
      <c r="AE712" s="7" t="s">
        <v>1177</v>
      </c>
      <c r="AF712" s="7" t="s">
        <v>1177</v>
      </c>
      <c r="AG712" s="7" t="s">
        <v>1177</v>
      </c>
      <c r="AH712" s="38"/>
      <c r="AI712" s="36">
        <v>0</v>
      </c>
      <c r="AJ712" s="7" t="s">
        <v>1193</v>
      </c>
      <c r="AK712" s="7" t="s">
        <v>1177</v>
      </c>
      <c r="AL712" s="7" t="s">
        <v>1177</v>
      </c>
      <c r="AM712" s="7" t="s">
        <v>1177</v>
      </c>
      <c r="AN712" s="7" t="s">
        <v>3212</v>
      </c>
      <c r="AO712" s="7" t="s">
        <v>1177</v>
      </c>
      <c r="AP712" s="7" t="s">
        <v>1177</v>
      </c>
      <c r="AQ712" s="7" t="s">
        <v>1177</v>
      </c>
      <c r="AR712" s="29">
        <v>0</v>
      </c>
      <c r="AS712" s="7" t="s">
        <v>1177</v>
      </c>
      <c r="AT712" s="7" t="s">
        <v>1363</v>
      </c>
      <c r="AU712" s="38">
        <v>46275</v>
      </c>
      <c r="AV712" s="39">
        <v>0.60394675925926</v>
      </c>
    </row>
    <row r="713" spans="1:48" x14ac:dyDescent="0.35">
      <c r="A713" t="str">
        <f t="shared" si="11"/>
        <v>GP095586B856</v>
      </c>
      <c r="B713" s="7" t="s">
        <v>254</v>
      </c>
      <c r="C713" s="7" t="s">
        <v>852</v>
      </c>
      <c r="D713" s="7" t="s">
        <v>21</v>
      </c>
      <c r="E713" s="7" t="s">
        <v>1177</v>
      </c>
      <c r="F713" s="7" t="s">
        <v>134</v>
      </c>
      <c r="G713" s="7" t="s">
        <v>130</v>
      </c>
      <c r="H713" s="7" t="s">
        <v>129</v>
      </c>
      <c r="I713" s="30">
        <v>2</v>
      </c>
      <c r="J713" s="7" t="s">
        <v>1177</v>
      </c>
      <c r="K713" s="7" t="s">
        <v>1178</v>
      </c>
      <c r="L713" s="7" t="s">
        <v>132</v>
      </c>
      <c r="M713" s="7" t="s">
        <v>133</v>
      </c>
      <c r="N713" s="30">
        <v>0</v>
      </c>
      <c r="O713" s="30">
        <v>0</v>
      </c>
      <c r="P713" s="30">
        <v>0</v>
      </c>
      <c r="Q713" s="30">
        <v>0</v>
      </c>
      <c r="R713" s="29">
        <v>0</v>
      </c>
      <c r="S713" s="36">
        <v>0</v>
      </c>
      <c r="T713" s="7" t="s">
        <v>131</v>
      </c>
      <c r="U713" s="7" t="s">
        <v>853</v>
      </c>
      <c r="V713" s="7" t="s">
        <v>853</v>
      </c>
      <c r="W713" s="7" t="s">
        <v>1177</v>
      </c>
      <c r="X713" s="30">
        <v>2</v>
      </c>
      <c r="Y713" s="7" t="s">
        <v>1177</v>
      </c>
      <c r="Z713" s="7" t="s">
        <v>1178</v>
      </c>
      <c r="AA713" s="30">
        <v>0</v>
      </c>
      <c r="AB713" s="36">
        <v>0</v>
      </c>
      <c r="AC713" s="7" t="s">
        <v>1177</v>
      </c>
      <c r="AD713" s="37">
        <v>0</v>
      </c>
      <c r="AE713" s="7" t="s">
        <v>1177</v>
      </c>
      <c r="AF713" s="7" t="s">
        <v>1177</v>
      </c>
      <c r="AG713" s="7" t="s">
        <v>1177</v>
      </c>
      <c r="AH713" s="38"/>
      <c r="AI713" s="36">
        <v>0</v>
      </c>
      <c r="AJ713" s="7" t="s">
        <v>1193</v>
      </c>
      <c r="AK713" s="7" t="s">
        <v>1177</v>
      </c>
      <c r="AL713" s="7" t="s">
        <v>1177</v>
      </c>
      <c r="AM713" s="7" t="s">
        <v>1177</v>
      </c>
      <c r="AN713" s="7" t="s">
        <v>3212</v>
      </c>
      <c r="AO713" s="7" t="s">
        <v>1177</v>
      </c>
      <c r="AP713" s="7" t="s">
        <v>1177</v>
      </c>
      <c r="AQ713" s="7" t="s">
        <v>1177</v>
      </c>
      <c r="AR713" s="29">
        <v>0</v>
      </c>
      <c r="AS713" s="7" t="s">
        <v>1177</v>
      </c>
      <c r="AT713" s="7" t="s">
        <v>1363</v>
      </c>
      <c r="AU713" s="38">
        <v>46275</v>
      </c>
      <c r="AV713" s="39">
        <v>0.60521990740741005</v>
      </c>
    </row>
    <row r="714" spans="1:48" x14ac:dyDescent="0.35">
      <c r="A714" t="str">
        <f t="shared" si="11"/>
        <v>GP095586B867</v>
      </c>
      <c r="B714" s="7" t="s">
        <v>254</v>
      </c>
      <c r="C714" s="7" t="s">
        <v>1059</v>
      </c>
      <c r="D714" s="7" t="s">
        <v>25</v>
      </c>
      <c r="E714" s="7" t="s">
        <v>1177</v>
      </c>
      <c r="F714" s="7" t="s">
        <v>134</v>
      </c>
      <c r="G714" s="7" t="s">
        <v>130</v>
      </c>
      <c r="H714" s="7" t="s">
        <v>129</v>
      </c>
      <c r="I714" s="30">
        <v>2</v>
      </c>
      <c r="J714" s="7" t="s">
        <v>1177</v>
      </c>
      <c r="K714" s="7" t="s">
        <v>1178</v>
      </c>
      <c r="L714" s="7" t="s">
        <v>132</v>
      </c>
      <c r="M714" s="7" t="s">
        <v>133</v>
      </c>
      <c r="N714" s="30">
        <v>0</v>
      </c>
      <c r="O714" s="30">
        <v>0</v>
      </c>
      <c r="P714" s="30">
        <v>0</v>
      </c>
      <c r="Q714" s="30">
        <v>0</v>
      </c>
      <c r="R714" s="29">
        <v>0</v>
      </c>
      <c r="S714" s="36">
        <v>0</v>
      </c>
      <c r="T714" s="7" t="s">
        <v>131</v>
      </c>
      <c r="U714" s="7" t="s">
        <v>1060</v>
      </c>
      <c r="V714" s="7" t="s">
        <v>1060</v>
      </c>
      <c r="W714" s="7" t="s">
        <v>1177</v>
      </c>
      <c r="X714" s="30">
        <v>2</v>
      </c>
      <c r="Y714" s="7" t="s">
        <v>1177</v>
      </c>
      <c r="Z714" s="7" t="s">
        <v>1178</v>
      </c>
      <c r="AA714" s="30">
        <v>0</v>
      </c>
      <c r="AB714" s="36">
        <v>0</v>
      </c>
      <c r="AC714" s="7" t="s">
        <v>1177</v>
      </c>
      <c r="AD714" s="37">
        <v>0</v>
      </c>
      <c r="AE714" s="7" t="s">
        <v>1177</v>
      </c>
      <c r="AF714" s="7" t="s">
        <v>1177</v>
      </c>
      <c r="AG714" s="7" t="s">
        <v>1177</v>
      </c>
      <c r="AH714" s="38"/>
      <c r="AI714" s="36">
        <v>0</v>
      </c>
      <c r="AJ714" s="7" t="s">
        <v>1193</v>
      </c>
      <c r="AK714" s="7" t="s">
        <v>1177</v>
      </c>
      <c r="AL714" s="7" t="s">
        <v>1177</v>
      </c>
      <c r="AM714" s="7" t="s">
        <v>1177</v>
      </c>
      <c r="AN714" s="7" t="s">
        <v>3212</v>
      </c>
      <c r="AO714" s="7" t="s">
        <v>1177</v>
      </c>
      <c r="AP714" s="7" t="s">
        <v>1177</v>
      </c>
      <c r="AQ714" s="7" t="s">
        <v>1177</v>
      </c>
      <c r="AR714" s="29">
        <v>0</v>
      </c>
      <c r="AS714" s="7" t="s">
        <v>1177</v>
      </c>
      <c r="AT714" s="7" t="s">
        <v>1363</v>
      </c>
      <c r="AU714" s="38">
        <v>46275</v>
      </c>
      <c r="AV714" s="39">
        <v>0.60565972222221998</v>
      </c>
    </row>
    <row r="715" spans="1:48" x14ac:dyDescent="0.35">
      <c r="A715" t="str">
        <f t="shared" si="11"/>
        <v>GP095593B825</v>
      </c>
      <c r="B715" s="7" t="s">
        <v>396</v>
      </c>
      <c r="C715" s="7" t="s">
        <v>511</v>
      </c>
      <c r="D715" s="7" t="s">
        <v>16</v>
      </c>
      <c r="E715" s="7" t="s">
        <v>1177</v>
      </c>
      <c r="F715" s="7" t="s">
        <v>134</v>
      </c>
      <c r="G715" s="7" t="s">
        <v>130</v>
      </c>
      <c r="H715" s="7" t="s">
        <v>129</v>
      </c>
      <c r="I715" s="30">
        <v>4</v>
      </c>
      <c r="J715" s="7" t="s">
        <v>1177</v>
      </c>
      <c r="K715" s="7" t="s">
        <v>1178</v>
      </c>
      <c r="L715" s="7" t="s">
        <v>132</v>
      </c>
      <c r="M715" s="7" t="s">
        <v>133</v>
      </c>
      <c r="N715" s="30">
        <v>0</v>
      </c>
      <c r="O715" s="30">
        <v>0</v>
      </c>
      <c r="P715" s="30">
        <v>0</v>
      </c>
      <c r="Q715" s="30">
        <v>0</v>
      </c>
      <c r="R715" s="29">
        <v>0</v>
      </c>
      <c r="S715" s="36">
        <v>0</v>
      </c>
      <c r="T715" s="7" t="s">
        <v>131</v>
      </c>
      <c r="U715" s="7" t="s">
        <v>512</v>
      </c>
      <c r="V715" s="7" t="s">
        <v>512</v>
      </c>
      <c r="W715" s="7" t="s">
        <v>1177</v>
      </c>
      <c r="X715" s="30">
        <v>4</v>
      </c>
      <c r="Y715" s="7" t="s">
        <v>1177</v>
      </c>
      <c r="Z715" s="7" t="s">
        <v>1178</v>
      </c>
      <c r="AA715" s="30">
        <v>0</v>
      </c>
      <c r="AB715" s="36">
        <v>0</v>
      </c>
      <c r="AC715" s="7" t="s">
        <v>1177</v>
      </c>
      <c r="AD715" s="37">
        <v>0</v>
      </c>
      <c r="AE715" s="7" t="s">
        <v>1177</v>
      </c>
      <c r="AF715" s="7" t="s">
        <v>1177</v>
      </c>
      <c r="AG715" s="7" t="s">
        <v>1177</v>
      </c>
      <c r="AH715" s="38"/>
      <c r="AI715" s="36">
        <v>0</v>
      </c>
      <c r="AJ715" s="7" t="s">
        <v>1193</v>
      </c>
      <c r="AK715" s="7" t="s">
        <v>1177</v>
      </c>
      <c r="AL715" s="7" t="s">
        <v>1177</v>
      </c>
      <c r="AM715" s="7" t="s">
        <v>1177</v>
      </c>
      <c r="AN715" s="7" t="s">
        <v>3212</v>
      </c>
      <c r="AO715" s="7" t="s">
        <v>1177</v>
      </c>
      <c r="AP715" s="7" t="s">
        <v>1177</v>
      </c>
      <c r="AQ715" s="7" t="s">
        <v>1177</v>
      </c>
      <c r="AR715" s="29">
        <v>0</v>
      </c>
      <c r="AS715" s="7" t="s">
        <v>1177</v>
      </c>
      <c r="AT715" s="7" t="s">
        <v>1363</v>
      </c>
      <c r="AU715" s="38">
        <v>46275</v>
      </c>
      <c r="AV715" s="39">
        <v>0.60351851851852001</v>
      </c>
    </row>
    <row r="716" spans="1:48" x14ac:dyDescent="0.35">
      <c r="A716" t="str">
        <f t="shared" si="11"/>
        <v>GP095593B864</v>
      </c>
      <c r="B716" s="7" t="s">
        <v>396</v>
      </c>
      <c r="C716" s="7" t="s">
        <v>1010</v>
      </c>
      <c r="D716" s="7" t="s">
        <v>10</v>
      </c>
      <c r="E716" s="7" t="s">
        <v>1177</v>
      </c>
      <c r="F716" s="7" t="s">
        <v>134</v>
      </c>
      <c r="G716" s="7" t="s">
        <v>130</v>
      </c>
      <c r="H716" s="7" t="s">
        <v>129</v>
      </c>
      <c r="I716" s="30">
        <v>12</v>
      </c>
      <c r="J716" s="7" t="s">
        <v>1177</v>
      </c>
      <c r="K716" s="7" t="s">
        <v>1178</v>
      </c>
      <c r="L716" s="7" t="s">
        <v>132</v>
      </c>
      <c r="M716" s="7" t="s">
        <v>133</v>
      </c>
      <c r="N716" s="30">
        <v>0</v>
      </c>
      <c r="O716" s="30">
        <v>0</v>
      </c>
      <c r="P716" s="30">
        <v>0</v>
      </c>
      <c r="Q716" s="30">
        <v>0</v>
      </c>
      <c r="R716" s="29">
        <v>0</v>
      </c>
      <c r="S716" s="36">
        <v>0</v>
      </c>
      <c r="T716" s="7" t="s">
        <v>131</v>
      </c>
      <c r="U716" s="7" t="s">
        <v>1011</v>
      </c>
      <c r="V716" s="7" t="s">
        <v>1011</v>
      </c>
      <c r="W716" s="7" t="s">
        <v>1177</v>
      </c>
      <c r="X716" s="30">
        <v>12</v>
      </c>
      <c r="Y716" s="7" t="s">
        <v>1177</v>
      </c>
      <c r="Z716" s="7" t="s">
        <v>1178</v>
      </c>
      <c r="AA716" s="30">
        <v>0</v>
      </c>
      <c r="AB716" s="36">
        <v>0</v>
      </c>
      <c r="AC716" s="7" t="s">
        <v>1177</v>
      </c>
      <c r="AD716" s="37">
        <v>0</v>
      </c>
      <c r="AE716" s="7" t="s">
        <v>1177</v>
      </c>
      <c r="AF716" s="7" t="s">
        <v>1177</v>
      </c>
      <c r="AG716" s="7" t="s">
        <v>1177</v>
      </c>
      <c r="AH716" s="38"/>
      <c r="AI716" s="36">
        <v>0</v>
      </c>
      <c r="AJ716" s="7" t="s">
        <v>1193</v>
      </c>
      <c r="AK716" s="7" t="s">
        <v>1177</v>
      </c>
      <c r="AL716" s="7" t="s">
        <v>1177</v>
      </c>
      <c r="AM716" s="7" t="s">
        <v>1177</v>
      </c>
      <c r="AN716" s="7" t="s">
        <v>3212</v>
      </c>
      <c r="AO716" s="7" t="s">
        <v>1177</v>
      </c>
      <c r="AP716" s="7" t="s">
        <v>1177</v>
      </c>
      <c r="AQ716" s="7" t="s">
        <v>1177</v>
      </c>
      <c r="AR716" s="29">
        <v>0</v>
      </c>
      <c r="AS716" s="7" t="s">
        <v>1177</v>
      </c>
      <c r="AT716" s="7" t="s">
        <v>1363</v>
      </c>
      <c r="AU716" s="38">
        <v>46275</v>
      </c>
      <c r="AV716" s="39">
        <v>0.60542824074073998</v>
      </c>
    </row>
    <row r="717" spans="1:48" x14ac:dyDescent="0.35">
      <c r="A717" t="str">
        <f t="shared" si="11"/>
        <v>GP095593B867</v>
      </c>
      <c r="B717" s="7" t="s">
        <v>396</v>
      </c>
      <c r="C717" s="7" t="s">
        <v>1059</v>
      </c>
      <c r="D717" s="7" t="s">
        <v>25</v>
      </c>
      <c r="E717" s="7" t="s">
        <v>1177</v>
      </c>
      <c r="F717" s="7" t="s">
        <v>134</v>
      </c>
      <c r="G717" s="7" t="s">
        <v>130</v>
      </c>
      <c r="H717" s="7" t="s">
        <v>129</v>
      </c>
      <c r="I717" s="30">
        <v>3</v>
      </c>
      <c r="J717" s="7" t="s">
        <v>1177</v>
      </c>
      <c r="K717" s="7" t="s">
        <v>1178</v>
      </c>
      <c r="L717" s="7" t="s">
        <v>132</v>
      </c>
      <c r="M717" s="7" t="s">
        <v>133</v>
      </c>
      <c r="N717" s="30">
        <v>0</v>
      </c>
      <c r="O717" s="30">
        <v>0</v>
      </c>
      <c r="P717" s="30">
        <v>0</v>
      </c>
      <c r="Q717" s="30">
        <v>0</v>
      </c>
      <c r="R717" s="29">
        <v>0</v>
      </c>
      <c r="S717" s="36">
        <v>0</v>
      </c>
      <c r="T717" s="7" t="s">
        <v>131</v>
      </c>
      <c r="U717" s="7" t="s">
        <v>1060</v>
      </c>
      <c r="V717" s="7" t="s">
        <v>1060</v>
      </c>
      <c r="W717" s="7" t="s">
        <v>1177</v>
      </c>
      <c r="X717" s="30">
        <v>3</v>
      </c>
      <c r="Y717" s="7" t="s">
        <v>1177</v>
      </c>
      <c r="Z717" s="7" t="s">
        <v>1178</v>
      </c>
      <c r="AA717" s="30">
        <v>0</v>
      </c>
      <c r="AB717" s="36">
        <v>0</v>
      </c>
      <c r="AC717" s="7" t="s">
        <v>1177</v>
      </c>
      <c r="AD717" s="37">
        <v>0</v>
      </c>
      <c r="AE717" s="7" t="s">
        <v>1177</v>
      </c>
      <c r="AF717" s="7" t="s">
        <v>1177</v>
      </c>
      <c r="AG717" s="7" t="s">
        <v>1177</v>
      </c>
      <c r="AH717" s="38"/>
      <c r="AI717" s="36">
        <v>0</v>
      </c>
      <c r="AJ717" s="7" t="s">
        <v>1193</v>
      </c>
      <c r="AK717" s="7" t="s">
        <v>1177</v>
      </c>
      <c r="AL717" s="7" t="s">
        <v>1177</v>
      </c>
      <c r="AM717" s="7" t="s">
        <v>1177</v>
      </c>
      <c r="AN717" s="7" t="s">
        <v>3212</v>
      </c>
      <c r="AO717" s="7" t="s">
        <v>1177</v>
      </c>
      <c r="AP717" s="7" t="s">
        <v>1177</v>
      </c>
      <c r="AQ717" s="7" t="s">
        <v>1177</v>
      </c>
      <c r="AR717" s="29">
        <v>0</v>
      </c>
      <c r="AS717" s="7" t="s">
        <v>1177</v>
      </c>
      <c r="AT717" s="7" t="s">
        <v>1363</v>
      </c>
      <c r="AU717" s="38">
        <v>46275</v>
      </c>
      <c r="AV717" s="39">
        <v>0.60565972222221998</v>
      </c>
    </row>
    <row r="718" spans="1:48" x14ac:dyDescent="0.35">
      <c r="A718" t="str">
        <f t="shared" si="11"/>
        <v>GP095923B832</v>
      </c>
      <c r="B718" s="7" t="s">
        <v>670</v>
      </c>
      <c r="C718" s="7" t="s">
        <v>653</v>
      </c>
      <c r="D718" s="7" t="s">
        <v>19</v>
      </c>
      <c r="E718" s="7" t="s">
        <v>1177</v>
      </c>
      <c r="F718" s="7" t="s">
        <v>128</v>
      </c>
      <c r="G718" s="7" t="s">
        <v>130</v>
      </c>
      <c r="H718" s="7" t="s">
        <v>129</v>
      </c>
      <c r="I718" s="30">
        <v>2</v>
      </c>
      <c r="J718" s="7" t="s">
        <v>1177</v>
      </c>
      <c r="K718" s="7" t="s">
        <v>1178</v>
      </c>
      <c r="L718" s="7" t="s">
        <v>132</v>
      </c>
      <c r="M718" s="7" t="s">
        <v>133</v>
      </c>
      <c r="N718" s="30">
        <v>0</v>
      </c>
      <c r="O718" s="30">
        <v>0</v>
      </c>
      <c r="P718" s="30">
        <v>0</v>
      </c>
      <c r="Q718" s="30">
        <v>0</v>
      </c>
      <c r="R718" s="29">
        <v>0</v>
      </c>
      <c r="S718" s="36">
        <v>0</v>
      </c>
      <c r="T718" s="7" t="s">
        <v>131</v>
      </c>
      <c r="U718" s="7" t="s">
        <v>654</v>
      </c>
      <c r="V718" s="7" t="s">
        <v>654</v>
      </c>
      <c r="W718" s="7" t="s">
        <v>1177</v>
      </c>
      <c r="X718" s="30">
        <v>1</v>
      </c>
      <c r="Y718" s="7" t="s">
        <v>1177</v>
      </c>
      <c r="Z718" s="7" t="s">
        <v>1178</v>
      </c>
      <c r="AA718" s="30">
        <v>0</v>
      </c>
      <c r="AB718" s="36">
        <v>0</v>
      </c>
      <c r="AC718" s="7" t="s">
        <v>1177</v>
      </c>
      <c r="AD718" s="37">
        <v>0</v>
      </c>
      <c r="AE718" s="7" t="s">
        <v>1177</v>
      </c>
      <c r="AF718" s="7" t="s">
        <v>1177</v>
      </c>
      <c r="AG718" s="7" t="s">
        <v>1177</v>
      </c>
      <c r="AH718" s="38"/>
      <c r="AI718" s="36">
        <v>0</v>
      </c>
      <c r="AJ718" s="7" t="s">
        <v>1193</v>
      </c>
      <c r="AK718" s="7" t="s">
        <v>1177</v>
      </c>
      <c r="AL718" s="7" t="s">
        <v>1177</v>
      </c>
      <c r="AM718" s="7" t="s">
        <v>1177</v>
      </c>
      <c r="AN718" s="7" t="s">
        <v>3212</v>
      </c>
      <c r="AO718" s="7" t="s">
        <v>1177</v>
      </c>
      <c r="AP718" s="7" t="s">
        <v>1177</v>
      </c>
      <c r="AQ718" s="7" t="s">
        <v>1177</v>
      </c>
      <c r="AR718" s="29">
        <v>0</v>
      </c>
      <c r="AS718" s="7" t="s">
        <v>1177</v>
      </c>
      <c r="AT718" s="7" t="s">
        <v>1363</v>
      </c>
      <c r="AU718" s="38">
        <v>46275</v>
      </c>
      <c r="AV718" s="39">
        <v>0.62336805555555996</v>
      </c>
    </row>
    <row r="719" spans="1:48" x14ac:dyDescent="0.35">
      <c r="A719" t="str">
        <f t="shared" si="11"/>
        <v>GP097228B825</v>
      </c>
      <c r="B719" s="7" t="s">
        <v>171</v>
      </c>
      <c r="C719" s="7" t="s">
        <v>511</v>
      </c>
      <c r="D719" s="7" t="s">
        <v>16</v>
      </c>
      <c r="E719" s="7" t="s">
        <v>1177</v>
      </c>
      <c r="F719" s="7" t="s">
        <v>128</v>
      </c>
      <c r="G719" s="7" t="s">
        <v>130</v>
      </c>
      <c r="H719" s="7" t="s">
        <v>129</v>
      </c>
      <c r="I719" s="30">
        <v>2</v>
      </c>
      <c r="J719" s="7" t="s">
        <v>1177</v>
      </c>
      <c r="K719" s="7" t="s">
        <v>1178</v>
      </c>
      <c r="L719" s="7" t="s">
        <v>132</v>
      </c>
      <c r="M719" s="7" t="s">
        <v>133</v>
      </c>
      <c r="N719" s="30">
        <v>0</v>
      </c>
      <c r="O719" s="30">
        <v>0</v>
      </c>
      <c r="P719" s="30">
        <v>0</v>
      </c>
      <c r="Q719" s="30">
        <v>0</v>
      </c>
      <c r="R719" s="29">
        <v>0</v>
      </c>
      <c r="S719" s="36">
        <v>0</v>
      </c>
      <c r="T719" s="7" t="s">
        <v>131</v>
      </c>
      <c r="U719" s="7" t="s">
        <v>512</v>
      </c>
      <c r="V719" s="7" t="s">
        <v>512</v>
      </c>
      <c r="W719" s="7" t="s">
        <v>1177</v>
      </c>
      <c r="X719" s="30">
        <v>1</v>
      </c>
      <c r="Y719" s="7" t="s">
        <v>1177</v>
      </c>
      <c r="Z719" s="7" t="s">
        <v>1178</v>
      </c>
      <c r="AA719" s="30">
        <v>0</v>
      </c>
      <c r="AB719" s="36">
        <v>0</v>
      </c>
      <c r="AC719" s="7" t="s">
        <v>1177</v>
      </c>
      <c r="AD719" s="37">
        <v>0</v>
      </c>
      <c r="AE719" s="7" t="s">
        <v>1177</v>
      </c>
      <c r="AF719" s="7" t="s">
        <v>1177</v>
      </c>
      <c r="AG719" s="7" t="s">
        <v>1177</v>
      </c>
      <c r="AH719" s="38"/>
      <c r="AI719" s="36">
        <v>0</v>
      </c>
      <c r="AJ719" s="7" t="s">
        <v>1193</v>
      </c>
      <c r="AK719" s="7" t="s">
        <v>1177</v>
      </c>
      <c r="AL719" s="7" t="s">
        <v>1177</v>
      </c>
      <c r="AM719" s="7" t="s">
        <v>1177</v>
      </c>
      <c r="AN719" s="7" t="s">
        <v>3212</v>
      </c>
      <c r="AO719" s="7" t="s">
        <v>1177</v>
      </c>
      <c r="AP719" s="7" t="s">
        <v>1177</v>
      </c>
      <c r="AQ719" s="7" t="s">
        <v>1177</v>
      </c>
      <c r="AR719" s="29">
        <v>0</v>
      </c>
      <c r="AS719" s="7" t="s">
        <v>1177</v>
      </c>
      <c r="AT719" s="7" t="s">
        <v>1363</v>
      </c>
      <c r="AU719" s="38">
        <v>46275</v>
      </c>
      <c r="AV719" s="39">
        <v>0.60350694444443997</v>
      </c>
    </row>
    <row r="720" spans="1:48" x14ac:dyDescent="0.35">
      <c r="A720" t="str">
        <f t="shared" si="11"/>
        <v>GP097228B832</v>
      </c>
      <c r="B720" s="7" t="s">
        <v>171</v>
      </c>
      <c r="C720" s="7" t="s">
        <v>653</v>
      </c>
      <c r="D720" s="7" t="s">
        <v>19</v>
      </c>
      <c r="E720" s="7" t="s">
        <v>1177</v>
      </c>
      <c r="F720" s="7" t="s">
        <v>128</v>
      </c>
      <c r="G720" s="7" t="s">
        <v>130</v>
      </c>
      <c r="H720" s="7" t="s">
        <v>129</v>
      </c>
      <c r="I720" s="30">
        <v>2</v>
      </c>
      <c r="J720" s="7" t="s">
        <v>1177</v>
      </c>
      <c r="K720" s="7" t="s">
        <v>1178</v>
      </c>
      <c r="L720" s="7" t="s">
        <v>132</v>
      </c>
      <c r="M720" s="7" t="s">
        <v>133</v>
      </c>
      <c r="N720" s="30">
        <v>0</v>
      </c>
      <c r="O720" s="30">
        <v>0</v>
      </c>
      <c r="P720" s="30">
        <v>0</v>
      </c>
      <c r="Q720" s="30">
        <v>0</v>
      </c>
      <c r="R720" s="29">
        <v>0</v>
      </c>
      <c r="S720" s="36">
        <v>0</v>
      </c>
      <c r="T720" s="7" t="s">
        <v>131</v>
      </c>
      <c r="U720" s="7" t="s">
        <v>654</v>
      </c>
      <c r="V720" s="7" t="s">
        <v>654</v>
      </c>
      <c r="W720" s="7" t="s">
        <v>1177</v>
      </c>
      <c r="X720" s="30">
        <v>1</v>
      </c>
      <c r="Y720" s="7" t="s">
        <v>1177</v>
      </c>
      <c r="Z720" s="7" t="s">
        <v>1178</v>
      </c>
      <c r="AA720" s="30">
        <v>0</v>
      </c>
      <c r="AB720" s="36">
        <v>0</v>
      </c>
      <c r="AC720" s="7" t="s">
        <v>1177</v>
      </c>
      <c r="AD720" s="37">
        <v>0</v>
      </c>
      <c r="AE720" s="7" t="s">
        <v>1177</v>
      </c>
      <c r="AF720" s="7" t="s">
        <v>1177</v>
      </c>
      <c r="AG720" s="7" t="s">
        <v>1177</v>
      </c>
      <c r="AH720" s="38"/>
      <c r="AI720" s="36">
        <v>0</v>
      </c>
      <c r="AJ720" s="7" t="s">
        <v>1193</v>
      </c>
      <c r="AK720" s="7" t="s">
        <v>1177</v>
      </c>
      <c r="AL720" s="7" t="s">
        <v>1177</v>
      </c>
      <c r="AM720" s="7" t="s">
        <v>1177</v>
      </c>
      <c r="AN720" s="7" t="s">
        <v>3212</v>
      </c>
      <c r="AO720" s="7" t="s">
        <v>1177</v>
      </c>
      <c r="AP720" s="7" t="s">
        <v>1177</v>
      </c>
      <c r="AQ720" s="7" t="s">
        <v>1177</v>
      </c>
      <c r="AR720" s="29">
        <v>0</v>
      </c>
      <c r="AS720" s="7" t="s">
        <v>1177</v>
      </c>
      <c r="AT720" s="7" t="s">
        <v>1363</v>
      </c>
      <c r="AU720" s="38">
        <v>46275</v>
      </c>
      <c r="AV720" s="39">
        <v>0.60393518518518996</v>
      </c>
    </row>
    <row r="721" spans="1:48" x14ac:dyDescent="0.35">
      <c r="A721" t="str">
        <f t="shared" si="11"/>
        <v>GP097228B838</v>
      </c>
      <c r="B721" s="7" t="s">
        <v>171</v>
      </c>
      <c r="C721" s="7" t="s">
        <v>744</v>
      </c>
      <c r="D721" s="7" t="s">
        <v>48</v>
      </c>
      <c r="E721" s="7" t="s">
        <v>1177</v>
      </c>
      <c r="F721" s="7" t="s">
        <v>128</v>
      </c>
      <c r="G721" s="7" t="s">
        <v>130</v>
      </c>
      <c r="H721" s="7" t="s">
        <v>129</v>
      </c>
      <c r="I721" s="30">
        <v>2</v>
      </c>
      <c r="J721" s="7" t="s">
        <v>1177</v>
      </c>
      <c r="K721" s="7" t="s">
        <v>1178</v>
      </c>
      <c r="L721" s="7" t="s">
        <v>132</v>
      </c>
      <c r="M721" s="7" t="s">
        <v>133</v>
      </c>
      <c r="N721" s="30">
        <v>0</v>
      </c>
      <c r="O721" s="30">
        <v>0</v>
      </c>
      <c r="P721" s="30">
        <v>0</v>
      </c>
      <c r="Q721" s="30">
        <v>0</v>
      </c>
      <c r="R721" s="29">
        <v>0</v>
      </c>
      <c r="S721" s="36">
        <v>0</v>
      </c>
      <c r="T721" s="7" t="s">
        <v>131</v>
      </c>
      <c r="U721" s="7" t="s">
        <v>745</v>
      </c>
      <c r="V721" s="7" t="s">
        <v>745</v>
      </c>
      <c r="W721" s="7" t="s">
        <v>1177</v>
      </c>
      <c r="X721" s="30">
        <v>1</v>
      </c>
      <c r="Y721" s="7" t="s">
        <v>1177</v>
      </c>
      <c r="Z721" s="7" t="s">
        <v>1178</v>
      </c>
      <c r="AA721" s="30">
        <v>0</v>
      </c>
      <c r="AB721" s="36">
        <v>0</v>
      </c>
      <c r="AC721" s="7" t="s">
        <v>1177</v>
      </c>
      <c r="AD721" s="37">
        <v>0</v>
      </c>
      <c r="AE721" s="7" t="s">
        <v>1177</v>
      </c>
      <c r="AF721" s="7" t="s">
        <v>1177</v>
      </c>
      <c r="AG721" s="7" t="s">
        <v>1177</v>
      </c>
      <c r="AH721" s="38"/>
      <c r="AI721" s="36">
        <v>0</v>
      </c>
      <c r="AJ721" s="7" t="s">
        <v>1193</v>
      </c>
      <c r="AK721" s="7" t="s">
        <v>1177</v>
      </c>
      <c r="AL721" s="7" t="s">
        <v>1177</v>
      </c>
      <c r="AM721" s="7" t="s">
        <v>1177</v>
      </c>
      <c r="AN721" s="7" t="s">
        <v>3212</v>
      </c>
      <c r="AO721" s="7" t="s">
        <v>1177</v>
      </c>
      <c r="AP721" s="7" t="s">
        <v>1177</v>
      </c>
      <c r="AQ721" s="7" t="s">
        <v>1177</v>
      </c>
      <c r="AR721" s="29">
        <v>0</v>
      </c>
      <c r="AS721" s="7" t="s">
        <v>1177</v>
      </c>
      <c r="AT721" s="7" t="s">
        <v>1363</v>
      </c>
      <c r="AU721" s="38">
        <v>46275</v>
      </c>
      <c r="AV721" s="39">
        <v>0.60444444444444001</v>
      </c>
    </row>
    <row r="722" spans="1:48" x14ac:dyDescent="0.35">
      <c r="A722" t="str">
        <f t="shared" si="11"/>
        <v>GP099593B825</v>
      </c>
      <c r="B722" s="7" t="s">
        <v>544</v>
      </c>
      <c r="C722" s="7" t="s">
        <v>511</v>
      </c>
      <c r="D722" s="7" t="s">
        <v>16</v>
      </c>
      <c r="E722" s="7" t="s">
        <v>1177</v>
      </c>
      <c r="F722" s="7" t="s">
        <v>128</v>
      </c>
      <c r="G722" s="7" t="s">
        <v>130</v>
      </c>
      <c r="H722" s="7" t="s">
        <v>129</v>
      </c>
      <c r="I722" s="30">
        <v>2</v>
      </c>
      <c r="J722" s="7" t="s">
        <v>1177</v>
      </c>
      <c r="K722" s="7" t="s">
        <v>1178</v>
      </c>
      <c r="L722" s="7" t="s">
        <v>132</v>
      </c>
      <c r="M722" s="7" t="s">
        <v>133</v>
      </c>
      <c r="N722" s="30">
        <v>0</v>
      </c>
      <c r="O722" s="30">
        <v>0</v>
      </c>
      <c r="P722" s="30">
        <v>0</v>
      </c>
      <c r="Q722" s="30">
        <v>0</v>
      </c>
      <c r="R722" s="29">
        <v>0</v>
      </c>
      <c r="S722" s="36">
        <v>0</v>
      </c>
      <c r="T722" s="7" t="s">
        <v>131</v>
      </c>
      <c r="U722" s="7" t="s">
        <v>512</v>
      </c>
      <c r="V722" s="7" t="s">
        <v>512</v>
      </c>
      <c r="W722" s="7" t="s">
        <v>1177</v>
      </c>
      <c r="X722" s="30">
        <v>1</v>
      </c>
      <c r="Y722" s="7" t="s">
        <v>1177</v>
      </c>
      <c r="Z722" s="7" t="s">
        <v>1178</v>
      </c>
      <c r="AA722" s="30">
        <v>0</v>
      </c>
      <c r="AB722" s="36">
        <v>0</v>
      </c>
      <c r="AC722" s="7" t="s">
        <v>1177</v>
      </c>
      <c r="AD722" s="37">
        <v>0</v>
      </c>
      <c r="AE722" s="7" t="s">
        <v>1177</v>
      </c>
      <c r="AF722" s="7" t="s">
        <v>1177</v>
      </c>
      <c r="AG722" s="7" t="s">
        <v>1177</v>
      </c>
      <c r="AH722" s="38"/>
      <c r="AI722" s="36">
        <v>0</v>
      </c>
      <c r="AJ722" s="7" t="s">
        <v>1193</v>
      </c>
      <c r="AK722" s="7" t="s">
        <v>1177</v>
      </c>
      <c r="AL722" s="7" t="s">
        <v>1177</v>
      </c>
      <c r="AM722" s="7" t="s">
        <v>1177</v>
      </c>
      <c r="AN722" s="7" t="s">
        <v>3212</v>
      </c>
      <c r="AO722" s="7" t="s">
        <v>1177</v>
      </c>
      <c r="AP722" s="7" t="s">
        <v>1177</v>
      </c>
      <c r="AQ722" s="7" t="s">
        <v>1177</v>
      </c>
      <c r="AR722" s="29">
        <v>0</v>
      </c>
      <c r="AS722" s="7" t="s">
        <v>1177</v>
      </c>
      <c r="AT722" s="7" t="s">
        <v>1363</v>
      </c>
      <c r="AU722" s="38">
        <v>46275</v>
      </c>
      <c r="AV722" s="39">
        <v>0.60350694444443997</v>
      </c>
    </row>
    <row r="723" spans="1:48" x14ac:dyDescent="0.35">
      <c r="A723" t="str">
        <f t="shared" si="11"/>
        <v>GP099734B825</v>
      </c>
      <c r="B723" s="7" t="s">
        <v>172</v>
      </c>
      <c r="C723" s="7" t="s">
        <v>511</v>
      </c>
      <c r="D723" s="7" t="s">
        <v>16</v>
      </c>
      <c r="E723" s="7" t="s">
        <v>1177</v>
      </c>
      <c r="F723" s="7" t="s">
        <v>128</v>
      </c>
      <c r="G723" s="7" t="s">
        <v>130</v>
      </c>
      <c r="H723" s="7" t="s">
        <v>129</v>
      </c>
      <c r="I723" s="30">
        <v>2</v>
      </c>
      <c r="J723" s="7" t="s">
        <v>1177</v>
      </c>
      <c r="K723" s="7" t="s">
        <v>1178</v>
      </c>
      <c r="L723" s="7" t="s">
        <v>132</v>
      </c>
      <c r="M723" s="7" t="s">
        <v>133</v>
      </c>
      <c r="N723" s="30">
        <v>0</v>
      </c>
      <c r="O723" s="30">
        <v>0</v>
      </c>
      <c r="P723" s="30">
        <v>0</v>
      </c>
      <c r="Q723" s="30">
        <v>0</v>
      </c>
      <c r="R723" s="29">
        <v>0</v>
      </c>
      <c r="S723" s="36">
        <v>0</v>
      </c>
      <c r="T723" s="7" t="s">
        <v>131</v>
      </c>
      <c r="U723" s="7" t="s">
        <v>512</v>
      </c>
      <c r="V723" s="7" t="s">
        <v>512</v>
      </c>
      <c r="W723" s="7" t="s">
        <v>1177</v>
      </c>
      <c r="X723" s="30">
        <v>1</v>
      </c>
      <c r="Y723" s="7" t="s">
        <v>1177</v>
      </c>
      <c r="Z723" s="7" t="s">
        <v>1178</v>
      </c>
      <c r="AA723" s="30">
        <v>0</v>
      </c>
      <c r="AB723" s="36">
        <v>0</v>
      </c>
      <c r="AC723" s="7" t="s">
        <v>1177</v>
      </c>
      <c r="AD723" s="37">
        <v>0</v>
      </c>
      <c r="AE723" s="7" t="s">
        <v>1177</v>
      </c>
      <c r="AF723" s="7" t="s">
        <v>1177</v>
      </c>
      <c r="AG723" s="7" t="s">
        <v>1177</v>
      </c>
      <c r="AH723" s="38"/>
      <c r="AI723" s="36">
        <v>0</v>
      </c>
      <c r="AJ723" s="7" t="s">
        <v>1193</v>
      </c>
      <c r="AK723" s="7" t="s">
        <v>1177</v>
      </c>
      <c r="AL723" s="7" t="s">
        <v>1177</v>
      </c>
      <c r="AM723" s="7" t="s">
        <v>1177</v>
      </c>
      <c r="AN723" s="7" t="s">
        <v>3212</v>
      </c>
      <c r="AO723" s="7" t="s">
        <v>1177</v>
      </c>
      <c r="AP723" s="7" t="s">
        <v>1177</v>
      </c>
      <c r="AQ723" s="7" t="s">
        <v>1177</v>
      </c>
      <c r="AR723" s="29">
        <v>0</v>
      </c>
      <c r="AS723" s="7" t="s">
        <v>1177</v>
      </c>
      <c r="AT723" s="7" t="s">
        <v>1363</v>
      </c>
      <c r="AU723" s="38">
        <v>46275</v>
      </c>
      <c r="AV723" s="39">
        <v>0.60350694444443997</v>
      </c>
    </row>
    <row r="724" spans="1:48" x14ac:dyDescent="0.35">
      <c r="A724" t="str">
        <f t="shared" si="11"/>
        <v>GP099734B832</v>
      </c>
      <c r="B724" s="7" t="s">
        <v>172</v>
      </c>
      <c r="C724" s="7" t="s">
        <v>653</v>
      </c>
      <c r="D724" s="7" t="s">
        <v>19</v>
      </c>
      <c r="E724" s="7" t="s">
        <v>1177</v>
      </c>
      <c r="F724" s="7" t="s">
        <v>128</v>
      </c>
      <c r="G724" s="7" t="s">
        <v>130</v>
      </c>
      <c r="H724" s="7" t="s">
        <v>129</v>
      </c>
      <c r="I724" s="30">
        <v>2</v>
      </c>
      <c r="J724" s="7" t="s">
        <v>1177</v>
      </c>
      <c r="K724" s="7" t="s">
        <v>1178</v>
      </c>
      <c r="L724" s="7" t="s">
        <v>132</v>
      </c>
      <c r="M724" s="7" t="s">
        <v>133</v>
      </c>
      <c r="N724" s="30">
        <v>0</v>
      </c>
      <c r="O724" s="30">
        <v>0</v>
      </c>
      <c r="P724" s="30">
        <v>0</v>
      </c>
      <c r="Q724" s="30">
        <v>0</v>
      </c>
      <c r="R724" s="29">
        <v>0</v>
      </c>
      <c r="S724" s="36">
        <v>0</v>
      </c>
      <c r="T724" s="7" t="s">
        <v>131</v>
      </c>
      <c r="U724" s="7" t="s">
        <v>654</v>
      </c>
      <c r="V724" s="7" t="s">
        <v>654</v>
      </c>
      <c r="W724" s="7" t="s">
        <v>1177</v>
      </c>
      <c r="X724" s="30">
        <v>1</v>
      </c>
      <c r="Y724" s="7" t="s">
        <v>1177</v>
      </c>
      <c r="Z724" s="7" t="s">
        <v>1178</v>
      </c>
      <c r="AA724" s="30">
        <v>0</v>
      </c>
      <c r="AB724" s="36">
        <v>0</v>
      </c>
      <c r="AC724" s="7" t="s">
        <v>1177</v>
      </c>
      <c r="AD724" s="37">
        <v>0</v>
      </c>
      <c r="AE724" s="7" t="s">
        <v>1177</v>
      </c>
      <c r="AF724" s="7" t="s">
        <v>1177</v>
      </c>
      <c r="AG724" s="7" t="s">
        <v>1177</v>
      </c>
      <c r="AH724" s="38"/>
      <c r="AI724" s="36">
        <v>0</v>
      </c>
      <c r="AJ724" s="7" t="s">
        <v>1193</v>
      </c>
      <c r="AK724" s="7" t="s">
        <v>1177</v>
      </c>
      <c r="AL724" s="7" t="s">
        <v>1177</v>
      </c>
      <c r="AM724" s="7" t="s">
        <v>1177</v>
      </c>
      <c r="AN724" s="7" t="s">
        <v>3212</v>
      </c>
      <c r="AO724" s="7" t="s">
        <v>1177</v>
      </c>
      <c r="AP724" s="7" t="s">
        <v>1177</v>
      </c>
      <c r="AQ724" s="7" t="s">
        <v>1177</v>
      </c>
      <c r="AR724" s="29">
        <v>0</v>
      </c>
      <c r="AS724" s="7" t="s">
        <v>1177</v>
      </c>
      <c r="AT724" s="7" t="s">
        <v>1363</v>
      </c>
      <c r="AU724" s="38">
        <v>46275</v>
      </c>
      <c r="AV724" s="39">
        <v>0.60395833333333004</v>
      </c>
    </row>
    <row r="725" spans="1:48" x14ac:dyDescent="0.35">
      <c r="A725" t="str">
        <f t="shared" si="11"/>
        <v>GP099734B838</v>
      </c>
      <c r="B725" s="7" t="s">
        <v>172</v>
      </c>
      <c r="C725" s="7" t="s">
        <v>744</v>
      </c>
      <c r="D725" s="7" t="s">
        <v>48</v>
      </c>
      <c r="E725" s="7" t="s">
        <v>1177</v>
      </c>
      <c r="F725" s="7" t="s">
        <v>128</v>
      </c>
      <c r="G725" s="7" t="s">
        <v>130</v>
      </c>
      <c r="H725" s="7" t="s">
        <v>129</v>
      </c>
      <c r="I725" s="30">
        <v>2</v>
      </c>
      <c r="J725" s="7" t="s">
        <v>1177</v>
      </c>
      <c r="K725" s="7" t="s">
        <v>1178</v>
      </c>
      <c r="L725" s="7" t="s">
        <v>132</v>
      </c>
      <c r="M725" s="7" t="s">
        <v>133</v>
      </c>
      <c r="N725" s="30">
        <v>0</v>
      </c>
      <c r="O725" s="30">
        <v>0</v>
      </c>
      <c r="P725" s="30">
        <v>0</v>
      </c>
      <c r="Q725" s="30">
        <v>0</v>
      </c>
      <c r="R725" s="29">
        <v>0</v>
      </c>
      <c r="S725" s="36">
        <v>0</v>
      </c>
      <c r="T725" s="7" t="s">
        <v>131</v>
      </c>
      <c r="U725" s="7" t="s">
        <v>745</v>
      </c>
      <c r="V725" s="7" t="s">
        <v>745</v>
      </c>
      <c r="W725" s="7" t="s">
        <v>1177</v>
      </c>
      <c r="X725" s="30">
        <v>1</v>
      </c>
      <c r="Y725" s="7" t="s">
        <v>1177</v>
      </c>
      <c r="Z725" s="7" t="s">
        <v>1178</v>
      </c>
      <c r="AA725" s="30">
        <v>0</v>
      </c>
      <c r="AB725" s="36">
        <v>0</v>
      </c>
      <c r="AC725" s="7" t="s">
        <v>1177</v>
      </c>
      <c r="AD725" s="37">
        <v>0</v>
      </c>
      <c r="AE725" s="7" t="s">
        <v>1177</v>
      </c>
      <c r="AF725" s="7" t="s">
        <v>1177</v>
      </c>
      <c r="AG725" s="7" t="s">
        <v>1177</v>
      </c>
      <c r="AH725" s="38"/>
      <c r="AI725" s="36">
        <v>0</v>
      </c>
      <c r="AJ725" s="7" t="s">
        <v>1193</v>
      </c>
      <c r="AK725" s="7" t="s">
        <v>1177</v>
      </c>
      <c r="AL725" s="7" t="s">
        <v>1177</v>
      </c>
      <c r="AM725" s="7" t="s">
        <v>1177</v>
      </c>
      <c r="AN725" s="7" t="s">
        <v>3212</v>
      </c>
      <c r="AO725" s="7" t="s">
        <v>1177</v>
      </c>
      <c r="AP725" s="7" t="s">
        <v>1177</v>
      </c>
      <c r="AQ725" s="7" t="s">
        <v>1177</v>
      </c>
      <c r="AR725" s="29">
        <v>0</v>
      </c>
      <c r="AS725" s="7" t="s">
        <v>1177</v>
      </c>
      <c r="AT725" s="7" t="s">
        <v>1363</v>
      </c>
      <c r="AU725" s="38">
        <v>46275</v>
      </c>
      <c r="AV725" s="39">
        <v>0.60444444444444001</v>
      </c>
    </row>
    <row r="726" spans="1:48" x14ac:dyDescent="0.35">
      <c r="A726" t="str">
        <f t="shared" si="11"/>
        <v>GP101477B825</v>
      </c>
      <c r="B726" s="7" t="s">
        <v>255</v>
      </c>
      <c r="C726" s="7" t="s">
        <v>511</v>
      </c>
      <c r="D726" s="7" t="s">
        <v>16</v>
      </c>
      <c r="E726" s="7" t="s">
        <v>1177</v>
      </c>
      <c r="F726" s="7" t="s">
        <v>128</v>
      </c>
      <c r="G726" s="7" t="s">
        <v>130</v>
      </c>
      <c r="H726" s="7" t="s">
        <v>129</v>
      </c>
      <c r="I726" s="30">
        <v>2</v>
      </c>
      <c r="J726" s="7" t="s">
        <v>1177</v>
      </c>
      <c r="K726" s="7" t="s">
        <v>1178</v>
      </c>
      <c r="L726" s="7" t="s">
        <v>132</v>
      </c>
      <c r="M726" s="7" t="s">
        <v>133</v>
      </c>
      <c r="N726" s="30">
        <v>0</v>
      </c>
      <c r="O726" s="30">
        <v>0</v>
      </c>
      <c r="P726" s="30">
        <v>0</v>
      </c>
      <c r="Q726" s="30">
        <v>0</v>
      </c>
      <c r="R726" s="29">
        <v>0</v>
      </c>
      <c r="S726" s="36">
        <v>0</v>
      </c>
      <c r="T726" s="7" t="s">
        <v>131</v>
      </c>
      <c r="U726" s="7" t="s">
        <v>512</v>
      </c>
      <c r="V726" s="7" t="s">
        <v>512</v>
      </c>
      <c r="W726" s="7" t="s">
        <v>1177</v>
      </c>
      <c r="X726" s="30">
        <v>1</v>
      </c>
      <c r="Y726" s="7" t="s">
        <v>1177</v>
      </c>
      <c r="Z726" s="7" t="s">
        <v>1178</v>
      </c>
      <c r="AA726" s="30">
        <v>0</v>
      </c>
      <c r="AB726" s="36">
        <v>0</v>
      </c>
      <c r="AC726" s="7" t="s">
        <v>1177</v>
      </c>
      <c r="AD726" s="37">
        <v>0</v>
      </c>
      <c r="AE726" s="7" t="s">
        <v>1177</v>
      </c>
      <c r="AF726" s="7" t="s">
        <v>1177</v>
      </c>
      <c r="AG726" s="7" t="s">
        <v>1177</v>
      </c>
      <c r="AH726" s="38"/>
      <c r="AI726" s="36">
        <v>0</v>
      </c>
      <c r="AJ726" s="7" t="s">
        <v>1193</v>
      </c>
      <c r="AK726" s="7" t="s">
        <v>1177</v>
      </c>
      <c r="AL726" s="7" t="s">
        <v>1177</v>
      </c>
      <c r="AM726" s="7" t="s">
        <v>1177</v>
      </c>
      <c r="AN726" s="7" t="s">
        <v>3212</v>
      </c>
      <c r="AO726" s="7" t="s">
        <v>1177</v>
      </c>
      <c r="AP726" s="7" t="s">
        <v>1177</v>
      </c>
      <c r="AQ726" s="7" t="s">
        <v>1177</v>
      </c>
      <c r="AR726" s="29">
        <v>0</v>
      </c>
      <c r="AS726" s="7" t="s">
        <v>1177</v>
      </c>
      <c r="AT726" s="7" t="s">
        <v>1363</v>
      </c>
      <c r="AU726" s="38">
        <v>46275</v>
      </c>
      <c r="AV726" s="39">
        <v>0.60349537037037004</v>
      </c>
    </row>
    <row r="727" spans="1:48" x14ac:dyDescent="0.35">
      <c r="A727" t="str">
        <f t="shared" si="11"/>
        <v>GP101477B832</v>
      </c>
      <c r="B727" s="7" t="s">
        <v>255</v>
      </c>
      <c r="C727" s="7" t="s">
        <v>653</v>
      </c>
      <c r="D727" s="7" t="s">
        <v>19</v>
      </c>
      <c r="E727" s="7" t="s">
        <v>1177</v>
      </c>
      <c r="F727" s="7" t="s">
        <v>128</v>
      </c>
      <c r="G727" s="7" t="s">
        <v>130</v>
      </c>
      <c r="H727" s="7" t="s">
        <v>129</v>
      </c>
      <c r="I727" s="30">
        <v>2</v>
      </c>
      <c r="J727" s="7" t="s">
        <v>1177</v>
      </c>
      <c r="K727" s="7" t="s">
        <v>1178</v>
      </c>
      <c r="L727" s="7" t="s">
        <v>132</v>
      </c>
      <c r="M727" s="7" t="s">
        <v>133</v>
      </c>
      <c r="N727" s="30">
        <v>0</v>
      </c>
      <c r="O727" s="30">
        <v>0</v>
      </c>
      <c r="P727" s="30">
        <v>0</v>
      </c>
      <c r="Q727" s="30">
        <v>0</v>
      </c>
      <c r="R727" s="29">
        <v>0</v>
      </c>
      <c r="S727" s="36">
        <v>0</v>
      </c>
      <c r="T727" s="7" t="s">
        <v>131</v>
      </c>
      <c r="U727" s="7" t="s">
        <v>654</v>
      </c>
      <c r="V727" s="7" t="s">
        <v>654</v>
      </c>
      <c r="W727" s="7" t="s">
        <v>1177</v>
      </c>
      <c r="X727" s="30">
        <v>1</v>
      </c>
      <c r="Y727" s="7" t="s">
        <v>1177</v>
      </c>
      <c r="Z727" s="7" t="s">
        <v>1178</v>
      </c>
      <c r="AA727" s="30">
        <v>0</v>
      </c>
      <c r="AB727" s="36">
        <v>0</v>
      </c>
      <c r="AC727" s="7" t="s">
        <v>1177</v>
      </c>
      <c r="AD727" s="37">
        <v>0</v>
      </c>
      <c r="AE727" s="7" t="s">
        <v>1177</v>
      </c>
      <c r="AF727" s="7" t="s">
        <v>1177</v>
      </c>
      <c r="AG727" s="7" t="s">
        <v>1177</v>
      </c>
      <c r="AH727" s="38"/>
      <c r="AI727" s="36">
        <v>0</v>
      </c>
      <c r="AJ727" s="7" t="s">
        <v>1193</v>
      </c>
      <c r="AK727" s="7" t="s">
        <v>1177</v>
      </c>
      <c r="AL727" s="7" t="s">
        <v>1177</v>
      </c>
      <c r="AM727" s="7" t="s">
        <v>1177</v>
      </c>
      <c r="AN727" s="7" t="s">
        <v>3212</v>
      </c>
      <c r="AO727" s="7" t="s">
        <v>1177</v>
      </c>
      <c r="AP727" s="7" t="s">
        <v>1177</v>
      </c>
      <c r="AQ727" s="7" t="s">
        <v>1177</v>
      </c>
      <c r="AR727" s="29">
        <v>0</v>
      </c>
      <c r="AS727" s="7" t="s">
        <v>1177</v>
      </c>
      <c r="AT727" s="7" t="s">
        <v>1363</v>
      </c>
      <c r="AU727" s="38">
        <v>46275</v>
      </c>
      <c r="AV727" s="39">
        <v>0.60394675925926</v>
      </c>
    </row>
    <row r="728" spans="1:48" x14ac:dyDescent="0.35">
      <c r="A728" t="str">
        <f t="shared" si="11"/>
        <v>GP101477B838</v>
      </c>
      <c r="B728" s="7" t="s">
        <v>255</v>
      </c>
      <c r="C728" s="7" t="s">
        <v>744</v>
      </c>
      <c r="D728" s="7" t="s">
        <v>48</v>
      </c>
      <c r="E728" s="7" t="s">
        <v>1177</v>
      </c>
      <c r="F728" s="7" t="s">
        <v>128</v>
      </c>
      <c r="G728" s="7" t="s">
        <v>130</v>
      </c>
      <c r="H728" s="7" t="s">
        <v>129</v>
      </c>
      <c r="I728" s="30">
        <v>2</v>
      </c>
      <c r="J728" s="7" t="s">
        <v>1177</v>
      </c>
      <c r="K728" s="7" t="s">
        <v>1178</v>
      </c>
      <c r="L728" s="7" t="s">
        <v>132</v>
      </c>
      <c r="M728" s="7" t="s">
        <v>133</v>
      </c>
      <c r="N728" s="30">
        <v>0</v>
      </c>
      <c r="O728" s="30">
        <v>0</v>
      </c>
      <c r="P728" s="30">
        <v>0</v>
      </c>
      <c r="Q728" s="30">
        <v>0</v>
      </c>
      <c r="R728" s="29">
        <v>0</v>
      </c>
      <c r="S728" s="36">
        <v>0</v>
      </c>
      <c r="T728" s="7" t="s">
        <v>131</v>
      </c>
      <c r="U728" s="7" t="s">
        <v>745</v>
      </c>
      <c r="V728" s="7" t="s">
        <v>745</v>
      </c>
      <c r="W728" s="7" t="s">
        <v>1177</v>
      </c>
      <c r="X728" s="30">
        <v>1</v>
      </c>
      <c r="Y728" s="7" t="s">
        <v>1177</v>
      </c>
      <c r="Z728" s="7" t="s">
        <v>1178</v>
      </c>
      <c r="AA728" s="30">
        <v>0</v>
      </c>
      <c r="AB728" s="36">
        <v>0</v>
      </c>
      <c r="AC728" s="7" t="s">
        <v>1177</v>
      </c>
      <c r="AD728" s="37">
        <v>0</v>
      </c>
      <c r="AE728" s="7" t="s">
        <v>1177</v>
      </c>
      <c r="AF728" s="7" t="s">
        <v>1177</v>
      </c>
      <c r="AG728" s="7" t="s">
        <v>1177</v>
      </c>
      <c r="AH728" s="38"/>
      <c r="AI728" s="36">
        <v>0</v>
      </c>
      <c r="AJ728" s="7" t="s">
        <v>1193</v>
      </c>
      <c r="AK728" s="7" t="s">
        <v>1177</v>
      </c>
      <c r="AL728" s="7" t="s">
        <v>1177</v>
      </c>
      <c r="AM728" s="7" t="s">
        <v>1177</v>
      </c>
      <c r="AN728" s="7" t="s">
        <v>3212</v>
      </c>
      <c r="AO728" s="7" t="s">
        <v>1177</v>
      </c>
      <c r="AP728" s="7" t="s">
        <v>1177</v>
      </c>
      <c r="AQ728" s="7" t="s">
        <v>1177</v>
      </c>
      <c r="AR728" s="29">
        <v>0</v>
      </c>
      <c r="AS728" s="7" t="s">
        <v>1177</v>
      </c>
      <c r="AT728" s="7" t="s">
        <v>1363</v>
      </c>
      <c r="AU728" s="38">
        <v>46275</v>
      </c>
      <c r="AV728" s="39">
        <v>0.60443287037036997</v>
      </c>
    </row>
    <row r="729" spans="1:48" x14ac:dyDescent="0.35">
      <c r="A729" t="str">
        <f t="shared" si="11"/>
        <v>GP101477B856</v>
      </c>
      <c r="B729" s="7" t="s">
        <v>255</v>
      </c>
      <c r="C729" s="7" t="s">
        <v>852</v>
      </c>
      <c r="D729" s="7" t="s">
        <v>21</v>
      </c>
      <c r="E729" s="7" t="s">
        <v>1177</v>
      </c>
      <c r="F729" s="7" t="s">
        <v>128</v>
      </c>
      <c r="G729" s="7" t="s">
        <v>130</v>
      </c>
      <c r="H729" s="7" t="s">
        <v>129</v>
      </c>
      <c r="I729" s="30">
        <v>2</v>
      </c>
      <c r="J729" s="7" t="s">
        <v>1177</v>
      </c>
      <c r="K729" s="7" t="s">
        <v>1178</v>
      </c>
      <c r="L729" s="7" t="s">
        <v>132</v>
      </c>
      <c r="M729" s="7" t="s">
        <v>133</v>
      </c>
      <c r="N729" s="30">
        <v>0</v>
      </c>
      <c r="O729" s="30">
        <v>0</v>
      </c>
      <c r="P729" s="30">
        <v>0</v>
      </c>
      <c r="Q729" s="30">
        <v>0</v>
      </c>
      <c r="R729" s="29">
        <v>0</v>
      </c>
      <c r="S729" s="36">
        <v>0</v>
      </c>
      <c r="T729" s="7" t="s">
        <v>131</v>
      </c>
      <c r="U729" s="7" t="s">
        <v>853</v>
      </c>
      <c r="V729" s="7" t="s">
        <v>853</v>
      </c>
      <c r="W729" s="7" t="s">
        <v>1177</v>
      </c>
      <c r="X729" s="30">
        <v>1</v>
      </c>
      <c r="Y729" s="7" t="s">
        <v>1177</v>
      </c>
      <c r="Z729" s="7" t="s">
        <v>1178</v>
      </c>
      <c r="AA729" s="30">
        <v>0</v>
      </c>
      <c r="AB729" s="36">
        <v>0</v>
      </c>
      <c r="AC729" s="7" t="s">
        <v>1177</v>
      </c>
      <c r="AD729" s="37">
        <v>0</v>
      </c>
      <c r="AE729" s="7" t="s">
        <v>1177</v>
      </c>
      <c r="AF729" s="7" t="s">
        <v>1177</v>
      </c>
      <c r="AG729" s="7" t="s">
        <v>1177</v>
      </c>
      <c r="AH729" s="38"/>
      <c r="AI729" s="36">
        <v>0</v>
      </c>
      <c r="AJ729" s="7" t="s">
        <v>1193</v>
      </c>
      <c r="AK729" s="7" t="s">
        <v>1177</v>
      </c>
      <c r="AL729" s="7" t="s">
        <v>1177</v>
      </c>
      <c r="AM729" s="7" t="s">
        <v>1177</v>
      </c>
      <c r="AN729" s="7" t="s">
        <v>3212</v>
      </c>
      <c r="AO729" s="7" t="s">
        <v>1177</v>
      </c>
      <c r="AP729" s="7" t="s">
        <v>1177</v>
      </c>
      <c r="AQ729" s="7" t="s">
        <v>1177</v>
      </c>
      <c r="AR729" s="29">
        <v>0</v>
      </c>
      <c r="AS729" s="7" t="s">
        <v>1177</v>
      </c>
      <c r="AT729" s="7" t="s">
        <v>1363</v>
      </c>
      <c r="AU729" s="38">
        <v>46275</v>
      </c>
      <c r="AV729" s="39">
        <v>0.60521990740741005</v>
      </c>
    </row>
    <row r="730" spans="1:48" x14ac:dyDescent="0.35">
      <c r="A730" t="str">
        <f t="shared" si="11"/>
        <v>GP101477B864</v>
      </c>
      <c r="B730" s="7" t="s">
        <v>255</v>
      </c>
      <c r="C730" s="7" t="s">
        <v>1010</v>
      </c>
      <c r="D730" s="7" t="s">
        <v>10</v>
      </c>
      <c r="E730" s="7" t="s">
        <v>1177</v>
      </c>
      <c r="F730" s="7" t="s">
        <v>128</v>
      </c>
      <c r="G730" s="7" t="s">
        <v>130</v>
      </c>
      <c r="H730" s="7" t="s">
        <v>129</v>
      </c>
      <c r="I730" s="30">
        <v>2</v>
      </c>
      <c r="J730" s="7" t="s">
        <v>1177</v>
      </c>
      <c r="K730" s="7" t="s">
        <v>1178</v>
      </c>
      <c r="L730" s="7" t="s">
        <v>132</v>
      </c>
      <c r="M730" s="7" t="s">
        <v>133</v>
      </c>
      <c r="N730" s="30">
        <v>0</v>
      </c>
      <c r="O730" s="30">
        <v>0</v>
      </c>
      <c r="P730" s="30">
        <v>0</v>
      </c>
      <c r="Q730" s="30">
        <v>0</v>
      </c>
      <c r="R730" s="29">
        <v>0</v>
      </c>
      <c r="S730" s="36">
        <v>0</v>
      </c>
      <c r="T730" s="7" t="s">
        <v>131</v>
      </c>
      <c r="U730" s="7" t="s">
        <v>1011</v>
      </c>
      <c r="V730" s="7" t="s">
        <v>1011</v>
      </c>
      <c r="W730" s="7" t="s">
        <v>1177</v>
      </c>
      <c r="X730" s="30">
        <v>1</v>
      </c>
      <c r="Y730" s="7" t="s">
        <v>1177</v>
      </c>
      <c r="Z730" s="7" t="s">
        <v>1178</v>
      </c>
      <c r="AA730" s="30">
        <v>0</v>
      </c>
      <c r="AB730" s="36">
        <v>0</v>
      </c>
      <c r="AC730" s="7" t="s">
        <v>1177</v>
      </c>
      <c r="AD730" s="37">
        <v>0</v>
      </c>
      <c r="AE730" s="7" t="s">
        <v>1177</v>
      </c>
      <c r="AF730" s="7" t="s">
        <v>1177</v>
      </c>
      <c r="AG730" s="7" t="s">
        <v>1177</v>
      </c>
      <c r="AH730" s="38"/>
      <c r="AI730" s="36">
        <v>0</v>
      </c>
      <c r="AJ730" s="7" t="s">
        <v>1193</v>
      </c>
      <c r="AK730" s="7" t="s">
        <v>1177</v>
      </c>
      <c r="AL730" s="7" t="s">
        <v>1177</v>
      </c>
      <c r="AM730" s="7" t="s">
        <v>1177</v>
      </c>
      <c r="AN730" s="7" t="s">
        <v>3212</v>
      </c>
      <c r="AO730" s="7" t="s">
        <v>1177</v>
      </c>
      <c r="AP730" s="7" t="s">
        <v>1177</v>
      </c>
      <c r="AQ730" s="7" t="s">
        <v>1177</v>
      </c>
      <c r="AR730" s="29">
        <v>0</v>
      </c>
      <c r="AS730" s="7" t="s">
        <v>1177</v>
      </c>
      <c r="AT730" s="7" t="s">
        <v>1363</v>
      </c>
      <c r="AU730" s="38">
        <v>46275</v>
      </c>
      <c r="AV730" s="39">
        <v>0.60541666666667004</v>
      </c>
    </row>
    <row r="731" spans="1:48" x14ac:dyDescent="0.35">
      <c r="A731" t="str">
        <f t="shared" si="11"/>
        <v>GP101477B865</v>
      </c>
      <c r="B731" s="7" t="s">
        <v>255</v>
      </c>
      <c r="C731" s="7" t="s">
        <v>1039</v>
      </c>
      <c r="D731" s="7" t="s">
        <v>7</v>
      </c>
      <c r="E731" s="7" t="s">
        <v>1177</v>
      </c>
      <c r="F731" s="7" t="s">
        <v>128</v>
      </c>
      <c r="G731" s="7" t="s">
        <v>130</v>
      </c>
      <c r="H731" s="7" t="s">
        <v>129</v>
      </c>
      <c r="I731" s="30">
        <v>2</v>
      </c>
      <c r="J731" s="7" t="s">
        <v>1177</v>
      </c>
      <c r="K731" s="7" t="s">
        <v>1178</v>
      </c>
      <c r="L731" s="7" t="s">
        <v>132</v>
      </c>
      <c r="M731" s="7" t="s">
        <v>133</v>
      </c>
      <c r="N731" s="30">
        <v>0</v>
      </c>
      <c r="O731" s="30">
        <v>0</v>
      </c>
      <c r="P731" s="30">
        <v>0</v>
      </c>
      <c r="Q731" s="30">
        <v>0</v>
      </c>
      <c r="R731" s="29">
        <v>0</v>
      </c>
      <c r="S731" s="36">
        <v>0</v>
      </c>
      <c r="T731" s="7" t="s">
        <v>131</v>
      </c>
      <c r="U731" s="7" t="s">
        <v>1040</v>
      </c>
      <c r="V731" s="7" t="s">
        <v>1040</v>
      </c>
      <c r="W731" s="7" t="s">
        <v>1177</v>
      </c>
      <c r="X731" s="30">
        <v>1</v>
      </c>
      <c r="Y731" s="7" t="s">
        <v>1177</v>
      </c>
      <c r="Z731" s="7" t="s">
        <v>1178</v>
      </c>
      <c r="AA731" s="30">
        <v>0</v>
      </c>
      <c r="AB731" s="36">
        <v>0</v>
      </c>
      <c r="AC731" s="7" t="s">
        <v>1177</v>
      </c>
      <c r="AD731" s="37">
        <v>0</v>
      </c>
      <c r="AE731" s="7" t="s">
        <v>1177</v>
      </c>
      <c r="AF731" s="7" t="s">
        <v>1177</v>
      </c>
      <c r="AG731" s="7" t="s">
        <v>1177</v>
      </c>
      <c r="AH731" s="38"/>
      <c r="AI731" s="36">
        <v>0</v>
      </c>
      <c r="AJ731" s="7" t="s">
        <v>1193</v>
      </c>
      <c r="AK731" s="7" t="s">
        <v>1177</v>
      </c>
      <c r="AL731" s="7" t="s">
        <v>1177</v>
      </c>
      <c r="AM731" s="7" t="s">
        <v>1177</v>
      </c>
      <c r="AN731" s="7" t="s">
        <v>3212</v>
      </c>
      <c r="AO731" s="7" t="s">
        <v>1177</v>
      </c>
      <c r="AP731" s="7" t="s">
        <v>1177</v>
      </c>
      <c r="AQ731" s="7" t="s">
        <v>1177</v>
      </c>
      <c r="AR731" s="29">
        <v>0</v>
      </c>
      <c r="AS731" s="7" t="s">
        <v>1177</v>
      </c>
      <c r="AT731" s="7" t="s">
        <v>1363</v>
      </c>
      <c r="AU731" s="38">
        <v>46275</v>
      </c>
      <c r="AV731" s="39">
        <v>0.60549768518518998</v>
      </c>
    </row>
    <row r="732" spans="1:48" x14ac:dyDescent="0.35">
      <c r="A732" t="str">
        <f t="shared" si="11"/>
        <v>GP101477B867</v>
      </c>
      <c r="B732" s="7" t="s">
        <v>255</v>
      </c>
      <c r="C732" s="7" t="s">
        <v>1059</v>
      </c>
      <c r="D732" s="7" t="s">
        <v>25</v>
      </c>
      <c r="E732" s="7" t="s">
        <v>1177</v>
      </c>
      <c r="F732" s="7" t="s">
        <v>128</v>
      </c>
      <c r="G732" s="7" t="s">
        <v>130</v>
      </c>
      <c r="H732" s="7" t="s">
        <v>129</v>
      </c>
      <c r="I732" s="30">
        <v>2</v>
      </c>
      <c r="J732" s="7" t="s">
        <v>1177</v>
      </c>
      <c r="K732" s="7" t="s">
        <v>1178</v>
      </c>
      <c r="L732" s="7" t="s">
        <v>132</v>
      </c>
      <c r="M732" s="7" t="s">
        <v>133</v>
      </c>
      <c r="N732" s="30">
        <v>0</v>
      </c>
      <c r="O732" s="30">
        <v>0</v>
      </c>
      <c r="P732" s="30">
        <v>0</v>
      </c>
      <c r="Q732" s="30">
        <v>0</v>
      </c>
      <c r="R732" s="29">
        <v>0</v>
      </c>
      <c r="S732" s="36">
        <v>0</v>
      </c>
      <c r="T732" s="7" t="s">
        <v>131</v>
      </c>
      <c r="U732" s="7" t="s">
        <v>1060</v>
      </c>
      <c r="V732" s="7" t="s">
        <v>1060</v>
      </c>
      <c r="W732" s="7" t="s">
        <v>1177</v>
      </c>
      <c r="X732" s="30">
        <v>1</v>
      </c>
      <c r="Y732" s="7" t="s">
        <v>1177</v>
      </c>
      <c r="Z732" s="7" t="s">
        <v>1178</v>
      </c>
      <c r="AA732" s="30">
        <v>0</v>
      </c>
      <c r="AB732" s="36">
        <v>0</v>
      </c>
      <c r="AC732" s="7" t="s">
        <v>1177</v>
      </c>
      <c r="AD732" s="37">
        <v>0</v>
      </c>
      <c r="AE732" s="7" t="s">
        <v>1177</v>
      </c>
      <c r="AF732" s="7" t="s">
        <v>1177</v>
      </c>
      <c r="AG732" s="7" t="s">
        <v>1177</v>
      </c>
      <c r="AH732" s="38"/>
      <c r="AI732" s="36">
        <v>0</v>
      </c>
      <c r="AJ732" s="7" t="s">
        <v>1193</v>
      </c>
      <c r="AK732" s="7" t="s">
        <v>1177</v>
      </c>
      <c r="AL732" s="7" t="s">
        <v>1177</v>
      </c>
      <c r="AM732" s="7" t="s">
        <v>1177</v>
      </c>
      <c r="AN732" s="7" t="s">
        <v>3212</v>
      </c>
      <c r="AO732" s="7" t="s">
        <v>1177</v>
      </c>
      <c r="AP732" s="7" t="s">
        <v>1177</v>
      </c>
      <c r="AQ732" s="7" t="s">
        <v>1177</v>
      </c>
      <c r="AR732" s="29">
        <v>0</v>
      </c>
      <c r="AS732" s="7" t="s">
        <v>1177</v>
      </c>
      <c r="AT732" s="7" t="s">
        <v>1363</v>
      </c>
      <c r="AU732" s="38">
        <v>46275</v>
      </c>
      <c r="AV732" s="39">
        <v>0.60569444444443998</v>
      </c>
    </row>
    <row r="733" spans="1:48" x14ac:dyDescent="0.35">
      <c r="A733" t="str">
        <f t="shared" si="11"/>
        <v>GP101673B832</v>
      </c>
      <c r="B733" s="7" t="s">
        <v>671</v>
      </c>
      <c r="C733" s="7" t="s">
        <v>653</v>
      </c>
      <c r="D733" s="7" t="s">
        <v>19</v>
      </c>
      <c r="E733" s="7" t="s">
        <v>1177</v>
      </c>
      <c r="F733" s="7" t="s">
        <v>128</v>
      </c>
      <c r="G733" s="7" t="s">
        <v>130</v>
      </c>
      <c r="H733" s="7" t="s">
        <v>129</v>
      </c>
      <c r="I733" s="30">
        <v>2</v>
      </c>
      <c r="J733" s="7" t="s">
        <v>1177</v>
      </c>
      <c r="K733" s="7" t="s">
        <v>1178</v>
      </c>
      <c r="L733" s="7" t="s">
        <v>132</v>
      </c>
      <c r="M733" s="7" t="s">
        <v>133</v>
      </c>
      <c r="N733" s="30">
        <v>0</v>
      </c>
      <c r="O733" s="30">
        <v>0</v>
      </c>
      <c r="P733" s="30">
        <v>0</v>
      </c>
      <c r="Q733" s="30">
        <v>0</v>
      </c>
      <c r="R733" s="29">
        <v>0</v>
      </c>
      <c r="S733" s="36">
        <v>0</v>
      </c>
      <c r="T733" s="7" t="s">
        <v>131</v>
      </c>
      <c r="U733" s="7" t="s">
        <v>654</v>
      </c>
      <c r="V733" s="7" t="s">
        <v>654</v>
      </c>
      <c r="W733" s="7" t="s">
        <v>1177</v>
      </c>
      <c r="X733" s="30">
        <v>1</v>
      </c>
      <c r="Y733" s="7" t="s">
        <v>1177</v>
      </c>
      <c r="Z733" s="7" t="s">
        <v>1178</v>
      </c>
      <c r="AA733" s="30">
        <v>0</v>
      </c>
      <c r="AB733" s="36">
        <v>0</v>
      </c>
      <c r="AC733" s="7" t="s">
        <v>1177</v>
      </c>
      <c r="AD733" s="37">
        <v>0</v>
      </c>
      <c r="AE733" s="7" t="s">
        <v>1177</v>
      </c>
      <c r="AF733" s="7" t="s">
        <v>1177</v>
      </c>
      <c r="AG733" s="7" t="s">
        <v>1177</v>
      </c>
      <c r="AH733" s="38"/>
      <c r="AI733" s="36">
        <v>0</v>
      </c>
      <c r="AJ733" s="7" t="s">
        <v>1193</v>
      </c>
      <c r="AK733" s="7" t="s">
        <v>1177</v>
      </c>
      <c r="AL733" s="7" t="s">
        <v>1177</v>
      </c>
      <c r="AM733" s="7" t="s">
        <v>1177</v>
      </c>
      <c r="AN733" s="7" t="s">
        <v>3212</v>
      </c>
      <c r="AO733" s="7" t="s">
        <v>1177</v>
      </c>
      <c r="AP733" s="7" t="s">
        <v>1177</v>
      </c>
      <c r="AQ733" s="7" t="s">
        <v>1177</v>
      </c>
      <c r="AR733" s="29">
        <v>0</v>
      </c>
      <c r="AS733" s="7" t="s">
        <v>1177</v>
      </c>
      <c r="AT733" s="7" t="s">
        <v>1363</v>
      </c>
      <c r="AU733" s="38">
        <v>46275</v>
      </c>
      <c r="AV733" s="39">
        <v>0.62336805555555996</v>
      </c>
    </row>
    <row r="734" spans="1:48" x14ac:dyDescent="0.35">
      <c r="A734" t="str">
        <f t="shared" si="11"/>
        <v>GP101805B825</v>
      </c>
      <c r="B734" s="7" t="s">
        <v>173</v>
      </c>
      <c r="C734" s="7" t="s">
        <v>511</v>
      </c>
      <c r="D734" s="7" t="s">
        <v>16</v>
      </c>
      <c r="E734" s="7" t="s">
        <v>1177</v>
      </c>
      <c r="F734" s="7" t="s">
        <v>128</v>
      </c>
      <c r="G734" s="7" t="s">
        <v>130</v>
      </c>
      <c r="H734" s="7" t="s">
        <v>129</v>
      </c>
      <c r="I734" s="30">
        <v>10</v>
      </c>
      <c r="J734" s="7" t="s">
        <v>1177</v>
      </c>
      <c r="K734" s="7" t="s">
        <v>1178</v>
      </c>
      <c r="L734" s="7" t="s">
        <v>132</v>
      </c>
      <c r="M734" s="7" t="s">
        <v>133</v>
      </c>
      <c r="N734" s="30">
        <v>0</v>
      </c>
      <c r="O734" s="30">
        <v>0</v>
      </c>
      <c r="P734" s="30">
        <v>0</v>
      </c>
      <c r="Q734" s="30">
        <v>0</v>
      </c>
      <c r="R734" s="29">
        <v>0</v>
      </c>
      <c r="S734" s="36">
        <v>0</v>
      </c>
      <c r="T734" s="7" t="s">
        <v>131</v>
      </c>
      <c r="U734" s="7" t="s">
        <v>512</v>
      </c>
      <c r="V734" s="7" t="s">
        <v>512</v>
      </c>
      <c r="W734" s="7" t="s">
        <v>1177</v>
      </c>
      <c r="X734" s="30">
        <v>3</v>
      </c>
      <c r="Y734" s="7" t="s">
        <v>1177</v>
      </c>
      <c r="Z734" s="7" t="s">
        <v>1178</v>
      </c>
      <c r="AA734" s="30">
        <v>0</v>
      </c>
      <c r="AB734" s="36">
        <v>0</v>
      </c>
      <c r="AC734" s="7" t="s">
        <v>1177</v>
      </c>
      <c r="AD734" s="37">
        <v>0</v>
      </c>
      <c r="AE734" s="7" t="s">
        <v>1177</v>
      </c>
      <c r="AF734" s="7" t="s">
        <v>1177</v>
      </c>
      <c r="AG734" s="7" t="s">
        <v>1177</v>
      </c>
      <c r="AH734" s="38"/>
      <c r="AI734" s="36">
        <v>0</v>
      </c>
      <c r="AJ734" s="7" t="s">
        <v>1193</v>
      </c>
      <c r="AK734" s="7" t="s">
        <v>1177</v>
      </c>
      <c r="AL734" s="7" t="s">
        <v>1177</v>
      </c>
      <c r="AM734" s="7" t="s">
        <v>1177</v>
      </c>
      <c r="AN734" s="7" t="s">
        <v>3212</v>
      </c>
      <c r="AO734" s="7" t="s">
        <v>1177</v>
      </c>
      <c r="AP734" s="7" t="s">
        <v>1177</v>
      </c>
      <c r="AQ734" s="7" t="s">
        <v>1177</v>
      </c>
      <c r="AR734" s="29">
        <v>0</v>
      </c>
      <c r="AS734" s="7" t="s">
        <v>1177</v>
      </c>
      <c r="AT734" s="7" t="s">
        <v>1363</v>
      </c>
      <c r="AU734" s="38">
        <v>46275</v>
      </c>
      <c r="AV734" s="39">
        <v>0.6034837962963</v>
      </c>
    </row>
    <row r="735" spans="1:48" x14ac:dyDescent="0.35">
      <c r="A735" t="str">
        <f t="shared" si="11"/>
        <v>GP101805B832</v>
      </c>
      <c r="B735" s="7" t="s">
        <v>173</v>
      </c>
      <c r="C735" s="7" t="s">
        <v>653</v>
      </c>
      <c r="D735" s="7" t="s">
        <v>19</v>
      </c>
      <c r="E735" s="7" t="s">
        <v>1177</v>
      </c>
      <c r="F735" s="7" t="s">
        <v>128</v>
      </c>
      <c r="G735" s="7" t="s">
        <v>130</v>
      </c>
      <c r="H735" s="7" t="s">
        <v>129</v>
      </c>
      <c r="I735" s="30">
        <v>8</v>
      </c>
      <c r="J735" s="7" t="s">
        <v>1177</v>
      </c>
      <c r="K735" s="7" t="s">
        <v>1178</v>
      </c>
      <c r="L735" s="7" t="s">
        <v>132</v>
      </c>
      <c r="M735" s="7" t="s">
        <v>133</v>
      </c>
      <c r="N735" s="30">
        <v>0</v>
      </c>
      <c r="O735" s="30">
        <v>0</v>
      </c>
      <c r="P735" s="30">
        <v>0</v>
      </c>
      <c r="Q735" s="30">
        <v>0</v>
      </c>
      <c r="R735" s="29">
        <v>0</v>
      </c>
      <c r="S735" s="36">
        <v>0</v>
      </c>
      <c r="T735" s="7" t="s">
        <v>131</v>
      </c>
      <c r="U735" s="7" t="s">
        <v>654</v>
      </c>
      <c r="V735" s="7" t="s">
        <v>654</v>
      </c>
      <c r="W735" s="7" t="s">
        <v>1177</v>
      </c>
      <c r="X735" s="30">
        <v>2</v>
      </c>
      <c r="Y735" s="7" t="s">
        <v>1177</v>
      </c>
      <c r="Z735" s="7" t="s">
        <v>1178</v>
      </c>
      <c r="AA735" s="30">
        <v>0</v>
      </c>
      <c r="AB735" s="36">
        <v>0</v>
      </c>
      <c r="AC735" s="7" t="s">
        <v>1177</v>
      </c>
      <c r="AD735" s="37">
        <v>0</v>
      </c>
      <c r="AE735" s="7" t="s">
        <v>1177</v>
      </c>
      <c r="AF735" s="7" t="s">
        <v>1177</v>
      </c>
      <c r="AG735" s="7" t="s">
        <v>1177</v>
      </c>
      <c r="AH735" s="38"/>
      <c r="AI735" s="36">
        <v>0</v>
      </c>
      <c r="AJ735" s="7" t="s">
        <v>1193</v>
      </c>
      <c r="AK735" s="7" t="s">
        <v>1177</v>
      </c>
      <c r="AL735" s="7" t="s">
        <v>1177</v>
      </c>
      <c r="AM735" s="7" t="s">
        <v>1177</v>
      </c>
      <c r="AN735" s="7" t="s">
        <v>3212</v>
      </c>
      <c r="AO735" s="7" t="s">
        <v>1177</v>
      </c>
      <c r="AP735" s="7" t="s">
        <v>1177</v>
      </c>
      <c r="AQ735" s="7" t="s">
        <v>1177</v>
      </c>
      <c r="AR735" s="29">
        <v>0</v>
      </c>
      <c r="AS735" s="7" t="s">
        <v>1177</v>
      </c>
      <c r="AT735" s="7" t="s">
        <v>1363</v>
      </c>
      <c r="AU735" s="38">
        <v>46275</v>
      </c>
      <c r="AV735" s="39">
        <v>0.60394675925926</v>
      </c>
    </row>
    <row r="736" spans="1:48" x14ac:dyDescent="0.35">
      <c r="A736" t="str">
        <f t="shared" si="11"/>
        <v>GP102875B832</v>
      </c>
      <c r="B736" s="7" t="s">
        <v>672</v>
      </c>
      <c r="C736" s="7" t="s">
        <v>653</v>
      </c>
      <c r="D736" s="7" t="s">
        <v>19</v>
      </c>
      <c r="E736" s="7" t="s">
        <v>1177</v>
      </c>
      <c r="F736" s="7" t="s">
        <v>128</v>
      </c>
      <c r="G736" s="7" t="s">
        <v>130</v>
      </c>
      <c r="H736" s="7" t="s">
        <v>129</v>
      </c>
      <c r="I736" s="30">
        <v>2</v>
      </c>
      <c r="J736" s="7" t="s">
        <v>1177</v>
      </c>
      <c r="K736" s="7" t="s">
        <v>1178</v>
      </c>
      <c r="L736" s="7" t="s">
        <v>132</v>
      </c>
      <c r="M736" s="7" t="s">
        <v>133</v>
      </c>
      <c r="N736" s="30">
        <v>0</v>
      </c>
      <c r="O736" s="30">
        <v>0</v>
      </c>
      <c r="P736" s="30">
        <v>0</v>
      </c>
      <c r="Q736" s="30">
        <v>0</v>
      </c>
      <c r="R736" s="29">
        <v>0</v>
      </c>
      <c r="S736" s="36">
        <v>0</v>
      </c>
      <c r="T736" s="7" t="s">
        <v>131</v>
      </c>
      <c r="U736" s="7" t="s">
        <v>654</v>
      </c>
      <c r="V736" s="7" t="s">
        <v>654</v>
      </c>
      <c r="W736" s="7" t="s">
        <v>1177</v>
      </c>
      <c r="X736" s="30">
        <v>1</v>
      </c>
      <c r="Y736" s="7" t="s">
        <v>1177</v>
      </c>
      <c r="Z736" s="7" t="s">
        <v>1178</v>
      </c>
      <c r="AA736" s="30">
        <v>0</v>
      </c>
      <c r="AB736" s="36">
        <v>0</v>
      </c>
      <c r="AC736" s="7" t="s">
        <v>1177</v>
      </c>
      <c r="AD736" s="37">
        <v>0</v>
      </c>
      <c r="AE736" s="7" t="s">
        <v>1177</v>
      </c>
      <c r="AF736" s="7" t="s">
        <v>1177</v>
      </c>
      <c r="AG736" s="7" t="s">
        <v>1177</v>
      </c>
      <c r="AH736" s="38"/>
      <c r="AI736" s="36">
        <v>0</v>
      </c>
      <c r="AJ736" s="7" t="s">
        <v>1193</v>
      </c>
      <c r="AK736" s="7" t="s">
        <v>1177</v>
      </c>
      <c r="AL736" s="7" t="s">
        <v>1177</v>
      </c>
      <c r="AM736" s="7" t="s">
        <v>1177</v>
      </c>
      <c r="AN736" s="7" t="s">
        <v>3212</v>
      </c>
      <c r="AO736" s="7" t="s">
        <v>1177</v>
      </c>
      <c r="AP736" s="7" t="s">
        <v>1177</v>
      </c>
      <c r="AQ736" s="7" t="s">
        <v>1177</v>
      </c>
      <c r="AR736" s="29">
        <v>0</v>
      </c>
      <c r="AS736" s="7" t="s">
        <v>1177</v>
      </c>
      <c r="AT736" s="7" t="s">
        <v>1363</v>
      </c>
      <c r="AU736" s="38">
        <v>46275</v>
      </c>
      <c r="AV736" s="39">
        <v>0.62336805555555996</v>
      </c>
    </row>
    <row r="737" spans="1:48" x14ac:dyDescent="0.35">
      <c r="A737" t="str">
        <f t="shared" si="11"/>
        <v>GP107744B825</v>
      </c>
      <c r="B737" s="7" t="s">
        <v>545</v>
      </c>
      <c r="C737" s="7" t="s">
        <v>511</v>
      </c>
      <c r="D737" s="7" t="s">
        <v>16</v>
      </c>
      <c r="E737" s="7" t="s">
        <v>1177</v>
      </c>
      <c r="F737" s="7" t="s">
        <v>128</v>
      </c>
      <c r="G737" s="7" t="s">
        <v>130</v>
      </c>
      <c r="H737" s="7" t="s">
        <v>129</v>
      </c>
      <c r="I737" s="30">
        <v>1</v>
      </c>
      <c r="J737" s="7" t="s">
        <v>1177</v>
      </c>
      <c r="K737" s="7" t="s">
        <v>1178</v>
      </c>
      <c r="L737" s="7" t="s">
        <v>132</v>
      </c>
      <c r="M737" s="7" t="s">
        <v>133</v>
      </c>
      <c r="N737" s="30">
        <v>0</v>
      </c>
      <c r="O737" s="30">
        <v>0</v>
      </c>
      <c r="P737" s="30">
        <v>0</v>
      </c>
      <c r="Q737" s="30">
        <v>0</v>
      </c>
      <c r="R737" s="29">
        <v>0</v>
      </c>
      <c r="S737" s="36">
        <v>0</v>
      </c>
      <c r="T737" s="7" t="s">
        <v>131</v>
      </c>
      <c r="U737" s="7" t="s">
        <v>512</v>
      </c>
      <c r="V737" s="7" t="s">
        <v>512</v>
      </c>
      <c r="W737" s="7" t="s">
        <v>1177</v>
      </c>
      <c r="X737" s="30">
        <v>1</v>
      </c>
      <c r="Y737" s="7" t="s">
        <v>1177</v>
      </c>
      <c r="Z737" s="7" t="s">
        <v>1178</v>
      </c>
      <c r="AA737" s="30">
        <v>0</v>
      </c>
      <c r="AB737" s="36">
        <v>0</v>
      </c>
      <c r="AC737" s="7" t="s">
        <v>1177</v>
      </c>
      <c r="AD737" s="37">
        <v>0</v>
      </c>
      <c r="AE737" s="7" t="s">
        <v>1177</v>
      </c>
      <c r="AF737" s="7" t="s">
        <v>1177</v>
      </c>
      <c r="AG737" s="7" t="s">
        <v>1177</v>
      </c>
      <c r="AH737" s="38"/>
      <c r="AI737" s="36">
        <v>0</v>
      </c>
      <c r="AJ737" s="7" t="s">
        <v>1193</v>
      </c>
      <c r="AK737" s="7" t="s">
        <v>1177</v>
      </c>
      <c r="AL737" s="7" t="s">
        <v>1177</v>
      </c>
      <c r="AM737" s="7" t="s">
        <v>1177</v>
      </c>
      <c r="AN737" s="7" t="s">
        <v>3212</v>
      </c>
      <c r="AO737" s="7" t="s">
        <v>1177</v>
      </c>
      <c r="AP737" s="7" t="s">
        <v>1177</v>
      </c>
      <c r="AQ737" s="7" t="s">
        <v>1177</v>
      </c>
      <c r="AR737" s="29">
        <v>0</v>
      </c>
      <c r="AS737" s="7" t="s">
        <v>1177</v>
      </c>
      <c r="AT737" s="7" t="s">
        <v>1363</v>
      </c>
      <c r="AU737" s="38">
        <v>46275</v>
      </c>
      <c r="AV737" s="39">
        <v>0.62302083333333003</v>
      </c>
    </row>
    <row r="738" spans="1:48" x14ac:dyDescent="0.35">
      <c r="A738" t="str">
        <f t="shared" si="11"/>
        <v>GP108116B856</v>
      </c>
      <c r="B738" s="7" t="s">
        <v>860</v>
      </c>
      <c r="C738" s="7" t="s">
        <v>852</v>
      </c>
      <c r="D738" s="7" t="s">
        <v>21</v>
      </c>
      <c r="E738" s="7" t="s">
        <v>1177</v>
      </c>
      <c r="F738" s="7" t="s">
        <v>128</v>
      </c>
      <c r="G738" s="7" t="s">
        <v>130</v>
      </c>
      <c r="H738" s="7" t="s">
        <v>129</v>
      </c>
      <c r="I738" s="30">
        <v>1</v>
      </c>
      <c r="J738" s="7" t="s">
        <v>1177</v>
      </c>
      <c r="K738" s="7" t="s">
        <v>1178</v>
      </c>
      <c r="L738" s="7" t="s">
        <v>132</v>
      </c>
      <c r="M738" s="7" t="s">
        <v>133</v>
      </c>
      <c r="N738" s="30">
        <v>0</v>
      </c>
      <c r="O738" s="30">
        <v>0</v>
      </c>
      <c r="P738" s="30">
        <v>0</v>
      </c>
      <c r="Q738" s="30">
        <v>0</v>
      </c>
      <c r="R738" s="29">
        <v>0</v>
      </c>
      <c r="S738" s="36">
        <v>0</v>
      </c>
      <c r="T738" s="7" t="s">
        <v>131</v>
      </c>
      <c r="U738" s="7" t="s">
        <v>853</v>
      </c>
      <c r="V738" s="7" t="s">
        <v>853</v>
      </c>
      <c r="W738" s="7" t="s">
        <v>1177</v>
      </c>
      <c r="X738" s="30">
        <v>1</v>
      </c>
      <c r="Y738" s="7" t="s">
        <v>1177</v>
      </c>
      <c r="Z738" s="7" t="s">
        <v>1178</v>
      </c>
      <c r="AA738" s="30">
        <v>0</v>
      </c>
      <c r="AB738" s="36">
        <v>0</v>
      </c>
      <c r="AC738" s="7" t="s">
        <v>1177</v>
      </c>
      <c r="AD738" s="37">
        <v>0</v>
      </c>
      <c r="AE738" s="7" t="s">
        <v>1177</v>
      </c>
      <c r="AF738" s="7" t="s">
        <v>1177</v>
      </c>
      <c r="AG738" s="7" t="s">
        <v>1177</v>
      </c>
      <c r="AH738" s="38"/>
      <c r="AI738" s="36">
        <v>0</v>
      </c>
      <c r="AJ738" s="7" t="s">
        <v>1193</v>
      </c>
      <c r="AK738" s="7" t="s">
        <v>1177</v>
      </c>
      <c r="AL738" s="7" t="s">
        <v>1177</v>
      </c>
      <c r="AM738" s="7" t="s">
        <v>1177</v>
      </c>
      <c r="AN738" s="7" t="s">
        <v>3212</v>
      </c>
      <c r="AO738" s="7" t="s">
        <v>1177</v>
      </c>
      <c r="AP738" s="7" t="s">
        <v>1177</v>
      </c>
      <c r="AQ738" s="7" t="s">
        <v>1177</v>
      </c>
      <c r="AR738" s="29">
        <v>0</v>
      </c>
      <c r="AS738" s="7" t="s">
        <v>1177</v>
      </c>
      <c r="AT738" s="7" t="s">
        <v>1363</v>
      </c>
      <c r="AU738" s="38">
        <v>46275</v>
      </c>
      <c r="AV738" s="39">
        <v>0.62486111111110998</v>
      </c>
    </row>
    <row r="739" spans="1:48" x14ac:dyDescent="0.35">
      <c r="A739" t="str">
        <f t="shared" si="11"/>
        <v>GP108981B857</v>
      </c>
      <c r="B739" s="7" t="s">
        <v>637</v>
      </c>
      <c r="C739" s="7" t="s">
        <v>958</v>
      </c>
      <c r="D739" s="7" t="s">
        <v>23</v>
      </c>
      <c r="E739" s="7" t="s">
        <v>1177</v>
      </c>
      <c r="F739" s="7" t="s">
        <v>134</v>
      </c>
      <c r="G739" s="7" t="s">
        <v>130</v>
      </c>
      <c r="H739" s="7" t="s">
        <v>129</v>
      </c>
      <c r="I739" s="30">
        <v>2</v>
      </c>
      <c r="J739" s="7" t="s">
        <v>1177</v>
      </c>
      <c r="K739" s="7" t="s">
        <v>1178</v>
      </c>
      <c r="L739" s="7" t="s">
        <v>132</v>
      </c>
      <c r="M739" s="7" t="s">
        <v>133</v>
      </c>
      <c r="N739" s="30">
        <v>0</v>
      </c>
      <c r="O739" s="30">
        <v>0</v>
      </c>
      <c r="P739" s="30">
        <v>0</v>
      </c>
      <c r="Q739" s="30">
        <v>0</v>
      </c>
      <c r="R739" s="29">
        <v>0</v>
      </c>
      <c r="S739" s="36">
        <v>0</v>
      </c>
      <c r="T739" s="7" t="s">
        <v>131</v>
      </c>
      <c r="U739" s="7" t="s">
        <v>959</v>
      </c>
      <c r="V739" s="7" t="s">
        <v>959</v>
      </c>
      <c r="W739" s="7" t="s">
        <v>1177</v>
      </c>
      <c r="X739" s="30">
        <v>2</v>
      </c>
      <c r="Y739" s="7" t="s">
        <v>1177</v>
      </c>
      <c r="Z739" s="7" t="s">
        <v>1178</v>
      </c>
      <c r="AA739" s="30">
        <v>0</v>
      </c>
      <c r="AB739" s="36">
        <v>0</v>
      </c>
      <c r="AC739" s="7" t="s">
        <v>1177</v>
      </c>
      <c r="AD739" s="37">
        <v>0</v>
      </c>
      <c r="AE739" s="7" t="s">
        <v>1177</v>
      </c>
      <c r="AF739" s="7" t="s">
        <v>1177</v>
      </c>
      <c r="AG739" s="7" t="s">
        <v>1177</v>
      </c>
      <c r="AH739" s="38"/>
      <c r="AI739" s="36">
        <v>0</v>
      </c>
      <c r="AJ739" s="7" t="s">
        <v>1193</v>
      </c>
      <c r="AK739" s="7" t="s">
        <v>1177</v>
      </c>
      <c r="AL739" s="7" t="s">
        <v>1177</v>
      </c>
      <c r="AM739" s="7" t="s">
        <v>1177</v>
      </c>
      <c r="AN739" s="7" t="s">
        <v>3212</v>
      </c>
      <c r="AO739" s="7" t="s">
        <v>1177</v>
      </c>
      <c r="AP739" s="7" t="s">
        <v>1177</v>
      </c>
      <c r="AQ739" s="7" t="s">
        <v>1177</v>
      </c>
      <c r="AR739" s="29">
        <v>0</v>
      </c>
      <c r="AS739" s="7" t="s">
        <v>1177</v>
      </c>
      <c r="AT739" s="7" t="s">
        <v>1363</v>
      </c>
      <c r="AU739" s="38">
        <v>46275</v>
      </c>
      <c r="AV739" s="39">
        <v>0.60530092592592999</v>
      </c>
    </row>
    <row r="740" spans="1:48" x14ac:dyDescent="0.35">
      <c r="A740" t="str">
        <f t="shared" si="11"/>
        <v>GP108981B865</v>
      </c>
      <c r="B740" s="7" t="s">
        <v>637</v>
      </c>
      <c r="C740" s="7" t="s">
        <v>1039</v>
      </c>
      <c r="D740" s="7" t="s">
        <v>7</v>
      </c>
      <c r="E740" s="7" t="s">
        <v>1177</v>
      </c>
      <c r="F740" s="7" t="s">
        <v>134</v>
      </c>
      <c r="G740" s="7" t="s">
        <v>130</v>
      </c>
      <c r="H740" s="7" t="s">
        <v>129</v>
      </c>
      <c r="I740" s="30">
        <v>1</v>
      </c>
      <c r="J740" s="7" t="s">
        <v>1177</v>
      </c>
      <c r="K740" s="7" t="s">
        <v>1178</v>
      </c>
      <c r="L740" s="7" t="s">
        <v>132</v>
      </c>
      <c r="M740" s="7" t="s">
        <v>133</v>
      </c>
      <c r="N740" s="30">
        <v>0</v>
      </c>
      <c r="O740" s="30">
        <v>0</v>
      </c>
      <c r="P740" s="30">
        <v>0</v>
      </c>
      <c r="Q740" s="30">
        <v>0</v>
      </c>
      <c r="R740" s="29">
        <v>0</v>
      </c>
      <c r="S740" s="36">
        <v>0</v>
      </c>
      <c r="T740" s="7" t="s">
        <v>131</v>
      </c>
      <c r="U740" s="7" t="s">
        <v>1040</v>
      </c>
      <c r="V740" s="7" t="s">
        <v>1040</v>
      </c>
      <c r="W740" s="7" t="s">
        <v>1177</v>
      </c>
      <c r="X740" s="30">
        <v>1</v>
      </c>
      <c r="Y740" s="7" t="s">
        <v>1177</v>
      </c>
      <c r="Z740" s="7" t="s">
        <v>1178</v>
      </c>
      <c r="AA740" s="30">
        <v>0</v>
      </c>
      <c r="AB740" s="36">
        <v>0</v>
      </c>
      <c r="AC740" s="7" t="s">
        <v>1177</v>
      </c>
      <c r="AD740" s="37">
        <v>0</v>
      </c>
      <c r="AE740" s="7" t="s">
        <v>1177</v>
      </c>
      <c r="AF740" s="7" t="s">
        <v>1177</v>
      </c>
      <c r="AG740" s="7" t="s">
        <v>1177</v>
      </c>
      <c r="AH740" s="38"/>
      <c r="AI740" s="36">
        <v>0</v>
      </c>
      <c r="AJ740" s="7" t="s">
        <v>1193</v>
      </c>
      <c r="AK740" s="7" t="s">
        <v>1177</v>
      </c>
      <c r="AL740" s="7" t="s">
        <v>1177</v>
      </c>
      <c r="AM740" s="7" t="s">
        <v>1177</v>
      </c>
      <c r="AN740" s="7" t="s">
        <v>3212</v>
      </c>
      <c r="AO740" s="7" t="s">
        <v>1177</v>
      </c>
      <c r="AP740" s="7" t="s">
        <v>1177</v>
      </c>
      <c r="AQ740" s="7" t="s">
        <v>1177</v>
      </c>
      <c r="AR740" s="29">
        <v>0</v>
      </c>
      <c r="AS740" s="7" t="s">
        <v>1177</v>
      </c>
      <c r="AT740" s="7" t="s">
        <v>1363</v>
      </c>
      <c r="AU740" s="38">
        <v>46275</v>
      </c>
      <c r="AV740" s="39">
        <v>0.60553240740740999</v>
      </c>
    </row>
    <row r="741" spans="1:48" x14ac:dyDescent="0.35">
      <c r="A741" t="str">
        <f t="shared" si="11"/>
        <v>GP110514B864</v>
      </c>
      <c r="B741" s="7" t="s">
        <v>1017</v>
      </c>
      <c r="C741" s="7" t="s">
        <v>1010</v>
      </c>
      <c r="D741" s="7" t="s">
        <v>10</v>
      </c>
      <c r="E741" s="7" t="s">
        <v>1177</v>
      </c>
      <c r="F741" s="7" t="s">
        <v>128</v>
      </c>
      <c r="G741" s="7" t="s">
        <v>130</v>
      </c>
      <c r="H741" s="7" t="s">
        <v>129</v>
      </c>
      <c r="I741" s="30">
        <v>5</v>
      </c>
      <c r="J741" s="7" t="s">
        <v>1177</v>
      </c>
      <c r="K741" s="7" t="s">
        <v>1178</v>
      </c>
      <c r="L741" s="7" t="s">
        <v>132</v>
      </c>
      <c r="M741" s="7" t="s">
        <v>133</v>
      </c>
      <c r="N741" s="30">
        <v>0</v>
      </c>
      <c r="O741" s="30">
        <v>0</v>
      </c>
      <c r="P741" s="30">
        <v>0</v>
      </c>
      <c r="Q741" s="30">
        <v>0</v>
      </c>
      <c r="R741" s="29">
        <v>0</v>
      </c>
      <c r="S741" s="36">
        <v>0</v>
      </c>
      <c r="T741" s="7" t="s">
        <v>131</v>
      </c>
      <c r="U741" s="7" t="s">
        <v>1011</v>
      </c>
      <c r="V741" s="7" t="s">
        <v>1011</v>
      </c>
      <c r="W741" s="7" t="s">
        <v>1177</v>
      </c>
      <c r="X741" s="30">
        <v>1</v>
      </c>
      <c r="Y741" s="7" t="s">
        <v>1177</v>
      </c>
      <c r="Z741" s="7" t="s">
        <v>1178</v>
      </c>
      <c r="AA741" s="30">
        <v>0</v>
      </c>
      <c r="AB741" s="36">
        <v>0</v>
      </c>
      <c r="AC741" s="7" t="s">
        <v>1177</v>
      </c>
      <c r="AD741" s="37">
        <v>0</v>
      </c>
      <c r="AE741" s="7" t="s">
        <v>1177</v>
      </c>
      <c r="AF741" s="7" t="s">
        <v>1177</v>
      </c>
      <c r="AG741" s="7" t="s">
        <v>1177</v>
      </c>
      <c r="AH741" s="38"/>
      <c r="AI741" s="36">
        <v>0</v>
      </c>
      <c r="AJ741" s="7" t="s">
        <v>1193</v>
      </c>
      <c r="AK741" s="7" t="s">
        <v>1177</v>
      </c>
      <c r="AL741" s="7" t="s">
        <v>1177</v>
      </c>
      <c r="AM741" s="7" t="s">
        <v>1177</v>
      </c>
      <c r="AN741" s="7" t="s">
        <v>3212</v>
      </c>
      <c r="AO741" s="7" t="s">
        <v>1177</v>
      </c>
      <c r="AP741" s="7" t="s">
        <v>1177</v>
      </c>
      <c r="AQ741" s="7" t="s">
        <v>1177</v>
      </c>
      <c r="AR741" s="29">
        <v>0</v>
      </c>
      <c r="AS741" s="7" t="s">
        <v>1177</v>
      </c>
      <c r="AT741" s="7" t="s">
        <v>1363</v>
      </c>
      <c r="AU741" s="38">
        <v>46275</v>
      </c>
      <c r="AV741" s="39">
        <v>0.62646990740741004</v>
      </c>
    </row>
    <row r="742" spans="1:48" x14ac:dyDescent="0.35">
      <c r="A742" t="str">
        <f t="shared" si="11"/>
        <v>GP110562B864</v>
      </c>
      <c r="B742" s="7" t="s">
        <v>1018</v>
      </c>
      <c r="C742" s="7" t="s">
        <v>1010</v>
      </c>
      <c r="D742" s="7" t="s">
        <v>10</v>
      </c>
      <c r="E742" s="7" t="s">
        <v>1177</v>
      </c>
      <c r="F742" s="7" t="s">
        <v>128</v>
      </c>
      <c r="G742" s="7" t="s">
        <v>130</v>
      </c>
      <c r="H742" s="7" t="s">
        <v>129</v>
      </c>
      <c r="I742" s="30">
        <v>2</v>
      </c>
      <c r="J742" s="7" t="s">
        <v>1177</v>
      </c>
      <c r="K742" s="7" t="s">
        <v>1178</v>
      </c>
      <c r="L742" s="7" t="s">
        <v>132</v>
      </c>
      <c r="M742" s="7" t="s">
        <v>133</v>
      </c>
      <c r="N742" s="30">
        <v>0</v>
      </c>
      <c r="O742" s="30">
        <v>0</v>
      </c>
      <c r="P742" s="30">
        <v>0</v>
      </c>
      <c r="Q742" s="30">
        <v>0</v>
      </c>
      <c r="R742" s="29">
        <v>0</v>
      </c>
      <c r="S742" s="36">
        <v>0</v>
      </c>
      <c r="T742" s="7" t="s">
        <v>131</v>
      </c>
      <c r="U742" s="7" t="s">
        <v>1011</v>
      </c>
      <c r="V742" s="7" t="s">
        <v>1011</v>
      </c>
      <c r="W742" s="7" t="s">
        <v>1177</v>
      </c>
      <c r="X742" s="30">
        <v>1</v>
      </c>
      <c r="Y742" s="7" t="s">
        <v>1177</v>
      </c>
      <c r="Z742" s="7" t="s">
        <v>1178</v>
      </c>
      <c r="AA742" s="30">
        <v>0</v>
      </c>
      <c r="AB742" s="36">
        <v>0</v>
      </c>
      <c r="AC742" s="7" t="s">
        <v>1177</v>
      </c>
      <c r="AD742" s="37">
        <v>0</v>
      </c>
      <c r="AE742" s="7" t="s">
        <v>1177</v>
      </c>
      <c r="AF742" s="7" t="s">
        <v>1177</v>
      </c>
      <c r="AG742" s="7" t="s">
        <v>1177</v>
      </c>
      <c r="AH742" s="38"/>
      <c r="AI742" s="36">
        <v>0</v>
      </c>
      <c r="AJ742" s="7" t="s">
        <v>1193</v>
      </c>
      <c r="AK742" s="7" t="s">
        <v>1177</v>
      </c>
      <c r="AL742" s="7" t="s">
        <v>1177</v>
      </c>
      <c r="AM742" s="7" t="s">
        <v>1177</v>
      </c>
      <c r="AN742" s="7" t="s">
        <v>3212</v>
      </c>
      <c r="AO742" s="7" t="s">
        <v>1177</v>
      </c>
      <c r="AP742" s="7" t="s">
        <v>1177</v>
      </c>
      <c r="AQ742" s="7" t="s">
        <v>1177</v>
      </c>
      <c r="AR742" s="29">
        <v>0</v>
      </c>
      <c r="AS742" s="7" t="s">
        <v>1177</v>
      </c>
      <c r="AT742" s="7" t="s">
        <v>1363</v>
      </c>
      <c r="AU742" s="38">
        <v>46275</v>
      </c>
      <c r="AV742" s="39">
        <v>0.62646990740741004</v>
      </c>
    </row>
    <row r="743" spans="1:48" x14ac:dyDescent="0.35">
      <c r="A743" t="str">
        <f t="shared" si="11"/>
        <v>GP110573B867</v>
      </c>
      <c r="B743" s="7" t="s">
        <v>1064</v>
      </c>
      <c r="C743" s="7" t="s">
        <v>1059</v>
      </c>
      <c r="D743" s="7" t="s">
        <v>25</v>
      </c>
      <c r="E743" s="7" t="s">
        <v>1177</v>
      </c>
      <c r="F743" s="7" t="s">
        <v>128</v>
      </c>
      <c r="G743" s="7" t="s">
        <v>130</v>
      </c>
      <c r="H743" s="7" t="s">
        <v>129</v>
      </c>
      <c r="I743" s="30">
        <v>2</v>
      </c>
      <c r="J743" s="7" t="s">
        <v>1177</v>
      </c>
      <c r="K743" s="7" t="s">
        <v>1178</v>
      </c>
      <c r="L743" s="7" t="s">
        <v>132</v>
      </c>
      <c r="M743" s="7" t="s">
        <v>133</v>
      </c>
      <c r="N743" s="30">
        <v>0</v>
      </c>
      <c r="O743" s="30">
        <v>0</v>
      </c>
      <c r="P743" s="30">
        <v>0</v>
      </c>
      <c r="Q743" s="30">
        <v>0</v>
      </c>
      <c r="R743" s="29">
        <v>0</v>
      </c>
      <c r="S743" s="36">
        <v>0</v>
      </c>
      <c r="T743" s="7" t="s">
        <v>131</v>
      </c>
      <c r="U743" s="7" t="s">
        <v>1060</v>
      </c>
      <c r="V743" s="7" t="s">
        <v>1060</v>
      </c>
      <c r="W743" s="7" t="s">
        <v>1177</v>
      </c>
      <c r="X743" s="30">
        <v>1</v>
      </c>
      <c r="Y743" s="7" t="s">
        <v>1177</v>
      </c>
      <c r="Z743" s="7" t="s">
        <v>1178</v>
      </c>
      <c r="AA743" s="30">
        <v>0</v>
      </c>
      <c r="AB743" s="36">
        <v>0</v>
      </c>
      <c r="AC743" s="7" t="s">
        <v>1177</v>
      </c>
      <c r="AD743" s="37">
        <v>0</v>
      </c>
      <c r="AE743" s="7" t="s">
        <v>1177</v>
      </c>
      <c r="AF743" s="7" t="s">
        <v>1177</v>
      </c>
      <c r="AG743" s="7" t="s">
        <v>1177</v>
      </c>
      <c r="AH743" s="38"/>
      <c r="AI743" s="36">
        <v>0</v>
      </c>
      <c r="AJ743" s="7" t="s">
        <v>1193</v>
      </c>
      <c r="AK743" s="7" t="s">
        <v>1177</v>
      </c>
      <c r="AL743" s="7" t="s">
        <v>1177</v>
      </c>
      <c r="AM743" s="7" t="s">
        <v>1177</v>
      </c>
      <c r="AN743" s="7" t="s">
        <v>3212</v>
      </c>
      <c r="AO743" s="7" t="s">
        <v>1177</v>
      </c>
      <c r="AP743" s="7" t="s">
        <v>1177</v>
      </c>
      <c r="AQ743" s="7" t="s">
        <v>1177</v>
      </c>
      <c r="AR743" s="29">
        <v>0</v>
      </c>
      <c r="AS743" s="7" t="s">
        <v>1177</v>
      </c>
      <c r="AT743" s="7" t="s">
        <v>1363</v>
      </c>
      <c r="AU743" s="38">
        <v>46275</v>
      </c>
      <c r="AV743" s="39">
        <v>0.62738425925926</v>
      </c>
    </row>
    <row r="744" spans="1:48" x14ac:dyDescent="0.35">
      <c r="A744" t="str">
        <f t="shared" si="11"/>
        <v>GP111620B856</v>
      </c>
      <c r="B744" s="7" t="s">
        <v>792</v>
      </c>
      <c r="C744" s="7" t="s">
        <v>852</v>
      </c>
      <c r="D744" s="7" t="s">
        <v>21</v>
      </c>
      <c r="E744" s="7" t="s">
        <v>1177</v>
      </c>
      <c r="F744" s="7" t="s">
        <v>128</v>
      </c>
      <c r="G744" s="7" t="s">
        <v>130</v>
      </c>
      <c r="H744" s="7" t="s">
        <v>129</v>
      </c>
      <c r="I744" s="30">
        <v>2</v>
      </c>
      <c r="J744" s="7" t="s">
        <v>1177</v>
      </c>
      <c r="K744" s="7" t="s">
        <v>1178</v>
      </c>
      <c r="L744" s="7" t="s">
        <v>132</v>
      </c>
      <c r="M744" s="7" t="s">
        <v>133</v>
      </c>
      <c r="N744" s="30">
        <v>0</v>
      </c>
      <c r="O744" s="30">
        <v>0</v>
      </c>
      <c r="P744" s="30">
        <v>0</v>
      </c>
      <c r="Q744" s="30">
        <v>0</v>
      </c>
      <c r="R744" s="29">
        <v>0</v>
      </c>
      <c r="S744" s="36">
        <v>0</v>
      </c>
      <c r="T744" s="7" t="s">
        <v>131</v>
      </c>
      <c r="U744" s="7" t="s">
        <v>853</v>
      </c>
      <c r="V744" s="7" t="s">
        <v>853</v>
      </c>
      <c r="W744" s="7" t="s">
        <v>1177</v>
      </c>
      <c r="X744" s="30">
        <v>1</v>
      </c>
      <c r="Y744" s="7" t="s">
        <v>1177</v>
      </c>
      <c r="Z744" s="7" t="s">
        <v>1178</v>
      </c>
      <c r="AA744" s="30">
        <v>0</v>
      </c>
      <c r="AB744" s="36">
        <v>0</v>
      </c>
      <c r="AC744" s="7" t="s">
        <v>1177</v>
      </c>
      <c r="AD744" s="37">
        <v>0</v>
      </c>
      <c r="AE744" s="7" t="s">
        <v>1177</v>
      </c>
      <c r="AF744" s="7" t="s">
        <v>1177</v>
      </c>
      <c r="AG744" s="7" t="s">
        <v>1177</v>
      </c>
      <c r="AH744" s="38"/>
      <c r="AI744" s="36">
        <v>0</v>
      </c>
      <c r="AJ744" s="7" t="s">
        <v>1193</v>
      </c>
      <c r="AK744" s="7" t="s">
        <v>1177</v>
      </c>
      <c r="AL744" s="7" t="s">
        <v>1177</v>
      </c>
      <c r="AM744" s="7" t="s">
        <v>1177</v>
      </c>
      <c r="AN744" s="7" t="s">
        <v>3212</v>
      </c>
      <c r="AO744" s="7" t="s">
        <v>1177</v>
      </c>
      <c r="AP744" s="7" t="s">
        <v>1177</v>
      </c>
      <c r="AQ744" s="7" t="s">
        <v>1177</v>
      </c>
      <c r="AR744" s="29">
        <v>0</v>
      </c>
      <c r="AS744" s="7" t="s">
        <v>1177</v>
      </c>
      <c r="AT744" s="7" t="s">
        <v>1363</v>
      </c>
      <c r="AU744" s="38">
        <v>46275</v>
      </c>
      <c r="AV744" s="39">
        <v>0.62487268518519001</v>
      </c>
    </row>
    <row r="745" spans="1:48" x14ac:dyDescent="0.35">
      <c r="A745" t="str">
        <f t="shared" si="11"/>
        <v>GP111620B857</v>
      </c>
      <c r="B745" s="7" t="s">
        <v>792</v>
      </c>
      <c r="C745" s="7" t="s">
        <v>958</v>
      </c>
      <c r="D745" s="7" t="s">
        <v>23</v>
      </c>
      <c r="E745" s="7" t="s">
        <v>1177</v>
      </c>
      <c r="F745" s="7" t="s">
        <v>128</v>
      </c>
      <c r="G745" s="7" t="s">
        <v>130</v>
      </c>
      <c r="H745" s="7" t="s">
        <v>129</v>
      </c>
      <c r="I745" s="30">
        <v>2</v>
      </c>
      <c r="J745" s="7" t="s">
        <v>1177</v>
      </c>
      <c r="K745" s="7" t="s">
        <v>1178</v>
      </c>
      <c r="L745" s="7" t="s">
        <v>132</v>
      </c>
      <c r="M745" s="7" t="s">
        <v>133</v>
      </c>
      <c r="N745" s="30">
        <v>0</v>
      </c>
      <c r="O745" s="30">
        <v>0</v>
      </c>
      <c r="P745" s="30">
        <v>0</v>
      </c>
      <c r="Q745" s="30">
        <v>0</v>
      </c>
      <c r="R745" s="29">
        <v>0</v>
      </c>
      <c r="S745" s="36">
        <v>0</v>
      </c>
      <c r="T745" s="7" t="s">
        <v>131</v>
      </c>
      <c r="U745" s="7" t="s">
        <v>959</v>
      </c>
      <c r="V745" s="7" t="s">
        <v>959</v>
      </c>
      <c r="W745" s="7" t="s">
        <v>1177</v>
      </c>
      <c r="X745" s="30">
        <v>1</v>
      </c>
      <c r="Y745" s="7" t="s">
        <v>1177</v>
      </c>
      <c r="Z745" s="7" t="s">
        <v>1178</v>
      </c>
      <c r="AA745" s="30">
        <v>0</v>
      </c>
      <c r="AB745" s="36">
        <v>0</v>
      </c>
      <c r="AC745" s="7" t="s">
        <v>1177</v>
      </c>
      <c r="AD745" s="37">
        <v>0</v>
      </c>
      <c r="AE745" s="7" t="s">
        <v>1177</v>
      </c>
      <c r="AF745" s="7" t="s">
        <v>1177</v>
      </c>
      <c r="AG745" s="7" t="s">
        <v>1177</v>
      </c>
      <c r="AH745" s="38"/>
      <c r="AI745" s="36">
        <v>0</v>
      </c>
      <c r="AJ745" s="7" t="s">
        <v>1193</v>
      </c>
      <c r="AK745" s="7" t="s">
        <v>1177</v>
      </c>
      <c r="AL745" s="7" t="s">
        <v>1177</v>
      </c>
      <c r="AM745" s="7" t="s">
        <v>1177</v>
      </c>
      <c r="AN745" s="7" t="s">
        <v>3212</v>
      </c>
      <c r="AO745" s="7" t="s">
        <v>1177</v>
      </c>
      <c r="AP745" s="7" t="s">
        <v>1177</v>
      </c>
      <c r="AQ745" s="7" t="s">
        <v>1177</v>
      </c>
      <c r="AR745" s="29">
        <v>0</v>
      </c>
      <c r="AS745" s="7" t="s">
        <v>1177</v>
      </c>
      <c r="AT745" s="7" t="s">
        <v>1363</v>
      </c>
      <c r="AU745" s="38">
        <v>46275</v>
      </c>
      <c r="AV745" s="39">
        <v>0.62497685185185003</v>
      </c>
    </row>
    <row r="746" spans="1:48" x14ac:dyDescent="0.35">
      <c r="A746" t="str">
        <f t="shared" si="11"/>
        <v>GP111620B867</v>
      </c>
      <c r="B746" s="7" t="s">
        <v>792</v>
      </c>
      <c r="C746" s="7" t="s">
        <v>1059</v>
      </c>
      <c r="D746" s="7" t="s">
        <v>25</v>
      </c>
      <c r="E746" s="7" t="s">
        <v>1177</v>
      </c>
      <c r="F746" s="7" t="s">
        <v>128</v>
      </c>
      <c r="G746" s="7" t="s">
        <v>130</v>
      </c>
      <c r="H746" s="7" t="s">
        <v>129</v>
      </c>
      <c r="I746" s="30">
        <v>2</v>
      </c>
      <c r="J746" s="7" t="s">
        <v>1177</v>
      </c>
      <c r="K746" s="7" t="s">
        <v>1178</v>
      </c>
      <c r="L746" s="7" t="s">
        <v>132</v>
      </c>
      <c r="M746" s="7" t="s">
        <v>133</v>
      </c>
      <c r="N746" s="30">
        <v>0</v>
      </c>
      <c r="O746" s="30">
        <v>0</v>
      </c>
      <c r="P746" s="30">
        <v>0</v>
      </c>
      <c r="Q746" s="30">
        <v>0</v>
      </c>
      <c r="R746" s="29">
        <v>0</v>
      </c>
      <c r="S746" s="36">
        <v>0</v>
      </c>
      <c r="T746" s="7" t="s">
        <v>131</v>
      </c>
      <c r="U746" s="7" t="s">
        <v>1060</v>
      </c>
      <c r="V746" s="7" t="s">
        <v>1060</v>
      </c>
      <c r="W746" s="7" t="s">
        <v>1177</v>
      </c>
      <c r="X746" s="30">
        <v>1</v>
      </c>
      <c r="Y746" s="7" t="s">
        <v>1177</v>
      </c>
      <c r="Z746" s="7" t="s">
        <v>1178</v>
      </c>
      <c r="AA746" s="30">
        <v>0</v>
      </c>
      <c r="AB746" s="36">
        <v>0</v>
      </c>
      <c r="AC746" s="7" t="s">
        <v>1177</v>
      </c>
      <c r="AD746" s="37">
        <v>0</v>
      </c>
      <c r="AE746" s="7" t="s">
        <v>1177</v>
      </c>
      <c r="AF746" s="7" t="s">
        <v>1177</v>
      </c>
      <c r="AG746" s="7" t="s">
        <v>1177</v>
      </c>
      <c r="AH746" s="38"/>
      <c r="AI746" s="36">
        <v>0</v>
      </c>
      <c r="AJ746" s="7" t="s">
        <v>1193</v>
      </c>
      <c r="AK746" s="7" t="s">
        <v>1177</v>
      </c>
      <c r="AL746" s="7" t="s">
        <v>1177</v>
      </c>
      <c r="AM746" s="7" t="s">
        <v>1177</v>
      </c>
      <c r="AN746" s="7" t="s">
        <v>3212</v>
      </c>
      <c r="AO746" s="7" t="s">
        <v>1177</v>
      </c>
      <c r="AP746" s="7" t="s">
        <v>1177</v>
      </c>
      <c r="AQ746" s="7" t="s">
        <v>1177</v>
      </c>
      <c r="AR746" s="29">
        <v>0</v>
      </c>
      <c r="AS746" s="7" t="s">
        <v>1177</v>
      </c>
      <c r="AT746" s="7" t="s">
        <v>1363</v>
      </c>
      <c r="AU746" s="38">
        <v>46275</v>
      </c>
      <c r="AV746" s="39">
        <v>0.62738425925926</v>
      </c>
    </row>
    <row r="747" spans="1:48" x14ac:dyDescent="0.35">
      <c r="A747" t="str">
        <f t="shared" si="11"/>
        <v>GP111814B825</v>
      </c>
      <c r="B747" s="7" t="s">
        <v>174</v>
      </c>
      <c r="C747" s="7" t="s">
        <v>511</v>
      </c>
      <c r="D747" s="7" t="s">
        <v>16</v>
      </c>
      <c r="E747" s="7" t="s">
        <v>1177</v>
      </c>
      <c r="F747" s="7" t="s">
        <v>128</v>
      </c>
      <c r="G747" s="7" t="s">
        <v>130</v>
      </c>
      <c r="H747" s="7" t="s">
        <v>129</v>
      </c>
      <c r="I747" s="30">
        <v>2</v>
      </c>
      <c r="J747" s="7" t="s">
        <v>1177</v>
      </c>
      <c r="K747" s="7" t="s">
        <v>1178</v>
      </c>
      <c r="L747" s="7" t="s">
        <v>132</v>
      </c>
      <c r="M747" s="7" t="s">
        <v>133</v>
      </c>
      <c r="N747" s="30">
        <v>0</v>
      </c>
      <c r="O747" s="30">
        <v>0</v>
      </c>
      <c r="P747" s="30">
        <v>0</v>
      </c>
      <c r="Q747" s="30">
        <v>0</v>
      </c>
      <c r="R747" s="29">
        <v>0</v>
      </c>
      <c r="S747" s="36">
        <v>0</v>
      </c>
      <c r="T747" s="7" t="s">
        <v>131</v>
      </c>
      <c r="U747" s="7" t="s">
        <v>512</v>
      </c>
      <c r="V747" s="7" t="s">
        <v>512</v>
      </c>
      <c r="W747" s="7" t="s">
        <v>1177</v>
      </c>
      <c r="X747" s="30">
        <v>1</v>
      </c>
      <c r="Y747" s="7" t="s">
        <v>1177</v>
      </c>
      <c r="Z747" s="7" t="s">
        <v>1178</v>
      </c>
      <c r="AA747" s="30">
        <v>0</v>
      </c>
      <c r="AB747" s="36">
        <v>0</v>
      </c>
      <c r="AC747" s="7" t="s">
        <v>1177</v>
      </c>
      <c r="AD747" s="37">
        <v>0</v>
      </c>
      <c r="AE747" s="7" t="s">
        <v>1177</v>
      </c>
      <c r="AF747" s="7" t="s">
        <v>1177</v>
      </c>
      <c r="AG747" s="7" t="s">
        <v>1177</v>
      </c>
      <c r="AH747" s="38"/>
      <c r="AI747" s="36">
        <v>0</v>
      </c>
      <c r="AJ747" s="7" t="s">
        <v>1193</v>
      </c>
      <c r="AK747" s="7" t="s">
        <v>1177</v>
      </c>
      <c r="AL747" s="7" t="s">
        <v>1177</v>
      </c>
      <c r="AM747" s="7" t="s">
        <v>1177</v>
      </c>
      <c r="AN747" s="7" t="s">
        <v>3212</v>
      </c>
      <c r="AO747" s="7" t="s">
        <v>1177</v>
      </c>
      <c r="AP747" s="7" t="s">
        <v>1177</v>
      </c>
      <c r="AQ747" s="7" t="s">
        <v>1177</v>
      </c>
      <c r="AR747" s="29">
        <v>0</v>
      </c>
      <c r="AS747" s="7" t="s">
        <v>1177</v>
      </c>
      <c r="AT747" s="7" t="s">
        <v>1363</v>
      </c>
      <c r="AU747" s="38">
        <v>46275</v>
      </c>
      <c r="AV747" s="39">
        <v>0.60349537037037004</v>
      </c>
    </row>
    <row r="748" spans="1:48" x14ac:dyDescent="0.35">
      <c r="A748" t="str">
        <f t="shared" si="11"/>
        <v>GP112910B856</v>
      </c>
      <c r="B748" s="7" t="s">
        <v>639</v>
      </c>
      <c r="C748" s="7" t="s">
        <v>852</v>
      </c>
      <c r="D748" s="7" t="s">
        <v>21</v>
      </c>
      <c r="E748" s="7" t="s">
        <v>1177</v>
      </c>
      <c r="F748" s="7" t="s">
        <v>128</v>
      </c>
      <c r="G748" s="7" t="s">
        <v>130</v>
      </c>
      <c r="H748" s="7" t="s">
        <v>129</v>
      </c>
      <c r="I748" s="30">
        <v>1</v>
      </c>
      <c r="J748" s="7" t="s">
        <v>1177</v>
      </c>
      <c r="K748" s="7" t="s">
        <v>1178</v>
      </c>
      <c r="L748" s="7" t="s">
        <v>132</v>
      </c>
      <c r="M748" s="7" t="s">
        <v>133</v>
      </c>
      <c r="N748" s="30">
        <v>0</v>
      </c>
      <c r="O748" s="30">
        <v>0</v>
      </c>
      <c r="P748" s="30">
        <v>0</v>
      </c>
      <c r="Q748" s="30">
        <v>0</v>
      </c>
      <c r="R748" s="29">
        <v>0</v>
      </c>
      <c r="S748" s="36">
        <v>0</v>
      </c>
      <c r="T748" s="7" t="s">
        <v>131</v>
      </c>
      <c r="U748" s="7" t="s">
        <v>853</v>
      </c>
      <c r="V748" s="7" t="s">
        <v>853</v>
      </c>
      <c r="W748" s="7" t="s">
        <v>1177</v>
      </c>
      <c r="X748" s="30">
        <v>1</v>
      </c>
      <c r="Y748" s="7" t="s">
        <v>1177</v>
      </c>
      <c r="Z748" s="7" t="s">
        <v>1178</v>
      </c>
      <c r="AA748" s="30">
        <v>0</v>
      </c>
      <c r="AB748" s="36">
        <v>0</v>
      </c>
      <c r="AC748" s="7" t="s">
        <v>1177</v>
      </c>
      <c r="AD748" s="37">
        <v>0</v>
      </c>
      <c r="AE748" s="7" t="s">
        <v>1177</v>
      </c>
      <c r="AF748" s="7" t="s">
        <v>1177</v>
      </c>
      <c r="AG748" s="7" t="s">
        <v>1177</v>
      </c>
      <c r="AH748" s="38"/>
      <c r="AI748" s="36">
        <v>0</v>
      </c>
      <c r="AJ748" s="7" t="s">
        <v>1193</v>
      </c>
      <c r="AK748" s="7" t="s">
        <v>1177</v>
      </c>
      <c r="AL748" s="7" t="s">
        <v>1177</v>
      </c>
      <c r="AM748" s="7" t="s">
        <v>1177</v>
      </c>
      <c r="AN748" s="7" t="s">
        <v>3212</v>
      </c>
      <c r="AO748" s="7" t="s">
        <v>1177</v>
      </c>
      <c r="AP748" s="7" t="s">
        <v>1177</v>
      </c>
      <c r="AQ748" s="7" t="s">
        <v>1177</v>
      </c>
      <c r="AR748" s="29">
        <v>0</v>
      </c>
      <c r="AS748" s="7" t="s">
        <v>1177</v>
      </c>
      <c r="AT748" s="7" t="s">
        <v>1363</v>
      </c>
      <c r="AU748" s="38">
        <v>46275</v>
      </c>
      <c r="AV748" s="39">
        <v>0.62487268518519001</v>
      </c>
    </row>
    <row r="749" spans="1:48" x14ac:dyDescent="0.35">
      <c r="A749" t="str">
        <f t="shared" si="11"/>
        <v>GP112910B857</v>
      </c>
      <c r="B749" s="7" t="s">
        <v>639</v>
      </c>
      <c r="C749" s="7" t="s">
        <v>958</v>
      </c>
      <c r="D749" s="7" t="s">
        <v>23</v>
      </c>
      <c r="E749" s="7" t="s">
        <v>1177</v>
      </c>
      <c r="F749" s="7" t="s">
        <v>128</v>
      </c>
      <c r="G749" s="7" t="s">
        <v>130</v>
      </c>
      <c r="H749" s="7" t="s">
        <v>129</v>
      </c>
      <c r="I749" s="30">
        <v>2</v>
      </c>
      <c r="J749" s="7" t="s">
        <v>1177</v>
      </c>
      <c r="K749" s="7" t="s">
        <v>1178</v>
      </c>
      <c r="L749" s="7" t="s">
        <v>132</v>
      </c>
      <c r="M749" s="7" t="s">
        <v>133</v>
      </c>
      <c r="N749" s="30">
        <v>0</v>
      </c>
      <c r="O749" s="30">
        <v>0</v>
      </c>
      <c r="P749" s="30">
        <v>0</v>
      </c>
      <c r="Q749" s="30">
        <v>0</v>
      </c>
      <c r="R749" s="29">
        <v>0</v>
      </c>
      <c r="S749" s="36">
        <v>0</v>
      </c>
      <c r="T749" s="7" t="s">
        <v>131</v>
      </c>
      <c r="U749" s="7" t="s">
        <v>959</v>
      </c>
      <c r="V749" s="7" t="s">
        <v>959</v>
      </c>
      <c r="W749" s="7" t="s">
        <v>1177</v>
      </c>
      <c r="X749" s="30">
        <v>1</v>
      </c>
      <c r="Y749" s="7" t="s">
        <v>1177</v>
      </c>
      <c r="Z749" s="7" t="s">
        <v>1178</v>
      </c>
      <c r="AA749" s="30">
        <v>0</v>
      </c>
      <c r="AB749" s="36">
        <v>0</v>
      </c>
      <c r="AC749" s="7" t="s">
        <v>1177</v>
      </c>
      <c r="AD749" s="37">
        <v>0</v>
      </c>
      <c r="AE749" s="7" t="s">
        <v>1177</v>
      </c>
      <c r="AF749" s="7" t="s">
        <v>1177</v>
      </c>
      <c r="AG749" s="7" t="s">
        <v>1177</v>
      </c>
      <c r="AH749" s="38"/>
      <c r="AI749" s="36">
        <v>0</v>
      </c>
      <c r="AJ749" s="7" t="s">
        <v>1193</v>
      </c>
      <c r="AK749" s="7" t="s">
        <v>1177</v>
      </c>
      <c r="AL749" s="7" t="s">
        <v>1177</v>
      </c>
      <c r="AM749" s="7" t="s">
        <v>1177</v>
      </c>
      <c r="AN749" s="7" t="s">
        <v>3212</v>
      </c>
      <c r="AO749" s="7" t="s">
        <v>1177</v>
      </c>
      <c r="AP749" s="7" t="s">
        <v>1177</v>
      </c>
      <c r="AQ749" s="7" t="s">
        <v>1177</v>
      </c>
      <c r="AR749" s="29">
        <v>0</v>
      </c>
      <c r="AS749" s="7" t="s">
        <v>1177</v>
      </c>
      <c r="AT749" s="7" t="s">
        <v>1363</v>
      </c>
      <c r="AU749" s="38">
        <v>46275</v>
      </c>
      <c r="AV749" s="39">
        <v>0.62497685185185003</v>
      </c>
    </row>
    <row r="750" spans="1:48" x14ac:dyDescent="0.35">
      <c r="A750" t="str">
        <f t="shared" si="11"/>
        <v>GP112931B856</v>
      </c>
      <c r="B750" s="7" t="s">
        <v>861</v>
      </c>
      <c r="C750" s="7" t="s">
        <v>852</v>
      </c>
      <c r="D750" s="7" t="s">
        <v>21</v>
      </c>
      <c r="E750" s="7" t="s">
        <v>1177</v>
      </c>
      <c r="F750" s="7" t="s">
        <v>128</v>
      </c>
      <c r="G750" s="7" t="s">
        <v>130</v>
      </c>
      <c r="H750" s="7" t="s">
        <v>129</v>
      </c>
      <c r="I750" s="30">
        <v>1</v>
      </c>
      <c r="J750" s="7" t="s">
        <v>1177</v>
      </c>
      <c r="K750" s="7" t="s">
        <v>1178</v>
      </c>
      <c r="L750" s="7" t="s">
        <v>132</v>
      </c>
      <c r="M750" s="7" t="s">
        <v>133</v>
      </c>
      <c r="N750" s="30">
        <v>0</v>
      </c>
      <c r="O750" s="30">
        <v>0</v>
      </c>
      <c r="P750" s="30">
        <v>0</v>
      </c>
      <c r="Q750" s="30">
        <v>0</v>
      </c>
      <c r="R750" s="29">
        <v>0</v>
      </c>
      <c r="S750" s="36">
        <v>0</v>
      </c>
      <c r="T750" s="7" t="s">
        <v>131</v>
      </c>
      <c r="U750" s="7" t="s">
        <v>853</v>
      </c>
      <c r="V750" s="7" t="s">
        <v>853</v>
      </c>
      <c r="W750" s="7" t="s">
        <v>1177</v>
      </c>
      <c r="X750" s="30">
        <v>1</v>
      </c>
      <c r="Y750" s="7" t="s">
        <v>1177</v>
      </c>
      <c r="Z750" s="7" t="s">
        <v>1178</v>
      </c>
      <c r="AA750" s="30">
        <v>0</v>
      </c>
      <c r="AB750" s="36">
        <v>0</v>
      </c>
      <c r="AC750" s="7" t="s">
        <v>1177</v>
      </c>
      <c r="AD750" s="37">
        <v>0</v>
      </c>
      <c r="AE750" s="7" t="s">
        <v>1177</v>
      </c>
      <c r="AF750" s="7" t="s">
        <v>1177</v>
      </c>
      <c r="AG750" s="7" t="s">
        <v>1177</v>
      </c>
      <c r="AH750" s="38"/>
      <c r="AI750" s="36">
        <v>0</v>
      </c>
      <c r="AJ750" s="7" t="s">
        <v>1193</v>
      </c>
      <c r="AK750" s="7" t="s">
        <v>1177</v>
      </c>
      <c r="AL750" s="7" t="s">
        <v>1177</v>
      </c>
      <c r="AM750" s="7" t="s">
        <v>1177</v>
      </c>
      <c r="AN750" s="7" t="s">
        <v>3212</v>
      </c>
      <c r="AO750" s="7" t="s">
        <v>1177</v>
      </c>
      <c r="AP750" s="7" t="s">
        <v>1177</v>
      </c>
      <c r="AQ750" s="7" t="s">
        <v>1177</v>
      </c>
      <c r="AR750" s="29">
        <v>0</v>
      </c>
      <c r="AS750" s="7" t="s">
        <v>1177</v>
      </c>
      <c r="AT750" s="7" t="s">
        <v>1363</v>
      </c>
      <c r="AU750" s="38">
        <v>46275</v>
      </c>
      <c r="AV750" s="39">
        <v>0.62486111111110998</v>
      </c>
    </row>
    <row r="751" spans="1:48" x14ac:dyDescent="0.35">
      <c r="A751" t="str">
        <f t="shared" si="11"/>
        <v>GP112993B825</v>
      </c>
      <c r="B751" s="7" t="s">
        <v>256</v>
      </c>
      <c r="C751" s="7" t="s">
        <v>511</v>
      </c>
      <c r="D751" s="7" t="s">
        <v>16</v>
      </c>
      <c r="E751" s="7" t="s">
        <v>1177</v>
      </c>
      <c r="F751" s="7" t="s">
        <v>128</v>
      </c>
      <c r="G751" s="7" t="s">
        <v>130</v>
      </c>
      <c r="H751" s="7" t="s">
        <v>129</v>
      </c>
      <c r="I751" s="30">
        <v>1</v>
      </c>
      <c r="J751" s="7" t="s">
        <v>1177</v>
      </c>
      <c r="K751" s="7" t="s">
        <v>1178</v>
      </c>
      <c r="L751" s="7" t="s">
        <v>132</v>
      </c>
      <c r="M751" s="7" t="s">
        <v>133</v>
      </c>
      <c r="N751" s="30">
        <v>0</v>
      </c>
      <c r="O751" s="30">
        <v>0</v>
      </c>
      <c r="P751" s="30">
        <v>0</v>
      </c>
      <c r="Q751" s="30">
        <v>0</v>
      </c>
      <c r="R751" s="29">
        <v>0</v>
      </c>
      <c r="S751" s="36">
        <v>0</v>
      </c>
      <c r="T751" s="7" t="s">
        <v>131</v>
      </c>
      <c r="U751" s="7" t="s">
        <v>512</v>
      </c>
      <c r="V751" s="7" t="s">
        <v>512</v>
      </c>
      <c r="W751" s="7" t="s">
        <v>1177</v>
      </c>
      <c r="X751" s="30">
        <v>1</v>
      </c>
      <c r="Y751" s="7" t="s">
        <v>1177</v>
      </c>
      <c r="Z751" s="7" t="s">
        <v>1178</v>
      </c>
      <c r="AA751" s="30">
        <v>0</v>
      </c>
      <c r="AB751" s="36">
        <v>0</v>
      </c>
      <c r="AC751" s="7" t="s">
        <v>1177</v>
      </c>
      <c r="AD751" s="37">
        <v>0</v>
      </c>
      <c r="AE751" s="7" t="s">
        <v>1177</v>
      </c>
      <c r="AF751" s="7" t="s">
        <v>1177</v>
      </c>
      <c r="AG751" s="7" t="s">
        <v>1177</v>
      </c>
      <c r="AH751" s="38"/>
      <c r="AI751" s="36">
        <v>0</v>
      </c>
      <c r="AJ751" s="7" t="s">
        <v>1193</v>
      </c>
      <c r="AK751" s="7" t="s">
        <v>1177</v>
      </c>
      <c r="AL751" s="7" t="s">
        <v>1177</v>
      </c>
      <c r="AM751" s="7" t="s">
        <v>1177</v>
      </c>
      <c r="AN751" s="7" t="s">
        <v>3212</v>
      </c>
      <c r="AO751" s="7" t="s">
        <v>1177</v>
      </c>
      <c r="AP751" s="7" t="s">
        <v>1177</v>
      </c>
      <c r="AQ751" s="7" t="s">
        <v>1177</v>
      </c>
      <c r="AR751" s="29">
        <v>0</v>
      </c>
      <c r="AS751" s="7" t="s">
        <v>1177</v>
      </c>
      <c r="AT751" s="7" t="s">
        <v>1363</v>
      </c>
      <c r="AU751" s="38">
        <v>46275</v>
      </c>
      <c r="AV751" s="39">
        <v>0.62305555555556003</v>
      </c>
    </row>
    <row r="752" spans="1:48" x14ac:dyDescent="0.35">
      <c r="A752" t="str">
        <f t="shared" si="11"/>
        <v>GP112994B825</v>
      </c>
      <c r="B752" s="7" t="s">
        <v>257</v>
      </c>
      <c r="C752" s="7" t="s">
        <v>511</v>
      </c>
      <c r="D752" s="7" t="s">
        <v>16</v>
      </c>
      <c r="E752" s="7" t="s">
        <v>1177</v>
      </c>
      <c r="F752" s="7" t="s">
        <v>128</v>
      </c>
      <c r="G752" s="7" t="s">
        <v>130</v>
      </c>
      <c r="H752" s="7" t="s">
        <v>129</v>
      </c>
      <c r="I752" s="30">
        <v>1</v>
      </c>
      <c r="J752" s="7" t="s">
        <v>1177</v>
      </c>
      <c r="K752" s="7" t="s">
        <v>1178</v>
      </c>
      <c r="L752" s="7" t="s">
        <v>132</v>
      </c>
      <c r="M752" s="7" t="s">
        <v>133</v>
      </c>
      <c r="N752" s="30">
        <v>0</v>
      </c>
      <c r="O752" s="30">
        <v>0</v>
      </c>
      <c r="P752" s="30">
        <v>0</v>
      </c>
      <c r="Q752" s="30">
        <v>0</v>
      </c>
      <c r="R752" s="29">
        <v>0</v>
      </c>
      <c r="S752" s="36">
        <v>0</v>
      </c>
      <c r="T752" s="7" t="s">
        <v>131</v>
      </c>
      <c r="U752" s="7" t="s">
        <v>512</v>
      </c>
      <c r="V752" s="7" t="s">
        <v>512</v>
      </c>
      <c r="W752" s="7" t="s">
        <v>1177</v>
      </c>
      <c r="X752" s="30">
        <v>1</v>
      </c>
      <c r="Y752" s="7" t="s">
        <v>1177</v>
      </c>
      <c r="Z752" s="7" t="s">
        <v>1178</v>
      </c>
      <c r="AA752" s="30">
        <v>0</v>
      </c>
      <c r="AB752" s="36">
        <v>0</v>
      </c>
      <c r="AC752" s="7" t="s">
        <v>1177</v>
      </c>
      <c r="AD752" s="37">
        <v>0</v>
      </c>
      <c r="AE752" s="7" t="s">
        <v>1177</v>
      </c>
      <c r="AF752" s="7" t="s">
        <v>1177</v>
      </c>
      <c r="AG752" s="7" t="s">
        <v>1177</v>
      </c>
      <c r="AH752" s="38"/>
      <c r="AI752" s="36">
        <v>0</v>
      </c>
      <c r="AJ752" s="7" t="s">
        <v>1193</v>
      </c>
      <c r="AK752" s="7" t="s">
        <v>1177</v>
      </c>
      <c r="AL752" s="7" t="s">
        <v>1177</v>
      </c>
      <c r="AM752" s="7" t="s">
        <v>1177</v>
      </c>
      <c r="AN752" s="7" t="s">
        <v>3212</v>
      </c>
      <c r="AO752" s="7" t="s">
        <v>1177</v>
      </c>
      <c r="AP752" s="7" t="s">
        <v>1177</v>
      </c>
      <c r="AQ752" s="7" t="s">
        <v>1177</v>
      </c>
      <c r="AR752" s="29">
        <v>0</v>
      </c>
      <c r="AS752" s="7" t="s">
        <v>1177</v>
      </c>
      <c r="AT752" s="7" t="s">
        <v>1363</v>
      </c>
      <c r="AU752" s="38">
        <v>46275</v>
      </c>
      <c r="AV752" s="39">
        <v>0.62305555555556003</v>
      </c>
    </row>
    <row r="753" spans="1:48" x14ac:dyDescent="0.35">
      <c r="A753" t="str">
        <f t="shared" si="11"/>
        <v>GP112995B825</v>
      </c>
      <c r="B753" s="7" t="s">
        <v>400</v>
      </c>
      <c r="C753" s="7" t="s">
        <v>511</v>
      </c>
      <c r="D753" s="7" t="s">
        <v>16</v>
      </c>
      <c r="E753" s="7" t="s">
        <v>1177</v>
      </c>
      <c r="F753" s="7" t="s">
        <v>128</v>
      </c>
      <c r="G753" s="7" t="s">
        <v>130</v>
      </c>
      <c r="H753" s="7" t="s">
        <v>129</v>
      </c>
      <c r="I753" s="30">
        <v>1</v>
      </c>
      <c r="J753" s="7" t="s">
        <v>1177</v>
      </c>
      <c r="K753" s="7" t="s">
        <v>1178</v>
      </c>
      <c r="L753" s="7" t="s">
        <v>132</v>
      </c>
      <c r="M753" s="7" t="s">
        <v>133</v>
      </c>
      <c r="N753" s="30">
        <v>0</v>
      </c>
      <c r="O753" s="30">
        <v>0</v>
      </c>
      <c r="P753" s="30">
        <v>0</v>
      </c>
      <c r="Q753" s="30">
        <v>0</v>
      </c>
      <c r="R753" s="29">
        <v>0</v>
      </c>
      <c r="S753" s="36">
        <v>0</v>
      </c>
      <c r="T753" s="7" t="s">
        <v>131</v>
      </c>
      <c r="U753" s="7" t="s">
        <v>512</v>
      </c>
      <c r="V753" s="7" t="s">
        <v>512</v>
      </c>
      <c r="W753" s="7" t="s">
        <v>1177</v>
      </c>
      <c r="X753" s="30">
        <v>1</v>
      </c>
      <c r="Y753" s="7" t="s">
        <v>1177</v>
      </c>
      <c r="Z753" s="7" t="s">
        <v>1178</v>
      </c>
      <c r="AA753" s="30">
        <v>0</v>
      </c>
      <c r="AB753" s="36">
        <v>0</v>
      </c>
      <c r="AC753" s="7" t="s">
        <v>1177</v>
      </c>
      <c r="AD753" s="37">
        <v>0</v>
      </c>
      <c r="AE753" s="7" t="s">
        <v>1177</v>
      </c>
      <c r="AF753" s="7" t="s">
        <v>1177</v>
      </c>
      <c r="AG753" s="7" t="s">
        <v>1177</v>
      </c>
      <c r="AH753" s="38"/>
      <c r="AI753" s="36">
        <v>0</v>
      </c>
      <c r="AJ753" s="7" t="s">
        <v>1193</v>
      </c>
      <c r="AK753" s="7" t="s">
        <v>1177</v>
      </c>
      <c r="AL753" s="7" t="s">
        <v>1177</v>
      </c>
      <c r="AM753" s="7" t="s">
        <v>1177</v>
      </c>
      <c r="AN753" s="7" t="s">
        <v>3212</v>
      </c>
      <c r="AO753" s="7" t="s">
        <v>1177</v>
      </c>
      <c r="AP753" s="7" t="s">
        <v>1177</v>
      </c>
      <c r="AQ753" s="7" t="s">
        <v>1177</v>
      </c>
      <c r="AR753" s="29">
        <v>0</v>
      </c>
      <c r="AS753" s="7" t="s">
        <v>1177</v>
      </c>
      <c r="AT753" s="7" t="s">
        <v>1363</v>
      </c>
      <c r="AU753" s="38">
        <v>46275</v>
      </c>
      <c r="AV753" s="39">
        <v>0.62305555555556003</v>
      </c>
    </row>
    <row r="754" spans="1:48" x14ac:dyDescent="0.35">
      <c r="A754" t="str">
        <f t="shared" si="11"/>
        <v>GP118070B825</v>
      </c>
      <c r="B754" s="7" t="s">
        <v>546</v>
      </c>
      <c r="C754" s="7" t="s">
        <v>511</v>
      </c>
      <c r="D754" s="7" t="s">
        <v>16</v>
      </c>
      <c r="E754" s="7" t="s">
        <v>1177</v>
      </c>
      <c r="F754" s="7" t="s">
        <v>128</v>
      </c>
      <c r="G754" s="7" t="s">
        <v>130</v>
      </c>
      <c r="H754" s="7" t="s">
        <v>129</v>
      </c>
      <c r="I754" s="30">
        <v>1</v>
      </c>
      <c r="J754" s="7" t="s">
        <v>1177</v>
      </c>
      <c r="K754" s="7" t="s">
        <v>1178</v>
      </c>
      <c r="L754" s="7" t="s">
        <v>132</v>
      </c>
      <c r="M754" s="7" t="s">
        <v>133</v>
      </c>
      <c r="N754" s="30">
        <v>0</v>
      </c>
      <c r="O754" s="30">
        <v>0</v>
      </c>
      <c r="P754" s="30">
        <v>0</v>
      </c>
      <c r="Q754" s="30">
        <v>0</v>
      </c>
      <c r="R754" s="29">
        <v>0</v>
      </c>
      <c r="S754" s="36">
        <v>0</v>
      </c>
      <c r="T754" s="7" t="s">
        <v>131</v>
      </c>
      <c r="U754" s="7" t="s">
        <v>512</v>
      </c>
      <c r="V754" s="7" t="s">
        <v>512</v>
      </c>
      <c r="W754" s="7" t="s">
        <v>1177</v>
      </c>
      <c r="X754" s="30">
        <v>1</v>
      </c>
      <c r="Y754" s="7" t="s">
        <v>1177</v>
      </c>
      <c r="Z754" s="7" t="s">
        <v>1178</v>
      </c>
      <c r="AA754" s="30">
        <v>0</v>
      </c>
      <c r="AB754" s="36">
        <v>0</v>
      </c>
      <c r="AC754" s="7" t="s">
        <v>1177</v>
      </c>
      <c r="AD754" s="37">
        <v>0</v>
      </c>
      <c r="AE754" s="7" t="s">
        <v>1177</v>
      </c>
      <c r="AF754" s="7" t="s">
        <v>1177</v>
      </c>
      <c r="AG754" s="7" t="s">
        <v>1177</v>
      </c>
      <c r="AH754" s="38"/>
      <c r="AI754" s="36">
        <v>0</v>
      </c>
      <c r="AJ754" s="7" t="s">
        <v>1193</v>
      </c>
      <c r="AK754" s="7" t="s">
        <v>1177</v>
      </c>
      <c r="AL754" s="7" t="s">
        <v>1177</v>
      </c>
      <c r="AM754" s="7" t="s">
        <v>1177</v>
      </c>
      <c r="AN754" s="7" t="s">
        <v>3212</v>
      </c>
      <c r="AO754" s="7" t="s">
        <v>1177</v>
      </c>
      <c r="AP754" s="7" t="s">
        <v>1177</v>
      </c>
      <c r="AQ754" s="7" t="s">
        <v>1177</v>
      </c>
      <c r="AR754" s="29">
        <v>0</v>
      </c>
      <c r="AS754" s="7" t="s">
        <v>1177</v>
      </c>
      <c r="AT754" s="7" t="s">
        <v>1363</v>
      </c>
      <c r="AU754" s="38">
        <v>46275</v>
      </c>
      <c r="AV754" s="39">
        <v>0.62305555555556003</v>
      </c>
    </row>
    <row r="755" spans="1:48" x14ac:dyDescent="0.35">
      <c r="A755" t="str">
        <f t="shared" si="11"/>
        <v>GP118070B838</v>
      </c>
      <c r="B755" s="7" t="s">
        <v>546</v>
      </c>
      <c r="C755" s="7" t="s">
        <v>744</v>
      </c>
      <c r="D755" s="7" t="s">
        <v>48</v>
      </c>
      <c r="E755" s="7" t="s">
        <v>1177</v>
      </c>
      <c r="F755" s="7" t="s">
        <v>128</v>
      </c>
      <c r="G755" s="7" t="s">
        <v>130</v>
      </c>
      <c r="H755" s="7" t="s">
        <v>129</v>
      </c>
      <c r="I755" s="30">
        <v>2</v>
      </c>
      <c r="J755" s="7" t="s">
        <v>1177</v>
      </c>
      <c r="K755" s="7" t="s">
        <v>1178</v>
      </c>
      <c r="L755" s="7" t="s">
        <v>132</v>
      </c>
      <c r="M755" s="7" t="s">
        <v>133</v>
      </c>
      <c r="N755" s="30">
        <v>0</v>
      </c>
      <c r="O755" s="30">
        <v>0</v>
      </c>
      <c r="P755" s="30">
        <v>0</v>
      </c>
      <c r="Q755" s="30">
        <v>0</v>
      </c>
      <c r="R755" s="29">
        <v>0</v>
      </c>
      <c r="S755" s="36">
        <v>0</v>
      </c>
      <c r="T755" s="7" t="s">
        <v>131</v>
      </c>
      <c r="U755" s="7" t="s">
        <v>745</v>
      </c>
      <c r="V755" s="7" t="s">
        <v>745</v>
      </c>
      <c r="W755" s="7" t="s">
        <v>1177</v>
      </c>
      <c r="X755" s="30">
        <v>1</v>
      </c>
      <c r="Y755" s="7" t="s">
        <v>1177</v>
      </c>
      <c r="Z755" s="7" t="s">
        <v>1178</v>
      </c>
      <c r="AA755" s="30">
        <v>0</v>
      </c>
      <c r="AB755" s="36">
        <v>0</v>
      </c>
      <c r="AC755" s="7" t="s">
        <v>1177</v>
      </c>
      <c r="AD755" s="37">
        <v>0</v>
      </c>
      <c r="AE755" s="7" t="s">
        <v>1177</v>
      </c>
      <c r="AF755" s="7" t="s">
        <v>1177</v>
      </c>
      <c r="AG755" s="7" t="s">
        <v>1177</v>
      </c>
      <c r="AH755" s="38"/>
      <c r="AI755" s="36">
        <v>0</v>
      </c>
      <c r="AJ755" s="7" t="s">
        <v>1193</v>
      </c>
      <c r="AK755" s="7" t="s">
        <v>1177</v>
      </c>
      <c r="AL755" s="7" t="s">
        <v>1177</v>
      </c>
      <c r="AM755" s="7" t="s">
        <v>1177</v>
      </c>
      <c r="AN755" s="7" t="s">
        <v>3212</v>
      </c>
      <c r="AO755" s="7" t="s">
        <v>1177</v>
      </c>
      <c r="AP755" s="7" t="s">
        <v>1177</v>
      </c>
      <c r="AQ755" s="7" t="s">
        <v>1177</v>
      </c>
      <c r="AR755" s="29">
        <v>0</v>
      </c>
      <c r="AS755" s="7" t="s">
        <v>1177</v>
      </c>
      <c r="AT755" s="7" t="s">
        <v>1363</v>
      </c>
      <c r="AU755" s="38">
        <v>46275</v>
      </c>
      <c r="AV755" s="39">
        <v>0.62414351851852001</v>
      </c>
    </row>
    <row r="756" spans="1:48" x14ac:dyDescent="0.35">
      <c r="A756" t="str">
        <f t="shared" si="11"/>
        <v>GP118501B825</v>
      </c>
      <c r="B756" s="7" t="s">
        <v>472</v>
      </c>
      <c r="C756" s="7" t="s">
        <v>511</v>
      </c>
      <c r="D756" s="7" t="s">
        <v>16</v>
      </c>
      <c r="E756" s="7" t="s">
        <v>1177</v>
      </c>
      <c r="F756" s="7" t="s">
        <v>128</v>
      </c>
      <c r="G756" s="7" t="s">
        <v>130</v>
      </c>
      <c r="H756" s="7" t="s">
        <v>129</v>
      </c>
      <c r="I756" s="30">
        <v>2</v>
      </c>
      <c r="J756" s="7" t="s">
        <v>1177</v>
      </c>
      <c r="K756" s="7" t="s">
        <v>1178</v>
      </c>
      <c r="L756" s="7" t="s">
        <v>132</v>
      </c>
      <c r="M756" s="7" t="s">
        <v>133</v>
      </c>
      <c r="N756" s="30">
        <v>0</v>
      </c>
      <c r="O756" s="30">
        <v>0</v>
      </c>
      <c r="P756" s="30">
        <v>0</v>
      </c>
      <c r="Q756" s="30">
        <v>0</v>
      </c>
      <c r="R756" s="29">
        <v>0</v>
      </c>
      <c r="S756" s="36">
        <v>0</v>
      </c>
      <c r="T756" s="7" t="s">
        <v>131</v>
      </c>
      <c r="U756" s="7" t="s">
        <v>512</v>
      </c>
      <c r="V756" s="7" t="s">
        <v>512</v>
      </c>
      <c r="W756" s="7" t="s">
        <v>1177</v>
      </c>
      <c r="X756" s="30">
        <v>1</v>
      </c>
      <c r="Y756" s="7" t="s">
        <v>1177</v>
      </c>
      <c r="Z756" s="7" t="s">
        <v>1178</v>
      </c>
      <c r="AA756" s="30">
        <v>0</v>
      </c>
      <c r="AB756" s="36">
        <v>0</v>
      </c>
      <c r="AC756" s="7" t="s">
        <v>1177</v>
      </c>
      <c r="AD756" s="37">
        <v>0</v>
      </c>
      <c r="AE756" s="7" t="s">
        <v>1177</v>
      </c>
      <c r="AF756" s="7" t="s">
        <v>1177</v>
      </c>
      <c r="AG756" s="7" t="s">
        <v>1177</v>
      </c>
      <c r="AH756" s="38"/>
      <c r="AI756" s="36">
        <v>0</v>
      </c>
      <c r="AJ756" s="7" t="s">
        <v>1193</v>
      </c>
      <c r="AK756" s="7" t="s">
        <v>1177</v>
      </c>
      <c r="AL756" s="7" t="s">
        <v>1177</v>
      </c>
      <c r="AM756" s="7" t="s">
        <v>1177</v>
      </c>
      <c r="AN756" s="7" t="s">
        <v>3212</v>
      </c>
      <c r="AO756" s="7" t="s">
        <v>1177</v>
      </c>
      <c r="AP756" s="7" t="s">
        <v>1177</v>
      </c>
      <c r="AQ756" s="7" t="s">
        <v>1177</v>
      </c>
      <c r="AR756" s="29">
        <v>0</v>
      </c>
      <c r="AS756" s="7" t="s">
        <v>1177</v>
      </c>
      <c r="AT756" s="7" t="s">
        <v>1363</v>
      </c>
      <c r="AU756" s="38">
        <v>46275</v>
      </c>
      <c r="AV756" s="39">
        <v>0.62305555555556003</v>
      </c>
    </row>
    <row r="757" spans="1:48" x14ac:dyDescent="0.35">
      <c r="A757" t="str">
        <f t="shared" si="11"/>
        <v>GP118688B857</v>
      </c>
      <c r="B757" s="7" t="s">
        <v>401</v>
      </c>
      <c r="C757" s="7" t="s">
        <v>958</v>
      </c>
      <c r="D757" s="7" t="s">
        <v>23</v>
      </c>
      <c r="E757" s="7" t="s">
        <v>1177</v>
      </c>
      <c r="F757" s="7" t="s">
        <v>128</v>
      </c>
      <c r="G757" s="7" t="s">
        <v>130</v>
      </c>
      <c r="H757" s="7" t="s">
        <v>129</v>
      </c>
      <c r="I757" s="30">
        <v>2</v>
      </c>
      <c r="J757" s="7" t="s">
        <v>1177</v>
      </c>
      <c r="K757" s="7" t="s">
        <v>1178</v>
      </c>
      <c r="L757" s="7" t="s">
        <v>132</v>
      </c>
      <c r="M757" s="7" t="s">
        <v>133</v>
      </c>
      <c r="N757" s="30">
        <v>0</v>
      </c>
      <c r="O757" s="30">
        <v>0</v>
      </c>
      <c r="P757" s="30">
        <v>0</v>
      </c>
      <c r="Q757" s="30">
        <v>0</v>
      </c>
      <c r="R757" s="29">
        <v>0</v>
      </c>
      <c r="S757" s="36">
        <v>0</v>
      </c>
      <c r="T757" s="7" t="s">
        <v>131</v>
      </c>
      <c r="U757" s="7" t="s">
        <v>959</v>
      </c>
      <c r="V757" s="7" t="s">
        <v>959</v>
      </c>
      <c r="W757" s="7" t="s">
        <v>1177</v>
      </c>
      <c r="X757" s="30">
        <v>1</v>
      </c>
      <c r="Y757" s="7" t="s">
        <v>1177</v>
      </c>
      <c r="Z757" s="7" t="s">
        <v>1178</v>
      </c>
      <c r="AA757" s="30">
        <v>0</v>
      </c>
      <c r="AB757" s="36">
        <v>0</v>
      </c>
      <c r="AC757" s="7" t="s">
        <v>1177</v>
      </c>
      <c r="AD757" s="37">
        <v>0</v>
      </c>
      <c r="AE757" s="7" t="s">
        <v>1177</v>
      </c>
      <c r="AF757" s="7" t="s">
        <v>1177</v>
      </c>
      <c r="AG757" s="7" t="s">
        <v>1177</v>
      </c>
      <c r="AH757" s="38"/>
      <c r="AI757" s="36">
        <v>0</v>
      </c>
      <c r="AJ757" s="7" t="s">
        <v>1193</v>
      </c>
      <c r="AK757" s="7" t="s">
        <v>1177</v>
      </c>
      <c r="AL757" s="7" t="s">
        <v>1177</v>
      </c>
      <c r="AM757" s="7" t="s">
        <v>1177</v>
      </c>
      <c r="AN757" s="7" t="s">
        <v>3212</v>
      </c>
      <c r="AO757" s="7" t="s">
        <v>1177</v>
      </c>
      <c r="AP757" s="7" t="s">
        <v>1177</v>
      </c>
      <c r="AQ757" s="7" t="s">
        <v>1177</v>
      </c>
      <c r="AR757" s="29">
        <v>0</v>
      </c>
      <c r="AS757" s="7" t="s">
        <v>1177</v>
      </c>
      <c r="AT757" s="7" t="s">
        <v>1363</v>
      </c>
      <c r="AU757" s="38">
        <v>46275</v>
      </c>
      <c r="AV757" s="39">
        <v>0.60526620370369999</v>
      </c>
    </row>
    <row r="758" spans="1:48" x14ac:dyDescent="0.35">
      <c r="A758" t="str">
        <f t="shared" si="11"/>
        <v>GP119033B825</v>
      </c>
      <c r="B758" s="7" t="s">
        <v>547</v>
      </c>
      <c r="C758" s="7" t="s">
        <v>511</v>
      </c>
      <c r="D758" s="7" t="s">
        <v>16</v>
      </c>
      <c r="E758" s="7" t="s">
        <v>1177</v>
      </c>
      <c r="F758" s="7" t="s">
        <v>128</v>
      </c>
      <c r="G758" s="7" t="s">
        <v>130</v>
      </c>
      <c r="H758" s="7" t="s">
        <v>129</v>
      </c>
      <c r="I758" s="30">
        <v>2</v>
      </c>
      <c r="J758" s="7" t="s">
        <v>1177</v>
      </c>
      <c r="K758" s="7" t="s">
        <v>1178</v>
      </c>
      <c r="L758" s="7" t="s">
        <v>132</v>
      </c>
      <c r="M758" s="7" t="s">
        <v>133</v>
      </c>
      <c r="N758" s="30">
        <v>0</v>
      </c>
      <c r="O758" s="30">
        <v>0</v>
      </c>
      <c r="P758" s="30">
        <v>0</v>
      </c>
      <c r="Q758" s="30">
        <v>0</v>
      </c>
      <c r="R758" s="29">
        <v>0</v>
      </c>
      <c r="S758" s="36">
        <v>0</v>
      </c>
      <c r="T758" s="7" t="s">
        <v>131</v>
      </c>
      <c r="U758" s="7" t="s">
        <v>512</v>
      </c>
      <c r="V758" s="7" t="s">
        <v>512</v>
      </c>
      <c r="W758" s="7" t="s">
        <v>1177</v>
      </c>
      <c r="X758" s="30">
        <v>1</v>
      </c>
      <c r="Y758" s="7" t="s">
        <v>1177</v>
      </c>
      <c r="Z758" s="7" t="s">
        <v>1178</v>
      </c>
      <c r="AA758" s="30">
        <v>0</v>
      </c>
      <c r="AB758" s="36">
        <v>0</v>
      </c>
      <c r="AC758" s="7" t="s">
        <v>1177</v>
      </c>
      <c r="AD758" s="37">
        <v>0</v>
      </c>
      <c r="AE758" s="7" t="s">
        <v>1177</v>
      </c>
      <c r="AF758" s="7" t="s">
        <v>1177</v>
      </c>
      <c r="AG758" s="7" t="s">
        <v>1177</v>
      </c>
      <c r="AH758" s="38"/>
      <c r="AI758" s="36">
        <v>0</v>
      </c>
      <c r="AJ758" s="7" t="s">
        <v>1193</v>
      </c>
      <c r="AK758" s="7" t="s">
        <v>1177</v>
      </c>
      <c r="AL758" s="7" t="s">
        <v>1177</v>
      </c>
      <c r="AM758" s="7" t="s">
        <v>1177</v>
      </c>
      <c r="AN758" s="7" t="s">
        <v>3212</v>
      </c>
      <c r="AO758" s="7" t="s">
        <v>1177</v>
      </c>
      <c r="AP758" s="7" t="s">
        <v>1177</v>
      </c>
      <c r="AQ758" s="7" t="s">
        <v>1177</v>
      </c>
      <c r="AR758" s="29">
        <v>0</v>
      </c>
      <c r="AS758" s="7" t="s">
        <v>1177</v>
      </c>
      <c r="AT758" s="7" t="s">
        <v>1363</v>
      </c>
      <c r="AU758" s="38">
        <v>46275</v>
      </c>
      <c r="AV758" s="39">
        <v>0.62305555555556003</v>
      </c>
    </row>
    <row r="759" spans="1:48" x14ac:dyDescent="0.35">
      <c r="A759" t="str">
        <f t="shared" si="11"/>
        <v>GP119035B825</v>
      </c>
      <c r="B759" s="7" t="s">
        <v>402</v>
      </c>
      <c r="C759" s="7" t="s">
        <v>511</v>
      </c>
      <c r="D759" s="7" t="s">
        <v>16</v>
      </c>
      <c r="E759" s="7" t="s">
        <v>1177</v>
      </c>
      <c r="F759" s="7" t="s">
        <v>128</v>
      </c>
      <c r="G759" s="7" t="s">
        <v>130</v>
      </c>
      <c r="H759" s="7" t="s">
        <v>129</v>
      </c>
      <c r="I759" s="30">
        <v>1</v>
      </c>
      <c r="J759" s="7" t="s">
        <v>1177</v>
      </c>
      <c r="K759" s="7" t="s">
        <v>1178</v>
      </c>
      <c r="L759" s="7" t="s">
        <v>132</v>
      </c>
      <c r="M759" s="7" t="s">
        <v>133</v>
      </c>
      <c r="N759" s="30">
        <v>0</v>
      </c>
      <c r="O759" s="30">
        <v>0</v>
      </c>
      <c r="P759" s="30">
        <v>0</v>
      </c>
      <c r="Q759" s="30">
        <v>0</v>
      </c>
      <c r="R759" s="29">
        <v>0</v>
      </c>
      <c r="S759" s="36">
        <v>0</v>
      </c>
      <c r="T759" s="7" t="s">
        <v>131</v>
      </c>
      <c r="U759" s="7" t="s">
        <v>512</v>
      </c>
      <c r="V759" s="7" t="s">
        <v>512</v>
      </c>
      <c r="W759" s="7" t="s">
        <v>1177</v>
      </c>
      <c r="X759" s="30">
        <v>1</v>
      </c>
      <c r="Y759" s="7" t="s">
        <v>1177</v>
      </c>
      <c r="Z759" s="7" t="s">
        <v>1178</v>
      </c>
      <c r="AA759" s="30">
        <v>0</v>
      </c>
      <c r="AB759" s="36">
        <v>0</v>
      </c>
      <c r="AC759" s="7" t="s">
        <v>1177</v>
      </c>
      <c r="AD759" s="37">
        <v>0</v>
      </c>
      <c r="AE759" s="7" t="s">
        <v>1177</v>
      </c>
      <c r="AF759" s="7" t="s">
        <v>1177</v>
      </c>
      <c r="AG759" s="7" t="s">
        <v>1177</v>
      </c>
      <c r="AH759" s="38"/>
      <c r="AI759" s="36">
        <v>0</v>
      </c>
      <c r="AJ759" s="7" t="s">
        <v>1193</v>
      </c>
      <c r="AK759" s="7" t="s">
        <v>1177</v>
      </c>
      <c r="AL759" s="7" t="s">
        <v>1177</v>
      </c>
      <c r="AM759" s="7" t="s">
        <v>1177</v>
      </c>
      <c r="AN759" s="7" t="s">
        <v>3212</v>
      </c>
      <c r="AO759" s="7" t="s">
        <v>1177</v>
      </c>
      <c r="AP759" s="7" t="s">
        <v>1177</v>
      </c>
      <c r="AQ759" s="7" t="s">
        <v>1177</v>
      </c>
      <c r="AR759" s="29">
        <v>0</v>
      </c>
      <c r="AS759" s="7" t="s">
        <v>1177</v>
      </c>
      <c r="AT759" s="7" t="s">
        <v>1363</v>
      </c>
      <c r="AU759" s="38">
        <v>46275</v>
      </c>
      <c r="AV759" s="39">
        <v>0.60349537037037004</v>
      </c>
    </row>
    <row r="760" spans="1:48" x14ac:dyDescent="0.35">
      <c r="A760" t="str">
        <f t="shared" si="11"/>
        <v>GP119039B825</v>
      </c>
      <c r="B760" s="7" t="s">
        <v>548</v>
      </c>
      <c r="C760" s="7" t="s">
        <v>511</v>
      </c>
      <c r="D760" s="7" t="s">
        <v>16</v>
      </c>
      <c r="E760" s="7" t="s">
        <v>1177</v>
      </c>
      <c r="F760" s="7" t="s">
        <v>128</v>
      </c>
      <c r="G760" s="7" t="s">
        <v>130</v>
      </c>
      <c r="H760" s="7" t="s">
        <v>129</v>
      </c>
      <c r="I760" s="30">
        <v>1</v>
      </c>
      <c r="J760" s="7" t="s">
        <v>1177</v>
      </c>
      <c r="K760" s="7" t="s">
        <v>1178</v>
      </c>
      <c r="L760" s="7" t="s">
        <v>132</v>
      </c>
      <c r="M760" s="7" t="s">
        <v>133</v>
      </c>
      <c r="N760" s="30">
        <v>0</v>
      </c>
      <c r="O760" s="30">
        <v>0</v>
      </c>
      <c r="P760" s="30">
        <v>0</v>
      </c>
      <c r="Q760" s="30">
        <v>0</v>
      </c>
      <c r="R760" s="29">
        <v>0</v>
      </c>
      <c r="S760" s="36">
        <v>0</v>
      </c>
      <c r="T760" s="7" t="s">
        <v>131</v>
      </c>
      <c r="U760" s="7" t="s">
        <v>512</v>
      </c>
      <c r="V760" s="7" t="s">
        <v>512</v>
      </c>
      <c r="W760" s="7" t="s">
        <v>1177</v>
      </c>
      <c r="X760" s="30">
        <v>1</v>
      </c>
      <c r="Y760" s="7" t="s">
        <v>1177</v>
      </c>
      <c r="Z760" s="7" t="s">
        <v>1178</v>
      </c>
      <c r="AA760" s="30">
        <v>0</v>
      </c>
      <c r="AB760" s="36">
        <v>0</v>
      </c>
      <c r="AC760" s="7" t="s">
        <v>1177</v>
      </c>
      <c r="AD760" s="37">
        <v>0</v>
      </c>
      <c r="AE760" s="7" t="s">
        <v>1177</v>
      </c>
      <c r="AF760" s="7" t="s">
        <v>1177</v>
      </c>
      <c r="AG760" s="7" t="s">
        <v>1177</v>
      </c>
      <c r="AH760" s="38"/>
      <c r="AI760" s="36">
        <v>0</v>
      </c>
      <c r="AJ760" s="7" t="s">
        <v>1193</v>
      </c>
      <c r="AK760" s="7" t="s">
        <v>1177</v>
      </c>
      <c r="AL760" s="7" t="s">
        <v>1177</v>
      </c>
      <c r="AM760" s="7" t="s">
        <v>1177</v>
      </c>
      <c r="AN760" s="7" t="s">
        <v>3212</v>
      </c>
      <c r="AO760" s="7" t="s">
        <v>1177</v>
      </c>
      <c r="AP760" s="7" t="s">
        <v>1177</v>
      </c>
      <c r="AQ760" s="7" t="s">
        <v>1177</v>
      </c>
      <c r="AR760" s="29">
        <v>0</v>
      </c>
      <c r="AS760" s="7" t="s">
        <v>1177</v>
      </c>
      <c r="AT760" s="7" t="s">
        <v>1363</v>
      </c>
      <c r="AU760" s="38">
        <v>46275</v>
      </c>
      <c r="AV760" s="39">
        <v>0.62304398148147999</v>
      </c>
    </row>
    <row r="761" spans="1:48" x14ac:dyDescent="0.35">
      <c r="A761" t="str">
        <f t="shared" si="11"/>
        <v>GP119052B825</v>
      </c>
      <c r="B761" s="7" t="s">
        <v>175</v>
      </c>
      <c r="C761" s="7" t="s">
        <v>511</v>
      </c>
      <c r="D761" s="7" t="s">
        <v>16</v>
      </c>
      <c r="E761" s="7" t="s">
        <v>1177</v>
      </c>
      <c r="F761" s="7" t="s">
        <v>128</v>
      </c>
      <c r="G761" s="7" t="s">
        <v>130</v>
      </c>
      <c r="H761" s="7" t="s">
        <v>129</v>
      </c>
      <c r="I761" s="30">
        <v>1</v>
      </c>
      <c r="J761" s="7" t="s">
        <v>1177</v>
      </c>
      <c r="K761" s="7" t="s">
        <v>1178</v>
      </c>
      <c r="L761" s="7" t="s">
        <v>132</v>
      </c>
      <c r="M761" s="7" t="s">
        <v>133</v>
      </c>
      <c r="N761" s="30">
        <v>0</v>
      </c>
      <c r="O761" s="30">
        <v>0</v>
      </c>
      <c r="P761" s="30">
        <v>0</v>
      </c>
      <c r="Q761" s="30">
        <v>0</v>
      </c>
      <c r="R761" s="29">
        <v>0</v>
      </c>
      <c r="S761" s="36">
        <v>0</v>
      </c>
      <c r="T761" s="7" t="s">
        <v>131</v>
      </c>
      <c r="U761" s="7" t="s">
        <v>512</v>
      </c>
      <c r="V761" s="7" t="s">
        <v>512</v>
      </c>
      <c r="W761" s="7" t="s">
        <v>1177</v>
      </c>
      <c r="X761" s="30">
        <v>1</v>
      </c>
      <c r="Y761" s="7" t="s">
        <v>1177</v>
      </c>
      <c r="Z761" s="7" t="s">
        <v>1178</v>
      </c>
      <c r="AA761" s="30">
        <v>0</v>
      </c>
      <c r="AB761" s="36">
        <v>0</v>
      </c>
      <c r="AC761" s="7" t="s">
        <v>1177</v>
      </c>
      <c r="AD761" s="37">
        <v>0</v>
      </c>
      <c r="AE761" s="7" t="s">
        <v>1177</v>
      </c>
      <c r="AF761" s="7" t="s">
        <v>1177</v>
      </c>
      <c r="AG761" s="7" t="s">
        <v>1177</v>
      </c>
      <c r="AH761" s="38"/>
      <c r="AI761" s="36">
        <v>0</v>
      </c>
      <c r="AJ761" s="7" t="s">
        <v>1193</v>
      </c>
      <c r="AK761" s="7" t="s">
        <v>1177</v>
      </c>
      <c r="AL761" s="7" t="s">
        <v>1177</v>
      </c>
      <c r="AM761" s="7" t="s">
        <v>1177</v>
      </c>
      <c r="AN761" s="7" t="s">
        <v>3212</v>
      </c>
      <c r="AO761" s="7" t="s">
        <v>1177</v>
      </c>
      <c r="AP761" s="7" t="s">
        <v>1177</v>
      </c>
      <c r="AQ761" s="7" t="s">
        <v>1177</v>
      </c>
      <c r="AR761" s="29">
        <v>0</v>
      </c>
      <c r="AS761" s="7" t="s">
        <v>1177</v>
      </c>
      <c r="AT761" s="7" t="s">
        <v>1363</v>
      </c>
      <c r="AU761" s="38">
        <v>46275</v>
      </c>
      <c r="AV761" s="39">
        <v>0.60349537037037004</v>
      </c>
    </row>
    <row r="762" spans="1:48" x14ac:dyDescent="0.35">
      <c r="A762" t="str">
        <f t="shared" si="11"/>
        <v>GP119052B832</v>
      </c>
      <c r="B762" s="7" t="s">
        <v>175</v>
      </c>
      <c r="C762" s="7" t="s">
        <v>653</v>
      </c>
      <c r="D762" s="7" t="s">
        <v>19</v>
      </c>
      <c r="E762" s="7" t="s">
        <v>1177</v>
      </c>
      <c r="F762" s="7" t="s">
        <v>128</v>
      </c>
      <c r="G762" s="7" t="s">
        <v>130</v>
      </c>
      <c r="H762" s="7" t="s">
        <v>129</v>
      </c>
      <c r="I762" s="30">
        <v>6</v>
      </c>
      <c r="J762" s="7" t="s">
        <v>1177</v>
      </c>
      <c r="K762" s="7" t="s">
        <v>1178</v>
      </c>
      <c r="L762" s="7" t="s">
        <v>132</v>
      </c>
      <c r="M762" s="7" t="s">
        <v>133</v>
      </c>
      <c r="N762" s="30">
        <v>0</v>
      </c>
      <c r="O762" s="30">
        <v>0</v>
      </c>
      <c r="P762" s="30">
        <v>0</v>
      </c>
      <c r="Q762" s="30">
        <v>0</v>
      </c>
      <c r="R762" s="29">
        <v>0</v>
      </c>
      <c r="S762" s="36">
        <v>0</v>
      </c>
      <c r="T762" s="7" t="s">
        <v>131</v>
      </c>
      <c r="U762" s="7" t="s">
        <v>654</v>
      </c>
      <c r="V762" s="7" t="s">
        <v>654</v>
      </c>
      <c r="W762" s="7" t="s">
        <v>1177</v>
      </c>
      <c r="X762" s="30">
        <v>2</v>
      </c>
      <c r="Y762" s="7" t="s">
        <v>1177</v>
      </c>
      <c r="Z762" s="7" t="s">
        <v>1178</v>
      </c>
      <c r="AA762" s="30">
        <v>0</v>
      </c>
      <c r="AB762" s="36">
        <v>0</v>
      </c>
      <c r="AC762" s="7" t="s">
        <v>1177</v>
      </c>
      <c r="AD762" s="37">
        <v>0</v>
      </c>
      <c r="AE762" s="7" t="s">
        <v>1177</v>
      </c>
      <c r="AF762" s="7" t="s">
        <v>1177</v>
      </c>
      <c r="AG762" s="7" t="s">
        <v>1177</v>
      </c>
      <c r="AH762" s="38"/>
      <c r="AI762" s="36">
        <v>0</v>
      </c>
      <c r="AJ762" s="7" t="s">
        <v>1193</v>
      </c>
      <c r="AK762" s="7" t="s">
        <v>1177</v>
      </c>
      <c r="AL762" s="7" t="s">
        <v>1177</v>
      </c>
      <c r="AM762" s="7" t="s">
        <v>1177</v>
      </c>
      <c r="AN762" s="7" t="s">
        <v>3212</v>
      </c>
      <c r="AO762" s="7" t="s">
        <v>1177</v>
      </c>
      <c r="AP762" s="7" t="s">
        <v>1177</v>
      </c>
      <c r="AQ762" s="7" t="s">
        <v>1177</v>
      </c>
      <c r="AR762" s="29">
        <v>0</v>
      </c>
      <c r="AS762" s="7" t="s">
        <v>1177</v>
      </c>
      <c r="AT762" s="7" t="s">
        <v>1363</v>
      </c>
      <c r="AU762" s="38">
        <v>46275</v>
      </c>
      <c r="AV762" s="39">
        <v>0.60394675925926</v>
      </c>
    </row>
    <row r="763" spans="1:48" x14ac:dyDescent="0.35">
      <c r="A763" t="str">
        <f t="shared" si="11"/>
        <v>GP119052B838</v>
      </c>
      <c r="B763" s="7" t="s">
        <v>175</v>
      </c>
      <c r="C763" s="7" t="s">
        <v>744</v>
      </c>
      <c r="D763" s="7" t="s">
        <v>48</v>
      </c>
      <c r="E763" s="7" t="s">
        <v>1177</v>
      </c>
      <c r="F763" s="7" t="s">
        <v>128</v>
      </c>
      <c r="G763" s="7" t="s">
        <v>130</v>
      </c>
      <c r="H763" s="7" t="s">
        <v>129</v>
      </c>
      <c r="I763" s="30">
        <v>2</v>
      </c>
      <c r="J763" s="7" t="s">
        <v>1177</v>
      </c>
      <c r="K763" s="7" t="s">
        <v>1178</v>
      </c>
      <c r="L763" s="7" t="s">
        <v>132</v>
      </c>
      <c r="M763" s="7" t="s">
        <v>133</v>
      </c>
      <c r="N763" s="30">
        <v>0</v>
      </c>
      <c r="O763" s="30">
        <v>0</v>
      </c>
      <c r="P763" s="30">
        <v>0</v>
      </c>
      <c r="Q763" s="30">
        <v>0</v>
      </c>
      <c r="R763" s="29">
        <v>0</v>
      </c>
      <c r="S763" s="36">
        <v>0</v>
      </c>
      <c r="T763" s="7" t="s">
        <v>131</v>
      </c>
      <c r="U763" s="7" t="s">
        <v>745</v>
      </c>
      <c r="V763" s="7" t="s">
        <v>745</v>
      </c>
      <c r="W763" s="7" t="s">
        <v>1177</v>
      </c>
      <c r="X763" s="30">
        <v>1</v>
      </c>
      <c r="Y763" s="7" t="s">
        <v>1177</v>
      </c>
      <c r="Z763" s="7" t="s">
        <v>1178</v>
      </c>
      <c r="AA763" s="30">
        <v>0</v>
      </c>
      <c r="AB763" s="36">
        <v>0</v>
      </c>
      <c r="AC763" s="7" t="s">
        <v>1177</v>
      </c>
      <c r="AD763" s="37">
        <v>0</v>
      </c>
      <c r="AE763" s="7" t="s">
        <v>1177</v>
      </c>
      <c r="AF763" s="7" t="s">
        <v>1177</v>
      </c>
      <c r="AG763" s="7" t="s">
        <v>1177</v>
      </c>
      <c r="AH763" s="38"/>
      <c r="AI763" s="36">
        <v>0</v>
      </c>
      <c r="AJ763" s="7" t="s">
        <v>1193</v>
      </c>
      <c r="AK763" s="7" t="s">
        <v>1177</v>
      </c>
      <c r="AL763" s="7" t="s">
        <v>1177</v>
      </c>
      <c r="AM763" s="7" t="s">
        <v>1177</v>
      </c>
      <c r="AN763" s="7" t="s">
        <v>3212</v>
      </c>
      <c r="AO763" s="7" t="s">
        <v>1177</v>
      </c>
      <c r="AP763" s="7" t="s">
        <v>1177</v>
      </c>
      <c r="AQ763" s="7" t="s">
        <v>1177</v>
      </c>
      <c r="AR763" s="29">
        <v>0</v>
      </c>
      <c r="AS763" s="7" t="s">
        <v>1177</v>
      </c>
      <c r="AT763" s="7" t="s">
        <v>1363</v>
      </c>
      <c r="AU763" s="38">
        <v>46275</v>
      </c>
      <c r="AV763" s="39">
        <v>0.60446759259258998</v>
      </c>
    </row>
    <row r="764" spans="1:48" x14ac:dyDescent="0.35">
      <c r="A764" t="str">
        <f t="shared" si="11"/>
        <v>GP119773B825</v>
      </c>
      <c r="B764" s="7" t="s">
        <v>320</v>
      </c>
      <c r="C764" s="7" t="s">
        <v>511</v>
      </c>
      <c r="D764" s="7" t="s">
        <v>16</v>
      </c>
      <c r="E764" s="7" t="s">
        <v>1177</v>
      </c>
      <c r="F764" s="7" t="s">
        <v>128</v>
      </c>
      <c r="G764" s="7" t="s">
        <v>130</v>
      </c>
      <c r="H764" s="7" t="s">
        <v>129</v>
      </c>
      <c r="I764" s="30">
        <v>2</v>
      </c>
      <c r="J764" s="7" t="s">
        <v>1177</v>
      </c>
      <c r="K764" s="7" t="s">
        <v>1178</v>
      </c>
      <c r="L764" s="7" t="s">
        <v>132</v>
      </c>
      <c r="M764" s="7" t="s">
        <v>133</v>
      </c>
      <c r="N764" s="30">
        <v>0</v>
      </c>
      <c r="O764" s="30">
        <v>0</v>
      </c>
      <c r="P764" s="30">
        <v>0</v>
      </c>
      <c r="Q764" s="30">
        <v>0</v>
      </c>
      <c r="R764" s="29">
        <v>0</v>
      </c>
      <c r="S764" s="36">
        <v>0</v>
      </c>
      <c r="T764" s="7" t="s">
        <v>131</v>
      </c>
      <c r="U764" s="7" t="s">
        <v>512</v>
      </c>
      <c r="V764" s="7" t="s">
        <v>512</v>
      </c>
      <c r="W764" s="7" t="s">
        <v>1177</v>
      </c>
      <c r="X764" s="30">
        <v>1</v>
      </c>
      <c r="Y764" s="7" t="s">
        <v>1177</v>
      </c>
      <c r="Z764" s="7" t="s">
        <v>1178</v>
      </c>
      <c r="AA764" s="30">
        <v>0</v>
      </c>
      <c r="AB764" s="36">
        <v>0</v>
      </c>
      <c r="AC764" s="7" t="s">
        <v>1177</v>
      </c>
      <c r="AD764" s="37">
        <v>0</v>
      </c>
      <c r="AE764" s="7" t="s">
        <v>1177</v>
      </c>
      <c r="AF764" s="7" t="s">
        <v>1177</v>
      </c>
      <c r="AG764" s="7" t="s">
        <v>1177</v>
      </c>
      <c r="AH764" s="38"/>
      <c r="AI764" s="36">
        <v>0</v>
      </c>
      <c r="AJ764" s="7" t="s">
        <v>1193</v>
      </c>
      <c r="AK764" s="7" t="s">
        <v>1177</v>
      </c>
      <c r="AL764" s="7" t="s">
        <v>1177</v>
      </c>
      <c r="AM764" s="7" t="s">
        <v>1177</v>
      </c>
      <c r="AN764" s="7" t="s">
        <v>3212</v>
      </c>
      <c r="AO764" s="7" t="s">
        <v>1177</v>
      </c>
      <c r="AP764" s="7" t="s">
        <v>1177</v>
      </c>
      <c r="AQ764" s="7" t="s">
        <v>1177</v>
      </c>
      <c r="AR764" s="29">
        <v>0</v>
      </c>
      <c r="AS764" s="7" t="s">
        <v>1177</v>
      </c>
      <c r="AT764" s="7" t="s">
        <v>1363</v>
      </c>
      <c r="AU764" s="38">
        <v>46275</v>
      </c>
      <c r="AV764" s="39">
        <v>0.62304398148147999</v>
      </c>
    </row>
    <row r="765" spans="1:48" x14ac:dyDescent="0.35">
      <c r="A765" t="str">
        <f t="shared" si="11"/>
        <v>GP122842B825</v>
      </c>
      <c r="B765" s="7" t="s">
        <v>176</v>
      </c>
      <c r="C765" s="7" t="s">
        <v>511</v>
      </c>
      <c r="D765" s="7" t="s">
        <v>16</v>
      </c>
      <c r="E765" s="7" t="s">
        <v>1177</v>
      </c>
      <c r="F765" s="7" t="s">
        <v>128</v>
      </c>
      <c r="G765" s="7" t="s">
        <v>130</v>
      </c>
      <c r="H765" s="7" t="s">
        <v>129</v>
      </c>
      <c r="I765" s="30">
        <v>2</v>
      </c>
      <c r="J765" s="7" t="s">
        <v>1177</v>
      </c>
      <c r="K765" s="7" t="s">
        <v>1178</v>
      </c>
      <c r="L765" s="7" t="s">
        <v>132</v>
      </c>
      <c r="M765" s="7" t="s">
        <v>133</v>
      </c>
      <c r="N765" s="30">
        <v>0</v>
      </c>
      <c r="O765" s="30">
        <v>0</v>
      </c>
      <c r="P765" s="30">
        <v>0</v>
      </c>
      <c r="Q765" s="30">
        <v>0</v>
      </c>
      <c r="R765" s="29">
        <v>0</v>
      </c>
      <c r="S765" s="36">
        <v>0</v>
      </c>
      <c r="T765" s="7" t="s">
        <v>131</v>
      </c>
      <c r="U765" s="7" t="s">
        <v>512</v>
      </c>
      <c r="V765" s="7" t="s">
        <v>512</v>
      </c>
      <c r="W765" s="7" t="s">
        <v>1177</v>
      </c>
      <c r="X765" s="30">
        <v>1</v>
      </c>
      <c r="Y765" s="7" t="s">
        <v>1177</v>
      </c>
      <c r="Z765" s="7" t="s">
        <v>1178</v>
      </c>
      <c r="AA765" s="30">
        <v>0</v>
      </c>
      <c r="AB765" s="36">
        <v>0</v>
      </c>
      <c r="AC765" s="7" t="s">
        <v>1177</v>
      </c>
      <c r="AD765" s="37">
        <v>0</v>
      </c>
      <c r="AE765" s="7" t="s">
        <v>1177</v>
      </c>
      <c r="AF765" s="7" t="s">
        <v>1177</v>
      </c>
      <c r="AG765" s="7" t="s">
        <v>1177</v>
      </c>
      <c r="AH765" s="38"/>
      <c r="AI765" s="36">
        <v>0</v>
      </c>
      <c r="AJ765" s="7" t="s">
        <v>1193</v>
      </c>
      <c r="AK765" s="7" t="s">
        <v>1177</v>
      </c>
      <c r="AL765" s="7" t="s">
        <v>1177</v>
      </c>
      <c r="AM765" s="7" t="s">
        <v>1177</v>
      </c>
      <c r="AN765" s="7" t="s">
        <v>3212</v>
      </c>
      <c r="AO765" s="7" t="s">
        <v>1177</v>
      </c>
      <c r="AP765" s="7" t="s">
        <v>1177</v>
      </c>
      <c r="AQ765" s="7" t="s">
        <v>1177</v>
      </c>
      <c r="AR765" s="29">
        <v>0</v>
      </c>
      <c r="AS765" s="7" t="s">
        <v>1177</v>
      </c>
      <c r="AT765" s="7" t="s">
        <v>1363</v>
      </c>
      <c r="AU765" s="38">
        <v>46275</v>
      </c>
      <c r="AV765" s="39">
        <v>0.60349537037037004</v>
      </c>
    </row>
    <row r="766" spans="1:48" x14ac:dyDescent="0.35">
      <c r="A766" t="str">
        <f t="shared" si="11"/>
        <v>GP124059B832</v>
      </c>
      <c r="B766" s="7" t="s">
        <v>258</v>
      </c>
      <c r="C766" s="7" t="s">
        <v>653</v>
      </c>
      <c r="D766" s="7" t="s">
        <v>19</v>
      </c>
      <c r="E766" s="7" t="s">
        <v>1177</v>
      </c>
      <c r="F766" s="7" t="s">
        <v>134</v>
      </c>
      <c r="G766" s="7" t="s">
        <v>130</v>
      </c>
      <c r="H766" s="7" t="s">
        <v>162</v>
      </c>
      <c r="I766" s="30">
        <v>1</v>
      </c>
      <c r="J766" s="7" t="s">
        <v>1177</v>
      </c>
      <c r="K766" s="7" t="s">
        <v>1178</v>
      </c>
      <c r="L766" s="7" t="s">
        <v>132</v>
      </c>
      <c r="M766" s="7" t="s">
        <v>133</v>
      </c>
      <c r="N766" s="30">
        <v>0</v>
      </c>
      <c r="O766" s="30">
        <v>0</v>
      </c>
      <c r="P766" s="30">
        <v>0</v>
      </c>
      <c r="Q766" s="30">
        <v>0</v>
      </c>
      <c r="R766" s="29">
        <v>0</v>
      </c>
      <c r="S766" s="36">
        <v>0</v>
      </c>
      <c r="T766" s="7" t="s">
        <v>1177</v>
      </c>
      <c r="U766" s="7" t="s">
        <v>654</v>
      </c>
      <c r="V766" s="7" t="s">
        <v>654</v>
      </c>
      <c r="W766" s="7" t="s">
        <v>1177</v>
      </c>
      <c r="X766" s="30">
        <v>1</v>
      </c>
      <c r="Y766" s="7" t="s">
        <v>1177</v>
      </c>
      <c r="Z766" s="7" t="s">
        <v>1178</v>
      </c>
      <c r="AA766" s="30">
        <v>0</v>
      </c>
      <c r="AB766" s="36">
        <v>0</v>
      </c>
      <c r="AC766" s="7" t="s">
        <v>1177</v>
      </c>
      <c r="AD766" s="37">
        <v>0</v>
      </c>
      <c r="AE766" s="7" t="s">
        <v>1177</v>
      </c>
      <c r="AF766" s="7" t="s">
        <v>1177</v>
      </c>
      <c r="AG766" s="7" t="s">
        <v>1177</v>
      </c>
      <c r="AH766" s="38"/>
      <c r="AI766" s="36">
        <v>0</v>
      </c>
      <c r="AJ766" s="7" t="s">
        <v>1193</v>
      </c>
      <c r="AK766" s="7" t="s">
        <v>1177</v>
      </c>
      <c r="AL766" s="7" t="s">
        <v>1177</v>
      </c>
      <c r="AM766" s="7" t="s">
        <v>1177</v>
      </c>
      <c r="AN766" s="7" t="s">
        <v>3212</v>
      </c>
      <c r="AO766" s="7" t="s">
        <v>1177</v>
      </c>
      <c r="AP766" s="7" t="s">
        <v>1177</v>
      </c>
      <c r="AQ766" s="7" t="s">
        <v>1177</v>
      </c>
      <c r="AR766" s="29">
        <v>0</v>
      </c>
      <c r="AS766" s="7" t="s">
        <v>1177</v>
      </c>
      <c r="AT766" s="7" t="s">
        <v>1363</v>
      </c>
      <c r="AU766" s="38">
        <v>46275</v>
      </c>
      <c r="AV766" s="39">
        <v>0.60395833333333004</v>
      </c>
    </row>
    <row r="767" spans="1:48" x14ac:dyDescent="0.35">
      <c r="A767" t="str">
        <f t="shared" si="11"/>
        <v>GP124059B857</v>
      </c>
      <c r="B767" s="7" t="s">
        <v>258</v>
      </c>
      <c r="C767" s="7" t="s">
        <v>958</v>
      </c>
      <c r="D767" s="7" t="s">
        <v>23</v>
      </c>
      <c r="E767" s="7" t="s">
        <v>1177</v>
      </c>
      <c r="F767" s="7" t="s">
        <v>134</v>
      </c>
      <c r="G767" s="7" t="s">
        <v>130</v>
      </c>
      <c r="H767" s="7" t="s">
        <v>162</v>
      </c>
      <c r="I767" s="30">
        <v>12</v>
      </c>
      <c r="J767" s="7" t="s">
        <v>1177</v>
      </c>
      <c r="K767" s="7" t="s">
        <v>1178</v>
      </c>
      <c r="L767" s="7" t="s">
        <v>132</v>
      </c>
      <c r="M767" s="7" t="s">
        <v>133</v>
      </c>
      <c r="N767" s="30">
        <v>0</v>
      </c>
      <c r="O767" s="30">
        <v>0</v>
      </c>
      <c r="P767" s="30">
        <v>0</v>
      </c>
      <c r="Q767" s="30">
        <v>0</v>
      </c>
      <c r="R767" s="29">
        <v>0</v>
      </c>
      <c r="S767" s="36">
        <v>0</v>
      </c>
      <c r="T767" s="7" t="s">
        <v>1177</v>
      </c>
      <c r="U767" s="7" t="s">
        <v>959</v>
      </c>
      <c r="V767" s="7" t="s">
        <v>959</v>
      </c>
      <c r="W767" s="7" t="s">
        <v>1177</v>
      </c>
      <c r="X767" s="30">
        <v>12</v>
      </c>
      <c r="Y767" s="7" t="s">
        <v>1177</v>
      </c>
      <c r="Z767" s="7" t="s">
        <v>1178</v>
      </c>
      <c r="AA767" s="30">
        <v>0</v>
      </c>
      <c r="AB767" s="36">
        <v>0</v>
      </c>
      <c r="AC767" s="7" t="s">
        <v>1177</v>
      </c>
      <c r="AD767" s="37">
        <v>0</v>
      </c>
      <c r="AE767" s="7" t="s">
        <v>1177</v>
      </c>
      <c r="AF767" s="7" t="s">
        <v>1177</v>
      </c>
      <c r="AG767" s="7" t="s">
        <v>1177</v>
      </c>
      <c r="AH767" s="38"/>
      <c r="AI767" s="36">
        <v>0</v>
      </c>
      <c r="AJ767" s="7" t="s">
        <v>1193</v>
      </c>
      <c r="AK767" s="7" t="s">
        <v>1177</v>
      </c>
      <c r="AL767" s="7" t="s">
        <v>1177</v>
      </c>
      <c r="AM767" s="7" t="s">
        <v>1177</v>
      </c>
      <c r="AN767" s="7" t="s">
        <v>3212</v>
      </c>
      <c r="AO767" s="7" t="s">
        <v>1177</v>
      </c>
      <c r="AP767" s="7" t="s">
        <v>1177</v>
      </c>
      <c r="AQ767" s="7" t="s">
        <v>1177</v>
      </c>
      <c r="AR767" s="29">
        <v>0</v>
      </c>
      <c r="AS767" s="7" t="s">
        <v>1177</v>
      </c>
      <c r="AT767" s="7" t="s">
        <v>1363</v>
      </c>
      <c r="AU767" s="38">
        <v>46275</v>
      </c>
      <c r="AV767" s="39">
        <v>0.60530092592592999</v>
      </c>
    </row>
    <row r="768" spans="1:48" x14ac:dyDescent="0.35">
      <c r="A768" t="str">
        <f t="shared" si="11"/>
        <v>GP124059B867</v>
      </c>
      <c r="B768" s="7" t="s">
        <v>258</v>
      </c>
      <c r="C768" s="7" t="s">
        <v>1059</v>
      </c>
      <c r="D768" s="7" t="s">
        <v>25</v>
      </c>
      <c r="E768" s="7" t="s">
        <v>1177</v>
      </c>
      <c r="F768" s="7" t="s">
        <v>134</v>
      </c>
      <c r="G768" s="7" t="s">
        <v>130</v>
      </c>
      <c r="H768" s="7" t="s">
        <v>162</v>
      </c>
      <c r="I768" s="30">
        <v>1</v>
      </c>
      <c r="J768" s="7" t="s">
        <v>1177</v>
      </c>
      <c r="K768" s="7" t="s">
        <v>1178</v>
      </c>
      <c r="L768" s="7" t="s">
        <v>132</v>
      </c>
      <c r="M768" s="7" t="s">
        <v>133</v>
      </c>
      <c r="N768" s="30">
        <v>0</v>
      </c>
      <c r="O768" s="30">
        <v>0</v>
      </c>
      <c r="P768" s="30">
        <v>0</v>
      </c>
      <c r="Q768" s="30">
        <v>0</v>
      </c>
      <c r="R768" s="29">
        <v>0</v>
      </c>
      <c r="S768" s="36">
        <v>0</v>
      </c>
      <c r="T768" s="7" t="s">
        <v>1177</v>
      </c>
      <c r="U768" s="7" t="s">
        <v>1060</v>
      </c>
      <c r="V768" s="7" t="s">
        <v>1060</v>
      </c>
      <c r="W768" s="7" t="s">
        <v>1177</v>
      </c>
      <c r="X768" s="30">
        <v>1</v>
      </c>
      <c r="Y768" s="7" t="s">
        <v>1177</v>
      </c>
      <c r="Z768" s="7" t="s">
        <v>1178</v>
      </c>
      <c r="AA768" s="30">
        <v>0</v>
      </c>
      <c r="AB768" s="36">
        <v>0</v>
      </c>
      <c r="AC768" s="7" t="s">
        <v>1177</v>
      </c>
      <c r="AD768" s="37">
        <v>0</v>
      </c>
      <c r="AE768" s="7" t="s">
        <v>1177</v>
      </c>
      <c r="AF768" s="7" t="s">
        <v>1177</v>
      </c>
      <c r="AG768" s="7" t="s">
        <v>1177</v>
      </c>
      <c r="AH768" s="38"/>
      <c r="AI768" s="36">
        <v>0</v>
      </c>
      <c r="AJ768" s="7" t="s">
        <v>1193</v>
      </c>
      <c r="AK768" s="7" t="s">
        <v>1177</v>
      </c>
      <c r="AL768" s="7" t="s">
        <v>1177</v>
      </c>
      <c r="AM768" s="7" t="s">
        <v>1177</v>
      </c>
      <c r="AN768" s="7" t="s">
        <v>3212</v>
      </c>
      <c r="AO768" s="7" t="s">
        <v>1177</v>
      </c>
      <c r="AP768" s="7" t="s">
        <v>1177</v>
      </c>
      <c r="AQ768" s="7" t="s">
        <v>1177</v>
      </c>
      <c r="AR768" s="29">
        <v>0</v>
      </c>
      <c r="AS768" s="7" t="s">
        <v>1177</v>
      </c>
      <c r="AT768" s="7" t="s">
        <v>1363</v>
      </c>
      <c r="AU768" s="38">
        <v>46275</v>
      </c>
      <c r="AV768" s="39">
        <v>0.60565972222221998</v>
      </c>
    </row>
    <row r="769" spans="1:48" x14ac:dyDescent="0.35">
      <c r="A769" t="str">
        <f t="shared" si="11"/>
        <v>GP124403B856</v>
      </c>
      <c r="B769" s="7" t="s">
        <v>56</v>
      </c>
      <c r="C769" s="7" t="s">
        <v>852</v>
      </c>
      <c r="D769" s="7" t="s">
        <v>21</v>
      </c>
      <c r="E769" s="7" t="s">
        <v>1177</v>
      </c>
      <c r="F769" s="7" t="s">
        <v>128</v>
      </c>
      <c r="G769" s="7" t="s">
        <v>130</v>
      </c>
      <c r="H769" s="7" t="s">
        <v>129</v>
      </c>
      <c r="I769" s="30">
        <v>2</v>
      </c>
      <c r="J769" s="7" t="s">
        <v>1177</v>
      </c>
      <c r="K769" s="7" t="s">
        <v>1178</v>
      </c>
      <c r="L769" s="7" t="s">
        <v>132</v>
      </c>
      <c r="M769" s="7" t="s">
        <v>133</v>
      </c>
      <c r="N769" s="30">
        <v>0</v>
      </c>
      <c r="O769" s="30">
        <v>0</v>
      </c>
      <c r="P769" s="30">
        <v>0</v>
      </c>
      <c r="Q769" s="30">
        <v>0</v>
      </c>
      <c r="R769" s="29">
        <v>0</v>
      </c>
      <c r="S769" s="36">
        <v>0</v>
      </c>
      <c r="T769" s="7" t="s">
        <v>131</v>
      </c>
      <c r="U769" s="7" t="s">
        <v>853</v>
      </c>
      <c r="V769" s="7" t="s">
        <v>853</v>
      </c>
      <c r="W769" s="7" t="s">
        <v>1177</v>
      </c>
      <c r="X769" s="30">
        <v>1</v>
      </c>
      <c r="Y769" s="7" t="s">
        <v>1177</v>
      </c>
      <c r="Z769" s="7" t="s">
        <v>1178</v>
      </c>
      <c r="AA769" s="30">
        <v>0</v>
      </c>
      <c r="AB769" s="36">
        <v>0</v>
      </c>
      <c r="AC769" s="7" t="s">
        <v>1177</v>
      </c>
      <c r="AD769" s="37">
        <v>0</v>
      </c>
      <c r="AE769" s="7" t="s">
        <v>1177</v>
      </c>
      <c r="AF769" s="7" t="s">
        <v>1177</v>
      </c>
      <c r="AG769" s="7" t="s">
        <v>1177</v>
      </c>
      <c r="AH769" s="38"/>
      <c r="AI769" s="36">
        <v>0</v>
      </c>
      <c r="AJ769" s="7" t="s">
        <v>1193</v>
      </c>
      <c r="AK769" s="7" t="s">
        <v>1177</v>
      </c>
      <c r="AL769" s="7" t="s">
        <v>1177</v>
      </c>
      <c r="AM769" s="7" t="s">
        <v>1177</v>
      </c>
      <c r="AN769" s="7" t="s">
        <v>3212</v>
      </c>
      <c r="AO769" s="7" t="s">
        <v>1177</v>
      </c>
      <c r="AP769" s="7" t="s">
        <v>1177</v>
      </c>
      <c r="AQ769" s="7" t="s">
        <v>1177</v>
      </c>
      <c r="AR769" s="29">
        <v>0</v>
      </c>
      <c r="AS769" s="7" t="s">
        <v>1177</v>
      </c>
      <c r="AT769" s="7" t="s">
        <v>1363</v>
      </c>
      <c r="AU769" s="38">
        <v>46275</v>
      </c>
      <c r="AV769" s="39">
        <v>0.62486111111110998</v>
      </c>
    </row>
    <row r="770" spans="1:48" x14ac:dyDescent="0.35">
      <c r="A770" t="str">
        <f t="shared" si="11"/>
        <v>GP124403B864</v>
      </c>
      <c r="B770" s="7" t="s">
        <v>56</v>
      </c>
      <c r="C770" s="7" t="s">
        <v>1010</v>
      </c>
      <c r="D770" s="7" t="s">
        <v>10</v>
      </c>
      <c r="E770" s="7" t="s">
        <v>1177</v>
      </c>
      <c r="F770" s="7" t="s">
        <v>128</v>
      </c>
      <c r="G770" s="7" t="s">
        <v>130</v>
      </c>
      <c r="H770" s="7" t="s">
        <v>129</v>
      </c>
      <c r="I770" s="30">
        <v>2</v>
      </c>
      <c r="J770" s="7" t="s">
        <v>1177</v>
      </c>
      <c r="K770" s="7" t="s">
        <v>1178</v>
      </c>
      <c r="L770" s="7" t="s">
        <v>132</v>
      </c>
      <c r="M770" s="7" t="s">
        <v>133</v>
      </c>
      <c r="N770" s="30">
        <v>0</v>
      </c>
      <c r="O770" s="30">
        <v>0</v>
      </c>
      <c r="P770" s="30">
        <v>0</v>
      </c>
      <c r="Q770" s="30">
        <v>0</v>
      </c>
      <c r="R770" s="29">
        <v>0</v>
      </c>
      <c r="S770" s="36">
        <v>0</v>
      </c>
      <c r="T770" s="7" t="s">
        <v>131</v>
      </c>
      <c r="U770" s="7" t="s">
        <v>1011</v>
      </c>
      <c r="V770" s="7" t="s">
        <v>1011</v>
      </c>
      <c r="W770" s="7" t="s">
        <v>1177</v>
      </c>
      <c r="X770" s="30">
        <v>1</v>
      </c>
      <c r="Y770" s="7" t="s">
        <v>1177</v>
      </c>
      <c r="Z770" s="7" t="s">
        <v>1178</v>
      </c>
      <c r="AA770" s="30">
        <v>0</v>
      </c>
      <c r="AB770" s="36">
        <v>0</v>
      </c>
      <c r="AC770" s="7" t="s">
        <v>1177</v>
      </c>
      <c r="AD770" s="37">
        <v>0</v>
      </c>
      <c r="AE770" s="7" t="s">
        <v>1177</v>
      </c>
      <c r="AF770" s="7" t="s">
        <v>1177</v>
      </c>
      <c r="AG770" s="7" t="s">
        <v>1177</v>
      </c>
      <c r="AH770" s="38"/>
      <c r="AI770" s="36">
        <v>0</v>
      </c>
      <c r="AJ770" s="7" t="s">
        <v>1193</v>
      </c>
      <c r="AK770" s="7" t="s">
        <v>1177</v>
      </c>
      <c r="AL770" s="7" t="s">
        <v>1177</v>
      </c>
      <c r="AM770" s="7" t="s">
        <v>1177</v>
      </c>
      <c r="AN770" s="7" t="s">
        <v>3212</v>
      </c>
      <c r="AO770" s="7" t="s">
        <v>1177</v>
      </c>
      <c r="AP770" s="7" t="s">
        <v>1177</v>
      </c>
      <c r="AQ770" s="7" t="s">
        <v>1177</v>
      </c>
      <c r="AR770" s="29">
        <v>0</v>
      </c>
      <c r="AS770" s="7" t="s">
        <v>1177</v>
      </c>
      <c r="AT770" s="7" t="s">
        <v>1363</v>
      </c>
      <c r="AU770" s="38">
        <v>46275</v>
      </c>
      <c r="AV770" s="39">
        <v>0.62646990740741004</v>
      </c>
    </row>
    <row r="771" spans="1:48" x14ac:dyDescent="0.35">
      <c r="A771" t="str">
        <f t="shared" ref="A771:A834" si="12">_xlfn.CONCAT(B771,D771)</f>
        <v>GP124403B865</v>
      </c>
      <c r="B771" s="7" t="s">
        <v>56</v>
      </c>
      <c r="C771" s="7" t="s">
        <v>1039</v>
      </c>
      <c r="D771" s="7" t="s">
        <v>7</v>
      </c>
      <c r="E771" s="7" t="s">
        <v>1177</v>
      </c>
      <c r="F771" s="7" t="s">
        <v>128</v>
      </c>
      <c r="G771" s="7" t="s">
        <v>130</v>
      </c>
      <c r="H771" s="7" t="s">
        <v>129</v>
      </c>
      <c r="I771" s="30">
        <v>2</v>
      </c>
      <c r="J771" s="7" t="s">
        <v>1177</v>
      </c>
      <c r="K771" s="7" t="s">
        <v>1178</v>
      </c>
      <c r="L771" s="7" t="s">
        <v>132</v>
      </c>
      <c r="M771" s="7" t="s">
        <v>133</v>
      </c>
      <c r="N771" s="30">
        <v>0</v>
      </c>
      <c r="O771" s="30">
        <v>0</v>
      </c>
      <c r="P771" s="30">
        <v>0</v>
      </c>
      <c r="Q771" s="30">
        <v>0</v>
      </c>
      <c r="R771" s="29">
        <v>0</v>
      </c>
      <c r="S771" s="36">
        <v>0</v>
      </c>
      <c r="T771" s="7" t="s">
        <v>131</v>
      </c>
      <c r="U771" s="7" t="s">
        <v>1040</v>
      </c>
      <c r="V771" s="7" t="s">
        <v>1040</v>
      </c>
      <c r="W771" s="7" t="s">
        <v>1177</v>
      </c>
      <c r="X771" s="30">
        <v>1</v>
      </c>
      <c r="Y771" s="7" t="s">
        <v>1177</v>
      </c>
      <c r="Z771" s="7" t="s">
        <v>1178</v>
      </c>
      <c r="AA771" s="30">
        <v>0</v>
      </c>
      <c r="AB771" s="36">
        <v>0</v>
      </c>
      <c r="AC771" s="7" t="s">
        <v>1177</v>
      </c>
      <c r="AD771" s="37">
        <v>0</v>
      </c>
      <c r="AE771" s="7" t="s">
        <v>1177</v>
      </c>
      <c r="AF771" s="7" t="s">
        <v>1177</v>
      </c>
      <c r="AG771" s="7" t="s">
        <v>1177</v>
      </c>
      <c r="AH771" s="38"/>
      <c r="AI771" s="36">
        <v>0</v>
      </c>
      <c r="AJ771" s="7" t="s">
        <v>1193</v>
      </c>
      <c r="AK771" s="7" t="s">
        <v>1177</v>
      </c>
      <c r="AL771" s="7" t="s">
        <v>1177</v>
      </c>
      <c r="AM771" s="7" t="s">
        <v>1177</v>
      </c>
      <c r="AN771" s="7" t="s">
        <v>3212</v>
      </c>
      <c r="AO771" s="7" t="s">
        <v>1177</v>
      </c>
      <c r="AP771" s="7" t="s">
        <v>1177</v>
      </c>
      <c r="AQ771" s="7" t="s">
        <v>1177</v>
      </c>
      <c r="AR771" s="29">
        <v>0</v>
      </c>
      <c r="AS771" s="7" t="s">
        <v>1177</v>
      </c>
      <c r="AT771" s="7" t="s">
        <v>1363</v>
      </c>
      <c r="AU771" s="38">
        <v>46275</v>
      </c>
      <c r="AV771" s="39">
        <v>0.62665509259259</v>
      </c>
    </row>
    <row r="772" spans="1:48" x14ac:dyDescent="0.35">
      <c r="A772" t="str">
        <f t="shared" si="12"/>
        <v>GP124403B867</v>
      </c>
      <c r="B772" s="7" t="s">
        <v>56</v>
      </c>
      <c r="C772" s="7" t="s">
        <v>1059</v>
      </c>
      <c r="D772" s="7" t="s">
        <v>25</v>
      </c>
      <c r="E772" s="7" t="s">
        <v>1177</v>
      </c>
      <c r="F772" s="7" t="s">
        <v>128</v>
      </c>
      <c r="G772" s="7" t="s">
        <v>130</v>
      </c>
      <c r="H772" s="7" t="s">
        <v>129</v>
      </c>
      <c r="I772" s="30">
        <v>2</v>
      </c>
      <c r="J772" s="7" t="s">
        <v>1177</v>
      </c>
      <c r="K772" s="7" t="s">
        <v>1178</v>
      </c>
      <c r="L772" s="7" t="s">
        <v>132</v>
      </c>
      <c r="M772" s="7" t="s">
        <v>133</v>
      </c>
      <c r="N772" s="30">
        <v>0</v>
      </c>
      <c r="O772" s="30">
        <v>0</v>
      </c>
      <c r="P772" s="30">
        <v>0</v>
      </c>
      <c r="Q772" s="30">
        <v>0</v>
      </c>
      <c r="R772" s="29">
        <v>0</v>
      </c>
      <c r="S772" s="36">
        <v>0</v>
      </c>
      <c r="T772" s="7" t="s">
        <v>131</v>
      </c>
      <c r="U772" s="7" t="s">
        <v>1060</v>
      </c>
      <c r="V772" s="7" t="s">
        <v>1060</v>
      </c>
      <c r="W772" s="7" t="s">
        <v>1177</v>
      </c>
      <c r="X772" s="30">
        <v>1</v>
      </c>
      <c r="Y772" s="7" t="s">
        <v>1177</v>
      </c>
      <c r="Z772" s="7" t="s">
        <v>1178</v>
      </c>
      <c r="AA772" s="30">
        <v>0</v>
      </c>
      <c r="AB772" s="36">
        <v>0</v>
      </c>
      <c r="AC772" s="7" t="s">
        <v>1177</v>
      </c>
      <c r="AD772" s="37">
        <v>0</v>
      </c>
      <c r="AE772" s="7" t="s">
        <v>1177</v>
      </c>
      <c r="AF772" s="7" t="s">
        <v>1177</v>
      </c>
      <c r="AG772" s="7" t="s">
        <v>1177</v>
      </c>
      <c r="AH772" s="38"/>
      <c r="AI772" s="36">
        <v>0</v>
      </c>
      <c r="AJ772" s="7" t="s">
        <v>1193</v>
      </c>
      <c r="AK772" s="7" t="s">
        <v>1177</v>
      </c>
      <c r="AL772" s="7" t="s">
        <v>1177</v>
      </c>
      <c r="AM772" s="7" t="s">
        <v>1177</v>
      </c>
      <c r="AN772" s="7" t="s">
        <v>3212</v>
      </c>
      <c r="AO772" s="7" t="s">
        <v>1177</v>
      </c>
      <c r="AP772" s="7" t="s">
        <v>1177</v>
      </c>
      <c r="AQ772" s="7" t="s">
        <v>1177</v>
      </c>
      <c r="AR772" s="29">
        <v>0</v>
      </c>
      <c r="AS772" s="7" t="s">
        <v>1177</v>
      </c>
      <c r="AT772" s="7" t="s">
        <v>1363</v>
      </c>
      <c r="AU772" s="38">
        <v>46275</v>
      </c>
      <c r="AV772" s="39">
        <v>0.62738425925926</v>
      </c>
    </row>
    <row r="773" spans="1:48" x14ac:dyDescent="0.35">
      <c r="A773" t="str">
        <f t="shared" si="12"/>
        <v>GP127788B833</v>
      </c>
      <c r="B773" s="7" t="s">
        <v>704</v>
      </c>
      <c r="C773" s="7" t="s">
        <v>698</v>
      </c>
      <c r="D773" s="7" t="s">
        <v>697</v>
      </c>
      <c r="E773" s="7" t="s">
        <v>1177</v>
      </c>
      <c r="F773" s="7" t="s">
        <v>128</v>
      </c>
      <c r="G773" s="7" t="s">
        <v>130</v>
      </c>
      <c r="H773" s="7" t="s">
        <v>129</v>
      </c>
      <c r="I773" s="30">
        <v>3</v>
      </c>
      <c r="J773" s="7" t="s">
        <v>1177</v>
      </c>
      <c r="K773" s="7" t="s">
        <v>1178</v>
      </c>
      <c r="L773" s="7" t="s">
        <v>132</v>
      </c>
      <c r="M773" s="7" t="s">
        <v>133</v>
      </c>
      <c r="N773" s="30">
        <v>0</v>
      </c>
      <c r="O773" s="30">
        <v>0</v>
      </c>
      <c r="P773" s="30">
        <v>0</v>
      </c>
      <c r="Q773" s="30">
        <v>0</v>
      </c>
      <c r="R773" s="29">
        <v>0</v>
      </c>
      <c r="S773" s="36">
        <v>0</v>
      </c>
      <c r="T773" s="7" t="s">
        <v>131</v>
      </c>
      <c r="U773" s="7" t="s">
        <v>699</v>
      </c>
      <c r="V773" s="7" t="s">
        <v>699</v>
      </c>
      <c r="W773" s="7" t="s">
        <v>1177</v>
      </c>
      <c r="X773" s="30">
        <v>1</v>
      </c>
      <c r="Y773" s="7" t="s">
        <v>1177</v>
      </c>
      <c r="Z773" s="7" t="s">
        <v>1178</v>
      </c>
      <c r="AA773" s="30">
        <v>0</v>
      </c>
      <c r="AB773" s="36">
        <v>0</v>
      </c>
      <c r="AC773" s="7" t="s">
        <v>1177</v>
      </c>
      <c r="AD773" s="37">
        <v>0</v>
      </c>
      <c r="AE773" s="7" t="s">
        <v>1177</v>
      </c>
      <c r="AF773" s="7" t="s">
        <v>1177</v>
      </c>
      <c r="AG773" s="7" t="s">
        <v>1177</v>
      </c>
      <c r="AH773" s="38"/>
      <c r="AI773" s="36">
        <v>0</v>
      </c>
      <c r="AJ773" s="7" t="s">
        <v>1193</v>
      </c>
      <c r="AK773" s="7" t="s">
        <v>1177</v>
      </c>
      <c r="AL773" s="7" t="s">
        <v>1177</v>
      </c>
      <c r="AM773" s="7" t="s">
        <v>1177</v>
      </c>
      <c r="AN773" s="7" t="s">
        <v>3212</v>
      </c>
      <c r="AO773" s="7" t="s">
        <v>1177</v>
      </c>
      <c r="AP773" s="7" t="s">
        <v>1177</v>
      </c>
      <c r="AQ773" s="7" t="s">
        <v>1177</v>
      </c>
      <c r="AR773" s="29">
        <v>0</v>
      </c>
      <c r="AS773" s="7" t="s">
        <v>1177</v>
      </c>
      <c r="AT773" s="7" t="s">
        <v>1363</v>
      </c>
      <c r="AU773" s="38">
        <v>46275</v>
      </c>
      <c r="AV773" s="39">
        <v>0.62347222222221998</v>
      </c>
    </row>
    <row r="774" spans="1:48" x14ac:dyDescent="0.35">
      <c r="A774" t="str">
        <f t="shared" si="12"/>
        <v>GP127833B865</v>
      </c>
      <c r="B774" s="7" t="s">
        <v>1043</v>
      </c>
      <c r="C774" s="7" t="s">
        <v>1039</v>
      </c>
      <c r="D774" s="7" t="s">
        <v>7</v>
      </c>
      <c r="E774" s="7" t="s">
        <v>1177</v>
      </c>
      <c r="F774" s="7" t="s">
        <v>128</v>
      </c>
      <c r="G774" s="7" t="s">
        <v>130</v>
      </c>
      <c r="H774" s="7" t="s">
        <v>129</v>
      </c>
      <c r="I774" s="30">
        <v>2</v>
      </c>
      <c r="J774" s="7" t="s">
        <v>1177</v>
      </c>
      <c r="K774" s="7" t="s">
        <v>1178</v>
      </c>
      <c r="L774" s="7" t="s">
        <v>132</v>
      </c>
      <c r="M774" s="7" t="s">
        <v>133</v>
      </c>
      <c r="N774" s="30">
        <v>0</v>
      </c>
      <c r="O774" s="30">
        <v>0</v>
      </c>
      <c r="P774" s="30">
        <v>0</v>
      </c>
      <c r="Q774" s="30">
        <v>0</v>
      </c>
      <c r="R774" s="29">
        <v>0</v>
      </c>
      <c r="S774" s="36">
        <v>0</v>
      </c>
      <c r="T774" s="7" t="s">
        <v>131</v>
      </c>
      <c r="U774" s="7" t="s">
        <v>1040</v>
      </c>
      <c r="V774" s="7" t="s">
        <v>1040</v>
      </c>
      <c r="W774" s="7" t="s">
        <v>1177</v>
      </c>
      <c r="X774" s="30">
        <v>1</v>
      </c>
      <c r="Y774" s="7" t="s">
        <v>1177</v>
      </c>
      <c r="Z774" s="7" t="s">
        <v>1178</v>
      </c>
      <c r="AA774" s="30">
        <v>0</v>
      </c>
      <c r="AB774" s="36">
        <v>0</v>
      </c>
      <c r="AC774" s="7" t="s">
        <v>1177</v>
      </c>
      <c r="AD774" s="37">
        <v>0</v>
      </c>
      <c r="AE774" s="7" t="s">
        <v>1177</v>
      </c>
      <c r="AF774" s="7" t="s">
        <v>1177</v>
      </c>
      <c r="AG774" s="7" t="s">
        <v>1177</v>
      </c>
      <c r="AH774" s="38"/>
      <c r="AI774" s="36">
        <v>0</v>
      </c>
      <c r="AJ774" s="7" t="s">
        <v>1193</v>
      </c>
      <c r="AK774" s="7" t="s">
        <v>1177</v>
      </c>
      <c r="AL774" s="7" t="s">
        <v>1177</v>
      </c>
      <c r="AM774" s="7" t="s">
        <v>1177</v>
      </c>
      <c r="AN774" s="7" t="s">
        <v>3212</v>
      </c>
      <c r="AO774" s="7" t="s">
        <v>1177</v>
      </c>
      <c r="AP774" s="7" t="s">
        <v>1177</v>
      </c>
      <c r="AQ774" s="7" t="s">
        <v>1177</v>
      </c>
      <c r="AR774" s="29">
        <v>0</v>
      </c>
      <c r="AS774" s="7" t="s">
        <v>1177</v>
      </c>
      <c r="AT774" s="7" t="s">
        <v>1363</v>
      </c>
      <c r="AU774" s="38">
        <v>46275</v>
      </c>
      <c r="AV774" s="39">
        <v>0.62665509259259</v>
      </c>
    </row>
    <row r="775" spans="1:48" x14ac:dyDescent="0.35">
      <c r="A775" t="str">
        <f t="shared" si="12"/>
        <v>GP127960B825</v>
      </c>
      <c r="B775" s="7" t="s">
        <v>60</v>
      </c>
      <c r="C775" s="7" t="s">
        <v>511</v>
      </c>
      <c r="D775" s="7" t="s">
        <v>16</v>
      </c>
      <c r="E775" s="7" t="s">
        <v>1177</v>
      </c>
      <c r="F775" s="7" t="s">
        <v>128</v>
      </c>
      <c r="G775" s="7" t="s">
        <v>130</v>
      </c>
      <c r="H775" s="7" t="s">
        <v>129</v>
      </c>
      <c r="I775" s="30">
        <v>3</v>
      </c>
      <c r="J775" s="7" t="s">
        <v>1177</v>
      </c>
      <c r="K775" s="7" t="s">
        <v>1178</v>
      </c>
      <c r="L775" s="7" t="s">
        <v>132</v>
      </c>
      <c r="M775" s="7" t="s">
        <v>133</v>
      </c>
      <c r="N775" s="30">
        <v>0</v>
      </c>
      <c r="O775" s="30">
        <v>0</v>
      </c>
      <c r="P775" s="30">
        <v>0</v>
      </c>
      <c r="Q775" s="30">
        <v>0</v>
      </c>
      <c r="R775" s="29">
        <v>0</v>
      </c>
      <c r="S775" s="36">
        <v>0</v>
      </c>
      <c r="T775" s="7" t="s">
        <v>131</v>
      </c>
      <c r="U775" s="7" t="s">
        <v>512</v>
      </c>
      <c r="V775" s="7" t="s">
        <v>512</v>
      </c>
      <c r="W775" s="7" t="s">
        <v>1177</v>
      </c>
      <c r="X775" s="30">
        <v>1</v>
      </c>
      <c r="Y775" s="7" t="s">
        <v>1177</v>
      </c>
      <c r="Z775" s="7" t="s">
        <v>1178</v>
      </c>
      <c r="AA775" s="30">
        <v>0</v>
      </c>
      <c r="AB775" s="36">
        <v>0</v>
      </c>
      <c r="AC775" s="7" t="s">
        <v>1177</v>
      </c>
      <c r="AD775" s="37">
        <v>0</v>
      </c>
      <c r="AE775" s="7" t="s">
        <v>1177</v>
      </c>
      <c r="AF775" s="7" t="s">
        <v>1177</v>
      </c>
      <c r="AG775" s="7" t="s">
        <v>1177</v>
      </c>
      <c r="AH775" s="38"/>
      <c r="AI775" s="36">
        <v>0</v>
      </c>
      <c r="AJ775" s="7" t="s">
        <v>1193</v>
      </c>
      <c r="AK775" s="7" t="s">
        <v>1177</v>
      </c>
      <c r="AL775" s="7" t="s">
        <v>1177</v>
      </c>
      <c r="AM775" s="7" t="s">
        <v>1177</v>
      </c>
      <c r="AN775" s="7" t="s">
        <v>3212</v>
      </c>
      <c r="AO775" s="7" t="s">
        <v>1177</v>
      </c>
      <c r="AP775" s="7" t="s">
        <v>1177</v>
      </c>
      <c r="AQ775" s="7" t="s">
        <v>1177</v>
      </c>
      <c r="AR775" s="29">
        <v>0</v>
      </c>
      <c r="AS775" s="7" t="s">
        <v>1177</v>
      </c>
      <c r="AT775" s="7" t="s">
        <v>1363</v>
      </c>
      <c r="AU775" s="38">
        <v>46275</v>
      </c>
      <c r="AV775" s="39">
        <v>0.60349537037037004</v>
      </c>
    </row>
    <row r="776" spans="1:48" x14ac:dyDescent="0.35">
      <c r="A776" t="str">
        <f t="shared" si="12"/>
        <v>GP127960B832</v>
      </c>
      <c r="B776" s="7" t="s">
        <v>60</v>
      </c>
      <c r="C776" s="7" t="s">
        <v>653</v>
      </c>
      <c r="D776" s="7" t="s">
        <v>19</v>
      </c>
      <c r="E776" s="7" t="s">
        <v>1177</v>
      </c>
      <c r="F776" s="7" t="s">
        <v>128</v>
      </c>
      <c r="G776" s="7" t="s">
        <v>130</v>
      </c>
      <c r="H776" s="7" t="s">
        <v>129</v>
      </c>
      <c r="I776" s="30">
        <v>4</v>
      </c>
      <c r="J776" s="7" t="s">
        <v>1177</v>
      </c>
      <c r="K776" s="7" t="s">
        <v>1178</v>
      </c>
      <c r="L776" s="7" t="s">
        <v>132</v>
      </c>
      <c r="M776" s="7" t="s">
        <v>133</v>
      </c>
      <c r="N776" s="30">
        <v>0</v>
      </c>
      <c r="O776" s="30">
        <v>0</v>
      </c>
      <c r="P776" s="30">
        <v>0</v>
      </c>
      <c r="Q776" s="30">
        <v>0</v>
      </c>
      <c r="R776" s="29">
        <v>0</v>
      </c>
      <c r="S776" s="36">
        <v>0</v>
      </c>
      <c r="T776" s="7" t="s">
        <v>131</v>
      </c>
      <c r="U776" s="7" t="s">
        <v>654</v>
      </c>
      <c r="V776" s="7" t="s">
        <v>654</v>
      </c>
      <c r="W776" s="7" t="s">
        <v>1177</v>
      </c>
      <c r="X776" s="30">
        <v>1</v>
      </c>
      <c r="Y776" s="7" t="s">
        <v>1177</v>
      </c>
      <c r="Z776" s="7" t="s">
        <v>1178</v>
      </c>
      <c r="AA776" s="30">
        <v>0</v>
      </c>
      <c r="AB776" s="36">
        <v>0</v>
      </c>
      <c r="AC776" s="7" t="s">
        <v>1177</v>
      </c>
      <c r="AD776" s="37">
        <v>0</v>
      </c>
      <c r="AE776" s="7" t="s">
        <v>1177</v>
      </c>
      <c r="AF776" s="7" t="s">
        <v>1177</v>
      </c>
      <c r="AG776" s="7" t="s">
        <v>1177</v>
      </c>
      <c r="AH776" s="38"/>
      <c r="AI776" s="36">
        <v>0</v>
      </c>
      <c r="AJ776" s="7" t="s">
        <v>1193</v>
      </c>
      <c r="AK776" s="7" t="s">
        <v>1177</v>
      </c>
      <c r="AL776" s="7" t="s">
        <v>1177</v>
      </c>
      <c r="AM776" s="7" t="s">
        <v>1177</v>
      </c>
      <c r="AN776" s="7" t="s">
        <v>3212</v>
      </c>
      <c r="AO776" s="7" t="s">
        <v>1177</v>
      </c>
      <c r="AP776" s="7" t="s">
        <v>1177</v>
      </c>
      <c r="AQ776" s="7" t="s">
        <v>1177</v>
      </c>
      <c r="AR776" s="29">
        <v>0</v>
      </c>
      <c r="AS776" s="7" t="s">
        <v>1177</v>
      </c>
      <c r="AT776" s="7" t="s">
        <v>1363</v>
      </c>
      <c r="AU776" s="38">
        <v>46275</v>
      </c>
      <c r="AV776" s="39">
        <v>0.60394675925926</v>
      </c>
    </row>
    <row r="777" spans="1:48" x14ac:dyDescent="0.35">
      <c r="A777" t="str">
        <f t="shared" si="12"/>
        <v>GP127960B833</v>
      </c>
      <c r="B777" s="7" t="s">
        <v>60</v>
      </c>
      <c r="C777" s="7" t="s">
        <v>698</v>
      </c>
      <c r="D777" s="7" t="s">
        <v>697</v>
      </c>
      <c r="E777" s="7" t="s">
        <v>1177</v>
      </c>
      <c r="F777" s="7" t="s">
        <v>128</v>
      </c>
      <c r="G777" s="7" t="s">
        <v>130</v>
      </c>
      <c r="H777" s="7" t="s">
        <v>129</v>
      </c>
      <c r="I777" s="30">
        <v>2</v>
      </c>
      <c r="J777" s="7" t="s">
        <v>1177</v>
      </c>
      <c r="K777" s="7" t="s">
        <v>1178</v>
      </c>
      <c r="L777" s="7" t="s">
        <v>132</v>
      </c>
      <c r="M777" s="7" t="s">
        <v>133</v>
      </c>
      <c r="N777" s="30">
        <v>0</v>
      </c>
      <c r="O777" s="30">
        <v>0</v>
      </c>
      <c r="P777" s="30">
        <v>0</v>
      </c>
      <c r="Q777" s="30">
        <v>0</v>
      </c>
      <c r="R777" s="29">
        <v>0</v>
      </c>
      <c r="S777" s="36">
        <v>0</v>
      </c>
      <c r="T777" s="7" t="s">
        <v>131</v>
      </c>
      <c r="U777" s="7" t="s">
        <v>699</v>
      </c>
      <c r="V777" s="7" t="s">
        <v>699</v>
      </c>
      <c r="W777" s="7" t="s">
        <v>1177</v>
      </c>
      <c r="X777" s="30">
        <v>1</v>
      </c>
      <c r="Y777" s="7" t="s">
        <v>1177</v>
      </c>
      <c r="Z777" s="7" t="s">
        <v>1178</v>
      </c>
      <c r="AA777" s="30">
        <v>0</v>
      </c>
      <c r="AB777" s="36">
        <v>0</v>
      </c>
      <c r="AC777" s="7" t="s">
        <v>1177</v>
      </c>
      <c r="AD777" s="37">
        <v>0</v>
      </c>
      <c r="AE777" s="7" t="s">
        <v>1177</v>
      </c>
      <c r="AF777" s="7" t="s">
        <v>1177</v>
      </c>
      <c r="AG777" s="7" t="s">
        <v>1177</v>
      </c>
      <c r="AH777" s="38"/>
      <c r="AI777" s="36">
        <v>0</v>
      </c>
      <c r="AJ777" s="7" t="s">
        <v>1193</v>
      </c>
      <c r="AK777" s="7" t="s">
        <v>1177</v>
      </c>
      <c r="AL777" s="7" t="s">
        <v>1177</v>
      </c>
      <c r="AM777" s="7" t="s">
        <v>1177</v>
      </c>
      <c r="AN777" s="7" t="s">
        <v>3212</v>
      </c>
      <c r="AO777" s="7" t="s">
        <v>1177</v>
      </c>
      <c r="AP777" s="7" t="s">
        <v>1177</v>
      </c>
      <c r="AQ777" s="7" t="s">
        <v>1177</v>
      </c>
      <c r="AR777" s="29">
        <v>0</v>
      </c>
      <c r="AS777" s="7" t="s">
        <v>1177</v>
      </c>
      <c r="AT777" s="7" t="s">
        <v>1363</v>
      </c>
      <c r="AU777" s="38">
        <v>46275</v>
      </c>
      <c r="AV777" s="39">
        <v>0.60398148148148001</v>
      </c>
    </row>
    <row r="778" spans="1:48" x14ac:dyDescent="0.35">
      <c r="A778" t="str">
        <f t="shared" si="12"/>
        <v>GP127960B838</v>
      </c>
      <c r="B778" s="7" t="s">
        <v>60</v>
      </c>
      <c r="C778" s="7" t="s">
        <v>744</v>
      </c>
      <c r="D778" s="7" t="s">
        <v>48</v>
      </c>
      <c r="E778" s="7" t="s">
        <v>1177</v>
      </c>
      <c r="F778" s="7" t="s">
        <v>128</v>
      </c>
      <c r="G778" s="7" t="s">
        <v>130</v>
      </c>
      <c r="H778" s="7" t="s">
        <v>129</v>
      </c>
      <c r="I778" s="30">
        <v>2</v>
      </c>
      <c r="J778" s="7" t="s">
        <v>1177</v>
      </c>
      <c r="K778" s="7" t="s">
        <v>1178</v>
      </c>
      <c r="L778" s="7" t="s">
        <v>132</v>
      </c>
      <c r="M778" s="7" t="s">
        <v>133</v>
      </c>
      <c r="N778" s="30">
        <v>0</v>
      </c>
      <c r="O778" s="30">
        <v>0</v>
      </c>
      <c r="P778" s="30">
        <v>0</v>
      </c>
      <c r="Q778" s="30">
        <v>0</v>
      </c>
      <c r="R778" s="29">
        <v>0</v>
      </c>
      <c r="S778" s="36">
        <v>0</v>
      </c>
      <c r="T778" s="7" t="s">
        <v>131</v>
      </c>
      <c r="U778" s="7" t="s">
        <v>745</v>
      </c>
      <c r="V778" s="7" t="s">
        <v>745</v>
      </c>
      <c r="W778" s="7" t="s">
        <v>1177</v>
      </c>
      <c r="X778" s="30">
        <v>1</v>
      </c>
      <c r="Y778" s="7" t="s">
        <v>1177</v>
      </c>
      <c r="Z778" s="7" t="s">
        <v>1178</v>
      </c>
      <c r="AA778" s="30">
        <v>0</v>
      </c>
      <c r="AB778" s="36">
        <v>0</v>
      </c>
      <c r="AC778" s="7" t="s">
        <v>1177</v>
      </c>
      <c r="AD778" s="37">
        <v>0</v>
      </c>
      <c r="AE778" s="7" t="s">
        <v>1177</v>
      </c>
      <c r="AF778" s="7" t="s">
        <v>1177</v>
      </c>
      <c r="AG778" s="7" t="s">
        <v>1177</v>
      </c>
      <c r="AH778" s="38"/>
      <c r="AI778" s="36">
        <v>0</v>
      </c>
      <c r="AJ778" s="7" t="s">
        <v>1193</v>
      </c>
      <c r="AK778" s="7" t="s">
        <v>1177</v>
      </c>
      <c r="AL778" s="7" t="s">
        <v>1177</v>
      </c>
      <c r="AM778" s="7" t="s">
        <v>1177</v>
      </c>
      <c r="AN778" s="7" t="s">
        <v>3212</v>
      </c>
      <c r="AO778" s="7" t="s">
        <v>1177</v>
      </c>
      <c r="AP778" s="7" t="s">
        <v>1177</v>
      </c>
      <c r="AQ778" s="7" t="s">
        <v>1177</v>
      </c>
      <c r="AR778" s="29">
        <v>0</v>
      </c>
      <c r="AS778" s="7" t="s">
        <v>1177</v>
      </c>
      <c r="AT778" s="7" t="s">
        <v>1363</v>
      </c>
      <c r="AU778" s="38">
        <v>46275</v>
      </c>
      <c r="AV778" s="39">
        <v>0.60445601851852004</v>
      </c>
    </row>
    <row r="779" spans="1:48" x14ac:dyDescent="0.35">
      <c r="A779" t="str">
        <f t="shared" si="12"/>
        <v>GP127960B856</v>
      </c>
      <c r="B779" s="7" t="s">
        <v>60</v>
      </c>
      <c r="C779" s="7" t="s">
        <v>852</v>
      </c>
      <c r="D779" s="7" t="s">
        <v>21</v>
      </c>
      <c r="E779" s="7" t="s">
        <v>1177</v>
      </c>
      <c r="F779" s="7" t="s">
        <v>128</v>
      </c>
      <c r="G779" s="7" t="s">
        <v>130</v>
      </c>
      <c r="H779" s="7" t="s">
        <v>129</v>
      </c>
      <c r="I779" s="30">
        <v>2</v>
      </c>
      <c r="J779" s="7" t="s">
        <v>1177</v>
      </c>
      <c r="K779" s="7" t="s">
        <v>1178</v>
      </c>
      <c r="L779" s="7" t="s">
        <v>132</v>
      </c>
      <c r="M779" s="7" t="s">
        <v>133</v>
      </c>
      <c r="N779" s="30">
        <v>0</v>
      </c>
      <c r="O779" s="30">
        <v>0</v>
      </c>
      <c r="P779" s="30">
        <v>0</v>
      </c>
      <c r="Q779" s="30">
        <v>0</v>
      </c>
      <c r="R779" s="29">
        <v>0</v>
      </c>
      <c r="S779" s="36">
        <v>0</v>
      </c>
      <c r="T779" s="7" t="s">
        <v>131</v>
      </c>
      <c r="U779" s="7" t="s">
        <v>853</v>
      </c>
      <c r="V779" s="7" t="s">
        <v>853</v>
      </c>
      <c r="W779" s="7" t="s">
        <v>1177</v>
      </c>
      <c r="X779" s="30">
        <v>1</v>
      </c>
      <c r="Y779" s="7" t="s">
        <v>1177</v>
      </c>
      <c r="Z779" s="7" t="s">
        <v>1178</v>
      </c>
      <c r="AA779" s="30">
        <v>0</v>
      </c>
      <c r="AB779" s="36">
        <v>0</v>
      </c>
      <c r="AC779" s="7" t="s">
        <v>1177</v>
      </c>
      <c r="AD779" s="37">
        <v>0</v>
      </c>
      <c r="AE779" s="7" t="s">
        <v>1177</v>
      </c>
      <c r="AF779" s="7" t="s">
        <v>1177</v>
      </c>
      <c r="AG779" s="7" t="s">
        <v>1177</v>
      </c>
      <c r="AH779" s="38"/>
      <c r="AI779" s="36">
        <v>0</v>
      </c>
      <c r="AJ779" s="7" t="s">
        <v>1193</v>
      </c>
      <c r="AK779" s="7" t="s">
        <v>1177</v>
      </c>
      <c r="AL779" s="7" t="s">
        <v>1177</v>
      </c>
      <c r="AM779" s="7" t="s">
        <v>1177</v>
      </c>
      <c r="AN779" s="7" t="s">
        <v>3212</v>
      </c>
      <c r="AO779" s="7" t="s">
        <v>1177</v>
      </c>
      <c r="AP779" s="7" t="s">
        <v>1177</v>
      </c>
      <c r="AQ779" s="7" t="s">
        <v>1177</v>
      </c>
      <c r="AR779" s="29">
        <v>0</v>
      </c>
      <c r="AS779" s="7" t="s">
        <v>1177</v>
      </c>
      <c r="AT779" s="7" t="s">
        <v>1363</v>
      </c>
      <c r="AU779" s="38">
        <v>46275</v>
      </c>
      <c r="AV779" s="39">
        <v>0.60521990740741005</v>
      </c>
    </row>
    <row r="780" spans="1:48" x14ac:dyDescent="0.35">
      <c r="A780" t="str">
        <f t="shared" si="12"/>
        <v>GP127960B864</v>
      </c>
      <c r="B780" s="7" t="s">
        <v>60</v>
      </c>
      <c r="C780" s="7" t="s">
        <v>1010</v>
      </c>
      <c r="D780" s="7" t="s">
        <v>10</v>
      </c>
      <c r="E780" s="7" t="s">
        <v>1177</v>
      </c>
      <c r="F780" s="7" t="s">
        <v>128</v>
      </c>
      <c r="G780" s="7" t="s">
        <v>130</v>
      </c>
      <c r="H780" s="7" t="s">
        <v>129</v>
      </c>
      <c r="I780" s="30">
        <v>2</v>
      </c>
      <c r="J780" s="7" t="s">
        <v>1177</v>
      </c>
      <c r="K780" s="7" t="s">
        <v>1178</v>
      </c>
      <c r="L780" s="7" t="s">
        <v>132</v>
      </c>
      <c r="M780" s="7" t="s">
        <v>133</v>
      </c>
      <c r="N780" s="30">
        <v>0</v>
      </c>
      <c r="O780" s="30">
        <v>0</v>
      </c>
      <c r="P780" s="30">
        <v>0</v>
      </c>
      <c r="Q780" s="30">
        <v>0</v>
      </c>
      <c r="R780" s="29">
        <v>0</v>
      </c>
      <c r="S780" s="36">
        <v>0</v>
      </c>
      <c r="T780" s="7" t="s">
        <v>131</v>
      </c>
      <c r="U780" s="7" t="s">
        <v>1011</v>
      </c>
      <c r="V780" s="7" t="s">
        <v>1011</v>
      </c>
      <c r="W780" s="7" t="s">
        <v>1177</v>
      </c>
      <c r="X780" s="30">
        <v>1</v>
      </c>
      <c r="Y780" s="7" t="s">
        <v>1177</v>
      </c>
      <c r="Z780" s="7" t="s">
        <v>1178</v>
      </c>
      <c r="AA780" s="30">
        <v>0</v>
      </c>
      <c r="AB780" s="36">
        <v>0</v>
      </c>
      <c r="AC780" s="7" t="s">
        <v>1177</v>
      </c>
      <c r="AD780" s="37">
        <v>0</v>
      </c>
      <c r="AE780" s="7" t="s">
        <v>1177</v>
      </c>
      <c r="AF780" s="7" t="s">
        <v>1177</v>
      </c>
      <c r="AG780" s="7" t="s">
        <v>1177</v>
      </c>
      <c r="AH780" s="38"/>
      <c r="AI780" s="36">
        <v>0</v>
      </c>
      <c r="AJ780" s="7" t="s">
        <v>1193</v>
      </c>
      <c r="AK780" s="7" t="s">
        <v>1177</v>
      </c>
      <c r="AL780" s="7" t="s">
        <v>1177</v>
      </c>
      <c r="AM780" s="7" t="s">
        <v>1177</v>
      </c>
      <c r="AN780" s="7" t="s">
        <v>3212</v>
      </c>
      <c r="AO780" s="7" t="s">
        <v>1177</v>
      </c>
      <c r="AP780" s="7" t="s">
        <v>1177</v>
      </c>
      <c r="AQ780" s="7" t="s">
        <v>1177</v>
      </c>
      <c r="AR780" s="29">
        <v>0</v>
      </c>
      <c r="AS780" s="7" t="s">
        <v>1177</v>
      </c>
      <c r="AT780" s="7" t="s">
        <v>1363</v>
      </c>
      <c r="AU780" s="38">
        <v>46275</v>
      </c>
      <c r="AV780" s="39">
        <v>0.60541666666667004</v>
      </c>
    </row>
    <row r="781" spans="1:48" x14ac:dyDescent="0.35">
      <c r="A781" t="str">
        <f t="shared" si="12"/>
        <v>GP127960B865</v>
      </c>
      <c r="B781" s="7" t="s">
        <v>60</v>
      </c>
      <c r="C781" s="7" t="s">
        <v>1039</v>
      </c>
      <c r="D781" s="7" t="s">
        <v>7</v>
      </c>
      <c r="E781" s="7" t="s">
        <v>1177</v>
      </c>
      <c r="F781" s="7" t="s">
        <v>128</v>
      </c>
      <c r="G781" s="7" t="s">
        <v>130</v>
      </c>
      <c r="H781" s="7" t="s">
        <v>129</v>
      </c>
      <c r="I781" s="30">
        <v>4</v>
      </c>
      <c r="J781" s="7" t="s">
        <v>1177</v>
      </c>
      <c r="K781" s="7" t="s">
        <v>1178</v>
      </c>
      <c r="L781" s="7" t="s">
        <v>132</v>
      </c>
      <c r="M781" s="7" t="s">
        <v>133</v>
      </c>
      <c r="N781" s="30">
        <v>0</v>
      </c>
      <c r="O781" s="30">
        <v>0</v>
      </c>
      <c r="P781" s="30">
        <v>0</v>
      </c>
      <c r="Q781" s="30">
        <v>0</v>
      </c>
      <c r="R781" s="29">
        <v>0</v>
      </c>
      <c r="S781" s="36">
        <v>0</v>
      </c>
      <c r="T781" s="7" t="s">
        <v>131</v>
      </c>
      <c r="U781" s="7" t="s">
        <v>1040</v>
      </c>
      <c r="V781" s="7" t="s">
        <v>1040</v>
      </c>
      <c r="W781" s="7" t="s">
        <v>1177</v>
      </c>
      <c r="X781" s="30">
        <v>1</v>
      </c>
      <c r="Y781" s="7" t="s">
        <v>1177</v>
      </c>
      <c r="Z781" s="7" t="s">
        <v>1178</v>
      </c>
      <c r="AA781" s="30">
        <v>0</v>
      </c>
      <c r="AB781" s="36">
        <v>0</v>
      </c>
      <c r="AC781" s="7" t="s">
        <v>1177</v>
      </c>
      <c r="AD781" s="37">
        <v>0</v>
      </c>
      <c r="AE781" s="7" t="s">
        <v>1177</v>
      </c>
      <c r="AF781" s="7" t="s">
        <v>1177</v>
      </c>
      <c r="AG781" s="7" t="s">
        <v>1177</v>
      </c>
      <c r="AH781" s="38"/>
      <c r="AI781" s="36">
        <v>0</v>
      </c>
      <c r="AJ781" s="7" t="s">
        <v>1193</v>
      </c>
      <c r="AK781" s="7" t="s">
        <v>1177</v>
      </c>
      <c r="AL781" s="7" t="s">
        <v>1177</v>
      </c>
      <c r="AM781" s="7" t="s">
        <v>1177</v>
      </c>
      <c r="AN781" s="7" t="s">
        <v>3212</v>
      </c>
      <c r="AO781" s="7" t="s">
        <v>1177</v>
      </c>
      <c r="AP781" s="7" t="s">
        <v>1177</v>
      </c>
      <c r="AQ781" s="7" t="s">
        <v>1177</v>
      </c>
      <c r="AR781" s="29">
        <v>0</v>
      </c>
      <c r="AS781" s="7" t="s">
        <v>1177</v>
      </c>
      <c r="AT781" s="7" t="s">
        <v>1363</v>
      </c>
      <c r="AU781" s="38">
        <v>46275</v>
      </c>
      <c r="AV781" s="39">
        <v>0.60549768518518998</v>
      </c>
    </row>
    <row r="782" spans="1:48" x14ac:dyDescent="0.35">
      <c r="A782" t="str">
        <f t="shared" si="12"/>
        <v>GP127960B867</v>
      </c>
      <c r="B782" s="7" t="s">
        <v>60</v>
      </c>
      <c r="C782" s="7" t="s">
        <v>1059</v>
      </c>
      <c r="D782" s="7" t="s">
        <v>25</v>
      </c>
      <c r="E782" s="7" t="s">
        <v>1177</v>
      </c>
      <c r="F782" s="7" t="s">
        <v>128</v>
      </c>
      <c r="G782" s="7" t="s">
        <v>130</v>
      </c>
      <c r="H782" s="7" t="s">
        <v>129</v>
      </c>
      <c r="I782" s="30">
        <v>2</v>
      </c>
      <c r="J782" s="7" t="s">
        <v>1177</v>
      </c>
      <c r="K782" s="7" t="s">
        <v>1178</v>
      </c>
      <c r="L782" s="7" t="s">
        <v>132</v>
      </c>
      <c r="M782" s="7" t="s">
        <v>133</v>
      </c>
      <c r="N782" s="30">
        <v>0</v>
      </c>
      <c r="O782" s="30">
        <v>0</v>
      </c>
      <c r="P782" s="30">
        <v>0</v>
      </c>
      <c r="Q782" s="30">
        <v>0</v>
      </c>
      <c r="R782" s="29">
        <v>0</v>
      </c>
      <c r="S782" s="36">
        <v>0</v>
      </c>
      <c r="T782" s="7" t="s">
        <v>131</v>
      </c>
      <c r="U782" s="7" t="s">
        <v>1060</v>
      </c>
      <c r="V782" s="7" t="s">
        <v>1060</v>
      </c>
      <c r="W782" s="7" t="s">
        <v>1177</v>
      </c>
      <c r="X782" s="30">
        <v>1</v>
      </c>
      <c r="Y782" s="7" t="s">
        <v>1177</v>
      </c>
      <c r="Z782" s="7" t="s">
        <v>1178</v>
      </c>
      <c r="AA782" s="30">
        <v>0</v>
      </c>
      <c r="AB782" s="36">
        <v>0</v>
      </c>
      <c r="AC782" s="7" t="s">
        <v>1177</v>
      </c>
      <c r="AD782" s="37">
        <v>0</v>
      </c>
      <c r="AE782" s="7" t="s">
        <v>1177</v>
      </c>
      <c r="AF782" s="7" t="s">
        <v>1177</v>
      </c>
      <c r="AG782" s="7" t="s">
        <v>1177</v>
      </c>
      <c r="AH782" s="38"/>
      <c r="AI782" s="36">
        <v>0</v>
      </c>
      <c r="AJ782" s="7" t="s">
        <v>1193</v>
      </c>
      <c r="AK782" s="7" t="s">
        <v>1177</v>
      </c>
      <c r="AL782" s="7" t="s">
        <v>1177</v>
      </c>
      <c r="AM782" s="7" t="s">
        <v>1177</v>
      </c>
      <c r="AN782" s="7" t="s">
        <v>3212</v>
      </c>
      <c r="AO782" s="7" t="s">
        <v>1177</v>
      </c>
      <c r="AP782" s="7" t="s">
        <v>1177</v>
      </c>
      <c r="AQ782" s="7" t="s">
        <v>1177</v>
      </c>
      <c r="AR782" s="29">
        <v>0</v>
      </c>
      <c r="AS782" s="7" t="s">
        <v>1177</v>
      </c>
      <c r="AT782" s="7" t="s">
        <v>1363</v>
      </c>
      <c r="AU782" s="38">
        <v>46275</v>
      </c>
      <c r="AV782" s="39">
        <v>0.60569444444443998</v>
      </c>
    </row>
    <row r="783" spans="1:48" x14ac:dyDescent="0.35">
      <c r="A783" t="str">
        <f t="shared" si="12"/>
        <v>GP131111B867</v>
      </c>
      <c r="B783" s="7" t="s">
        <v>1065</v>
      </c>
      <c r="C783" s="7" t="s">
        <v>1059</v>
      </c>
      <c r="D783" s="7" t="s">
        <v>25</v>
      </c>
      <c r="E783" s="7" t="s">
        <v>1177</v>
      </c>
      <c r="F783" s="7" t="s">
        <v>134</v>
      </c>
      <c r="G783" s="7" t="s">
        <v>130</v>
      </c>
      <c r="H783" s="7" t="s">
        <v>129</v>
      </c>
      <c r="I783" s="30">
        <v>2</v>
      </c>
      <c r="J783" s="7" t="s">
        <v>1177</v>
      </c>
      <c r="K783" s="7" t="s">
        <v>1178</v>
      </c>
      <c r="L783" s="7" t="s">
        <v>132</v>
      </c>
      <c r="M783" s="7" t="s">
        <v>133</v>
      </c>
      <c r="N783" s="30">
        <v>0</v>
      </c>
      <c r="O783" s="30">
        <v>0</v>
      </c>
      <c r="P783" s="30">
        <v>0</v>
      </c>
      <c r="Q783" s="30">
        <v>0</v>
      </c>
      <c r="R783" s="29">
        <v>0</v>
      </c>
      <c r="S783" s="36">
        <v>0</v>
      </c>
      <c r="T783" s="7" t="s">
        <v>131</v>
      </c>
      <c r="U783" s="7" t="s">
        <v>1060</v>
      </c>
      <c r="V783" s="7" t="s">
        <v>1060</v>
      </c>
      <c r="W783" s="7" t="s">
        <v>1177</v>
      </c>
      <c r="X783" s="30">
        <v>2</v>
      </c>
      <c r="Y783" s="7" t="s">
        <v>1177</v>
      </c>
      <c r="Z783" s="7" t="s">
        <v>1178</v>
      </c>
      <c r="AA783" s="30">
        <v>0</v>
      </c>
      <c r="AB783" s="36">
        <v>0</v>
      </c>
      <c r="AC783" s="7" t="s">
        <v>1177</v>
      </c>
      <c r="AD783" s="37">
        <v>0</v>
      </c>
      <c r="AE783" s="7" t="s">
        <v>1177</v>
      </c>
      <c r="AF783" s="7" t="s">
        <v>1177</v>
      </c>
      <c r="AG783" s="7" t="s">
        <v>1177</v>
      </c>
      <c r="AH783" s="38"/>
      <c r="AI783" s="36">
        <v>0</v>
      </c>
      <c r="AJ783" s="7" t="s">
        <v>1193</v>
      </c>
      <c r="AK783" s="7" t="s">
        <v>1177</v>
      </c>
      <c r="AL783" s="7" t="s">
        <v>1177</v>
      </c>
      <c r="AM783" s="7" t="s">
        <v>1177</v>
      </c>
      <c r="AN783" s="7" t="s">
        <v>3212</v>
      </c>
      <c r="AO783" s="7" t="s">
        <v>1177</v>
      </c>
      <c r="AP783" s="7" t="s">
        <v>1177</v>
      </c>
      <c r="AQ783" s="7" t="s">
        <v>1177</v>
      </c>
      <c r="AR783" s="29">
        <v>0</v>
      </c>
      <c r="AS783" s="7" t="s">
        <v>1177</v>
      </c>
      <c r="AT783" s="7" t="s">
        <v>1363</v>
      </c>
      <c r="AU783" s="38">
        <v>46275</v>
      </c>
      <c r="AV783" s="39">
        <v>0.60565972222221998</v>
      </c>
    </row>
    <row r="784" spans="1:48" x14ac:dyDescent="0.35">
      <c r="A784" t="str">
        <f t="shared" si="12"/>
        <v>GP131157B825</v>
      </c>
      <c r="B784" s="7" t="s">
        <v>62</v>
      </c>
      <c r="C784" s="7" t="s">
        <v>511</v>
      </c>
      <c r="D784" s="7" t="s">
        <v>16</v>
      </c>
      <c r="E784" s="7" t="s">
        <v>1177</v>
      </c>
      <c r="F784" s="7" t="s">
        <v>134</v>
      </c>
      <c r="G784" s="7" t="s">
        <v>130</v>
      </c>
      <c r="H784" s="7" t="s">
        <v>129</v>
      </c>
      <c r="I784" s="30">
        <v>250</v>
      </c>
      <c r="J784" s="7" t="s">
        <v>1177</v>
      </c>
      <c r="K784" s="7" t="s">
        <v>1178</v>
      </c>
      <c r="L784" s="7" t="s">
        <v>132</v>
      </c>
      <c r="M784" s="7" t="s">
        <v>177</v>
      </c>
      <c r="N784" s="30">
        <v>0</v>
      </c>
      <c r="O784" s="30">
        <v>0</v>
      </c>
      <c r="P784" s="30">
        <v>0</v>
      </c>
      <c r="Q784" s="30">
        <v>0</v>
      </c>
      <c r="R784" s="29">
        <v>0</v>
      </c>
      <c r="S784" s="36">
        <v>0</v>
      </c>
      <c r="T784" s="7" t="s">
        <v>131</v>
      </c>
      <c r="U784" s="7" t="s">
        <v>512</v>
      </c>
      <c r="V784" s="7" t="s">
        <v>512</v>
      </c>
      <c r="W784" s="7" t="s">
        <v>1177</v>
      </c>
      <c r="X784" s="30">
        <v>250</v>
      </c>
      <c r="Y784" s="7" t="s">
        <v>1177</v>
      </c>
      <c r="Z784" s="7" t="s">
        <v>1178</v>
      </c>
      <c r="AA784" s="30">
        <v>0</v>
      </c>
      <c r="AB784" s="36">
        <v>0</v>
      </c>
      <c r="AC784" s="7" t="s">
        <v>1177</v>
      </c>
      <c r="AD784" s="37">
        <v>0</v>
      </c>
      <c r="AE784" s="7" t="s">
        <v>1177</v>
      </c>
      <c r="AF784" s="7" t="s">
        <v>1177</v>
      </c>
      <c r="AG784" s="7" t="s">
        <v>1177</v>
      </c>
      <c r="AH784" s="38"/>
      <c r="AI784" s="36">
        <v>0</v>
      </c>
      <c r="AJ784" s="7" t="s">
        <v>1193</v>
      </c>
      <c r="AK784" s="7" t="s">
        <v>1177</v>
      </c>
      <c r="AL784" s="7" t="s">
        <v>1177</v>
      </c>
      <c r="AM784" s="7" t="s">
        <v>1177</v>
      </c>
      <c r="AN784" s="7" t="s">
        <v>3212</v>
      </c>
      <c r="AO784" s="7" t="s">
        <v>1177</v>
      </c>
      <c r="AP784" s="7" t="s">
        <v>1177</v>
      </c>
      <c r="AQ784" s="7" t="s">
        <v>1177</v>
      </c>
      <c r="AR784" s="29">
        <v>0</v>
      </c>
      <c r="AS784" s="7" t="s">
        <v>1177</v>
      </c>
      <c r="AT784" s="7" t="s">
        <v>1363</v>
      </c>
      <c r="AU784" s="38">
        <v>46275</v>
      </c>
      <c r="AV784" s="39">
        <v>0.60351851851852001</v>
      </c>
    </row>
    <row r="785" spans="1:48" x14ac:dyDescent="0.35">
      <c r="A785" t="str">
        <f t="shared" si="12"/>
        <v>GP131157B832</v>
      </c>
      <c r="B785" s="7" t="s">
        <v>62</v>
      </c>
      <c r="C785" s="7" t="s">
        <v>653</v>
      </c>
      <c r="D785" s="7" t="s">
        <v>19</v>
      </c>
      <c r="E785" s="7" t="s">
        <v>1177</v>
      </c>
      <c r="F785" s="7" t="s">
        <v>134</v>
      </c>
      <c r="G785" s="7" t="s">
        <v>130</v>
      </c>
      <c r="H785" s="7" t="s">
        <v>129</v>
      </c>
      <c r="I785" s="30">
        <v>50</v>
      </c>
      <c r="J785" s="7" t="s">
        <v>1177</v>
      </c>
      <c r="K785" s="7" t="s">
        <v>1178</v>
      </c>
      <c r="L785" s="7" t="s">
        <v>132</v>
      </c>
      <c r="M785" s="7" t="s">
        <v>177</v>
      </c>
      <c r="N785" s="30">
        <v>0</v>
      </c>
      <c r="O785" s="30">
        <v>0</v>
      </c>
      <c r="P785" s="30">
        <v>0</v>
      </c>
      <c r="Q785" s="30">
        <v>0</v>
      </c>
      <c r="R785" s="29">
        <v>0</v>
      </c>
      <c r="S785" s="36">
        <v>0</v>
      </c>
      <c r="T785" s="7" t="s">
        <v>131</v>
      </c>
      <c r="U785" s="7" t="s">
        <v>654</v>
      </c>
      <c r="V785" s="7" t="s">
        <v>654</v>
      </c>
      <c r="W785" s="7" t="s">
        <v>1177</v>
      </c>
      <c r="X785" s="30">
        <v>50</v>
      </c>
      <c r="Y785" s="7" t="s">
        <v>1177</v>
      </c>
      <c r="Z785" s="7" t="s">
        <v>1178</v>
      </c>
      <c r="AA785" s="30">
        <v>0</v>
      </c>
      <c r="AB785" s="36">
        <v>0</v>
      </c>
      <c r="AC785" s="7" t="s">
        <v>1177</v>
      </c>
      <c r="AD785" s="37">
        <v>0</v>
      </c>
      <c r="AE785" s="7" t="s">
        <v>1177</v>
      </c>
      <c r="AF785" s="7" t="s">
        <v>1177</v>
      </c>
      <c r="AG785" s="7" t="s">
        <v>1177</v>
      </c>
      <c r="AH785" s="38"/>
      <c r="AI785" s="36">
        <v>0</v>
      </c>
      <c r="AJ785" s="7" t="s">
        <v>1193</v>
      </c>
      <c r="AK785" s="7" t="s">
        <v>1177</v>
      </c>
      <c r="AL785" s="7" t="s">
        <v>1177</v>
      </c>
      <c r="AM785" s="7" t="s">
        <v>1177</v>
      </c>
      <c r="AN785" s="7" t="s">
        <v>3212</v>
      </c>
      <c r="AO785" s="7" t="s">
        <v>1177</v>
      </c>
      <c r="AP785" s="7" t="s">
        <v>1177</v>
      </c>
      <c r="AQ785" s="7" t="s">
        <v>1177</v>
      </c>
      <c r="AR785" s="29">
        <v>0</v>
      </c>
      <c r="AS785" s="7" t="s">
        <v>1177</v>
      </c>
      <c r="AT785" s="7" t="s">
        <v>1363</v>
      </c>
      <c r="AU785" s="38">
        <v>46275</v>
      </c>
      <c r="AV785" s="39">
        <v>0.60393518518518996</v>
      </c>
    </row>
    <row r="786" spans="1:48" x14ac:dyDescent="0.35">
      <c r="A786" t="str">
        <f t="shared" si="12"/>
        <v>GP131157B833</v>
      </c>
      <c r="B786" s="7" t="s">
        <v>62</v>
      </c>
      <c r="C786" s="7" t="s">
        <v>698</v>
      </c>
      <c r="D786" s="7" t="s">
        <v>697</v>
      </c>
      <c r="E786" s="7" t="s">
        <v>1177</v>
      </c>
      <c r="F786" s="7" t="s">
        <v>134</v>
      </c>
      <c r="G786" s="7" t="s">
        <v>130</v>
      </c>
      <c r="H786" s="7" t="s">
        <v>129</v>
      </c>
      <c r="I786" s="30">
        <v>50</v>
      </c>
      <c r="J786" s="7" t="s">
        <v>1177</v>
      </c>
      <c r="K786" s="7" t="s">
        <v>1178</v>
      </c>
      <c r="L786" s="7" t="s">
        <v>132</v>
      </c>
      <c r="M786" s="7" t="s">
        <v>177</v>
      </c>
      <c r="N786" s="30">
        <v>0</v>
      </c>
      <c r="O786" s="30">
        <v>0</v>
      </c>
      <c r="P786" s="30">
        <v>0</v>
      </c>
      <c r="Q786" s="30">
        <v>0</v>
      </c>
      <c r="R786" s="29">
        <v>0</v>
      </c>
      <c r="S786" s="36">
        <v>0</v>
      </c>
      <c r="T786" s="7" t="s">
        <v>131</v>
      </c>
      <c r="U786" s="7" t="s">
        <v>699</v>
      </c>
      <c r="V786" s="7" t="s">
        <v>699</v>
      </c>
      <c r="W786" s="7" t="s">
        <v>1177</v>
      </c>
      <c r="X786" s="30">
        <v>50</v>
      </c>
      <c r="Y786" s="7" t="s">
        <v>1177</v>
      </c>
      <c r="Z786" s="7" t="s">
        <v>1178</v>
      </c>
      <c r="AA786" s="30">
        <v>0</v>
      </c>
      <c r="AB786" s="36">
        <v>0</v>
      </c>
      <c r="AC786" s="7" t="s">
        <v>1177</v>
      </c>
      <c r="AD786" s="37">
        <v>0</v>
      </c>
      <c r="AE786" s="7" t="s">
        <v>1177</v>
      </c>
      <c r="AF786" s="7" t="s">
        <v>1177</v>
      </c>
      <c r="AG786" s="7" t="s">
        <v>1177</v>
      </c>
      <c r="AH786" s="38"/>
      <c r="AI786" s="36">
        <v>0</v>
      </c>
      <c r="AJ786" s="7" t="s">
        <v>1193</v>
      </c>
      <c r="AK786" s="7" t="s">
        <v>1177</v>
      </c>
      <c r="AL786" s="7" t="s">
        <v>1177</v>
      </c>
      <c r="AM786" s="7" t="s">
        <v>1177</v>
      </c>
      <c r="AN786" s="7" t="s">
        <v>3212</v>
      </c>
      <c r="AO786" s="7" t="s">
        <v>1177</v>
      </c>
      <c r="AP786" s="7" t="s">
        <v>1177</v>
      </c>
      <c r="AQ786" s="7" t="s">
        <v>1177</v>
      </c>
      <c r="AR786" s="29">
        <v>0</v>
      </c>
      <c r="AS786" s="7" t="s">
        <v>1177</v>
      </c>
      <c r="AT786" s="7" t="s">
        <v>1363</v>
      </c>
      <c r="AU786" s="38">
        <v>46275</v>
      </c>
      <c r="AV786" s="39">
        <v>0.60395833333333004</v>
      </c>
    </row>
    <row r="787" spans="1:48" x14ac:dyDescent="0.35">
      <c r="A787" t="str">
        <f t="shared" si="12"/>
        <v>GP131157B838</v>
      </c>
      <c r="B787" s="7" t="s">
        <v>62</v>
      </c>
      <c r="C787" s="7" t="s">
        <v>744</v>
      </c>
      <c r="D787" s="7" t="s">
        <v>48</v>
      </c>
      <c r="E787" s="7" t="s">
        <v>1177</v>
      </c>
      <c r="F787" s="7" t="s">
        <v>134</v>
      </c>
      <c r="G787" s="7" t="s">
        <v>130</v>
      </c>
      <c r="H787" s="7" t="s">
        <v>129</v>
      </c>
      <c r="I787" s="30">
        <v>100</v>
      </c>
      <c r="J787" s="7" t="s">
        <v>1177</v>
      </c>
      <c r="K787" s="7" t="s">
        <v>1178</v>
      </c>
      <c r="L787" s="7" t="s">
        <v>132</v>
      </c>
      <c r="M787" s="7" t="s">
        <v>177</v>
      </c>
      <c r="N787" s="30">
        <v>0</v>
      </c>
      <c r="O787" s="30">
        <v>0</v>
      </c>
      <c r="P787" s="30">
        <v>0</v>
      </c>
      <c r="Q787" s="30">
        <v>0</v>
      </c>
      <c r="R787" s="29">
        <v>0</v>
      </c>
      <c r="S787" s="36">
        <v>0</v>
      </c>
      <c r="T787" s="7" t="s">
        <v>131</v>
      </c>
      <c r="U787" s="7" t="s">
        <v>745</v>
      </c>
      <c r="V787" s="7" t="s">
        <v>745</v>
      </c>
      <c r="W787" s="7" t="s">
        <v>1177</v>
      </c>
      <c r="X787" s="30">
        <v>100</v>
      </c>
      <c r="Y787" s="7" t="s">
        <v>1177</v>
      </c>
      <c r="Z787" s="7" t="s">
        <v>1178</v>
      </c>
      <c r="AA787" s="30">
        <v>0</v>
      </c>
      <c r="AB787" s="36">
        <v>0</v>
      </c>
      <c r="AC787" s="7" t="s">
        <v>1177</v>
      </c>
      <c r="AD787" s="37">
        <v>0</v>
      </c>
      <c r="AE787" s="7" t="s">
        <v>1177</v>
      </c>
      <c r="AF787" s="7" t="s">
        <v>1177</v>
      </c>
      <c r="AG787" s="7" t="s">
        <v>1177</v>
      </c>
      <c r="AH787" s="38"/>
      <c r="AI787" s="36">
        <v>0</v>
      </c>
      <c r="AJ787" s="7" t="s">
        <v>1193</v>
      </c>
      <c r="AK787" s="7" t="s">
        <v>1177</v>
      </c>
      <c r="AL787" s="7" t="s">
        <v>1177</v>
      </c>
      <c r="AM787" s="7" t="s">
        <v>1177</v>
      </c>
      <c r="AN787" s="7" t="s">
        <v>3212</v>
      </c>
      <c r="AO787" s="7" t="s">
        <v>1177</v>
      </c>
      <c r="AP787" s="7" t="s">
        <v>1177</v>
      </c>
      <c r="AQ787" s="7" t="s">
        <v>1177</v>
      </c>
      <c r="AR787" s="29">
        <v>0</v>
      </c>
      <c r="AS787" s="7" t="s">
        <v>1177</v>
      </c>
      <c r="AT787" s="7" t="s">
        <v>1363</v>
      </c>
      <c r="AU787" s="38">
        <v>46275</v>
      </c>
      <c r="AV787" s="39">
        <v>0.60449074074074005</v>
      </c>
    </row>
    <row r="788" spans="1:48" x14ac:dyDescent="0.35">
      <c r="A788" t="str">
        <f t="shared" si="12"/>
        <v>GP131157B856</v>
      </c>
      <c r="B788" s="7" t="s">
        <v>62</v>
      </c>
      <c r="C788" s="7" t="s">
        <v>852</v>
      </c>
      <c r="D788" s="7" t="s">
        <v>21</v>
      </c>
      <c r="E788" s="7" t="s">
        <v>1177</v>
      </c>
      <c r="F788" s="7" t="s">
        <v>134</v>
      </c>
      <c r="G788" s="7" t="s">
        <v>130</v>
      </c>
      <c r="H788" s="7" t="s">
        <v>129</v>
      </c>
      <c r="I788" s="30">
        <v>100</v>
      </c>
      <c r="J788" s="7" t="s">
        <v>1177</v>
      </c>
      <c r="K788" s="7" t="s">
        <v>1178</v>
      </c>
      <c r="L788" s="7" t="s">
        <v>132</v>
      </c>
      <c r="M788" s="7" t="s">
        <v>177</v>
      </c>
      <c r="N788" s="30">
        <v>0</v>
      </c>
      <c r="O788" s="30">
        <v>0</v>
      </c>
      <c r="P788" s="30">
        <v>0</v>
      </c>
      <c r="Q788" s="30">
        <v>0</v>
      </c>
      <c r="R788" s="29">
        <v>0</v>
      </c>
      <c r="S788" s="36">
        <v>0</v>
      </c>
      <c r="T788" s="7" t="s">
        <v>131</v>
      </c>
      <c r="U788" s="7" t="s">
        <v>853</v>
      </c>
      <c r="V788" s="7" t="s">
        <v>853</v>
      </c>
      <c r="W788" s="7" t="s">
        <v>1177</v>
      </c>
      <c r="X788" s="30">
        <v>100</v>
      </c>
      <c r="Y788" s="7" t="s">
        <v>1177</v>
      </c>
      <c r="Z788" s="7" t="s">
        <v>1178</v>
      </c>
      <c r="AA788" s="30">
        <v>0</v>
      </c>
      <c r="AB788" s="36">
        <v>0</v>
      </c>
      <c r="AC788" s="7" t="s">
        <v>1177</v>
      </c>
      <c r="AD788" s="37">
        <v>0</v>
      </c>
      <c r="AE788" s="7" t="s">
        <v>1177</v>
      </c>
      <c r="AF788" s="7" t="s">
        <v>1177</v>
      </c>
      <c r="AG788" s="7" t="s">
        <v>1177</v>
      </c>
      <c r="AH788" s="38"/>
      <c r="AI788" s="36">
        <v>0</v>
      </c>
      <c r="AJ788" s="7" t="s">
        <v>1193</v>
      </c>
      <c r="AK788" s="7" t="s">
        <v>1177</v>
      </c>
      <c r="AL788" s="7" t="s">
        <v>1177</v>
      </c>
      <c r="AM788" s="7" t="s">
        <v>1177</v>
      </c>
      <c r="AN788" s="7" t="s">
        <v>3212</v>
      </c>
      <c r="AO788" s="7" t="s">
        <v>1177</v>
      </c>
      <c r="AP788" s="7" t="s">
        <v>1177</v>
      </c>
      <c r="AQ788" s="7" t="s">
        <v>1177</v>
      </c>
      <c r="AR788" s="29">
        <v>0</v>
      </c>
      <c r="AS788" s="7" t="s">
        <v>1177</v>
      </c>
      <c r="AT788" s="7" t="s">
        <v>1363</v>
      </c>
      <c r="AU788" s="38">
        <v>46275</v>
      </c>
      <c r="AV788" s="39">
        <v>0.60521990740741005</v>
      </c>
    </row>
    <row r="789" spans="1:48" x14ac:dyDescent="0.35">
      <c r="A789" t="str">
        <f t="shared" si="12"/>
        <v>GP131157B857</v>
      </c>
      <c r="B789" s="7" t="s">
        <v>62</v>
      </c>
      <c r="C789" s="7" t="s">
        <v>958</v>
      </c>
      <c r="D789" s="7" t="s">
        <v>23</v>
      </c>
      <c r="E789" s="7" t="s">
        <v>1177</v>
      </c>
      <c r="F789" s="7" t="s">
        <v>134</v>
      </c>
      <c r="G789" s="7" t="s">
        <v>130</v>
      </c>
      <c r="H789" s="7" t="s">
        <v>129</v>
      </c>
      <c r="I789" s="30">
        <v>150</v>
      </c>
      <c r="J789" s="7" t="s">
        <v>1177</v>
      </c>
      <c r="K789" s="7" t="s">
        <v>1178</v>
      </c>
      <c r="L789" s="7" t="s">
        <v>132</v>
      </c>
      <c r="M789" s="7" t="s">
        <v>177</v>
      </c>
      <c r="N789" s="30">
        <v>0</v>
      </c>
      <c r="O789" s="30">
        <v>0</v>
      </c>
      <c r="P789" s="30">
        <v>0</v>
      </c>
      <c r="Q789" s="30">
        <v>0</v>
      </c>
      <c r="R789" s="29">
        <v>0</v>
      </c>
      <c r="S789" s="36">
        <v>0</v>
      </c>
      <c r="T789" s="7" t="s">
        <v>131</v>
      </c>
      <c r="U789" s="7" t="s">
        <v>959</v>
      </c>
      <c r="V789" s="7" t="s">
        <v>959</v>
      </c>
      <c r="W789" s="7" t="s">
        <v>1177</v>
      </c>
      <c r="X789" s="30">
        <v>150</v>
      </c>
      <c r="Y789" s="7" t="s">
        <v>1177</v>
      </c>
      <c r="Z789" s="7" t="s">
        <v>1178</v>
      </c>
      <c r="AA789" s="30">
        <v>0</v>
      </c>
      <c r="AB789" s="36">
        <v>0</v>
      </c>
      <c r="AC789" s="7" t="s">
        <v>1177</v>
      </c>
      <c r="AD789" s="37">
        <v>0</v>
      </c>
      <c r="AE789" s="7" t="s">
        <v>1177</v>
      </c>
      <c r="AF789" s="7" t="s">
        <v>1177</v>
      </c>
      <c r="AG789" s="7" t="s">
        <v>1177</v>
      </c>
      <c r="AH789" s="38"/>
      <c r="AI789" s="36">
        <v>0</v>
      </c>
      <c r="AJ789" s="7" t="s">
        <v>1193</v>
      </c>
      <c r="AK789" s="7" t="s">
        <v>1177</v>
      </c>
      <c r="AL789" s="7" t="s">
        <v>1177</v>
      </c>
      <c r="AM789" s="7" t="s">
        <v>1177</v>
      </c>
      <c r="AN789" s="7" t="s">
        <v>3212</v>
      </c>
      <c r="AO789" s="7" t="s">
        <v>1177</v>
      </c>
      <c r="AP789" s="7" t="s">
        <v>1177</v>
      </c>
      <c r="AQ789" s="7" t="s">
        <v>1177</v>
      </c>
      <c r="AR789" s="29">
        <v>0</v>
      </c>
      <c r="AS789" s="7" t="s">
        <v>1177</v>
      </c>
      <c r="AT789" s="7" t="s">
        <v>1363</v>
      </c>
      <c r="AU789" s="38">
        <v>46275</v>
      </c>
      <c r="AV789" s="39">
        <v>0.60528935185184995</v>
      </c>
    </row>
    <row r="790" spans="1:48" x14ac:dyDescent="0.35">
      <c r="A790" t="str">
        <f t="shared" si="12"/>
        <v>GP131157B864</v>
      </c>
      <c r="B790" s="7" t="s">
        <v>62</v>
      </c>
      <c r="C790" s="7" t="s">
        <v>1010</v>
      </c>
      <c r="D790" s="7" t="s">
        <v>10</v>
      </c>
      <c r="E790" s="7" t="s">
        <v>1177</v>
      </c>
      <c r="F790" s="7" t="s">
        <v>134</v>
      </c>
      <c r="G790" s="7" t="s">
        <v>130</v>
      </c>
      <c r="H790" s="7" t="s">
        <v>129</v>
      </c>
      <c r="I790" s="30">
        <v>50</v>
      </c>
      <c r="J790" s="7" t="s">
        <v>1177</v>
      </c>
      <c r="K790" s="7" t="s">
        <v>1178</v>
      </c>
      <c r="L790" s="7" t="s">
        <v>132</v>
      </c>
      <c r="M790" s="7" t="s">
        <v>177</v>
      </c>
      <c r="N790" s="30">
        <v>0</v>
      </c>
      <c r="O790" s="30">
        <v>0</v>
      </c>
      <c r="P790" s="30">
        <v>0</v>
      </c>
      <c r="Q790" s="30">
        <v>0</v>
      </c>
      <c r="R790" s="29">
        <v>0</v>
      </c>
      <c r="S790" s="36">
        <v>0</v>
      </c>
      <c r="T790" s="7" t="s">
        <v>131</v>
      </c>
      <c r="U790" s="7" t="s">
        <v>1011</v>
      </c>
      <c r="V790" s="7" t="s">
        <v>1011</v>
      </c>
      <c r="W790" s="7" t="s">
        <v>1177</v>
      </c>
      <c r="X790" s="30">
        <v>50</v>
      </c>
      <c r="Y790" s="7" t="s">
        <v>1177</v>
      </c>
      <c r="Z790" s="7" t="s">
        <v>1178</v>
      </c>
      <c r="AA790" s="30">
        <v>0</v>
      </c>
      <c r="AB790" s="36">
        <v>0</v>
      </c>
      <c r="AC790" s="7" t="s">
        <v>1177</v>
      </c>
      <c r="AD790" s="37">
        <v>0</v>
      </c>
      <c r="AE790" s="7" t="s">
        <v>1177</v>
      </c>
      <c r="AF790" s="7" t="s">
        <v>1177</v>
      </c>
      <c r="AG790" s="7" t="s">
        <v>1177</v>
      </c>
      <c r="AH790" s="38"/>
      <c r="AI790" s="36">
        <v>0</v>
      </c>
      <c r="AJ790" s="7" t="s">
        <v>1193</v>
      </c>
      <c r="AK790" s="7" t="s">
        <v>1177</v>
      </c>
      <c r="AL790" s="7" t="s">
        <v>1177</v>
      </c>
      <c r="AM790" s="7" t="s">
        <v>1177</v>
      </c>
      <c r="AN790" s="7" t="s">
        <v>3212</v>
      </c>
      <c r="AO790" s="7" t="s">
        <v>1177</v>
      </c>
      <c r="AP790" s="7" t="s">
        <v>1177</v>
      </c>
      <c r="AQ790" s="7" t="s">
        <v>1177</v>
      </c>
      <c r="AR790" s="29">
        <v>0</v>
      </c>
      <c r="AS790" s="7" t="s">
        <v>1177</v>
      </c>
      <c r="AT790" s="7" t="s">
        <v>1363</v>
      </c>
      <c r="AU790" s="38">
        <v>46275</v>
      </c>
      <c r="AV790" s="39">
        <v>0.60542824074073998</v>
      </c>
    </row>
    <row r="791" spans="1:48" x14ac:dyDescent="0.35">
      <c r="A791" t="str">
        <f t="shared" si="12"/>
        <v>GP131157B865</v>
      </c>
      <c r="B791" s="7" t="s">
        <v>62</v>
      </c>
      <c r="C791" s="7" t="s">
        <v>1039</v>
      </c>
      <c r="D791" s="7" t="s">
        <v>7</v>
      </c>
      <c r="E791" s="7" t="s">
        <v>1177</v>
      </c>
      <c r="F791" s="7" t="s">
        <v>134</v>
      </c>
      <c r="G791" s="7" t="s">
        <v>130</v>
      </c>
      <c r="H791" s="7" t="s">
        <v>129</v>
      </c>
      <c r="I791" s="30">
        <v>50</v>
      </c>
      <c r="J791" s="7" t="s">
        <v>1177</v>
      </c>
      <c r="K791" s="7" t="s">
        <v>1178</v>
      </c>
      <c r="L791" s="7" t="s">
        <v>132</v>
      </c>
      <c r="M791" s="7" t="s">
        <v>177</v>
      </c>
      <c r="N791" s="30">
        <v>0</v>
      </c>
      <c r="O791" s="30">
        <v>0</v>
      </c>
      <c r="P791" s="30">
        <v>0</v>
      </c>
      <c r="Q791" s="30">
        <v>0</v>
      </c>
      <c r="R791" s="29">
        <v>0</v>
      </c>
      <c r="S791" s="36">
        <v>0</v>
      </c>
      <c r="T791" s="7" t="s">
        <v>131</v>
      </c>
      <c r="U791" s="7" t="s">
        <v>1040</v>
      </c>
      <c r="V791" s="7" t="s">
        <v>1040</v>
      </c>
      <c r="W791" s="7" t="s">
        <v>1177</v>
      </c>
      <c r="X791" s="30">
        <v>50</v>
      </c>
      <c r="Y791" s="7" t="s">
        <v>1177</v>
      </c>
      <c r="Z791" s="7" t="s">
        <v>1178</v>
      </c>
      <c r="AA791" s="30">
        <v>0</v>
      </c>
      <c r="AB791" s="36">
        <v>0</v>
      </c>
      <c r="AC791" s="7" t="s">
        <v>1177</v>
      </c>
      <c r="AD791" s="37">
        <v>0</v>
      </c>
      <c r="AE791" s="7" t="s">
        <v>1177</v>
      </c>
      <c r="AF791" s="7" t="s">
        <v>1177</v>
      </c>
      <c r="AG791" s="7" t="s">
        <v>1177</v>
      </c>
      <c r="AH791" s="38"/>
      <c r="AI791" s="36">
        <v>0</v>
      </c>
      <c r="AJ791" s="7" t="s">
        <v>1193</v>
      </c>
      <c r="AK791" s="7" t="s">
        <v>1177</v>
      </c>
      <c r="AL791" s="7" t="s">
        <v>1177</v>
      </c>
      <c r="AM791" s="7" t="s">
        <v>1177</v>
      </c>
      <c r="AN791" s="7" t="s">
        <v>3212</v>
      </c>
      <c r="AO791" s="7" t="s">
        <v>1177</v>
      </c>
      <c r="AP791" s="7" t="s">
        <v>1177</v>
      </c>
      <c r="AQ791" s="7" t="s">
        <v>1177</v>
      </c>
      <c r="AR791" s="29">
        <v>0</v>
      </c>
      <c r="AS791" s="7" t="s">
        <v>1177</v>
      </c>
      <c r="AT791" s="7" t="s">
        <v>1363</v>
      </c>
      <c r="AU791" s="38">
        <v>46275</v>
      </c>
      <c r="AV791" s="39">
        <v>0.60553240740740999</v>
      </c>
    </row>
    <row r="792" spans="1:48" x14ac:dyDescent="0.35">
      <c r="A792" t="str">
        <f t="shared" si="12"/>
        <v>GP131157B867</v>
      </c>
      <c r="B792" s="7" t="s">
        <v>62</v>
      </c>
      <c r="C792" s="7" t="s">
        <v>1059</v>
      </c>
      <c r="D792" s="7" t="s">
        <v>25</v>
      </c>
      <c r="E792" s="7" t="s">
        <v>1177</v>
      </c>
      <c r="F792" s="7" t="s">
        <v>134</v>
      </c>
      <c r="G792" s="7" t="s">
        <v>130</v>
      </c>
      <c r="H792" s="7" t="s">
        <v>129</v>
      </c>
      <c r="I792" s="30">
        <v>50</v>
      </c>
      <c r="J792" s="7" t="s">
        <v>1177</v>
      </c>
      <c r="K792" s="7" t="s">
        <v>1178</v>
      </c>
      <c r="L792" s="7" t="s">
        <v>132</v>
      </c>
      <c r="M792" s="7" t="s">
        <v>177</v>
      </c>
      <c r="N792" s="30">
        <v>0</v>
      </c>
      <c r="O792" s="30">
        <v>0</v>
      </c>
      <c r="P792" s="30">
        <v>0</v>
      </c>
      <c r="Q792" s="30">
        <v>0</v>
      </c>
      <c r="R792" s="29">
        <v>0</v>
      </c>
      <c r="S792" s="36">
        <v>0</v>
      </c>
      <c r="T792" s="7" t="s">
        <v>131</v>
      </c>
      <c r="U792" s="7" t="s">
        <v>1060</v>
      </c>
      <c r="V792" s="7" t="s">
        <v>1060</v>
      </c>
      <c r="W792" s="7" t="s">
        <v>1177</v>
      </c>
      <c r="X792" s="30">
        <v>50</v>
      </c>
      <c r="Y792" s="7" t="s">
        <v>1177</v>
      </c>
      <c r="Z792" s="7" t="s">
        <v>1178</v>
      </c>
      <c r="AA792" s="30">
        <v>0</v>
      </c>
      <c r="AB792" s="36">
        <v>0</v>
      </c>
      <c r="AC792" s="7" t="s">
        <v>1177</v>
      </c>
      <c r="AD792" s="37">
        <v>0</v>
      </c>
      <c r="AE792" s="7" t="s">
        <v>1177</v>
      </c>
      <c r="AF792" s="7" t="s">
        <v>1177</v>
      </c>
      <c r="AG792" s="7" t="s">
        <v>1177</v>
      </c>
      <c r="AH792" s="38"/>
      <c r="AI792" s="36">
        <v>0</v>
      </c>
      <c r="AJ792" s="7" t="s">
        <v>1193</v>
      </c>
      <c r="AK792" s="7" t="s">
        <v>1177</v>
      </c>
      <c r="AL792" s="7" t="s">
        <v>1177</v>
      </c>
      <c r="AM792" s="7" t="s">
        <v>1177</v>
      </c>
      <c r="AN792" s="7" t="s">
        <v>3212</v>
      </c>
      <c r="AO792" s="7" t="s">
        <v>1177</v>
      </c>
      <c r="AP792" s="7" t="s">
        <v>1177</v>
      </c>
      <c r="AQ792" s="7" t="s">
        <v>1177</v>
      </c>
      <c r="AR792" s="29">
        <v>0</v>
      </c>
      <c r="AS792" s="7" t="s">
        <v>1177</v>
      </c>
      <c r="AT792" s="7" t="s">
        <v>1363</v>
      </c>
      <c r="AU792" s="38">
        <v>46275</v>
      </c>
      <c r="AV792" s="39">
        <v>0.60565972222221998</v>
      </c>
    </row>
    <row r="793" spans="1:48" x14ac:dyDescent="0.35">
      <c r="A793" t="str">
        <f t="shared" si="12"/>
        <v>GP132060B825</v>
      </c>
      <c r="B793" s="7" t="s">
        <v>549</v>
      </c>
      <c r="C793" s="7" t="s">
        <v>511</v>
      </c>
      <c r="D793" s="7" t="s">
        <v>16</v>
      </c>
      <c r="E793" s="7" t="s">
        <v>1177</v>
      </c>
      <c r="F793" s="7" t="s">
        <v>128</v>
      </c>
      <c r="G793" s="7" t="s">
        <v>130</v>
      </c>
      <c r="H793" s="7" t="s">
        <v>129</v>
      </c>
      <c r="I793" s="30">
        <v>2</v>
      </c>
      <c r="J793" s="7" t="s">
        <v>1177</v>
      </c>
      <c r="K793" s="7" t="s">
        <v>1178</v>
      </c>
      <c r="L793" s="7" t="s">
        <v>132</v>
      </c>
      <c r="M793" s="7" t="s">
        <v>133</v>
      </c>
      <c r="N793" s="30">
        <v>0</v>
      </c>
      <c r="O793" s="30">
        <v>0</v>
      </c>
      <c r="P793" s="30">
        <v>0</v>
      </c>
      <c r="Q793" s="30">
        <v>0</v>
      </c>
      <c r="R793" s="29">
        <v>0</v>
      </c>
      <c r="S793" s="36">
        <v>0</v>
      </c>
      <c r="T793" s="7" t="s">
        <v>131</v>
      </c>
      <c r="U793" s="7" t="s">
        <v>512</v>
      </c>
      <c r="V793" s="7" t="s">
        <v>512</v>
      </c>
      <c r="W793" s="7" t="s">
        <v>1177</v>
      </c>
      <c r="X793" s="30">
        <v>1</v>
      </c>
      <c r="Y793" s="7" t="s">
        <v>1177</v>
      </c>
      <c r="Z793" s="7" t="s">
        <v>1178</v>
      </c>
      <c r="AA793" s="30">
        <v>0</v>
      </c>
      <c r="AB793" s="36">
        <v>0</v>
      </c>
      <c r="AC793" s="7" t="s">
        <v>1177</v>
      </c>
      <c r="AD793" s="37">
        <v>0</v>
      </c>
      <c r="AE793" s="7" t="s">
        <v>1177</v>
      </c>
      <c r="AF793" s="7" t="s">
        <v>1177</v>
      </c>
      <c r="AG793" s="7" t="s">
        <v>1177</v>
      </c>
      <c r="AH793" s="38"/>
      <c r="AI793" s="36">
        <v>0</v>
      </c>
      <c r="AJ793" s="7" t="s">
        <v>1193</v>
      </c>
      <c r="AK793" s="7" t="s">
        <v>1177</v>
      </c>
      <c r="AL793" s="7" t="s">
        <v>1177</v>
      </c>
      <c r="AM793" s="7" t="s">
        <v>1177</v>
      </c>
      <c r="AN793" s="7" t="s">
        <v>3212</v>
      </c>
      <c r="AO793" s="7" t="s">
        <v>1177</v>
      </c>
      <c r="AP793" s="7" t="s">
        <v>1177</v>
      </c>
      <c r="AQ793" s="7" t="s">
        <v>1177</v>
      </c>
      <c r="AR793" s="29">
        <v>0</v>
      </c>
      <c r="AS793" s="7" t="s">
        <v>1177</v>
      </c>
      <c r="AT793" s="7" t="s">
        <v>1363</v>
      </c>
      <c r="AU793" s="38">
        <v>46275</v>
      </c>
      <c r="AV793" s="39">
        <v>0.62304398148147999</v>
      </c>
    </row>
    <row r="794" spans="1:48" x14ac:dyDescent="0.35">
      <c r="A794" t="str">
        <f t="shared" si="12"/>
        <v>GP132911B825</v>
      </c>
      <c r="B794" s="7" t="s">
        <v>178</v>
      </c>
      <c r="C794" s="7" t="s">
        <v>511</v>
      </c>
      <c r="D794" s="7" t="s">
        <v>16</v>
      </c>
      <c r="E794" s="7" t="s">
        <v>1177</v>
      </c>
      <c r="F794" s="7" t="s">
        <v>128</v>
      </c>
      <c r="G794" s="7" t="s">
        <v>130</v>
      </c>
      <c r="H794" s="7" t="s">
        <v>129</v>
      </c>
      <c r="I794" s="30">
        <v>2</v>
      </c>
      <c r="J794" s="7" t="s">
        <v>1177</v>
      </c>
      <c r="K794" s="7" t="s">
        <v>1178</v>
      </c>
      <c r="L794" s="7" t="s">
        <v>132</v>
      </c>
      <c r="M794" s="7" t="s">
        <v>133</v>
      </c>
      <c r="N794" s="30">
        <v>0</v>
      </c>
      <c r="O794" s="30">
        <v>0</v>
      </c>
      <c r="P794" s="30">
        <v>0</v>
      </c>
      <c r="Q794" s="30">
        <v>0</v>
      </c>
      <c r="R794" s="29">
        <v>0</v>
      </c>
      <c r="S794" s="36">
        <v>0</v>
      </c>
      <c r="T794" s="7" t="s">
        <v>131</v>
      </c>
      <c r="U794" s="7" t="s">
        <v>512</v>
      </c>
      <c r="V794" s="7" t="s">
        <v>512</v>
      </c>
      <c r="W794" s="7" t="s">
        <v>1177</v>
      </c>
      <c r="X794" s="30">
        <v>1</v>
      </c>
      <c r="Y794" s="7" t="s">
        <v>1177</v>
      </c>
      <c r="Z794" s="7" t="s">
        <v>1178</v>
      </c>
      <c r="AA794" s="30">
        <v>0</v>
      </c>
      <c r="AB794" s="36">
        <v>0</v>
      </c>
      <c r="AC794" s="7" t="s">
        <v>1177</v>
      </c>
      <c r="AD794" s="37">
        <v>0</v>
      </c>
      <c r="AE794" s="7" t="s">
        <v>1177</v>
      </c>
      <c r="AF794" s="7" t="s">
        <v>1177</v>
      </c>
      <c r="AG794" s="7" t="s">
        <v>1177</v>
      </c>
      <c r="AH794" s="38"/>
      <c r="AI794" s="36">
        <v>0</v>
      </c>
      <c r="AJ794" s="7" t="s">
        <v>1193</v>
      </c>
      <c r="AK794" s="7" t="s">
        <v>1177</v>
      </c>
      <c r="AL794" s="7" t="s">
        <v>1177</v>
      </c>
      <c r="AM794" s="7" t="s">
        <v>1177</v>
      </c>
      <c r="AN794" s="7" t="s">
        <v>3212</v>
      </c>
      <c r="AO794" s="7" t="s">
        <v>1177</v>
      </c>
      <c r="AP794" s="7" t="s">
        <v>1177</v>
      </c>
      <c r="AQ794" s="7" t="s">
        <v>1177</v>
      </c>
      <c r="AR794" s="29">
        <v>0</v>
      </c>
      <c r="AS794" s="7" t="s">
        <v>1177</v>
      </c>
      <c r="AT794" s="7" t="s">
        <v>1363</v>
      </c>
      <c r="AU794" s="38">
        <v>46275</v>
      </c>
      <c r="AV794" s="39">
        <v>0.60349537037037004</v>
      </c>
    </row>
    <row r="795" spans="1:48" x14ac:dyDescent="0.35">
      <c r="A795" t="str">
        <f t="shared" si="12"/>
        <v>GP132911B832</v>
      </c>
      <c r="B795" s="7" t="s">
        <v>178</v>
      </c>
      <c r="C795" s="7" t="s">
        <v>653</v>
      </c>
      <c r="D795" s="7" t="s">
        <v>19</v>
      </c>
      <c r="E795" s="7" t="s">
        <v>1177</v>
      </c>
      <c r="F795" s="7" t="s">
        <v>128</v>
      </c>
      <c r="G795" s="7" t="s">
        <v>130</v>
      </c>
      <c r="H795" s="7" t="s">
        <v>129</v>
      </c>
      <c r="I795" s="30">
        <v>2</v>
      </c>
      <c r="J795" s="7" t="s">
        <v>1177</v>
      </c>
      <c r="K795" s="7" t="s">
        <v>1178</v>
      </c>
      <c r="L795" s="7" t="s">
        <v>132</v>
      </c>
      <c r="M795" s="7" t="s">
        <v>133</v>
      </c>
      <c r="N795" s="30">
        <v>0</v>
      </c>
      <c r="O795" s="30">
        <v>0</v>
      </c>
      <c r="P795" s="30">
        <v>0</v>
      </c>
      <c r="Q795" s="30">
        <v>0</v>
      </c>
      <c r="R795" s="29">
        <v>0</v>
      </c>
      <c r="S795" s="36">
        <v>0</v>
      </c>
      <c r="T795" s="7" t="s">
        <v>131</v>
      </c>
      <c r="U795" s="7" t="s">
        <v>654</v>
      </c>
      <c r="V795" s="7" t="s">
        <v>654</v>
      </c>
      <c r="W795" s="7" t="s">
        <v>1177</v>
      </c>
      <c r="X795" s="30">
        <v>1</v>
      </c>
      <c r="Y795" s="7" t="s">
        <v>1177</v>
      </c>
      <c r="Z795" s="7" t="s">
        <v>1178</v>
      </c>
      <c r="AA795" s="30">
        <v>0</v>
      </c>
      <c r="AB795" s="36">
        <v>0</v>
      </c>
      <c r="AC795" s="7" t="s">
        <v>1177</v>
      </c>
      <c r="AD795" s="37">
        <v>0</v>
      </c>
      <c r="AE795" s="7" t="s">
        <v>1177</v>
      </c>
      <c r="AF795" s="7" t="s">
        <v>1177</v>
      </c>
      <c r="AG795" s="7" t="s">
        <v>1177</v>
      </c>
      <c r="AH795" s="38"/>
      <c r="AI795" s="36">
        <v>0</v>
      </c>
      <c r="AJ795" s="7" t="s">
        <v>1193</v>
      </c>
      <c r="AK795" s="7" t="s">
        <v>1177</v>
      </c>
      <c r="AL795" s="7" t="s">
        <v>1177</v>
      </c>
      <c r="AM795" s="7" t="s">
        <v>1177</v>
      </c>
      <c r="AN795" s="7" t="s">
        <v>3212</v>
      </c>
      <c r="AO795" s="7" t="s">
        <v>1177</v>
      </c>
      <c r="AP795" s="7" t="s">
        <v>1177</v>
      </c>
      <c r="AQ795" s="7" t="s">
        <v>1177</v>
      </c>
      <c r="AR795" s="29">
        <v>0</v>
      </c>
      <c r="AS795" s="7" t="s">
        <v>1177</v>
      </c>
      <c r="AT795" s="7" t="s">
        <v>1363</v>
      </c>
      <c r="AU795" s="38">
        <v>46275</v>
      </c>
      <c r="AV795" s="39">
        <v>0.60394675925926</v>
      </c>
    </row>
    <row r="796" spans="1:48" x14ac:dyDescent="0.35">
      <c r="A796" t="str">
        <f t="shared" si="12"/>
        <v>GP133456B857</v>
      </c>
      <c r="B796" s="7" t="s">
        <v>321</v>
      </c>
      <c r="C796" s="7" t="s">
        <v>958</v>
      </c>
      <c r="D796" s="7" t="s">
        <v>23</v>
      </c>
      <c r="E796" s="7" t="s">
        <v>1177</v>
      </c>
      <c r="F796" s="7" t="s">
        <v>128</v>
      </c>
      <c r="G796" s="7" t="s">
        <v>130</v>
      </c>
      <c r="H796" s="7" t="s">
        <v>129</v>
      </c>
      <c r="I796" s="30">
        <v>2</v>
      </c>
      <c r="J796" s="7" t="s">
        <v>1177</v>
      </c>
      <c r="K796" s="7" t="s">
        <v>1178</v>
      </c>
      <c r="L796" s="7" t="s">
        <v>132</v>
      </c>
      <c r="M796" s="7" t="s">
        <v>133</v>
      </c>
      <c r="N796" s="30">
        <v>0</v>
      </c>
      <c r="O796" s="30">
        <v>0</v>
      </c>
      <c r="P796" s="30">
        <v>0</v>
      </c>
      <c r="Q796" s="30">
        <v>0</v>
      </c>
      <c r="R796" s="29">
        <v>0</v>
      </c>
      <c r="S796" s="36">
        <v>0</v>
      </c>
      <c r="T796" s="7" t="s">
        <v>131</v>
      </c>
      <c r="U796" s="7" t="s">
        <v>959</v>
      </c>
      <c r="V796" s="7" t="s">
        <v>959</v>
      </c>
      <c r="W796" s="7" t="s">
        <v>1177</v>
      </c>
      <c r="X796" s="30">
        <v>1</v>
      </c>
      <c r="Y796" s="7" t="s">
        <v>1177</v>
      </c>
      <c r="Z796" s="7" t="s">
        <v>1178</v>
      </c>
      <c r="AA796" s="30">
        <v>0</v>
      </c>
      <c r="AB796" s="36">
        <v>0</v>
      </c>
      <c r="AC796" s="7" t="s">
        <v>1177</v>
      </c>
      <c r="AD796" s="37">
        <v>0</v>
      </c>
      <c r="AE796" s="7" t="s">
        <v>1177</v>
      </c>
      <c r="AF796" s="7" t="s">
        <v>1177</v>
      </c>
      <c r="AG796" s="7" t="s">
        <v>1177</v>
      </c>
      <c r="AH796" s="38"/>
      <c r="AI796" s="36">
        <v>0</v>
      </c>
      <c r="AJ796" s="7" t="s">
        <v>1193</v>
      </c>
      <c r="AK796" s="7" t="s">
        <v>1177</v>
      </c>
      <c r="AL796" s="7" t="s">
        <v>1177</v>
      </c>
      <c r="AM796" s="7" t="s">
        <v>1177</v>
      </c>
      <c r="AN796" s="7" t="s">
        <v>3212</v>
      </c>
      <c r="AO796" s="7" t="s">
        <v>1177</v>
      </c>
      <c r="AP796" s="7" t="s">
        <v>1177</v>
      </c>
      <c r="AQ796" s="7" t="s">
        <v>1177</v>
      </c>
      <c r="AR796" s="29">
        <v>0</v>
      </c>
      <c r="AS796" s="7" t="s">
        <v>1177</v>
      </c>
      <c r="AT796" s="7" t="s">
        <v>1363</v>
      </c>
      <c r="AU796" s="38">
        <v>46275</v>
      </c>
      <c r="AV796" s="39">
        <v>0.62497685185185003</v>
      </c>
    </row>
    <row r="797" spans="1:48" x14ac:dyDescent="0.35">
      <c r="A797" t="str">
        <f t="shared" si="12"/>
        <v>GP133457B857</v>
      </c>
      <c r="B797" s="7" t="s">
        <v>969</v>
      </c>
      <c r="C797" s="7" t="s">
        <v>958</v>
      </c>
      <c r="D797" s="7" t="s">
        <v>23</v>
      </c>
      <c r="E797" s="7" t="s">
        <v>1177</v>
      </c>
      <c r="F797" s="7" t="s">
        <v>128</v>
      </c>
      <c r="G797" s="7" t="s">
        <v>130</v>
      </c>
      <c r="H797" s="7" t="s">
        <v>129</v>
      </c>
      <c r="I797" s="30">
        <v>2</v>
      </c>
      <c r="J797" s="7" t="s">
        <v>1177</v>
      </c>
      <c r="K797" s="7" t="s">
        <v>1178</v>
      </c>
      <c r="L797" s="7" t="s">
        <v>132</v>
      </c>
      <c r="M797" s="7" t="s">
        <v>133</v>
      </c>
      <c r="N797" s="30">
        <v>0</v>
      </c>
      <c r="O797" s="30">
        <v>0</v>
      </c>
      <c r="P797" s="30">
        <v>0</v>
      </c>
      <c r="Q797" s="30">
        <v>0</v>
      </c>
      <c r="R797" s="29">
        <v>0</v>
      </c>
      <c r="S797" s="36">
        <v>0</v>
      </c>
      <c r="T797" s="7" t="s">
        <v>131</v>
      </c>
      <c r="U797" s="7" t="s">
        <v>959</v>
      </c>
      <c r="V797" s="7" t="s">
        <v>959</v>
      </c>
      <c r="W797" s="7" t="s">
        <v>1177</v>
      </c>
      <c r="X797" s="30">
        <v>1</v>
      </c>
      <c r="Y797" s="7" t="s">
        <v>1177</v>
      </c>
      <c r="Z797" s="7" t="s">
        <v>1178</v>
      </c>
      <c r="AA797" s="30">
        <v>0</v>
      </c>
      <c r="AB797" s="36">
        <v>0</v>
      </c>
      <c r="AC797" s="7" t="s">
        <v>1177</v>
      </c>
      <c r="AD797" s="37">
        <v>0</v>
      </c>
      <c r="AE797" s="7" t="s">
        <v>1177</v>
      </c>
      <c r="AF797" s="7" t="s">
        <v>1177</v>
      </c>
      <c r="AG797" s="7" t="s">
        <v>1177</v>
      </c>
      <c r="AH797" s="38"/>
      <c r="AI797" s="36">
        <v>0</v>
      </c>
      <c r="AJ797" s="7" t="s">
        <v>1193</v>
      </c>
      <c r="AK797" s="7" t="s">
        <v>1177</v>
      </c>
      <c r="AL797" s="7" t="s">
        <v>1177</v>
      </c>
      <c r="AM797" s="7" t="s">
        <v>1177</v>
      </c>
      <c r="AN797" s="7" t="s">
        <v>3212</v>
      </c>
      <c r="AO797" s="7" t="s">
        <v>1177</v>
      </c>
      <c r="AP797" s="7" t="s">
        <v>1177</v>
      </c>
      <c r="AQ797" s="7" t="s">
        <v>1177</v>
      </c>
      <c r="AR797" s="29">
        <v>0</v>
      </c>
      <c r="AS797" s="7" t="s">
        <v>1177</v>
      </c>
      <c r="AT797" s="7" t="s">
        <v>1363</v>
      </c>
      <c r="AU797" s="38">
        <v>46275</v>
      </c>
      <c r="AV797" s="39">
        <v>0.62497685185185003</v>
      </c>
    </row>
    <row r="798" spans="1:48" x14ac:dyDescent="0.35">
      <c r="A798" t="str">
        <f t="shared" si="12"/>
        <v>GP133461B825</v>
      </c>
      <c r="B798" s="7" t="s">
        <v>404</v>
      </c>
      <c r="C798" s="7" t="s">
        <v>511</v>
      </c>
      <c r="D798" s="7" t="s">
        <v>16</v>
      </c>
      <c r="E798" s="7" t="s">
        <v>1177</v>
      </c>
      <c r="F798" s="7" t="s">
        <v>128</v>
      </c>
      <c r="G798" s="7" t="s">
        <v>130</v>
      </c>
      <c r="H798" s="7" t="s">
        <v>129</v>
      </c>
      <c r="I798" s="30">
        <v>1</v>
      </c>
      <c r="J798" s="7" t="s">
        <v>1177</v>
      </c>
      <c r="K798" s="7" t="s">
        <v>1178</v>
      </c>
      <c r="L798" s="7" t="s">
        <v>132</v>
      </c>
      <c r="M798" s="7" t="s">
        <v>133</v>
      </c>
      <c r="N798" s="30">
        <v>0</v>
      </c>
      <c r="O798" s="30">
        <v>0</v>
      </c>
      <c r="P798" s="30">
        <v>0</v>
      </c>
      <c r="Q798" s="30">
        <v>0</v>
      </c>
      <c r="R798" s="29">
        <v>0</v>
      </c>
      <c r="S798" s="36">
        <v>0</v>
      </c>
      <c r="T798" s="7" t="s">
        <v>131</v>
      </c>
      <c r="U798" s="7" t="s">
        <v>512</v>
      </c>
      <c r="V798" s="7" t="s">
        <v>512</v>
      </c>
      <c r="W798" s="7" t="s">
        <v>1177</v>
      </c>
      <c r="X798" s="30">
        <v>1</v>
      </c>
      <c r="Y798" s="7" t="s">
        <v>1177</v>
      </c>
      <c r="Z798" s="7" t="s">
        <v>1178</v>
      </c>
      <c r="AA798" s="30">
        <v>0</v>
      </c>
      <c r="AB798" s="36">
        <v>0</v>
      </c>
      <c r="AC798" s="7" t="s">
        <v>1177</v>
      </c>
      <c r="AD798" s="37">
        <v>0</v>
      </c>
      <c r="AE798" s="7" t="s">
        <v>1177</v>
      </c>
      <c r="AF798" s="7" t="s">
        <v>1177</v>
      </c>
      <c r="AG798" s="7" t="s">
        <v>1177</v>
      </c>
      <c r="AH798" s="38"/>
      <c r="AI798" s="36">
        <v>0</v>
      </c>
      <c r="AJ798" s="7" t="s">
        <v>1193</v>
      </c>
      <c r="AK798" s="7" t="s">
        <v>1177</v>
      </c>
      <c r="AL798" s="7" t="s">
        <v>1177</v>
      </c>
      <c r="AM798" s="7" t="s">
        <v>1177</v>
      </c>
      <c r="AN798" s="7" t="s">
        <v>3212</v>
      </c>
      <c r="AO798" s="7" t="s">
        <v>1177</v>
      </c>
      <c r="AP798" s="7" t="s">
        <v>1177</v>
      </c>
      <c r="AQ798" s="7" t="s">
        <v>1177</v>
      </c>
      <c r="AR798" s="29">
        <v>0</v>
      </c>
      <c r="AS798" s="7" t="s">
        <v>1177</v>
      </c>
      <c r="AT798" s="7" t="s">
        <v>1363</v>
      </c>
      <c r="AU798" s="38">
        <v>46275</v>
      </c>
      <c r="AV798" s="39">
        <v>0.62304398148147999</v>
      </c>
    </row>
    <row r="799" spans="1:48" x14ac:dyDescent="0.35">
      <c r="A799" t="str">
        <f t="shared" si="12"/>
        <v>GP134149B825</v>
      </c>
      <c r="B799" s="7" t="s">
        <v>179</v>
      </c>
      <c r="C799" s="7" t="s">
        <v>511</v>
      </c>
      <c r="D799" s="7" t="s">
        <v>16</v>
      </c>
      <c r="E799" s="7" t="s">
        <v>1177</v>
      </c>
      <c r="F799" s="7" t="s">
        <v>128</v>
      </c>
      <c r="G799" s="7" t="s">
        <v>130</v>
      </c>
      <c r="H799" s="7" t="s">
        <v>129</v>
      </c>
      <c r="I799" s="30">
        <v>2</v>
      </c>
      <c r="J799" s="7" t="s">
        <v>1177</v>
      </c>
      <c r="K799" s="7" t="s">
        <v>1178</v>
      </c>
      <c r="L799" s="7" t="s">
        <v>132</v>
      </c>
      <c r="M799" s="7" t="s">
        <v>133</v>
      </c>
      <c r="N799" s="30">
        <v>0</v>
      </c>
      <c r="O799" s="30">
        <v>0</v>
      </c>
      <c r="P799" s="30">
        <v>0</v>
      </c>
      <c r="Q799" s="30">
        <v>0</v>
      </c>
      <c r="R799" s="29">
        <v>0</v>
      </c>
      <c r="S799" s="36">
        <v>0</v>
      </c>
      <c r="T799" s="7" t="s">
        <v>131</v>
      </c>
      <c r="U799" s="7" t="s">
        <v>512</v>
      </c>
      <c r="V799" s="7" t="s">
        <v>512</v>
      </c>
      <c r="W799" s="7" t="s">
        <v>1177</v>
      </c>
      <c r="X799" s="30">
        <v>1</v>
      </c>
      <c r="Y799" s="7" t="s">
        <v>1177</v>
      </c>
      <c r="Z799" s="7" t="s">
        <v>1178</v>
      </c>
      <c r="AA799" s="30">
        <v>0</v>
      </c>
      <c r="AB799" s="36">
        <v>0</v>
      </c>
      <c r="AC799" s="7" t="s">
        <v>1177</v>
      </c>
      <c r="AD799" s="37">
        <v>0</v>
      </c>
      <c r="AE799" s="7" t="s">
        <v>1177</v>
      </c>
      <c r="AF799" s="7" t="s">
        <v>1177</v>
      </c>
      <c r="AG799" s="7" t="s">
        <v>1177</v>
      </c>
      <c r="AH799" s="38"/>
      <c r="AI799" s="36">
        <v>0</v>
      </c>
      <c r="AJ799" s="7" t="s">
        <v>1193</v>
      </c>
      <c r="AK799" s="7" t="s">
        <v>1177</v>
      </c>
      <c r="AL799" s="7" t="s">
        <v>1177</v>
      </c>
      <c r="AM799" s="7" t="s">
        <v>1177</v>
      </c>
      <c r="AN799" s="7" t="s">
        <v>3212</v>
      </c>
      <c r="AO799" s="7" t="s">
        <v>1177</v>
      </c>
      <c r="AP799" s="7" t="s">
        <v>1177</v>
      </c>
      <c r="AQ799" s="7" t="s">
        <v>1177</v>
      </c>
      <c r="AR799" s="29">
        <v>0</v>
      </c>
      <c r="AS799" s="7" t="s">
        <v>1177</v>
      </c>
      <c r="AT799" s="7" t="s">
        <v>1363</v>
      </c>
      <c r="AU799" s="38">
        <v>46275</v>
      </c>
      <c r="AV799" s="39">
        <v>0.60349537037037004</v>
      </c>
    </row>
    <row r="800" spans="1:48" x14ac:dyDescent="0.35">
      <c r="A800" t="str">
        <f t="shared" si="12"/>
        <v>GP134149B838</v>
      </c>
      <c r="B800" s="7" t="s">
        <v>179</v>
      </c>
      <c r="C800" s="7" t="s">
        <v>744</v>
      </c>
      <c r="D800" s="7" t="s">
        <v>48</v>
      </c>
      <c r="E800" s="7" t="s">
        <v>1177</v>
      </c>
      <c r="F800" s="7" t="s">
        <v>128</v>
      </c>
      <c r="G800" s="7" t="s">
        <v>130</v>
      </c>
      <c r="H800" s="7" t="s">
        <v>129</v>
      </c>
      <c r="I800" s="30">
        <v>3</v>
      </c>
      <c r="J800" s="7" t="s">
        <v>1177</v>
      </c>
      <c r="K800" s="7" t="s">
        <v>1178</v>
      </c>
      <c r="L800" s="7" t="s">
        <v>132</v>
      </c>
      <c r="M800" s="7" t="s">
        <v>133</v>
      </c>
      <c r="N800" s="30">
        <v>0</v>
      </c>
      <c r="O800" s="30">
        <v>0</v>
      </c>
      <c r="P800" s="30">
        <v>0</v>
      </c>
      <c r="Q800" s="30">
        <v>0</v>
      </c>
      <c r="R800" s="29">
        <v>0</v>
      </c>
      <c r="S800" s="36">
        <v>0</v>
      </c>
      <c r="T800" s="7" t="s">
        <v>131</v>
      </c>
      <c r="U800" s="7" t="s">
        <v>745</v>
      </c>
      <c r="V800" s="7" t="s">
        <v>745</v>
      </c>
      <c r="W800" s="7" t="s">
        <v>1177</v>
      </c>
      <c r="X800" s="30">
        <v>1</v>
      </c>
      <c r="Y800" s="7" t="s">
        <v>1177</v>
      </c>
      <c r="Z800" s="7" t="s">
        <v>1178</v>
      </c>
      <c r="AA800" s="30">
        <v>0</v>
      </c>
      <c r="AB800" s="36">
        <v>0</v>
      </c>
      <c r="AC800" s="7" t="s">
        <v>1177</v>
      </c>
      <c r="AD800" s="37">
        <v>0</v>
      </c>
      <c r="AE800" s="7" t="s">
        <v>1177</v>
      </c>
      <c r="AF800" s="7" t="s">
        <v>1177</v>
      </c>
      <c r="AG800" s="7" t="s">
        <v>1177</v>
      </c>
      <c r="AH800" s="38"/>
      <c r="AI800" s="36">
        <v>0</v>
      </c>
      <c r="AJ800" s="7" t="s">
        <v>1193</v>
      </c>
      <c r="AK800" s="7" t="s">
        <v>1177</v>
      </c>
      <c r="AL800" s="7" t="s">
        <v>1177</v>
      </c>
      <c r="AM800" s="7" t="s">
        <v>1177</v>
      </c>
      <c r="AN800" s="7" t="s">
        <v>3212</v>
      </c>
      <c r="AO800" s="7" t="s">
        <v>1177</v>
      </c>
      <c r="AP800" s="7" t="s">
        <v>1177</v>
      </c>
      <c r="AQ800" s="7" t="s">
        <v>1177</v>
      </c>
      <c r="AR800" s="29">
        <v>0</v>
      </c>
      <c r="AS800" s="7" t="s">
        <v>1177</v>
      </c>
      <c r="AT800" s="7" t="s">
        <v>1363</v>
      </c>
      <c r="AU800" s="38">
        <v>46275</v>
      </c>
      <c r="AV800" s="39">
        <v>0.60445601851852004</v>
      </c>
    </row>
    <row r="801" spans="1:48" x14ac:dyDescent="0.35">
      <c r="A801" t="str">
        <f t="shared" si="12"/>
        <v>GP134165B825</v>
      </c>
      <c r="B801" s="7" t="s">
        <v>259</v>
      </c>
      <c r="C801" s="7" t="s">
        <v>511</v>
      </c>
      <c r="D801" s="7" t="s">
        <v>16</v>
      </c>
      <c r="E801" s="7" t="s">
        <v>1177</v>
      </c>
      <c r="F801" s="7" t="s">
        <v>128</v>
      </c>
      <c r="G801" s="7" t="s">
        <v>130</v>
      </c>
      <c r="H801" s="7" t="s">
        <v>129</v>
      </c>
      <c r="I801" s="30">
        <v>2</v>
      </c>
      <c r="J801" s="7" t="s">
        <v>1177</v>
      </c>
      <c r="K801" s="7" t="s">
        <v>1178</v>
      </c>
      <c r="L801" s="7" t="s">
        <v>132</v>
      </c>
      <c r="M801" s="7" t="s">
        <v>133</v>
      </c>
      <c r="N801" s="30">
        <v>0</v>
      </c>
      <c r="O801" s="30">
        <v>0</v>
      </c>
      <c r="P801" s="30">
        <v>0</v>
      </c>
      <c r="Q801" s="30">
        <v>0</v>
      </c>
      <c r="R801" s="29">
        <v>0</v>
      </c>
      <c r="S801" s="36">
        <v>0</v>
      </c>
      <c r="T801" s="7" t="s">
        <v>131</v>
      </c>
      <c r="U801" s="7" t="s">
        <v>512</v>
      </c>
      <c r="V801" s="7" t="s">
        <v>512</v>
      </c>
      <c r="W801" s="7" t="s">
        <v>1177</v>
      </c>
      <c r="X801" s="30">
        <v>1</v>
      </c>
      <c r="Y801" s="7" t="s">
        <v>1177</v>
      </c>
      <c r="Z801" s="7" t="s">
        <v>1178</v>
      </c>
      <c r="AA801" s="30">
        <v>0</v>
      </c>
      <c r="AB801" s="36">
        <v>0</v>
      </c>
      <c r="AC801" s="7" t="s">
        <v>1177</v>
      </c>
      <c r="AD801" s="37">
        <v>0</v>
      </c>
      <c r="AE801" s="7" t="s">
        <v>1177</v>
      </c>
      <c r="AF801" s="7" t="s">
        <v>1177</v>
      </c>
      <c r="AG801" s="7" t="s">
        <v>1177</v>
      </c>
      <c r="AH801" s="38"/>
      <c r="AI801" s="36">
        <v>0</v>
      </c>
      <c r="AJ801" s="7" t="s">
        <v>1193</v>
      </c>
      <c r="AK801" s="7" t="s">
        <v>1177</v>
      </c>
      <c r="AL801" s="7" t="s">
        <v>1177</v>
      </c>
      <c r="AM801" s="7" t="s">
        <v>1177</v>
      </c>
      <c r="AN801" s="7" t="s">
        <v>3212</v>
      </c>
      <c r="AO801" s="7" t="s">
        <v>1177</v>
      </c>
      <c r="AP801" s="7" t="s">
        <v>1177</v>
      </c>
      <c r="AQ801" s="7" t="s">
        <v>1177</v>
      </c>
      <c r="AR801" s="29">
        <v>0</v>
      </c>
      <c r="AS801" s="7" t="s">
        <v>1177</v>
      </c>
      <c r="AT801" s="7" t="s">
        <v>1363</v>
      </c>
      <c r="AU801" s="38">
        <v>46275</v>
      </c>
      <c r="AV801" s="39">
        <v>0.62304398148147999</v>
      </c>
    </row>
    <row r="802" spans="1:48" x14ac:dyDescent="0.35">
      <c r="A802" t="str">
        <f t="shared" si="12"/>
        <v>GP134165B832</v>
      </c>
      <c r="B802" s="7" t="s">
        <v>259</v>
      </c>
      <c r="C802" s="7" t="s">
        <v>653</v>
      </c>
      <c r="D802" s="7" t="s">
        <v>19</v>
      </c>
      <c r="E802" s="7" t="s">
        <v>1177</v>
      </c>
      <c r="F802" s="7" t="s">
        <v>128</v>
      </c>
      <c r="G802" s="7" t="s">
        <v>130</v>
      </c>
      <c r="H802" s="7" t="s">
        <v>129</v>
      </c>
      <c r="I802" s="30">
        <v>2</v>
      </c>
      <c r="J802" s="7" t="s">
        <v>1177</v>
      </c>
      <c r="K802" s="7" t="s">
        <v>1178</v>
      </c>
      <c r="L802" s="7" t="s">
        <v>132</v>
      </c>
      <c r="M802" s="7" t="s">
        <v>133</v>
      </c>
      <c r="N802" s="30">
        <v>0</v>
      </c>
      <c r="O802" s="30">
        <v>0</v>
      </c>
      <c r="P802" s="30">
        <v>0</v>
      </c>
      <c r="Q802" s="30">
        <v>0</v>
      </c>
      <c r="R802" s="29">
        <v>0</v>
      </c>
      <c r="S802" s="36">
        <v>0</v>
      </c>
      <c r="T802" s="7" t="s">
        <v>131</v>
      </c>
      <c r="U802" s="7" t="s">
        <v>654</v>
      </c>
      <c r="V802" s="7" t="s">
        <v>654</v>
      </c>
      <c r="W802" s="7" t="s">
        <v>1177</v>
      </c>
      <c r="X802" s="30">
        <v>1</v>
      </c>
      <c r="Y802" s="7" t="s">
        <v>1177</v>
      </c>
      <c r="Z802" s="7" t="s">
        <v>1178</v>
      </c>
      <c r="AA802" s="30">
        <v>0</v>
      </c>
      <c r="AB802" s="36">
        <v>0</v>
      </c>
      <c r="AC802" s="7" t="s">
        <v>1177</v>
      </c>
      <c r="AD802" s="37">
        <v>0</v>
      </c>
      <c r="AE802" s="7" t="s">
        <v>1177</v>
      </c>
      <c r="AF802" s="7" t="s">
        <v>1177</v>
      </c>
      <c r="AG802" s="7" t="s">
        <v>1177</v>
      </c>
      <c r="AH802" s="38"/>
      <c r="AI802" s="36">
        <v>0</v>
      </c>
      <c r="AJ802" s="7" t="s">
        <v>1193</v>
      </c>
      <c r="AK802" s="7" t="s">
        <v>1177</v>
      </c>
      <c r="AL802" s="7" t="s">
        <v>1177</v>
      </c>
      <c r="AM802" s="7" t="s">
        <v>1177</v>
      </c>
      <c r="AN802" s="7" t="s">
        <v>3212</v>
      </c>
      <c r="AO802" s="7" t="s">
        <v>1177</v>
      </c>
      <c r="AP802" s="7" t="s">
        <v>1177</v>
      </c>
      <c r="AQ802" s="7" t="s">
        <v>1177</v>
      </c>
      <c r="AR802" s="29">
        <v>0</v>
      </c>
      <c r="AS802" s="7" t="s">
        <v>1177</v>
      </c>
      <c r="AT802" s="7" t="s">
        <v>1363</v>
      </c>
      <c r="AU802" s="38">
        <v>46275</v>
      </c>
      <c r="AV802" s="39">
        <v>0.62336805555555996</v>
      </c>
    </row>
    <row r="803" spans="1:48" x14ac:dyDescent="0.35">
      <c r="A803" t="str">
        <f t="shared" si="12"/>
        <v>GP135067B825</v>
      </c>
      <c r="B803" s="7" t="s">
        <v>260</v>
      </c>
      <c r="C803" s="7" t="s">
        <v>511</v>
      </c>
      <c r="D803" s="7" t="s">
        <v>16</v>
      </c>
      <c r="E803" s="7" t="s">
        <v>1177</v>
      </c>
      <c r="F803" s="7" t="s">
        <v>134</v>
      </c>
      <c r="G803" s="7" t="s">
        <v>130</v>
      </c>
      <c r="H803" s="7" t="s">
        <v>129</v>
      </c>
      <c r="I803" s="30">
        <v>1</v>
      </c>
      <c r="J803" s="7" t="s">
        <v>1177</v>
      </c>
      <c r="K803" s="7" t="s">
        <v>1178</v>
      </c>
      <c r="L803" s="7" t="s">
        <v>132</v>
      </c>
      <c r="M803" s="7" t="s">
        <v>133</v>
      </c>
      <c r="N803" s="30">
        <v>0</v>
      </c>
      <c r="O803" s="30">
        <v>0</v>
      </c>
      <c r="P803" s="30">
        <v>0</v>
      </c>
      <c r="Q803" s="30">
        <v>0</v>
      </c>
      <c r="R803" s="29">
        <v>0</v>
      </c>
      <c r="S803" s="36">
        <v>0</v>
      </c>
      <c r="T803" s="7" t="s">
        <v>131</v>
      </c>
      <c r="U803" s="7" t="s">
        <v>512</v>
      </c>
      <c r="V803" s="7" t="s">
        <v>512</v>
      </c>
      <c r="W803" s="7" t="s">
        <v>1177</v>
      </c>
      <c r="X803" s="30">
        <v>1</v>
      </c>
      <c r="Y803" s="7" t="s">
        <v>1177</v>
      </c>
      <c r="Z803" s="7" t="s">
        <v>1178</v>
      </c>
      <c r="AA803" s="30">
        <v>0</v>
      </c>
      <c r="AB803" s="36">
        <v>0</v>
      </c>
      <c r="AC803" s="7" t="s">
        <v>1177</v>
      </c>
      <c r="AD803" s="37">
        <v>0</v>
      </c>
      <c r="AE803" s="7" t="s">
        <v>1177</v>
      </c>
      <c r="AF803" s="7" t="s">
        <v>1177</v>
      </c>
      <c r="AG803" s="7" t="s">
        <v>1177</v>
      </c>
      <c r="AH803" s="38"/>
      <c r="AI803" s="36">
        <v>0</v>
      </c>
      <c r="AJ803" s="7" t="s">
        <v>1193</v>
      </c>
      <c r="AK803" s="7" t="s">
        <v>1177</v>
      </c>
      <c r="AL803" s="7" t="s">
        <v>1177</v>
      </c>
      <c r="AM803" s="7" t="s">
        <v>1177</v>
      </c>
      <c r="AN803" s="7" t="s">
        <v>3212</v>
      </c>
      <c r="AO803" s="7" t="s">
        <v>1177</v>
      </c>
      <c r="AP803" s="7" t="s">
        <v>1177</v>
      </c>
      <c r="AQ803" s="7" t="s">
        <v>1177</v>
      </c>
      <c r="AR803" s="29">
        <v>0</v>
      </c>
      <c r="AS803" s="7" t="s">
        <v>1177</v>
      </c>
      <c r="AT803" s="7" t="s">
        <v>1363</v>
      </c>
      <c r="AU803" s="38">
        <v>46275</v>
      </c>
      <c r="AV803" s="39">
        <v>0.60351851851852001</v>
      </c>
    </row>
    <row r="804" spans="1:48" x14ac:dyDescent="0.35">
      <c r="A804" t="str">
        <f t="shared" si="12"/>
        <v>GP135067B832</v>
      </c>
      <c r="B804" s="7" t="s">
        <v>260</v>
      </c>
      <c r="C804" s="7" t="s">
        <v>653</v>
      </c>
      <c r="D804" s="7" t="s">
        <v>19</v>
      </c>
      <c r="E804" s="7" t="s">
        <v>1177</v>
      </c>
      <c r="F804" s="7" t="s">
        <v>134</v>
      </c>
      <c r="G804" s="7" t="s">
        <v>130</v>
      </c>
      <c r="H804" s="7" t="s">
        <v>129</v>
      </c>
      <c r="I804" s="30">
        <v>2</v>
      </c>
      <c r="J804" s="7" t="s">
        <v>1177</v>
      </c>
      <c r="K804" s="7" t="s">
        <v>1178</v>
      </c>
      <c r="L804" s="7" t="s">
        <v>132</v>
      </c>
      <c r="M804" s="7" t="s">
        <v>133</v>
      </c>
      <c r="N804" s="30">
        <v>0</v>
      </c>
      <c r="O804" s="30">
        <v>0</v>
      </c>
      <c r="P804" s="30">
        <v>0</v>
      </c>
      <c r="Q804" s="30">
        <v>0</v>
      </c>
      <c r="R804" s="29">
        <v>0</v>
      </c>
      <c r="S804" s="36">
        <v>0</v>
      </c>
      <c r="T804" s="7" t="s">
        <v>131</v>
      </c>
      <c r="U804" s="7" t="s">
        <v>654</v>
      </c>
      <c r="V804" s="7" t="s">
        <v>654</v>
      </c>
      <c r="W804" s="7" t="s">
        <v>1177</v>
      </c>
      <c r="X804" s="30">
        <v>2</v>
      </c>
      <c r="Y804" s="7" t="s">
        <v>1177</v>
      </c>
      <c r="Z804" s="7" t="s">
        <v>1178</v>
      </c>
      <c r="AA804" s="30">
        <v>0</v>
      </c>
      <c r="AB804" s="36">
        <v>0</v>
      </c>
      <c r="AC804" s="7" t="s">
        <v>1177</v>
      </c>
      <c r="AD804" s="37">
        <v>0</v>
      </c>
      <c r="AE804" s="7" t="s">
        <v>1177</v>
      </c>
      <c r="AF804" s="7" t="s">
        <v>1177</v>
      </c>
      <c r="AG804" s="7" t="s">
        <v>1177</v>
      </c>
      <c r="AH804" s="38"/>
      <c r="AI804" s="36">
        <v>0</v>
      </c>
      <c r="AJ804" s="7" t="s">
        <v>1193</v>
      </c>
      <c r="AK804" s="7" t="s">
        <v>1177</v>
      </c>
      <c r="AL804" s="7" t="s">
        <v>1177</v>
      </c>
      <c r="AM804" s="7" t="s">
        <v>1177</v>
      </c>
      <c r="AN804" s="7" t="s">
        <v>3212</v>
      </c>
      <c r="AO804" s="7" t="s">
        <v>1177</v>
      </c>
      <c r="AP804" s="7" t="s">
        <v>1177</v>
      </c>
      <c r="AQ804" s="7" t="s">
        <v>1177</v>
      </c>
      <c r="AR804" s="29">
        <v>0</v>
      </c>
      <c r="AS804" s="7" t="s">
        <v>1177</v>
      </c>
      <c r="AT804" s="7" t="s">
        <v>1363</v>
      </c>
      <c r="AU804" s="38">
        <v>46275</v>
      </c>
      <c r="AV804" s="39">
        <v>0.60394675925926</v>
      </c>
    </row>
    <row r="805" spans="1:48" x14ac:dyDescent="0.35">
      <c r="A805" t="str">
        <f t="shared" si="12"/>
        <v>GP135067B833</v>
      </c>
      <c r="B805" s="7" t="s">
        <v>260</v>
      </c>
      <c r="C805" s="7" t="s">
        <v>698</v>
      </c>
      <c r="D805" s="7" t="s">
        <v>697</v>
      </c>
      <c r="E805" s="7" t="s">
        <v>1177</v>
      </c>
      <c r="F805" s="7" t="s">
        <v>134</v>
      </c>
      <c r="G805" s="7" t="s">
        <v>130</v>
      </c>
      <c r="H805" s="7" t="s">
        <v>129</v>
      </c>
      <c r="I805" s="30">
        <v>1</v>
      </c>
      <c r="J805" s="7" t="s">
        <v>1177</v>
      </c>
      <c r="K805" s="7" t="s">
        <v>1178</v>
      </c>
      <c r="L805" s="7" t="s">
        <v>132</v>
      </c>
      <c r="M805" s="7" t="s">
        <v>133</v>
      </c>
      <c r="N805" s="30">
        <v>0</v>
      </c>
      <c r="O805" s="30">
        <v>0</v>
      </c>
      <c r="P805" s="30">
        <v>0</v>
      </c>
      <c r="Q805" s="30">
        <v>0</v>
      </c>
      <c r="R805" s="29">
        <v>0</v>
      </c>
      <c r="S805" s="36">
        <v>0</v>
      </c>
      <c r="T805" s="7" t="s">
        <v>131</v>
      </c>
      <c r="U805" s="7" t="s">
        <v>699</v>
      </c>
      <c r="V805" s="7" t="s">
        <v>699</v>
      </c>
      <c r="W805" s="7" t="s">
        <v>1177</v>
      </c>
      <c r="X805" s="30">
        <v>1</v>
      </c>
      <c r="Y805" s="7" t="s">
        <v>1177</v>
      </c>
      <c r="Z805" s="7" t="s">
        <v>1178</v>
      </c>
      <c r="AA805" s="30">
        <v>0</v>
      </c>
      <c r="AB805" s="36">
        <v>0</v>
      </c>
      <c r="AC805" s="7" t="s">
        <v>1177</v>
      </c>
      <c r="AD805" s="37">
        <v>0</v>
      </c>
      <c r="AE805" s="7" t="s">
        <v>1177</v>
      </c>
      <c r="AF805" s="7" t="s">
        <v>1177</v>
      </c>
      <c r="AG805" s="7" t="s">
        <v>1177</v>
      </c>
      <c r="AH805" s="38"/>
      <c r="AI805" s="36">
        <v>0</v>
      </c>
      <c r="AJ805" s="7" t="s">
        <v>1193</v>
      </c>
      <c r="AK805" s="7" t="s">
        <v>1177</v>
      </c>
      <c r="AL805" s="7" t="s">
        <v>1177</v>
      </c>
      <c r="AM805" s="7" t="s">
        <v>1177</v>
      </c>
      <c r="AN805" s="7" t="s">
        <v>3212</v>
      </c>
      <c r="AO805" s="7" t="s">
        <v>1177</v>
      </c>
      <c r="AP805" s="7" t="s">
        <v>1177</v>
      </c>
      <c r="AQ805" s="7" t="s">
        <v>1177</v>
      </c>
      <c r="AR805" s="29">
        <v>0</v>
      </c>
      <c r="AS805" s="7" t="s">
        <v>1177</v>
      </c>
      <c r="AT805" s="7" t="s">
        <v>1363</v>
      </c>
      <c r="AU805" s="38">
        <v>46275</v>
      </c>
      <c r="AV805" s="39">
        <v>0.60395833333333004</v>
      </c>
    </row>
    <row r="806" spans="1:48" x14ac:dyDescent="0.35">
      <c r="A806" t="str">
        <f t="shared" si="12"/>
        <v>GP135428B838</v>
      </c>
      <c r="B806" s="7" t="s">
        <v>748</v>
      </c>
      <c r="C806" s="7" t="s">
        <v>744</v>
      </c>
      <c r="D806" s="7" t="s">
        <v>48</v>
      </c>
      <c r="E806" s="7" t="s">
        <v>1177</v>
      </c>
      <c r="F806" s="7" t="s">
        <v>128</v>
      </c>
      <c r="G806" s="7" t="s">
        <v>130</v>
      </c>
      <c r="H806" s="7" t="s">
        <v>129</v>
      </c>
      <c r="I806" s="30">
        <v>2</v>
      </c>
      <c r="J806" s="7" t="s">
        <v>1177</v>
      </c>
      <c r="K806" s="7" t="s">
        <v>1178</v>
      </c>
      <c r="L806" s="7" t="s">
        <v>132</v>
      </c>
      <c r="M806" s="7" t="s">
        <v>133</v>
      </c>
      <c r="N806" s="30">
        <v>0</v>
      </c>
      <c r="O806" s="30">
        <v>0</v>
      </c>
      <c r="P806" s="30">
        <v>0</v>
      </c>
      <c r="Q806" s="30">
        <v>0</v>
      </c>
      <c r="R806" s="29">
        <v>0</v>
      </c>
      <c r="S806" s="36">
        <v>0</v>
      </c>
      <c r="T806" s="7" t="s">
        <v>131</v>
      </c>
      <c r="U806" s="7" t="s">
        <v>745</v>
      </c>
      <c r="V806" s="7" t="s">
        <v>745</v>
      </c>
      <c r="W806" s="7" t="s">
        <v>1177</v>
      </c>
      <c r="X806" s="30">
        <v>1</v>
      </c>
      <c r="Y806" s="7" t="s">
        <v>1177</v>
      </c>
      <c r="Z806" s="7" t="s">
        <v>1178</v>
      </c>
      <c r="AA806" s="30">
        <v>0</v>
      </c>
      <c r="AB806" s="36">
        <v>0</v>
      </c>
      <c r="AC806" s="7" t="s">
        <v>1177</v>
      </c>
      <c r="AD806" s="37">
        <v>0</v>
      </c>
      <c r="AE806" s="7" t="s">
        <v>1177</v>
      </c>
      <c r="AF806" s="7" t="s">
        <v>1177</v>
      </c>
      <c r="AG806" s="7" t="s">
        <v>1177</v>
      </c>
      <c r="AH806" s="38"/>
      <c r="AI806" s="36">
        <v>0</v>
      </c>
      <c r="AJ806" s="7" t="s">
        <v>1193</v>
      </c>
      <c r="AK806" s="7" t="s">
        <v>1177</v>
      </c>
      <c r="AL806" s="7" t="s">
        <v>1177</v>
      </c>
      <c r="AM806" s="7" t="s">
        <v>1177</v>
      </c>
      <c r="AN806" s="7" t="s">
        <v>3212</v>
      </c>
      <c r="AO806" s="7" t="s">
        <v>1177</v>
      </c>
      <c r="AP806" s="7" t="s">
        <v>1177</v>
      </c>
      <c r="AQ806" s="7" t="s">
        <v>1177</v>
      </c>
      <c r="AR806" s="29">
        <v>0</v>
      </c>
      <c r="AS806" s="7" t="s">
        <v>1177</v>
      </c>
      <c r="AT806" s="7" t="s">
        <v>1363</v>
      </c>
      <c r="AU806" s="38">
        <v>46275</v>
      </c>
      <c r="AV806" s="39">
        <v>0.62414351851852001</v>
      </c>
    </row>
    <row r="807" spans="1:48" x14ac:dyDescent="0.35">
      <c r="A807" t="str">
        <f t="shared" si="12"/>
        <v>GP135428B857</v>
      </c>
      <c r="B807" s="7" t="s">
        <v>748</v>
      </c>
      <c r="C807" s="7" t="s">
        <v>958</v>
      </c>
      <c r="D807" s="7" t="s">
        <v>23</v>
      </c>
      <c r="E807" s="7" t="s">
        <v>1177</v>
      </c>
      <c r="F807" s="7" t="s">
        <v>128</v>
      </c>
      <c r="G807" s="7" t="s">
        <v>130</v>
      </c>
      <c r="H807" s="7" t="s">
        <v>129</v>
      </c>
      <c r="I807" s="30">
        <v>2</v>
      </c>
      <c r="J807" s="7" t="s">
        <v>1177</v>
      </c>
      <c r="K807" s="7" t="s">
        <v>1178</v>
      </c>
      <c r="L807" s="7" t="s">
        <v>132</v>
      </c>
      <c r="M807" s="7" t="s">
        <v>133</v>
      </c>
      <c r="N807" s="30">
        <v>0</v>
      </c>
      <c r="O807" s="30">
        <v>0</v>
      </c>
      <c r="P807" s="30">
        <v>0</v>
      </c>
      <c r="Q807" s="30">
        <v>0</v>
      </c>
      <c r="R807" s="29">
        <v>0</v>
      </c>
      <c r="S807" s="36">
        <v>0</v>
      </c>
      <c r="T807" s="7" t="s">
        <v>131</v>
      </c>
      <c r="U807" s="7" t="s">
        <v>959</v>
      </c>
      <c r="V807" s="7" t="s">
        <v>959</v>
      </c>
      <c r="W807" s="7" t="s">
        <v>1177</v>
      </c>
      <c r="X807" s="30">
        <v>1</v>
      </c>
      <c r="Y807" s="7" t="s">
        <v>1177</v>
      </c>
      <c r="Z807" s="7" t="s">
        <v>1178</v>
      </c>
      <c r="AA807" s="30">
        <v>0</v>
      </c>
      <c r="AB807" s="36">
        <v>0</v>
      </c>
      <c r="AC807" s="7" t="s">
        <v>1177</v>
      </c>
      <c r="AD807" s="37">
        <v>0</v>
      </c>
      <c r="AE807" s="7" t="s">
        <v>1177</v>
      </c>
      <c r="AF807" s="7" t="s">
        <v>1177</v>
      </c>
      <c r="AG807" s="7" t="s">
        <v>1177</v>
      </c>
      <c r="AH807" s="38"/>
      <c r="AI807" s="36">
        <v>0</v>
      </c>
      <c r="AJ807" s="7" t="s">
        <v>1193</v>
      </c>
      <c r="AK807" s="7" t="s">
        <v>1177</v>
      </c>
      <c r="AL807" s="7" t="s">
        <v>1177</v>
      </c>
      <c r="AM807" s="7" t="s">
        <v>1177</v>
      </c>
      <c r="AN807" s="7" t="s">
        <v>3212</v>
      </c>
      <c r="AO807" s="7" t="s">
        <v>1177</v>
      </c>
      <c r="AP807" s="7" t="s">
        <v>1177</v>
      </c>
      <c r="AQ807" s="7" t="s">
        <v>1177</v>
      </c>
      <c r="AR807" s="29">
        <v>0</v>
      </c>
      <c r="AS807" s="7" t="s">
        <v>1177</v>
      </c>
      <c r="AT807" s="7" t="s">
        <v>1363</v>
      </c>
      <c r="AU807" s="38">
        <v>46275</v>
      </c>
      <c r="AV807" s="39">
        <v>0.62497685185185003</v>
      </c>
    </row>
    <row r="808" spans="1:48" x14ac:dyDescent="0.35">
      <c r="A808" t="str">
        <f t="shared" si="12"/>
        <v>GP135711B832</v>
      </c>
      <c r="B808" s="7" t="s">
        <v>673</v>
      </c>
      <c r="C808" s="7" t="s">
        <v>653</v>
      </c>
      <c r="D808" s="7" t="s">
        <v>19</v>
      </c>
      <c r="E808" s="7" t="s">
        <v>1177</v>
      </c>
      <c r="F808" s="7" t="s">
        <v>128</v>
      </c>
      <c r="G808" s="7" t="s">
        <v>130</v>
      </c>
      <c r="H808" s="7" t="s">
        <v>129</v>
      </c>
      <c r="I808" s="30">
        <v>1</v>
      </c>
      <c r="J808" s="7" t="s">
        <v>1177</v>
      </c>
      <c r="K808" s="7" t="s">
        <v>1178</v>
      </c>
      <c r="L808" s="7" t="s">
        <v>132</v>
      </c>
      <c r="M808" s="7" t="s">
        <v>133</v>
      </c>
      <c r="N808" s="30">
        <v>0</v>
      </c>
      <c r="O808" s="30">
        <v>0</v>
      </c>
      <c r="P808" s="30">
        <v>0</v>
      </c>
      <c r="Q808" s="30">
        <v>0</v>
      </c>
      <c r="R808" s="29">
        <v>0</v>
      </c>
      <c r="S808" s="36">
        <v>0</v>
      </c>
      <c r="T808" s="7" t="s">
        <v>131</v>
      </c>
      <c r="U808" s="7" t="s">
        <v>654</v>
      </c>
      <c r="V808" s="7" t="s">
        <v>654</v>
      </c>
      <c r="W808" s="7" t="s">
        <v>1177</v>
      </c>
      <c r="X808" s="30">
        <v>1</v>
      </c>
      <c r="Y808" s="7" t="s">
        <v>1177</v>
      </c>
      <c r="Z808" s="7" t="s">
        <v>1178</v>
      </c>
      <c r="AA808" s="30">
        <v>0</v>
      </c>
      <c r="AB808" s="36">
        <v>0</v>
      </c>
      <c r="AC808" s="7" t="s">
        <v>1177</v>
      </c>
      <c r="AD808" s="37">
        <v>0</v>
      </c>
      <c r="AE808" s="7" t="s">
        <v>1177</v>
      </c>
      <c r="AF808" s="7" t="s">
        <v>1177</v>
      </c>
      <c r="AG808" s="7" t="s">
        <v>1177</v>
      </c>
      <c r="AH808" s="38"/>
      <c r="AI808" s="36">
        <v>0</v>
      </c>
      <c r="AJ808" s="7" t="s">
        <v>1193</v>
      </c>
      <c r="AK808" s="7" t="s">
        <v>1177</v>
      </c>
      <c r="AL808" s="7" t="s">
        <v>1177</v>
      </c>
      <c r="AM808" s="7" t="s">
        <v>1177</v>
      </c>
      <c r="AN808" s="7" t="s">
        <v>3212</v>
      </c>
      <c r="AO808" s="7" t="s">
        <v>1177</v>
      </c>
      <c r="AP808" s="7" t="s">
        <v>1177</v>
      </c>
      <c r="AQ808" s="7" t="s">
        <v>1177</v>
      </c>
      <c r="AR808" s="29">
        <v>0</v>
      </c>
      <c r="AS808" s="7" t="s">
        <v>1177</v>
      </c>
      <c r="AT808" s="7" t="s">
        <v>1363</v>
      </c>
      <c r="AU808" s="38">
        <v>46275</v>
      </c>
      <c r="AV808" s="39">
        <v>0.62336805555555996</v>
      </c>
    </row>
    <row r="809" spans="1:48" x14ac:dyDescent="0.35">
      <c r="A809" t="str">
        <f t="shared" si="12"/>
        <v>GP135713B838</v>
      </c>
      <c r="B809" s="7" t="s">
        <v>749</v>
      </c>
      <c r="C809" s="7" t="s">
        <v>744</v>
      </c>
      <c r="D809" s="7" t="s">
        <v>48</v>
      </c>
      <c r="E809" s="7" t="s">
        <v>1177</v>
      </c>
      <c r="F809" s="7" t="s">
        <v>128</v>
      </c>
      <c r="G809" s="7" t="s">
        <v>130</v>
      </c>
      <c r="H809" s="7" t="s">
        <v>129</v>
      </c>
      <c r="I809" s="30">
        <v>2</v>
      </c>
      <c r="J809" s="7" t="s">
        <v>1177</v>
      </c>
      <c r="K809" s="7" t="s">
        <v>1178</v>
      </c>
      <c r="L809" s="7" t="s">
        <v>132</v>
      </c>
      <c r="M809" s="7" t="s">
        <v>133</v>
      </c>
      <c r="N809" s="30">
        <v>0</v>
      </c>
      <c r="O809" s="30">
        <v>0</v>
      </c>
      <c r="P809" s="30">
        <v>0</v>
      </c>
      <c r="Q809" s="30">
        <v>0</v>
      </c>
      <c r="R809" s="29">
        <v>0</v>
      </c>
      <c r="S809" s="36">
        <v>0</v>
      </c>
      <c r="T809" s="7" t="s">
        <v>131</v>
      </c>
      <c r="U809" s="7" t="s">
        <v>745</v>
      </c>
      <c r="V809" s="7" t="s">
        <v>745</v>
      </c>
      <c r="W809" s="7" t="s">
        <v>1177</v>
      </c>
      <c r="X809" s="30">
        <v>1</v>
      </c>
      <c r="Y809" s="7" t="s">
        <v>1177</v>
      </c>
      <c r="Z809" s="7" t="s">
        <v>1178</v>
      </c>
      <c r="AA809" s="30">
        <v>0</v>
      </c>
      <c r="AB809" s="36">
        <v>0</v>
      </c>
      <c r="AC809" s="7" t="s">
        <v>1177</v>
      </c>
      <c r="AD809" s="37">
        <v>0</v>
      </c>
      <c r="AE809" s="7" t="s">
        <v>1177</v>
      </c>
      <c r="AF809" s="7" t="s">
        <v>1177</v>
      </c>
      <c r="AG809" s="7" t="s">
        <v>1177</v>
      </c>
      <c r="AH809" s="38"/>
      <c r="AI809" s="36">
        <v>0</v>
      </c>
      <c r="AJ809" s="7" t="s">
        <v>1193</v>
      </c>
      <c r="AK809" s="7" t="s">
        <v>1177</v>
      </c>
      <c r="AL809" s="7" t="s">
        <v>1177</v>
      </c>
      <c r="AM809" s="7" t="s">
        <v>1177</v>
      </c>
      <c r="AN809" s="7" t="s">
        <v>3212</v>
      </c>
      <c r="AO809" s="7" t="s">
        <v>1177</v>
      </c>
      <c r="AP809" s="7" t="s">
        <v>1177</v>
      </c>
      <c r="AQ809" s="7" t="s">
        <v>1177</v>
      </c>
      <c r="AR809" s="29">
        <v>0</v>
      </c>
      <c r="AS809" s="7" t="s">
        <v>1177</v>
      </c>
      <c r="AT809" s="7" t="s">
        <v>1363</v>
      </c>
      <c r="AU809" s="38">
        <v>46275</v>
      </c>
      <c r="AV809" s="39">
        <v>0.62410879629630001</v>
      </c>
    </row>
    <row r="810" spans="1:48" x14ac:dyDescent="0.35">
      <c r="A810" t="str">
        <f t="shared" si="12"/>
        <v>GP135716B825</v>
      </c>
      <c r="B810" s="7" t="s">
        <v>64</v>
      </c>
      <c r="C810" s="7" t="s">
        <v>511</v>
      </c>
      <c r="D810" s="7" t="s">
        <v>16</v>
      </c>
      <c r="E810" s="7" t="s">
        <v>1177</v>
      </c>
      <c r="F810" s="7" t="s">
        <v>128</v>
      </c>
      <c r="G810" s="7" t="s">
        <v>130</v>
      </c>
      <c r="H810" s="7" t="s">
        <v>129</v>
      </c>
      <c r="I810" s="30">
        <v>2</v>
      </c>
      <c r="J810" s="7" t="s">
        <v>1177</v>
      </c>
      <c r="K810" s="7" t="s">
        <v>1178</v>
      </c>
      <c r="L810" s="7" t="s">
        <v>132</v>
      </c>
      <c r="M810" s="7" t="s">
        <v>133</v>
      </c>
      <c r="N810" s="30">
        <v>0</v>
      </c>
      <c r="O810" s="30">
        <v>0</v>
      </c>
      <c r="P810" s="30">
        <v>0</v>
      </c>
      <c r="Q810" s="30">
        <v>0</v>
      </c>
      <c r="R810" s="29">
        <v>0</v>
      </c>
      <c r="S810" s="36">
        <v>0</v>
      </c>
      <c r="T810" s="7" t="s">
        <v>131</v>
      </c>
      <c r="U810" s="7" t="s">
        <v>512</v>
      </c>
      <c r="V810" s="7" t="s">
        <v>512</v>
      </c>
      <c r="W810" s="7" t="s">
        <v>1177</v>
      </c>
      <c r="X810" s="30">
        <v>1</v>
      </c>
      <c r="Y810" s="7" t="s">
        <v>1177</v>
      </c>
      <c r="Z810" s="7" t="s">
        <v>1178</v>
      </c>
      <c r="AA810" s="30">
        <v>0</v>
      </c>
      <c r="AB810" s="36">
        <v>0</v>
      </c>
      <c r="AC810" s="7" t="s">
        <v>1177</v>
      </c>
      <c r="AD810" s="37">
        <v>0</v>
      </c>
      <c r="AE810" s="7" t="s">
        <v>1177</v>
      </c>
      <c r="AF810" s="7" t="s">
        <v>1177</v>
      </c>
      <c r="AG810" s="7" t="s">
        <v>1177</v>
      </c>
      <c r="AH810" s="38"/>
      <c r="AI810" s="36">
        <v>0</v>
      </c>
      <c r="AJ810" s="7" t="s">
        <v>1193</v>
      </c>
      <c r="AK810" s="7" t="s">
        <v>1177</v>
      </c>
      <c r="AL810" s="7" t="s">
        <v>1177</v>
      </c>
      <c r="AM810" s="7" t="s">
        <v>1177</v>
      </c>
      <c r="AN810" s="7" t="s">
        <v>3212</v>
      </c>
      <c r="AO810" s="7" t="s">
        <v>1177</v>
      </c>
      <c r="AP810" s="7" t="s">
        <v>1177</v>
      </c>
      <c r="AQ810" s="7" t="s">
        <v>1177</v>
      </c>
      <c r="AR810" s="29">
        <v>0</v>
      </c>
      <c r="AS810" s="7" t="s">
        <v>1177</v>
      </c>
      <c r="AT810" s="7" t="s">
        <v>1363</v>
      </c>
      <c r="AU810" s="38">
        <v>46275</v>
      </c>
      <c r="AV810" s="39">
        <v>0.60349537037037004</v>
      </c>
    </row>
    <row r="811" spans="1:48" x14ac:dyDescent="0.35">
      <c r="A811" t="str">
        <f t="shared" si="12"/>
        <v>GP135716B832</v>
      </c>
      <c r="B811" s="7" t="s">
        <v>64</v>
      </c>
      <c r="C811" s="7" t="s">
        <v>653</v>
      </c>
      <c r="D811" s="7" t="s">
        <v>19</v>
      </c>
      <c r="E811" s="7" t="s">
        <v>1177</v>
      </c>
      <c r="F811" s="7" t="s">
        <v>128</v>
      </c>
      <c r="G811" s="7" t="s">
        <v>130</v>
      </c>
      <c r="H811" s="7" t="s">
        <v>129</v>
      </c>
      <c r="I811" s="30">
        <v>4</v>
      </c>
      <c r="J811" s="7" t="s">
        <v>1177</v>
      </c>
      <c r="K811" s="7" t="s">
        <v>1178</v>
      </c>
      <c r="L811" s="7" t="s">
        <v>132</v>
      </c>
      <c r="M811" s="7" t="s">
        <v>133</v>
      </c>
      <c r="N811" s="30">
        <v>0</v>
      </c>
      <c r="O811" s="30">
        <v>0</v>
      </c>
      <c r="P811" s="30">
        <v>0</v>
      </c>
      <c r="Q811" s="30">
        <v>0</v>
      </c>
      <c r="R811" s="29">
        <v>0</v>
      </c>
      <c r="S811" s="36">
        <v>0</v>
      </c>
      <c r="T811" s="7" t="s">
        <v>131</v>
      </c>
      <c r="U811" s="7" t="s">
        <v>654</v>
      </c>
      <c r="V811" s="7" t="s">
        <v>654</v>
      </c>
      <c r="W811" s="7" t="s">
        <v>1177</v>
      </c>
      <c r="X811" s="30">
        <v>1</v>
      </c>
      <c r="Y811" s="7" t="s">
        <v>1177</v>
      </c>
      <c r="Z811" s="7" t="s">
        <v>1178</v>
      </c>
      <c r="AA811" s="30">
        <v>0</v>
      </c>
      <c r="AB811" s="36">
        <v>0</v>
      </c>
      <c r="AC811" s="7" t="s">
        <v>1177</v>
      </c>
      <c r="AD811" s="37">
        <v>0</v>
      </c>
      <c r="AE811" s="7" t="s">
        <v>1177</v>
      </c>
      <c r="AF811" s="7" t="s">
        <v>1177</v>
      </c>
      <c r="AG811" s="7" t="s">
        <v>1177</v>
      </c>
      <c r="AH811" s="38"/>
      <c r="AI811" s="36">
        <v>0</v>
      </c>
      <c r="AJ811" s="7" t="s">
        <v>1193</v>
      </c>
      <c r="AK811" s="7" t="s">
        <v>1177</v>
      </c>
      <c r="AL811" s="7" t="s">
        <v>1177</v>
      </c>
      <c r="AM811" s="7" t="s">
        <v>1177</v>
      </c>
      <c r="AN811" s="7" t="s">
        <v>3212</v>
      </c>
      <c r="AO811" s="7" t="s">
        <v>1177</v>
      </c>
      <c r="AP811" s="7" t="s">
        <v>1177</v>
      </c>
      <c r="AQ811" s="7" t="s">
        <v>1177</v>
      </c>
      <c r="AR811" s="29">
        <v>0</v>
      </c>
      <c r="AS811" s="7" t="s">
        <v>1177</v>
      </c>
      <c r="AT811" s="7" t="s">
        <v>1363</v>
      </c>
      <c r="AU811" s="38">
        <v>46275</v>
      </c>
      <c r="AV811" s="39">
        <v>0.60394675925926</v>
      </c>
    </row>
    <row r="812" spans="1:48" x14ac:dyDescent="0.35">
      <c r="A812" t="str">
        <f t="shared" si="12"/>
        <v>GP135716B833</v>
      </c>
      <c r="B812" s="7" t="s">
        <v>64</v>
      </c>
      <c r="C812" s="7" t="s">
        <v>698</v>
      </c>
      <c r="D812" s="7" t="s">
        <v>697</v>
      </c>
      <c r="E812" s="7" t="s">
        <v>1177</v>
      </c>
      <c r="F812" s="7" t="s">
        <v>128</v>
      </c>
      <c r="G812" s="7" t="s">
        <v>130</v>
      </c>
      <c r="H812" s="7" t="s">
        <v>129</v>
      </c>
      <c r="I812" s="30">
        <v>1</v>
      </c>
      <c r="J812" s="7" t="s">
        <v>1177</v>
      </c>
      <c r="K812" s="7" t="s">
        <v>1178</v>
      </c>
      <c r="L812" s="7" t="s">
        <v>132</v>
      </c>
      <c r="M812" s="7" t="s">
        <v>133</v>
      </c>
      <c r="N812" s="30">
        <v>0</v>
      </c>
      <c r="O812" s="30">
        <v>0</v>
      </c>
      <c r="P812" s="30">
        <v>0</v>
      </c>
      <c r="Q812" s="30">
        <v>0</v>
      </c>
      <c r="R812" s="29">
        <v>0</v>
      </c>
      <c r="S812" s="36">
        <v>0</v>
      </c>
      <c r="T812" s="7" t="s">
        <v>131</v>
      </c>
      <c r="U812" s="7" t="s">
        <v>699</v>
      </c>
      <c r="V812" s="7" t="s">
        <v>699</v>
      </c>
      <c r="W812" s="7" t="s">
        <v>1177</v>
      </c>
      <c r="X812" s="30">
        <v>1</v>
      </c>
      <c r="Y812" s="7" t="s">
        <v>1177</v>
      </c>
      <c r="Z812" s="7" t="s">
        <v>1178</v>
      </c>
      <c r="AA812" s="30">
        <v>0</v>
      </c>
      <c r="AB812" s="36">
        <v>0</v>
      </c>
      <c r="AC812" s="7" t="s">
        <v>1177</v>
      </c>
      <c r="AD812" s="37">
        <v>0</v>
      </c>
      <c r="AE812" s="7" t="s">
        <v>1177</v>
      </c>
      <c r="AF812" s="7" t="s">
        <v>1177</v>
      </c>
      <c r="AG812" s="7" t="s">
        <v>1177</v>
      </c>
      <c r="AH812" s="38"/>
      <c r="AI812" s="36">
        <v>0</v>
      </c>
      <c r="AJ812" s="7" t="s">
        <v>1193</v>
      </c>
      <c r="AK812" s="7" t="s">
        <v>1177</v>
      </c>
      <c r="AL812" s="7" t="s">
        <v>1177</v>
      </c>
      <c r="AM812" s="7" t="s">
        <v>1177</v>
      </c>
      <c r="AN812" s="7" t="s">
        <v>3212</v>
      </c>
      <c r="AO812" s="7" t="s">
        <v>1177</v>
      </c>
      <c r="AP812" s="7" t="s">
        <v>1177</v>
      </c>
      <c r="AQ812" s="7" t="s">
        <v>1177</v>
      </c>
      <c r="AR812" s="29">
        <v>0</v>
      </c>
      <c r="AS812" s="7" t="s">
        <v>1177</v>
      </c>
      <c r="AT812" s="7" t="s">
        <v>1363</v>
      </c>
      <c r="AU812" s="38">
        <v>46275</v>
      </c>
      <c r="AV812" s="39">
        <v>0.60399305555556004</v>
      </c>
    </row>
    <row r="813" spans="1:48" x14ac:dyDescent="0.35">
      <c r="A813" t="str">
        <f t="shared" si="12"/>
        <v>GP135716B838</v>
      </c>
      <c r="B813" s="7" t="s">
        <v>64</v>
      </c>
      <c r="C813" s="7" t="s">
        <v>744</v>
      </c>
      <c r="D813" s="7" t="s">
        <v>48</v>
      </c>
      <c r="E813" s="7" t="s">
        <v>1177</v>
      </c>
      <c r="F813" s="7" t="s">
        <v>128</v>
      </c>
      <c r="G813" s="7" t="s">
        <v>130</v>
      </c>
      <c r="H813" s="7" t="s">
        <v>129</v>
      </c>
      <c r="I813" s="30">
        <v>5</v>
      </c>
      <c r="J813" s="7" t="s">
        <v>1177</v>
      </c>
      <c r="K813" s="7" t="s">
        <v>1178</v>
      </c>
      <c r="L813" s="7" t="s">
        <v>132</v>
      </c>
      <c r="M813" s="7" t="s">
        <v>133</v>
      </c>
      <c r="N813" s="30">
        <v>0</v>
      </c>
      <c r="O813" s="30">
        <v>0</v>
      </c>
      <c r="P813" s="30">
        <v>0</v>
      </c>
      <c r="Q813" s="30">
        <v>0</v>
      </c>
      <c r="R813" s="29">
        <v>0</v>
      </c>
      <c r="S813" s="36">
        <v>0</v>
      </c>
      <c r="T813" s="7" t="s">
        <v>131</v>
      </c>
      <c r="U813" s="7" t="s">
        <v>745</v>
      </c>
      <c r="V813" s="7" t="s">
        <v>745</v>
      </c>
      <c r="W813" s="7" t="s">
        <v>1177</v>
      </c>
      <c r="X813" s="30">
        <v>1</v>
      </c>
      <c r="Y813" s="7" t="s">
        <v>1177</v>
      </c>
      <c r="Z813" s="7" t="s">
        <v>1178</v>
      </c>
      <c r="AA813" s="30">
        <v>0</v>
      </c>
      <c r="AB813" s="36">
        <v>0</v>
      </c>
      <c r="AC813" s="7" t="s">
        <v>1177</v>
      </c>
      <c r="AD813" s="37">
        <v>0</v>
      </c>
      <c r="AE813" s="7" t="s">
        <v>1177</v>
      </c>
      <c r="AF813" s="7" t="s">
        <v>1177</v>
      </c>
      <c r="AG813" s="7" t="s">
        <v>1177</v>
      </c>
      <c r="AH813" s="38"/>
      <c r="AI813" s="36">
        <v>0</v>
      </c>
      <c r="AJ813" s="7" t="s">
        <v>1193</v>
      </c>
      <c r="AK813" s="7" t="s">
        <v>1177</v>
      </c>
      <c r="AL813" s="7" t="s">
        <v>1177</v>
      </c>
      <c r="AM813" s="7" t="s">
        <v>1177</v>
      </c>
      <c r="AN813" s="7" t="s">
        <v>3212</v>
      </c>
      <c r="AO813" s="7" t="s">
        <v>1177</v>
      </c>
      <c r="AP813" s="7" t="s">
        <v>1177</v>
      </c>
      <c r="AQ813" s="7" t="s">
        <v>1177</v>
      </c>
      <c r="AR813" s="29">
        <v>0</v>
      </c>
      <c r="AS813" s="7" t="s">
        <v>1177</v>
      </c>
      <c r="AT813" s="7" t="s">
        <v>1363</v>
      </c>
      <c r="AU813" s="38">
        <v>46275</v>
      </c>
      <c r="AV813" s="39">
        <v>0.60445601851852004</v>
      </c>
    </row>
    <row r="814" spans="1:48" x14ac:dyDescent="0.35">
      <c r="A814" t="str">
        <f t="shared" si="12"/>
        <v>GP136128B832</v>
      </c>
      <c r="B814" s="7" t="s">
        <v>262</v>
      </c>
      <c r="C814" s="7" t="s">
        <v>653</v>
      </c>
      <c r="D814" s="7" t="s">
        <v>19</v>
      </c>
      <c r="E814" s="7" t="s">
        <v>1177</v>
      </c>
      <c r="F814" s="7" t="s">
        <v>128</v>
      </c>
      <c r="G814" s="7" t="s">
        <v>130</v>
      </c>
      <c r="H814" s="7" t="s">
        <v>129</v>
      </c>
      <c r="I814" s="30">
        <v>2</v>
      </c>
      <c r="J814" s="7" t="s">
        <v>1177</v>
      </c>
      <c r="K814" s="7" t="s">
        <v>1178</v>
      </c>
      <c r="L814" s="7" t="s">
        <v>132</v>
      </c>
      <c r="M814" s="7" t="s">
        <v>133</v>
      </c>
      <c r="N814" s="30">
        <v>0</v>
      </c>
      <c r="O814" s="30">
        <v>0</v>
      </c>
      <c r="P814" s="30">
        <v>0</v>
      </c>
      <c r="Q814" s="30">
        <v>0</v>
      </c>
      <c r="R814" s="29">
        <v>0</v>
      </c>
      <c r="S814" s="36">
        <v>0</v>
      </c>
      <c r="T814" s="7" t="s">
        <v>131</v>
      </c>
      <c r="U814" s="7" t="s">
        <v>654</v>
      </c>
      <c r="V814" s="7" t="s">
        <v>654</v>
      </c>
      <c r="W814" s="7" t="s">
        <v>1177</v>
      </c>
      <c r="X814" s="30">
        <v>1</v>
      </c>
      <c r="Y814" s="7" t="s">
        <v>1177</v>
      </c>
      <c r="Z814" s="7" t="s">
        <v>1178</v>
      </c>
      <c r="AA814" s="30">
        <v>0</v>
      </c>
      <c r="AB814" s="36">
        <v>0</v>
      </c>
      <c r="AC814" s="7" t="s">
        <v>1177</v>
      </c>
      <c r="AD814" s="37">
        <v>0</v>
      </c>
      <c r="AE814" s="7" t="s">
        <v>1177</v>
      </c>
      <c r="AF814" s="7" t="s">
        <v>1177</v>
      </c>
      <c r="AG814" s="7" t="s">
        <v>1177</v>
      </c>
      <c r="AH814" s="38"/>
      <c r="AI814" s="36">
        <v>0</v>
      </c>
      <c r="AJ814" s="7" t="s">
        <v>1193</v>
      </c>
      <c r="AK814" s="7" t="s">
        <v>1177</v>
      </c>
      <c r="AL814" s="7" t="s">
        <v>1177</v>
      </c>
      <c r="AM814" s="7" t="s">
        <v>1177</v>
      </c>
      <c r="AN814" s="7" t="s">
        <v>3212</v>
      </c>
      <c r="AO814" s="7" t="s">
        <v>1177</v>
      </c>
      <c r="AP814" s="7" t="s">
        <v>1177</v>
      </c>
      <c r="AQ814" s="7" t="s">
        <v>1177</v>
      </c>
      <c r="AR814" s="29">
        <v>0</v>
      </c>
      <c r="AS814" s="7" t="s">
        <v>1177</v>
      </c>
      <c r="AT814" s="7" t="s">
        <v>1363</v>
      </c>
      <c r="AU814" s="38">
        <v>46275</v>
      </c>
      <c r="AV814" s="39">
        <v>0.60394675925926</v>
      </c>
    </row>
    <row r="815" spans="1:48" x14ac:dyDescent="0.35">
      <c r="A815" t="str">
        <f t="shared" si="12"/>
        <v>GP138790B825</v>
      </c>
      <c r="B815" s="7" t="s">
        <v>550</v>
      </c>
      <c r="C815" s="7" t="s">
        <v>511</v>
      </c>
      <c r="D815" s="7" t="s">
        <v>16</v>
      </c>
      <c r="E815" s="7" t="s">
        <v>1177</v>
      </c>
      <c r="F815" s="7" t="s">
        <v>128</v>
      </c>
      <c r="G815" s="7" t="s">
        <v>130</v>
      </c>
      <c r="H815" s="7" t="s">
        <v>129</v>
      </c>
      <c r="I815" s="30">
        <v>1</v>
      </c>
      <c r="J815" s="7" t="s">
        <v>1177</v>
      </c>
      <c r="K815" s="7" t="s">
        <v>1178</v>
      </c>
      <c r="L815" s="7" t="s">
        <v>132</v>
      </c>
      <c r="M815" s="7" t="s">
        <v>133</v>
      </c>
      <c r="N815" s="30">
        <v>0</v>
      </c>
      <c r="O815" s="30">
        <v>0</v>
      </c>
      <c r="P815" s="30">
        <v>0</v>
      </c>
      <c r="Q815" s="30">
        <v>0</v>
      </c>
      <c r="R815" s="29">
        <v>0</v>
      </c>
      <c r="S815" s="36">
        <v>0</v>
      </c>
      <c r="T815" s="7" t="s">
        <v>131</v>
      </c>
      <c r="U815" s="7" t="s">
        <v>512</v>
      </c>
      <c r="V815" s="7" t="s">
        <v>512</v>
      </c>
      <c r="W815" s="7" t="s">
        <v>1177</v>
      </c>
      <c r="X815" s="30">
        <v>1</v>
      </c>
      <c r="Y815" s="7" t="s">
        <v>1177</v>
      </c>
      <c r="Z815" s="7" t="s">
        <v>1178</v>
      </c>
      <c r="AA815" s="30">
        <v>0</v>
      </c>
      <c r="AB815" s="36">
        <v>0</v>
      </c>
      <c r="AC815" s="7" t="s">
        <v>1177</v>
      </c>
      <c r="AD815" s="37">
        <v>0</v>
      </c>
      <c r="AE815" s="7" t="s">
        <v>1177</v>
      </c>
      <c r="AF815" s="7" t="s">
        <v>1177</v>
      </c>
      <c r="AG815" s="7" t="s">
        <v>1177</v>
      </c>
      <c r="AH815" s="38"/>
      <c r="AI815" s="36">
        <v>0</v>
      </c>
      <c r="AJ815" s="7" t="s">
        <v>1193</v>
      </c>
      <c r="AK815" s="7" t="s">
        <v>1177</v>
      </c>
      <c r="AL815" s="7" t="s">
        <v>1177</v>
      </c>
      <c r="AM815" s="7" t="s">
        <v>1177</v>
      </c>
      <c r="AN815" s="7" t="s">
        <v>3212</v>
      </c>
      <c r="AO815" s="7" t="s">
        <v>1177</v>
      </c>
      <c r="AP815" s="7" t="s">
        <v>1177</v>
      </c>
      <c r="AQ815" s="7" t="s">
        <v>1177</v>
      </c>
      <c r="AR815" s="29">
        <v>0</v>
      </c>
      <c r="AS815" s="7" t="s">
        <v>1177</v>
      </c>
      <c r="AT815" s="7" t="s">
        <v>1363</v>
      </c>
      <c r="AU815" s="38">
        <v>46275</v>
      </c>
      <c r="AV815" s="39">
        <v>0.62304398148147999</v>
      </c>
    </row>
    <row r="816" spans="1:48" x14ac:dyDescent="0.35">
      <c r="A816" t="str">
        <f t="shared" si="12"/>
        <v>GP138790B856</v>
      </c>
      <c r="B816" s="7" t="s">
        <v>550</v>
      </c>
      <c r="C816" s="7" t="s">
        <v>852</v>
      </c>
      <c r="D816" s="7" t="s">
        <v>21</v>
      </c>
      <c r="E816" s="7" t="s">
        <v>1177</v>
      </c>
      <c r="F816" s="7" t="s">
        <v>128</v>
      </c>
      <c r="G816" s="7" t="s">
        <v>130</v>
      </c>
      <c r="H816" s="7" t="s">
        <v>129</v>
      </c>
      <c r="I816" s="30">
        <v>1</v>
      </c>
      <c r="J816" s="7" t="s">
        <v>1177</v>
      </c>
      <c r="K816" s="7" t="s">
        <v>1178</v>
      </c>
      <c r="L816" s="7" t="s">
        <v>132</v>
      </c>
      <c r="M816" s="7" t="s">
        <v>133</v>
      </c>
      <c r="N816" s="30">
        <v>0</v>
      </c>
      <c r="O816" s="30">
        <v>0</v>
      </c>
      <c r="P816" s="30">
        <v>0</v>
      </c>
      <c r="Q816" s="30">
        <v>0</v>
      </c>
      <c r="R816" s="29">
        <v>0</v>
      </c>
      <c r="S816" s="36">
        <v>0</v>
      </c>
      <c r="T816" s="7" t="s">
        <v>131</v>
      </c>
      <c r="U816" s="7" t="s">
        <v>853</v>
      </c>
      <c r="V816" s="7" t="s">
        <v>853</v>
      </c>
      <c r="W816" s="7" t="s">
        <v>1177</v>
      </c>
      <c r="X816" s="30">
        <v>1</v>
      </c>
      <c r="Y816" s="7" t="s">
        <v>1177</v>
      </c>
      <c r="Z816" s="7" t="s">
        <v>1178</v>
      </c>
      <c r="AA816" s="30">
        <v>0</v>
      </c>
      <c r="AB816" s="36">
        <v>0</v>
      </c>
      <c r="AC816" s="7" t="s">
        <v>1177</v>
      </c>
      <c r="AD816" s="37">
        <v>0</v>
      </c>
      <c r="AE816" s="7" t="s">
        <v>1177</v>
      </c>
      <c r="AF816" s="7" t="s">
        <v>1177</v>
      </c>
      <c r="AG816" s="7" t="s">
        <v>1177</v>
      </c>
      <c r="AH816" s="38"/>
      <c r="AI816" s="36">
        <v>0</v>
      </c>
      <c r="AJ816" s="7" t="s">
        <v>1193</v>
      </c>
      <c r="AK816" s="7" t="s">
        <v>1177</v>
      </c>
      <c r="AL816" s="7" t="s">
        <v>1177</v>
      </c>
      <c r="AM816" s="7" t="s">
        <v>1177</v>
      </c>
      <c r="AN816" s="7" t="s">
        <v>3212</v>
      </c>
      <c r="AO816" s="7" t="s">
        <v>1177</v>
      </c>
      <c r="AP816" s="7" t="s">
        <v>1177</v>
      </c>
      <c r="AQ816" s="7" t="s">
        <v>1177</v>
      </c>
      <c r="AR816" s="29">
        <v>0</v>
      </c>
      <c r="AS816" s="7" t="s">
        <v>1177</v>
      </c>
      <c r="AT816" s="7" t="s">
        <v>1363</v>
      </c>
      <c r="AU816" s="38">
        <v>46275</v>
      </c>
      <c r="AV816" s="39">
        <v>0.62486111111110998</v>
      </c>
    </row>
    <row r="817" spans="1:48" x14ac:dyDescent="0.35">
      <c r="A817" t="str">
        <f t="shared" si="12"/>
        <v>GP139040B825</v>
      </c>
      <c r="B817" s="7" t="s">
        <v>552</v>
      </c>
      <c r="C817" s="7" t="s">
        <v>511</v>
      </c>
      <c r="D817" s="7" t="s">
        <v>16</v>
      </c>
      <c r="E817" s="7" t="s">
        <v>1177</v>
      </c>
      <c r="F817" s="7" t="s">
        <v>128</v>
      </c>
      <c r="G817" s="7" t="s">
        <v>130</v>
      </c>
      <c r="H817" s="7" t="s">
        <v>129</v>
      </c>
      <c r="I817" s="30">
        <v>2</v>
      </c>
      <c r="J817" s="7" t="s">
        <v>1177</v>
      </c>
      <c r="K817" s="7" t="s">
        <v>1178</v>
      </c>
      <c r="L817" s="7" t="s">
        <v>132</v>
      </c>
      <c r="M817" s="7" t="s">
        <v>133</v>
      </c>
      <c r="N817" s="30">
        <v>0</v>
      </c>
      <c r="O817" s="30">
        <v>0</v>
      </c>
      <c r="P817" s="30">
        <v>0</v>
      </c>
      <c r="Q817" s="30">
        <v>0</v>
      </c>
      <c r="R817" s="29">
        <v>0</v>
      </c>
      <c r="S817" s="36">
        <v>0</v>
      </c>
      <c r="T817" s="7" t="s">
        <v>131</v>
      </c>
      <c r="U817" s="7" t="s">
        <v>512</v>
      </c>
      <c r="V817" s="7" t="s">
        <v>512</v>
      </c>
      <c r="W817" s="7" t="s">
        <v>1177</v>
      </c>
      <c r="X817" s="30">
        <v>1</v>
      </c>
      <c r="Y817" s="7" t="s">
        <v>1177</v>
      </c>
      <c r="Z817" s="7" t="s">
        <v>1178</v>
      </c>
      <c r="AA817" s="30">
        <v>0</v>
      </c>
      <c r="AB817" s="36">
        <v>0</v>
      </c>
      <c r="AC817" s="7" t="s">
        <v>1177</v>
      </c>
      <c r="AD817" s="37">
        <v>0</v>
      </c>
      <c r="AE817" s="7" t="s">
        <v>1177</v>
      </c>
      <c r="AF817" s="7" t="s">
        <v>1177</v>
      </c>
      <c r="AG817" s="7" t="s">
        <v>1177</v>
      </c>
      <c r="AH817" s="38"/>
      <c r="AI817" s="36">
        <v>0</v>
      </c>
      <c r="AJ817" s="7" t="s">
        <v>1193</v>
      </c>
      <c r="AK817" s="7" t="s">
        <v>1177</v>
      </c>
      <c r="AL817" s="7" t="s">
        <v>1177</v>
      </c>
      <c r="AM817" s="7" t="s">
        <v>1177</v>
      </c>
      <c r="AN817" s="7" t="s">
        <v>3212</v>
      </c>
      <c r="AO817" s="7" t="s">
        <v>1177</v>
      </c>
      <c r="AP817" s="7" t="s">
        <v>1177</v>
      </c>
      <c r="AQ817" s="7" t="s">
        <v>1177</v>
      </c>
      <c r="AR817" s="29">
        <v>0</v>
      </c>
      <c r="AS817" s="7" t="s">
        <v>1177</v>
      </c>
      <c r="AT817" s="7" t="s">
        <v>1363</v>
      </c>
      <c r="AU817" s="38">
        <v>46275</v>
      </c>
      <c r="AV817" s="39">
        <v>0.62304398148147999</v>
      </c>
    </row>
    <row r="818" spans="1:48" x14ac:dyDescent="0.35">
      <c r="A818" t="str">
        <f t="shared" si="12"/>
        <v>GP139043B856</v>
      </c>
      <c r="B818" s="7" t="s">
        <v>862</v>
      </c>
      <c r="C818" s="7" t="s">
        <v>852</v>
      </c>
      <c r="D818" s="7" t="s">
        <v>21</v>
      </c>
      <c r="E818" s="7" t="s">
        <v>1177</v>
      </c>
      <c r="F818" s="7" t="s">
        <v>128</v>
      </c>
      <c r="G818" s="7" t="s">
        <v>130</v>
      </c>
      <c r="H818" s="7" t="s">
        <v>129</v>
      </c>
      <c r="I818" s="30">
        <v>2</v>
      </c>
      <c r="J818" s="7" t="s">
        <v>1177</v>
      </c>
      <c r="K818" s="7" t="s">
        <v>1178</v>
      </c>
      <c r="L818" s="7" t="s">
        <v>132</v>
      </c>
      <c r="M818" s="7" t="s">
        <v>133</v>
      </c>
      <c r="N818" s="30">
        <v>0</v>
      </c>
      <c r="O818" s="30">
        <v>0</v>
      </c>
      <c r="P818" s="30">
        <v>0</v>
      </c>
      <c r="Q818" s="30">
        <v>0</v>
      </c>
      <c r="R818" s="29">
        <v>0</v>
      </c>
      <c r="S818" s="36">
        <v>0</v>
      </c>
      <c r="T818" s="7" t="s">
        <v>131</v>
      </c>
      <c r="U818" s="7" t="s">
        <v>853</v>
      </c>
      <c r="V818" s="7" t="s">
        <v>853</v>
      </c>
      <c r="W818" s="7" t="s">
        <v>1177</v>
      </c>
      <c r="X818" s="30">
        <v>1</v>
      </c>
      <c r="Y818" s="7" t="s">
        <v>1177</v>
      </c>
      <c r="Z818" s="7" t="s">
        <v>1178</v>
      </c>
      <c r="AA818" s="30">
        <v>0</v>
      </c>
      <c r="AB818" s="36">
        <v>0</v>
      </c>
      <c r="AC818" s="7" t="s">
        <v>1177</v>
      </c>
      <c r="AD818" s="37">
        <v>0</v>
      </c>
      <c r="AE818" s="7" t="s">
        <v>1177</v>
      </c>
      <c r="AF818" s="7" t="s">
        <v>1177</v>
      </c>
      <c r="AG818" s="7" t="s">
        <v>1177</v>
      </c>
      <c r="AH818" s="38"/>
      <c r="AI818" s="36">
        <v>0</v>
      </c>
      <c r="AJ818" s="7" t="s">
        <v>1193</v>
      </c>
      <c r="AK818" s="7" t="s">
        <v>1177</v>
      </c>
      <c r="AL818" s="7" t="s">
        <v>1177</v>
      </c>
      <c r="AM818" s="7" t="s">
        <v>1177</v>
      </c>
      <c r="AN818" s="7" t="s">
        <v>3212</v>
      </c>
      <c r="AO818" s="7" t="s">
        <v>1177</v>
      </c>
      <c r="AP818" s="7" t="s">
        <v>1177</v>
      </c>
      <c r="AQ818" s="7" t="s">
        <v>1177</v>
      </c>
      <c r="AR818" s="29">
        <v>0</v>
      </c>
      <c r="AS818" s="7" t="s">
        <v>1177</v>
      </c>
      <c r="AT818" s="7" t="s">
        <v>1363</v>
      </c>
      <c r="AU818" s="38">
        <v>46275</v>
      </c>
      <c r="AV818" s="39">
        <v>0.62486111111110998</v>
      </c>
    </row>
    <row r="819" spans="1:48" x14ac:dyDescent="0.35">
      <c r="A819" t="str">
        <f t="shared" si="12"/>
        <v>GP139061B825</v>
      </c>
      <c r="B819" s="7" t="s">
        <v>263</v>
      </c>
      <c r="C819" s="7" t="s">
        <v>511</v>
      </c>
      <c r="D819" s="7" t="s">
        <v>16</v>
      </c>
      <c r="E819" s="7" t="s">
        <v>1177</v>
      </c>
      <c r="F819" s="7" t="s">
        <v>128</v>
      </c>
      <c r="G819" s="7" t="s">
        <v>130</v>
      </c>
      <c r="H819" s="7" t="s">
        <v>129</v>
      </c>
      <c r="I819" s="30">
        <v>2</v>
      </c>
      <c r="J819" s="7" t="s">
        <v>1177</v>
      </c>
      <c r="K819" s="7" t="s">
        <v>1178</v>
      </c>
      <c r="L819" s="7" t="s">
        <v>132</v>
      </c>
      <c r="M819" s="7" t="s">
        <v>133</v>
      </c>
      <c r="N819" s="30">
        <v>0</v>
      </c>
      <c r="O819" s="30">
        <v>0</v>
      </c>
      <c r="P819" s="30">
        <v>0</v>
      </c>
      <c r="Q819" s="30">
        <v>0</v>
      </c>
      <c r="R819" s="29">
        <v>0</v>
      </c>
      <c r="S819" s="36">
        <v>0</v>
      </c>
      <c r="T819" s="7" t="s">
        <v>131</v>
      </c>
      <c r="U819" s="7" t="s">
        <v>512</v>
      </c>
      <c r="V819" s="7" t="s">
        <v>512</v>
      </c>
      <c r="W819" s="7" t="s">
        <v>1177</v>
      </c>
      <c r="X819" s="30">
        <v>1</v>
      </c>
      <c r="Y819" s="7" t="s">
        <v>1177</v>
      </c>
      <c r="Z819" s="7" t="s">
        <v>1178</v>
      </c>
      <c r="AA819" s="30">
        <v>0</v>
      </c>
      <c r="AB819" s="36">
        <v>0</v>
      </c>
      <c r="AC819" s="7" t="s">
        <v>1177</v>
      </c>
      <c r="AD819" s="37">
        <v>0</v>
      </c>
      <c r="AE819" s="7" t="s">
        <v>1177</v>
      </c>
      <c r="AF819" s="7" t="s">
        <v>1177</v>
      </c>
      <c r="AG819" s="7" t="s">
        <v>1177</v>
      </c>
      <c r="AH819" s="38"/>
      <c r="AI819" s="36">
        <v>0</v>
      </c>
      <c r="AJ819" s="7" t="s">
        <v>1193</v>
      </c>
      <c r="AK819" s="7" t="s">
        <v>1177</v>
      </c>
      <c r="AL819" s="7" t="s">
        <v>1177</v>
      </c>
      <c r="AM819" s="7" t="s">
        <v>1177</v>
      </c>
      <c r="AN819" s="7" t="s">
        <v>3212</v>
      </c>
      <c r="AO819" s="7" t="s">
        <v>1177</v>
      </c>
      <c r="AP819" s="7" t="s">
        <v>1177</v>
      </c>
      <c r="AQ819" s="7" t="s">
        <v>1177</v>
      </c>
      <c r="AR819" s="29">
        <v>0</v>
      </c>
      <c r="AS819" s="7" t="s">
        <v>1177</v>
      </c>
      <c r="AT819" s="7" t="s">
        <v>1363</v>
      </c>
      <c r="AU819" s="38">
        <v>46275</v>
      </c>
      <c r="AV819" s="39">
        <v>0.62304398148147999</v>
      </c>
    </row>
    <row r="820" spans="1:48" x14ac:dyDescent="0.35">
      <c r="A820" t="str">
        <f t="shared" si="12"/>
        <v>GP139201B856</v>
      </c>
      <c r="B820" s="7" t="s">
        <v>264</v>
      </c>
      <c r="C820" s="7" t="s">
        <v>852</v>
      </c>
      <c r="D820" s="7" t="s">
        <v>21</v>
      </c>
      <c r="E820" s="7" t="s">
        <v>1177</v>
      </c>
      <c r="F820" s="7" t="s">
        <v>134</v>
      </c>
      <c r="G820" s="7" t="s">
        <v>130</v>
      </c>
      <c r="H820" s="7" t="s">
        <v>129</v>
      </c>
      <c r="I820" s="30">
        <v>2</v>
      </c>
      <c r="J820" s="7" t="s">
        <v>1177</v>
      </c>
      <c r="K820" s="7" t="s">
        <v>1178</v>
      </c>
      <c r="L820" s="7" t="s">
        <v>132</v>
      </c>
      <c r="M820" s="7" t="s">
        <v>133</v>
      </c>
      <c r="N820" s="30">
        <v>0</v>
      </c>
      <c r="O820" s="30">
        <v>0</v>
      </c>
      <c r="P820" s="30">
        <v>0</v>
      </c>
      <c r="Q820" s="30">
        <v>0</v>
      </c>
      <c r="R820" s="29">
        <v>0</v>
      </c>
      <c r="S820" s="36">
        <v>0</v>
      </c>
      <c r="T820" s="7" t="s">
        <v>131</v>
      </c>
      <c r="U820" s="7" t="s">
        <v>853</v>
      </c>
      <c r="V820" s="7" t="s">
        <v>853</v>
      </c>
      <c r="W820" s="7" t="s">
        <v>1177</v>
      </c>
      <c r="X820" s="30">
        <v>2</v>
      </c>
      <c r="Y820" s="7" t="s">
        <v>1177</v>
      </c>
      <c r="Z820" s="7" t="s">
        <v>1178</v>
      </c>
      <c r="AA820" s="30">
        <v>0</v>
      </c>
      <c r="AB820" s="36">
        <v>0</v>
      </c>
      <c r="AC820" s="7" t="s">
        <v>1177</v>
      </c>
      <c r="AD820" s="37">
        <v>0</v>
      </c>
      <c r="AE820" s="7" t="s">
        <v>1177</v>
      </c>
      <c r="AF820" s="7" t="s">
        <v>1177</v>
      </c>
      <c r="AG820" s="7" t="s">
        <v>1177</v>
      </c>
      <c r="AH820" s="38"/>
      <c r="AI820" s="36">
        <v>0</v>
      </c>
      <c r="AJ820" s="7" t="s">
        <v>1193</v>
      </c>
      <c r="AK820" s="7" t="s">
        <v>1177</v>
      </c>
      <c r="AL820" s="7" t="s">
        <v>1177</v>
      </c>
      <c r="AM820" s="7" t="s">
        <v>1177</v>
      </c>
      <c r="AN820" s="7" t="s">
        <v>3212</v>
      </c>
      <c r="AO820" s="7" t="s">
        <v>1177</v>
      </c>
      <c r="AP820" s="7" t="s">
        <v>1177</v>
      </c>
      <c r="AQ820" s="7" t="s">
        <v>1177</v>
      </c>
      <c r="AR820" s="29">
        <v>0</v>
      </c>
      <c r="AS820" s="7" t="s">
        <v>1177</v>
      </c>
      <c r="AT820" s="7" t="s">
        <v>1363</v>
      </c>
      <c r="AU820" s="38">
        <v>46275</v>
      </c>
      <c r="AV820" s="39">
        <v>0.60523148148147998</v>
      </c>
    </row>
    <row r="821" spans="1:48" x14ac:dyDescent="0.35">
      <c r="A821" t="str">
        <f t="shared" si="12"/>
        <v>GP139201B857</v>
      </c>
      <c r="B821" s="7" t="s">
        <v>264</v>
      </c>
      <c r="C821" s="7" t="s">
        <v>958</v>
      </c>
      <c r="D821" s="7" t="s">
        <v>23</v>
      </c>
      <c r="E821" s="7" t="s">
        <v>1177</v>
      </c>
      <c r="F821" s="7" t="s">
        <v>134</v>
      </c>
      <c r="G821" s="7" t="s">
        <v>130</v>
      </c>
      <c r="H821" s="7" t="s">
        <v>129</v>
      </c>
      <c r="I821" s="30">
        <v>4</v>
      </c>
      <c r="J821" s="7" t="s">
        <v>1177</v>
      </c>
      <c r="K821" s="7" t="s">
        <v>1178</v>
      </c>
      <c r="L821" s="7" t="s">
        <v>132</v>
      </c>
      <c r="M821" s="7" t="s">
        <v>133</v>
      </c>
      <c r="N821" s="30">
        <v>0</v>
      </c>
      <c r="O821" s="30">
        <v>0</v>
      </c>
      <c r="P821" s="30">
        <v>0</v>
      </c>
      <c r="Q821" s="30">
        <v>0</v>
      </c>
      <c r="R821" s="29">
        <v>0</v>
      </c>
      <c r="S821" s="36">
        <v>0</v>
      </c>
      <c r="T821" s="7" t="s">
        <v>131</v>
      </c>
      <c r="U821" s="7" t="s">
        <v>959</v>
      </c>
      <c r="V821" s="7" t="s">
        <v>959</v>
      </c>
      <c r="W821" s="7" t="s">
        <v>1177</v>
      </c>
      <c r="X821" s="30">
        <v>4</v>
      </c>
      <c r="Y821" s="7" t="s">
        <v>1177</v>
      </c>
      <c r="Z821" s="7" t="s">
        <v>1178</v>
      </c>
      <c r="AA821" s="30">
        <v>0</v>
      </c>
      <c r="AB821" s="36">
        <v>0</v>
      </c>
      <c r="AC821" s="7" t="s">
        <v>1177</v>
      </c>
      <c r="AD821" s="37">
        <v>0</v>
      </c>
      <c r="AE821" s="7" t="s">
        <v>1177</v>
      </c>
      <c r="AF821" s="7" t="s">
        <v>1177</v>
      </c>
      <c r="AG821" s="7" t="s">
        <v>1177</v>
      </c>
      <c r="AH821" s="38"/>
      <c r="AI821" s="36">
        <v>0</v>
      </c>
      <c r="AJ821" s="7" t="s">
        <v>1193</v>
      </c>
      <c r="AK821" s="7" t="s">
        <v>1177</v>
      </c>
      <c r="AL821" s="7" t="s">
        <v>1177</v>
      </c>
      <c r="AM821" s="7" t="s">
        <v>1177</v>
      </c>
      <c r="AN821" s="7" t="s">
        <v>3212</v>
      </c>
      <c r="AO821" s="7" t="s">
        <v>1177</v>
      </c>
      <c r="AP821" s="7" t="s">
        <v>1177</v>
      </c>
      <c r="AQ821" s="7" t="s">
        <v>1177</v>
      </c>
      <c r="AR821" s="29">
        <v>0</v>
      </c>
      <c r="AS821" s="7" t="s">
        <v>1177</v>
      </c>
      <c r="AT821" s="7" t="s">
        <v>1363</v>
      </c>
      <c r="AU821" s="38">
        <v>46275</v>
      </c>
      <c r="AV821" s="39">
        <v>0.60528935185184995</v>
      </c>
    </row>
    <row r="822" spans="1:48" x14ac:dyDescent="0.35">
      <c r="A822" t="str">
        <f t="shared" si="12"/>
        <v>GP139202B864</v>
      </c>
      <c r="B822" s="7" t="s">
        <v>266</v>
      </c>
      <c r="C822" s="7" t="s">
        <v>1010</v>
      </c>
      <c r="D822" s="7" t="s">
        <v>10</v>
      </c>
      <c r="E822" s="7" t="s">
        <v>1177</v>
      </c>
      <c r="F822" s="7" t="s">
        <v>134</v>
      </c>
      <c r="G822" s="7" t="s">
        <v>130</v>
      </c>
      <c r="H822" s="7" t="s">
        <v>129</v>
      </c>
      <c r="I822" s="30">
        <v>2</v>
      </c>
      <c r="J822" s="7" t="s">
        <v>1177</v>
      </c>
      <c r="K822" s="7" t="s">
        <v>1178</v>
      </c>
      <c r="L822" s="7" t="s">
        <v>132</v>
      </c>
      <c r="M822" s="7" t="s">
        <v>133</v>
      </c>
      <c r="N822" s="30">
        <v>0</v>
      </c>
      <c r="O822" s="30">
        <v>0</v>
      </c>
      <c r="P822" s="30">
        <v>0</v>
      </c>
      <c r="Q822" s="30">
        <v>0</v>
      </c>
      <c r="R822" s="29">
        <v>0</v>
      </c>
      <c r="S822" s="36">
        <v>0</v>
      </c>
      <c r="T822" s="7" t="s">
        <v>131</v>
      </c>
      <c r="U822" s="7" t="s">
        <v>1011</v>
      </c>
      <c r="V822" s="7" t="s">
        <v>1011</v>
      </c>
      <c r="W822" s="7" t="s">
        <v>1177</v>
      </c>
      <c r="X822" s="30">
        <v>2</v>
      </c>
      <c r="Y822" s="7" t="s">
        <v>1177</v>
      </c>
      <c r="Z822" s="7" t="s">
        <v>1178</v>
      </c>
      <c r="AA822" s="30">
        <v>0</v>
      </c>
      <c r="AB822" s="36">
        <v>0</v>
      </c>
      <c r="AC822" s="7" t="s">
        <v>1177</v>
      </c>
      <c r="AD822" s="37">
        <v>0</v>
      </c>
      <c r="AE822" s="7" t="s">
        <v>1177</v>
      </c>
      <c r="AF822" s="7" t="s">
        <v>1177</v>
      </c>
      <c r="AG822" s="7" t="s">
        <v>1177</v>
      </c>
      <c r="AH822" s="38"/>
      <c r="AI822" s="36">
        <v>0</v>
      </c>
      <c r="AJ822" s="7" t="s">
        <v>1193</v>
      </c>
      <c r="AK822" s="7" t="s">
        <v>1177</v>
      </c>
      <c r="AL822" s="7" t="s">
        <v>1177</v>
      </c>
      <c r="AM822" s="7" t="s">
        <v>1177</v>
      </c>
      <c r="AN822" s="7" t="s">
        <v>3212</v>
      </c>
      <c r="AO822" s="7" t="s">
        <v>1177</v>
      </c>
      <c r="AP822" s="7" t="s">
        <v>1177</v>
      </c>
      <c r="AQ822" s="7" t="s">
        <v>1177</v>
      </c>
      <c r="AR822" s="29">
        <v>0</v>
      </c>
      <c r="AS822" s="7" t="s">
        <v>1177</v>
      </c>
      <c r="AT822" s="7" t="s">
        <v>1363</v>
      </c>
      <c r="AU822" s="38">
        <v>46275</v>
      </c>
      <c r="AV822" s="39">
        <v>0.60542824074073998</v>
      </c>
    </row>
    <row r="823" spans="1:48" x14ac:dyDescent="0.35">
      <c r="A823" t="str">
        <f t="shared" si="12"/>
        <v>GP139202B867</v>
      </c>
      <c r="B823" s="7" t="s">
        <v>266</v>
      </c>
      <c r="C823" s="7" t="s">
        <v>1059</v>
      </c>
      <c r="D823" s="7" t="s">
        <v>25</v>
      </c>
      <c r="E823" s="7" t="s">
        <v>1177</v>
      </c>
      <c r="F823" s="7" t="s">
        <v>134</v>
      </c>
      <c r="G823" s="7" t="s">
        <v>130</v>
      </c>
      <c r="H823" s="7" t="s">
        <v>129</v>
      </c>
      <c r="I823" s="30">
        <v>2</v>
      </c>
      <c r="J823" s="7" t="s">
        <v>1177</v>
      </c>
      <c r="K823" s="7" t="s">
        <v>1178</v>
      </c>
      <c r="L823" s="7" t="s">
        <v>132</v>
      </c>
      <c r="M823" s="7" t="s">
        <v>133</v>
      </c>
      <c r="N823" s="30">
        <v>0</v>
      </c>
      <c r="O823" s="30">
        <v>0</v>
      </c>
      <c r="P823" s="30">
        <v>0</v>
      </c>
      <c r="Q823" s="30">
        <v>0</v>
      </c>
      <c r="R823" s="29">
        <v>0</v>
      </c>
      <c r="S823" s="36">
        <v>0</v>
      </c>
      <c r="T823" s="7" t="s">
        <v>131</v>
      </c>
      <c r="U823" s="7" t="s">
        <v>1060</v>
      </c>
      <c r="V823" s="7" t="s">
        <v>1060</v>
      </c>
      <c r="W823" s="7" t="s">
        <v>1177</v>
      </c>
      <c r="X823" s="30">
        <v>2</v>
      </c>
      <c r="Y823" s="7" t="s">
        <v>1177</v>
      </c>
      <c r="Z823" s="7" t="s">
        <v>1178</v>
      </c>
      <c r="AA823" s="30">
        <v>0</v>
      </c>
      <c r="AB823" s="36">
        <v>0</v>
      </c>
      <c r="AC823" s="7" t="s">
        <v>1177</v>
      </c>
      <c r="AD823" s="37">
        <v>0</v>
      </c>
      <c r="AE823" s="7" t="s">
        <v>1177</v>
      </c>
      <c r="AF823" s="7" t="s">
        <v>1177</v>
      </c>
      <c r="AG823" s="7" t="s">
        <v>1177</v>
      </c>
      <c r="AH823" s="38"/>
      <c r="AI823" s="36">
        <v>0</v>
      </c>
      <c r="AJ823" s="7" t="s">
        <v>1193</v>
      </c>
      <c r="AK823" s="7" t="s">
        <v>1177</v>
      </c>
      <c r="AL823" s="7" t="s">
        <v>1177</v>
      </c>
      <c r="AM823" s="7" t="s">
        <v>1177</v>
      </c>
      <c r="AN823" s="7" t="s">
        <v>3212</v>
      </c>
      <c r="AO823" s="7" t="s">
        <v>1177</v>
      </c>
      <c r="AP823" s="7" t="s">
        <v>1177</v>
      </c>
      <c r="AQ823" s="7" t="s">
        <v>1177</v>
      </c>
      <c r="AR823" s="29">
        <v>0</v>
      </c>
      <c r="AS823" s="7" t="s">
        <v>1177</v>
      </c>
      <c r="AT823" s="7" t="s">
        <v>1363</v>
      </c>
      <c r="AU823" s="38">
        <v>46275</v>
      </c>
      <c r="AV823" s="39">
        <v>0.60565972222221998</v>
      </c>
    </row>
    <row r="824" spans="1:48" x14ac:dyDescent="0.35">
      <c r="A824" t="str">
        <f t="shared" si="12"/>
        <v>GP139203B825</v>
      </c>
      <c r="B824" s="7" t="s">
        <v>405</v>
      </c>
      <c r="C824" s="7" t="s">
        <v>511</v>
      </c>
      <c r="D824" s="7" t="s">
        <v>16</v>
      </c>
      <c r="E824" s="7" t="s">
        <v>1177</v>
      </c>
      <c r="F824" s="7" t="s">
        <v>134</v>
      </c>
      <c r="G824" s="7" t="s">
        <v>130</v>
      </c>
      <c r="H824" s="7" t="s">
        <v>129</v>
      </c>
      <c r="I824" s="30">
        <v>2</v>
      </c>
      <c r="J824" s="7" t="s">
        <v>1177</v>
      </c>
      <c r="K824" s="7" t="s">
        <v>1178</v>
      </c>
      <c r="L824" s="7" t="s">
        <v>132</v>
      </c>
      <c r="M824" s="7" t="s">
        <v>133</v>
      </c>
      <c r="N824" s="30">
        <v>0</v>
      </c>
      <c r="O824" s="30">
        <v>0</v>
      </c>
      <c r="P824" s="30">
        <v>0</v>
      </c>
      <c r="Q824" s="30">
        <v>0</v>
      </c>
      <c r="R824" s="29">
        <v>0</v>
      </c>
      <c r="S824" s="36">
        <v>0</v>
      </c>
      <c r="T824" s="7" t="s">
        <v>131</v>
      </c>
      <c r="U824" s="7" t="s">
        <v>512</v>
      </c>
      <c r="V824" s="7" t="s">
        <v>512</v>
      </c>
      <c r="W824" s="7" t="s">
        <v>1177</v>
      </c>
      <c r="X824" s="30">
        <v>2</v>
      </c>
      <c r="Y824" s="7" t="s">
        <v>1177</v>
      </c>
      <c r="Z824" s="7" t="s">
        <v>1178</v>
      </c>
      <c r="AA824" s="30">
        <v>0</v>
      </c>
      <c r="AB824" s="36">
        <v>0</v>
      </c>
      <c r="AC824" s="7" t="s">
        <v>1177</v>
      </c>
      <c r="AD824" s="37">
        <v>0</v>
      </c>
      <c r="AE824" s="7" t="s">
        <v>1177</v>
      </c>
      <c r="AF824" s="7" t="s">
        <v>1177</v>
      </c>
      <c r="AG824" s="7" t="s">
        <v>1177</v>
      </c>
      <c r="AH824" s="38"/>
      <c r="AI824" s="36">
        <v>0</v>
      </c>
      <c r="AJ824" s="7" t="s">
        <v>1193</v>
      </c>
      <c r="AK824" s="7" t="s">
        <v>1177</v>
      </c>
      <c r="AL824" s="7" t="s">
        <v>1177</v>
      </c>
      <c r="AM824" s="7" t="s">
        <v>1177</v>
      </c>
      <c r="AN824" s="7" t="s">
        <v>3212</v>
      </c>
      <c r="AO824" s="7" t="s">
        <v>1177</v>
      </c>
      <c r="AP824" s="7" t="s">
        <v>1177</v>
      </c>
      <c r="AQ824" s="7" t="s">
        <v>1177</v>
      </c>
      <c r="AR824" s="29">
        <v>0</v>
      </c>
      <c r="AS824" s="7" t="s">
        <v>1177</v>
      </c>
      <c r="AT824" s="7" t="s">
        <v>1363</v>
      </c>
      <c r="AU824" s="38">
        <v>46275</v>
      </c>
      <c r="AV824" s="39">
        <v>0.60351851851852001</v>
      </c>
    </row>
    <row r="825" spans="1:48" x14ac:dyDescent="0.35">
      <c r="A825" t="str">
        <f t="shared" si="12"/>
        <v>GP139203B857</v>
      </c>
      <c r="B825" s="7" t="s">
        <v>405</v>
      </c>
      <c r="C825" s="7" t="s">
        <v>958</v>
      </c>
      <c r="D825" s="7" t="s">
        <v>23</v>
      </c>
      <c r="E825" s="7" t="s">
        <v>1177</v>
      </c>
      <c r="F825" s="7" t="s">
        <v>134</v>
      </c>
      <c r="G825" s="7" t="s">
        <v>130</v>
      </c>
      <c r="H825" s="7" t="s">
        <v>129</v>
      </c>
      <c r="I825" s="30">
        <v>2</v>
      </c>
      <c r="J825" s="7" t="s">
        <v>1177</v>
      </c>
      <c r="K825" s="7" t="s">
        <v>1178</v>
      </c>
      <c r="L825" s="7" t="s">
        <v>132</v>
      </c>
      <c r="M825" s="7" t="s">
        <v>133</v>
      </c>
      <c r="N825" s="30">
        <v>0</v>
      </c>
      <c r="O825" s="30">
        <v>0</v>
      </c>
      <c r="P825" s="30">
        <v>0</v>
      </c>
      <c r="Q825" s="30">
        <v>0</v>
      </c>
      <c r="R825" s="29">
        <v>0</v>
      </c>
      <c r="S825" s="36">
        <v>0</v>
      </c>
      <c r="T825" s="7" t="s">
        <v>131</v>
      </c>
      <c r="U825" s="7" t="s">
        <v>959</v>
      </c>
      <c r="V825" s="7" t="s">
        <v>959</v>
      </c>
      <c r="W825" s="7" t="s">
        <v>1177</v>
      </c>
      <c r="X825" s="30">
        <v>2</v>
      </c>
      <c r="Y825" s="7" t="s">
        <v>1177</v>
      </c>
      <c r="Z825" s="7" t="s">
        <v>1178</v>
      </c>
      <c r="AA825" s="30">
        <v>0</v>
      </c>
      <c r="AB825" s="36">
        <v>0</v>
      </c>
      <c r="AC825" s="7" t="s">
        <v>1177</v>
      </c>
      <c r="AD825" s="37">
        <v>0</v>
      </c>
      <c r="AE825" s="7" t="s">
        <v>1177</v>
      </c>
      <c r="AF825" s="7" t="s">
        <v>1177</v>
      </c>
      <c r="AG825" s="7" t="s">
        <v>1177</v>
      </c>
      <c r="AH825" s="38"/>
      <c r="AI825" s="36">
        <v>0</v>
      </c>
      <c r="AJ825" s="7" t="s">
        <v>1193</v>
      </c>
      <c r="AK825" s="7" t="s">
        <v>1177</v>
      </c>
      <c r="AL825" s="7" t="s">
        <v>1177</v>
      </c>
      <c r="AM825" s="7" t="s">
        <v>1177</v>
      </c>
      <c r="AN825" s="7" t="s">
        <v>3212</v>
      </c>
      <c r="AO825" s="7" t="s">
        <v>1177</v>
      </c>
      <c r="AP825" s="7" t="s">
        <v>1177</v>
      </c>
      <c r="AQ825" s="7" t="s">
        <v>1177</v>
      </c>
      <c r="AR825" s="29">
        <v>0</v>
      </c>
      <c r="AS825" s="7" t="s">
        <v>1177</v>
      </c>
      <c r="AT825" s="7" t="s">
        <v>1363</v>
      </c>
      <c r="AU825" s="38">
        <v>46275</v>
      </c>
      <c r="AV825" s="39">
        <v>0.60528935185184995</v>
      </c>
    </row>
    <row r="826" spans="1:48" x14ac:dyDescent="0.35">
      <c r="A826" t="str">
        <f t="shared" si="12"/>
        <v>GP139203B864</v>
      </c>
      <c r="B826" s="7" t="s">
        <v>405</v>
      </c>
      <c r="C826" s="7" t="s">
        <v>1010</v>
      </c>
      <c r="D826" s="7" t="s">
        <v>10</v>
      </c>
      <c r="E826" s="7" t="s">
        <v>1177</v>
      </c>
      <c r="F826" s="7" t="s">
        <v>134</v>
      </c>
      <c r="G826" s="7" t="s">
        <v>130</v>
      </c>
      <c r="H826" s="7" t="s">
        <v>129</v>
      </c>
      <c r="I826" s="30">
        <v>2</v>
      </c>
      <c r="J826" s="7" t="s">
        <v>1177</v>
      </c>
      <c r="K826" s="7" t="s">
        <v>1178</v>
      </c>
      <c r="L826" s="7" t="s">
        <v>132</v>
      </c>
      <c r="M826" s="7" t="s">
        <v>133</v>
      </c>
      <c r="N826" s="30">
        <v>0</v>
      </c>
      <c r="O826" s="30">
        <v>0</v>
      </c>
      <c r="P826" s="30">
        <v>0</v>
      </c>
      <c r="Q826" s="30">
        <v>0</v>
      </c>
      <c r="R826" s="29">
        <v>0</v>
      </c>
      <c r="S826" s="36">
        <v>0</v>
      </c>
      <c r="T826" s="7" t="s">
        <v>131</v>
      </c>
      <c r="U826" s="7" t="s">
        <v>1011</v>
      </c>
      <c r="V826" s="7" t="s">
        <v>1011</v>
      </c>
      <c r="W826" s="7" t="s">
        <v>1177</v>
      </c>
      <c r="X826" s="30">
        <v>2</v>
      </c>
      <c r="Y826" s="7" t="s">
        <v>1177</v>
      </c>
      <c r="Z826" s="7" t="s">
        <v>1178</v>
      </c>
      <c r="AA826" s="30">
        <v>0</v>
      </c>
      <c r="AB826" s="36">
        <v>0</v>
      </c>
      <c r="AC826" s="7" t="s">
        <v>1177</v>
      </c>
      <c r="AD826" s="37">
        <v>0</v>
      </c>
      <c r="AE826" s="7" t="s">
        <v>1177</v>
      </c>
      <c r="AF826" s="7" t="s">
        <v>1177</v>
      </c>
      <c r="AG826" s="7" t="s">
        <v>1177</v>
      </c>
      <c r="AH826" s="38"/>
      <c r="AI826" s="36">
        <v>0</v>
      </c>
      <c r="AJ826" s="7" t="s">
        <v>1193</v>
      </c>
      <c r="AK826" s="7" t="s">
        <v>1177</v>
      </c>
      <c r="AL826" s="7" t="s">
        <v>1177</v>
      </c>
      <c r="AM826" s="7" t="s">
        <v>1177</v>
      </c>
      <c r="AN826" s="7" t="s">
        <v>3212</v>
      </c>
      <c r="AO826" s="7" t="s">
        <v>1177</v>
      </c>
      <c r="AP826" s="7" t="s">
        <v>1177</v>
      </c>
      <c r="AQ826" s="7" t="s">
        <v>1177</v>
      </c>
      <c r="AR826" s="29">
        <v>0</v>
      </c>
      <c r="AS826" s="7" t="s">
        <v>1177</v>
      </c>
      <c r="AT826" s="7" t="s">
        <v>1363</v>
      </c>
      <c r="AU826" s="38">
        <v>46275</v>
      </c>
      <c r="AV826" s="39">
        <v>0.60541666666667004</v>
      </c>
    </row>
    <row r="827" spans="1:48" x14ac:dyDescent="0.35">
      <c r="A827" t="str">
        <f t="shared" si="12"/>
        <v>GP139206B838</v>
      </c>
      <c r="B827" s="7" t="s">
        <v>406</v>
      </c>
      <c r="C827" s="7" t="s">
        <v>744</v>
      </c>
      <c r="D827" s="7" t="s">
        <v>48</v>
      </c>
      <c r="E827" s="7" t="s">
        <v>1177</v>
      </c>
      <c r="F827" s="7" t="s">
        <v>128</v>
      </c>
      <c r="G827" s="7" t="s">
        <v>130</v>
      </c>
      <c r="H827" s="7" t="s">
        <v>129</v>
      </c>
      <c r="I827" s="30">
        <v>1</v>
      </c>
      <c r="J827" s="7" t="s">
        <v>1177</v>
      </c>
      <c r="K827" s="7" t="s">
        <v>1178</v>
      </c>
      <c r="L827" s="7" t="s">
        <v>132</v>
      </c>
      <c r="M827" s="7" t="s">
        <v>133</v>
      </c>
      <c r="N827" s="30">
        <v>0</v>
      </c>
      <c r="O827" s="30">
        <v>0</v>
      </c>
      <c r="P827" s="30">
        <v>0</v>
      </c>
      <c r="Q827" s="30">
        <v>0</v>
      </c>
      <c r="R827" s="29">
        <v>0</v>
      </c>
      <c r="S827" s="36">
        <v>0</v>
      </c>
      <c r="T827" s="7" t="s">
        <v>131</v>
      </c>
      <c r="U827" s="7" t="s">
        <v>745</v>
      </c>
      <c r="V827" s="7" t="s">
        <v>745</v>
      </c>
      <c r="W827" s="7" t="s">
        <v>1177</v>
      </c>
      <c r="X827" s="30">
        <v>1</v>
      </c>
      <c r="Y827" s="7" t="s">
        <v>1177</v>
      </c>
      <c r="Z827" s="7" t="s">
        <v>1178</v>
      </c>
      <c r="AA827" s="30">
        <v>0</v>
      </c>
      <c r="AB827" s="36">
        <v>0</v>
      </c>
      <c r="AC827" s="7" t="s">
        <v>1177</v>
      </c>
      <c r="AD827" s="37">
        <v>0</v>
      </c>
      <c r="AE827" s="7" t="s">
        <v>1177</v>
      </c>
      <c r="AF827" s="7" t="s">
        <v>1177</v>
      </c>
      <c r="AG827" s="7" t="s">
        <v>1177</v>
      </c>
      <c r="AH827" s="38"/>
      <c r="AI827" s="36">
        <v>0</v>
      </c>
      <c r="AJ827" s="7" t="s">
        <v>1193</v>
      </c>
      <c r="AK827" s="7" t="s">
        <v>1177</v>
      </c>
      <c r="AL827" s="7" t="s">
        <v>1177</v>
      </c>
      <c r="AM827" s="7" t="s">
        <v>1177</v>
      </c>
      <c r="AN827" s="7" t="s">
        <v>3212</v>
      </c>
      <c r="AO827" s="7" t="s">
        <v>1177</v>
      </c>
      <c r="AP827" s="7" t="s">
        <v>1177</v>
      </c>
      <c r="AQ827" s="7" t="s">
        <v>1177</v>
      </c>
      <c r="AR827" s="29">
        <v>0</v>
      </c>
      <c r="AS827" s="7" t="s">
        <v>1177</v>
      </c>
      <c r="AT827" s="7" t="s">
        <v>1363</v>
      </c>
      <c r="AU827" s="38">
        <v>46275</v>
      </c>
      <c r="AV827" s="39">
        <v>0.62410879629630001</v>
      </c>
    </row>
    <row r="828" spans="1:48" x14ac:dyDescent="0.35">
      <c r="A828" t="str">
        <f t="shared" si="12"/>
        <v>GP139745B825</v>
      </c>
      <c r="B828" s="7" t="s">
        <v>553</v>
      </c>
      <c r="C828" s="7" t="s">
        <v>511</v>
      </c>
      <c r="D828" s="7" t="s">
        <v>16</v>
      </c>
      <c r="E828" s="7" t="s">
        <v>1177</v>
      </c>
      <c r="F828" s="7" t="s">
        <v>128</v>
      </c>
      <c r="G828" s="7" t="s">
        <v>130</v>
      </c>
      <c r="H828" s="7" t="s">
        <v>129</v>
      </c>
      <c r="I828" s="30">
        <v>2</v>
      </c>
      <c r="J828" s="7" t="s">
        <v>1177</v>
      </c>
      <c r="K828" s="7" t="s">
        <v>1178</v>
      </c>
      <c r="L828" s="7" t="s">
        <v>132</v>
      </c>
      <c r="M828" s="7" t="s">
        <v>133</v>
      </c>
      <c r="N828" s="30">
        <v>0</v>
      </c>
      <c r="O828" s="30">
        <v>0</v>
      </c>
      <c r="P828" s="30">
        <v>0</v>
      </c>
      <c r="Q828" s="30">
        <v>0</v>
      </c>
      <c r="R828" s="29">
        <v>0</v>
      </c>
      <c r="S828" s="36">
        <v>0</v>
      </c>
      <c r="T828" s="7" t="s">
        <v>131</v>
      </c>
      <c r="U828" s="7" t="s">
        <v>512</v>
      </c>
      <c r="V828" s="7" t="s">
        <v>512</v>
      </c>
      <c r="W828" s="7" t="s">
        <v>1177</v>
      </c>
      <c r="X828" s="30">
        <v>1</v>
      </c>
      <c r="Y828" s="7" t="s">
        <v>1177</v>
      </c>
      <c r="Z828" s="7" t="s">
        <v>1178</v>
      </c>
      <c r="AA828" s="30">
        <v>0</v>
      </c>
      <c r="AB828" s="36">
        <v>0</v>
      </c>
      <c r="AC828" s="7" t="s">
        <v>1177</v>
      </c>
      <c r="AD828" s="37">
        <v>0</v>
      </c>
      <c r="AE828" s="7" t="s">
        <v>1177</v>
      </c>
      <c r="AF828" s="7" t="s">
        <v>1177</v>
      </c>
      <c r="AG828" s="7" t="s">
        <v>1177</v>
      </c>
      <c r="AH828" s="38"/>
      <c r="AI828" s="36">
        <v>0</v>
      </c>
      <c r="AJ828" s="7" t="s">
        <v>1193</v>
      </c>
      <c r="AK828" s="7" t="s">
        <v>1177</v>
      </c>
      <c r="AL828" s="7" t="s">
        <v>1177</v>
      </c>
      <c r="AM828" s="7" t="s">
        <v>1177</v>
      </c>
      <c r="AN828" s="7" t="s">
        <v>3212</v>
      </c>
      <c r="AO828" s="7" t="s">
        <v>1177</v>
      </c>
      <c r="AP828" s="7" t="s">
        <v>1177</v>
      </c>
      <c r="AQ828" s="7" t="s">
        <v>1177</v>
      </c>
      <c r="AR828" s="29">
        <v>0</v>
      </c>
      <c r="AS828" s="7" t="s">
        <v>1177</v>
      </c>
      <c r="AT828" s="7" t="s">
        <v>1363</v>
      </c>
      <c r="AU828" s="38">
        <v>46275</v>
      </c>
      <c r="AV828" s="39">
        <v>0.62304398148147999</v>
      </c>
    </row>
    <row r="829" spans="1:48" x14ac:dyDescent="0.35">
      <c r="A829" t="str">
        <f t="shared" si="12"/>
        <v>GP141738B825</v>
      </c>
      <c r="B829" s="7" t="s">
        <v>181</v>
      </c>
      <c r="C829" s="7" t="s">
        <v>511</v>
      </c>
      <c r="D829" s="7" t="s">
        <v>16</v>
      </c>
      <c r="E829" s="7" t="s">
        <v>1177</v>
      </c>
      <c r="F829" s="7" t="s">
        <v>134</v>
      </c>
      <c r="G829" s="7" t="s">
        <v>130</v>
      </c>
      <c r="H829" s="7" t="s">
        <v>129</v>
      </c>
      <c r="I829" s="30">
        <v>7</v>
      </c>
      <c r="J829" s="7" t="s">
        <v>1177</v>
      </c>
      <c r="K829" s="7" t="s">
        <v>1178</v>
      </c>
      <c r="L829" s="7" t="s">
        <v>132</v>
      </c>
      <c r="M829" s="7" t="s">
        <v>133</v>
      </c>
      <c r="N829" s="30">
        <v>0</v>
      </c>
      <c r="O829" s="30">
        <v>0</v>
      </c>
      <c r="P829" s="30">
        <v>0</v>
      </c>
      <c r="Q829" s="30">
        <v>0</v>
      </c>
      <c r="R829" s="29">
        <v>0</v>
      </c>
      <c r="S829" s="36">
        <v>0</v>
      </c>
      <c r="T829" s="7" t="s">
        <v>131</v>
      </c>
      <c r="U829" s="7" t="s">
        <v>512</v>
      </c>
      <c r="V829" s="7" t="s">
        <v>512</v>
      </c>
      <c r="W829" s="7" t="s">
        <v>1177</v>
      </c>
      <c r="X829" s="30">
        <v>7</v>
      </c>
      <c r="Y829" s="7" t="s">
        <v>1177</v>
      </c>
      <c r="Z829" s="7" t="s">
        <v>1178</v>
      </c>
      <c r="AA829" s="30">
        <v>0</v>
      </c>
      <c r="AB829" s="36">
        <v>0</v>
      </c>
      <c r="AC829" s="7" t="s">
        <v>1177</v>
      </c>
      <c r="AD829" s="37">
        <v>0</v>
      </c>
      <c r="AE829" s="7" t="s">
        <v>1177</v>
      </c>
      <c r="AF829" s="7" t="s">
        <v>1177</v>
      </c>
      <c r="AG829" s="7" t="s">
        <v>1177</v>
      </c>
      <c r="AH829" s="38"/>
      <c r="AI829" s="36">
        <v>0</v>
      </c>
      <c r="AJ829" s="7" t="s">
        <v>1193</v>
      </c>
      <c r="AK829" s="7" t="s">
        <v>1177</v>
      </c>
      <c r="AL829" s="7" t="s">
        <v>1177</v>
      </c>
      <c r="AM829" s="7" t="s">
        <v>1177</v>
      </c>
      <c r="AN829" s="7" t="s">
        <v>3212</v>
      </c>
      <c r="AO829" s="7" t="s">
        <v>1177</v>
      </c>
      <c r="AP829" s="7" t="s">
        <v>1177</v>
      </c>
      <c r="AQ829" s="7" t="s">
        <v>1177</v>
      </c>
      <c r="AR829" s="29">
        <v>0</v>
      </c>
      <c r="AS829" s="7" t="s">
        <v>1177</v>
      </c>
      <c r="AT829" s="7" t="s">
        <v>1363</v>
      </c>
      <c r="AU829" s="38">
        <v>46275</v>
      </c>
      <c r="AV829" s="39">
        <v>0.60351851851852001</v>
      </c>
    </row>
    <row r="830" spans="1:48" x14ac:dyDescent="0.35">
      <c r="A830" t="str">
        <f t="shared" si="12"/>
        <v>GP141738B832</v>
      </c>
      <c r="B830" s="7" t="s">
        <v>181</v>
      </c>
      <c r="C830" s="7" t="s">
        <v>653</v>
      </c>
      <c r="D830" s="7" t="s">
        <v>19</v>
      </c>
      <c r="E830" s="7" t="s">
        <v>1177</v>
      </c>
      <c r="F830" s="7" t="s">
        <v>134</v>
      </c>
      <c r="G830" s="7" t="s">
        <v>130</v>
      </c>
      <c r="H830" s="7" t="s">
        <v>129</v>
      </c>
      <c r="I830" s="30">
        <v>2</v>
      </c>
      <c r="J830" s="7" t="s">
        <v>1177</v>
      </c>
      <c r="K830" s="7" t="s">
        <v>1178</v>
      </c>
      <c r="L830" s="7" t="s">
        <v>132</v>
      </c>
      <c r="M830" s="7" t="s">
        <v>133</v>
      </c>
      <c r="N830" s="30">
        <v>0</v>
      </c>
      <c r="O830" s="30">
        <v>0</v>
      </c>
      <c r="P830" s="30">
        <v>0</v>
      </c>
      <c r="Q830" s="30">
        <v>0</v>
      </c>
      <c r="R830" s="29">
        <v>0</v>
      </c>
      <c r="S830" s="36">
        <v>0</v>
      </c>
      <c r="T830" s="7" t="s">
        <v>131</v>
      </c>
      <c r="U830" s="7" t="s">
        <v>654</v>
      </c>
      <c r="V830" s="7" t="s">
        <v>654</v>
      </c>
      <c r="W830" s="7" t="s">
        <v>1177</v>
      </c>
      <c r="X830" s="30">
        <v>2</v>
      </c>
      <c r="Y830" s="7" t="s">
        <v>1177</v>
      </c>
      <c r="Z830" s="7" t="s">
        <v>1178</v>
      </c>
      <c r="AA830" s="30">
        <v>0</v>
      </c>
      <c r="AB830" s="36">
        <v>0</v>
      </c>
      <c r="AC830" s="7" t="s">
        <v>1177</v>
      </c>
      <c r="AD830" s="37">
        <v>0</v>
      </c>
      <c r="AE830" s="7" t="s">
        <v>1177</v>
      </c>
      <c r="AF830" s="7" t="s">
        <v>1177</v>
      </c>
      <c r="AG830" s="7" t="s">
        <v>1177</v>
      </c>
      <c r="AH830" s="38"/>
      <c r="AI830" s="36">
        <v>0</v>
      </c>
      <c r="AJ830" s="7" t="s">
        <v>1193</v>
      </c>
      <c r="AK830" s="7" t="s">
        <v>1177</v>
      </c>
      <c r="AL830" s="7" t="s">
        <v>1177</v>
      </c>
      <c r="AM830" s="7" t="s">
        <v>1177</v>
      </c>
      <c r="AN830" s="7" t="s">
        <v>3212</v>
      </c>
      <c r="AO830" s="7" t="s">
        <v>1177</v>
      </c>
      <c r="AP830" s="7" t="s">
        <v>1177</v>
      </c>
      <c r="AQ830" s="7" t="s">
        <v>1177</v>
      </c>
      <c r="AR830" s="29">
        <v>0</v>
      </c>
      <c r="AS830" s="7" t="s">
        <v>1177</v>
      </c>
      <c r="AT830" s="7" t="s">
        <v>1363</v>
      </c>
      <c r="AU830" s="38">
        <v>46275</v>
      </c>
      <c r="AV830" s="39">
        <v>0.60387731481481</v>
      </c>
    </row>
    <row r="831" spans="1:48" x14ac:dyDescent="0.35">
      <c r="A831" t="str">
        <f t="shared" si="12"/>
        <v>GP141738B833</v>
      </c>
      <c r="B831" s="7" t="s">
        <v>181</v>
      </c>
      <c r="C831" s="7" t="s">
        <v>698</v>
      </c>
      <c r="D831" s="7" t="s">
        <v>697</v>
      </c>
      <c r="E831" s="7" t="s">
        <v>1177</v>
      </c>
      <c r="F831" s="7" t="s">
        <v>134</v>
      </c>
      <c r="G831" s="7" t="s">
        <v>130</v>
      </c>
      <c r="H831" s="7" t="s">
        <v>129</v>
      </c>
      <c r="I831" s="30">
        <v>2</v>
      </c>
      <c r="J831" s="7" t="s">
        <v>1177</v>
      </c>
      <c r="K831" s="7" t="s">
        <v>1178</v>
      </c>
      <c r="L831" s="7" t="s">
        <v>132</v>
      </c>
      <c r="M831" s="7" t="s">
        <v>133</v>
      </c>
      <c r="N831" s="30">
        <v>0</v>
      </c>
      <c r="O831" s="30">
        <v>0</v>
      </c>
      <c r="P831" s="30">
        <v>0</v>
      </c>
      <c r="Q831" s="30">
        <v>0</v>
      </c>
      <c r="R831" s="29">
        <v>0</v>
      </c>
      <c r="S831" s="36">
        <v>0</v>
      </c>
      <c r="T831" s="7" t="s">
        <v>131</v>
      </c>
      <c r="U831" s="7" t="s">
        <v>699</v>
      </c>
      <c r="V831" s="7" t="s">
        <v>699</v>
      </c>
      <c r="W831" s="7" t="s">
        <v>1177</v>
      </c>
      <c r="X831" s="30">
        <v>2</v>
      </c>
      <c r="Y831" s="7" t="s">
        <v>1177</v>
      </c>
      <c r="Z831" s="7" t="s">
        <v>1178</v>
      </c>
      <c r="AA831" s="30">
        <v>0</v>
      </c>
      <c r="AB831" s="36">
        <v>0</v>
      </c>
      <c r="AC831" s="7" t="s">
        <v>1177</v>
      </c>
      <c r="AD831" s="37">
        <v>0</v>
      </c>
      <c r="AE831" s="7" t="s">
        <v>1177</v>
      </c>
      <c r="AF831" s="7" t="s">
        <v>1177</v>
      </c>
      <c r="AG831" s="7" t="s">
        <v>1177</v>
      </c>
      <c r="AH831" s="38"/>
      <c r="AI831" s="36">
        <v>0</v>
      </c>
      <c r="AJ831" s="7" t="s">
        <v>1193</v>
      </c>
      <c r="AK831" s="7" t="s">
        <v>1177</v>
      </c>
      <c r="AL831" s="7" t="s">
        <v>1177</v>
      </c>
      <c r="AM831" s="7" t="s">
        <v>1177</v>
      </c>
      <c r="AN831" s="7" t="s">
        <v>3212</v>
      </c>
      <c r="AO831" s="7" t="s">
        <v>1177</v>
      </c>
      <c r="AP831" s="7" t="s">
        <v>1177</v>
      </c>
      <c r="AQ831" s="7" t="s">
        <v>1177</v>
      </c>
      <c r="AR831" s="29">
        <v>0</v>
      </c>
      <c r="AS831" s="7" t="s">
        <v>1177</v>
      </c>
      <c r="AT831" s="7" t="s">
        <v>1363</v>
      </c>
      <c r="AU831" s="38">
        <v>46275</v>
      </c>
      <c r="AV831" s="39">
        <v>0.60395833333333004</v>
      </c>
    </row>
    <row r="832" spans="1:48" x14ac:dyDescent="0.35">
      <c r="A832" t="str">
        <f t="shared" si="12"/>
        <v>GP141738B864</v>
      </c>
      <c r="B832" s="7" t="s">
        <v>181</v>
      </c>
      <c r="C832" s="7" t="s">
        <v>1010</v>
      </c>
      <c r="D832" s="7" t="s">
        <v>10</v>
      </c>
      <c r="E832" s="7" t="s">
        <v>1177</v>
      </c>
      <c r="F832" s="7" t="s">
        <v>134</v>
      </c>
      <c r="G832" s="7" t="s">
        <v>130</v>
      </c>
      <c r="H832" s="7" t="s">
        <v>129</v>
      </c>
      <c r="I832" s="30">
        <v>10</v>
      </c>
      <c r="J832" s="7" t="s">
        <v>1177</v>
      </c>
      <c r="K832" s="7" t="s">
        <v>1178</v>
      </c>
      <c r="L832" s="7" t="s">
        <v>132</v>
      </c>
      <c r="M832" s="7" t="s">
        <v>133</v>
      </c>
      <c r="N832" s="30">
        <v>0</v>
      </c>
      <c r="O832" s="30">
        <v>0</v>
      </c>
      <c r="P832" s="30">
        <v>0</v>
      </c>
      <c r="Q832" s="30">
        <v>0</v>
      </c>
      <c r="R832" s="29">
        <v>0</v>
      </c>
      <c r="S832" s="36">
        <v>0</v>
      </c>
      <c r="T832" s="7" t="s">
        <v>131</v>
      </c>
      <c r="U832" s="7" t="s">
        <v>1011</v>
      </c>
      <c r="V832" s="7" t="s">
        <v>1011</v>
      </c>
      <c r="W832" s="7" t="s">
        <v>1177</v>
      </c>
      <c r="X832" s="30">
        <v>10</v>
      </c>
      <c r="Y832" s="7" t="s">
        <v>1177</v>
      </c>
      <c r="Z832" s="7" t="s">
        <v>1178</v>
      </c>
      <c r="AA832" s="30">
        <v>0</v>
      </c>
      <c r="AB832" s="36">
        <v>0</v>
      </c>
      <c r="AC832" s="7" t="s">
        <v>1177</v>
      </c>
      <c r="AD832" s="37">
        <v>0</v>
      </c>
      <c r="AE832" s="7" t="s">
        <v>1177</v>
      </c>
      <c r="AF832" s="7" t="s">
        <v>1177</v>
      </c>
      <c r="AG832" s="7" t="s">
        <v>1177</v>
      </c>
      <c r="AH832" s="38"/>
      <c r="AI832" s="36">
        <v>0</v>
      </c>
      <c r="AJ832" s="7" t="s">
        <v>1193</v>
      </c>
      <c r="AK832" s="7" t="s">
        <v>1177</v>
      </c>
      <c r="AL832" s="7" t="s">
        <v>1177</v>
      </c>
      <c r="AM832" s="7" t="s">
        <v>1177</v>
      </c>
      <c r="AN832" s="7" t="s">
        <v>3212</v>
      </c>
      <c r="AO832" s="7" t="s">
        <v>1177</v>
      </c>
      <c r="AP832" s="7" t="s">
        <v>1177</v>
      </c>
      <c r="AQ832" s="7" t="s">
        <v>1177</v>
      </c>
      <c r="AR832" s="29">
        <v>0</v>
      </c>
      <c r="AS832" s="7" t="s">
        <v>1177</v>
      </c>
      <c r="AT832" s="7" t="s">
        <v>1363</v>
      </c>
      <c r="AU832" s="38">
        <v>46275</v>
      </c>
      <c r="AV832" s="39">
        <v>0.60541666666667004</v>
      </c>
    </row>
    <row r="833" spans="1:48" x14ac:dyDescent="0.35">
      <c r="A833" t="str">
        <f t="shared" si="12"/>
        <v>GP141738B865</v>
      </c>
      <c r="B833" s="7" t="s">
        <v>181</v>
      </c>
      <c r="C833" s="7" t="s">
        <v>1039</v>
      </c>
      <c r="D833" s="7" t="s">
        <v>7</v>
      </c>
      <c r="E833" s="7" t="s">
        <v>1177</v>
      </c>
      <c r="F833" s="7" t="s">
        <v>134</v>
      </c>
      <c r="G833" s="7" t="s">
        <v>130</v>
      </c>
      <c r="H833" s="7" t="s">
        <v>129</v>
      </c>
      <c r="I833" s="30">
        <v>10</v>
      </c>
      <c r="J833" s="7" t="s">
        <v>1177</v>
      </c>
      <c r="K833" s="7" t="s">
        <v>1178</v>
      </c>
      <c r="L833" s="7" t="s">
        <v>132</v>
      </c>
      <c r="M833" s="7" t="s">
        <v>133</v>
      </c>
      <c r="N833" s="30">
        <v>0</v>
      </c>
      <c r="O833" s="30">
        <v>0</v>
      </c>
      <c r="P833" s="30">
        <v>0</v>
      </c>
      <c r="Q833" s="30">
        <v>0</v>
      </c>
      <c r="R833" s="29">
        <v>0</v>
      </c>
      <c r="S833" s="36">
        <v>0</v>
      </c>
      <c r="T833" s="7" t="s">
        <v>131</v>
      </c>
      <c r="U833" s="7" t="s">
        <v>1040</v>
      </c>
      <c r="V833" s="7" t="s">
        <v>1040</v>
      </c>
      <c r="W833" s="7" t="s">
        <v>1177</v>
      </c>
      <c r="X833" s="30">
        <v>10</v>
      </c>
      <c r="Y833" s="7" t="s">
        <v>1177</v>
      </c>
      <c r="Z833" s="7" t="s">
        <v>1178</v>
      </c>
      <c r="AA833" s="30">
        <v>0</v>
      </c>
      <c r="AB833" s="36">
        <v>0</v>
      </c>
      <c r="AC833" s="7" t="s">
        <v>1177</v>
      </c>
      <c r="AD833" s="37">
        <v>0</v>
      </c>
      <c r="AE833" s="7" t="s">
        <v>1177</v>
      </c>
      <c r="AF833" s="7" t="s">
        <v>1177</v>
      </c>
      <c r="AG833" s="7" t="s">
        <v>1177</v>
      </c>
      <c r="AH833" s="38"/>
      <c r="AI833" s="36">
        <v>0</v>
      </c>
      <c r="AJ833" s="7" t="s">
        <v>1193</v>
      </c>
      <c r="AK833" s="7" t="s">
        <v>1177</v>
      </c>
      <c r="AL833" s="7" t="s">
        <v>1177</v>
      </c>
      <c r="AM833" s="7" t="s">
        <v>1177</v>
      </c>
      <c r="AN833" s="7" t="s">
        <v>3212</v>
      </c>
      <c r="AO833" s="7" t="s">
        <v>1177</v>
      </c>
      <c r="AP833" s="7" t="s">
        <v>1177</v>
      </c>
      <c r="AQ833" s="7" t="s">
        <v>1177</v>
      </c>
      <c r="AR833" s="29">
        <v>0</v>
      </c>
      <c r="AS833" s="7" t="s">
        <v>1177</v>
      </c>
      <c r="AT833" s="7" t="s">
        <v>1363</v>
      </c>
      <c r="AU833" s="38">
        <v>46275</v>
      </c>
      <c r="AV833" s="39">
        <v>0.60553240740740999</v>
      </c>
    </row>
    <row r="834" spans="1:48" x14ac:dyDescent="0.35">
      <c r="A834" t="str">
        <f t="shared" si="12"/>
        <v>GP144138B833</v>
      </c>
      <c r="B834" s="7" t="s">
        <v>705</v>
      </c>
      <c r="C834" s="7" t="s">
        <v>698</v>
      </c>
      <c r="D834" s="7" t="s">
        <v>697</v>
      </c>
      <c r="E834" s="7" t="s">
        <v>1177</v>
      </c>
      <c r="F834" s="7" t="s">
        <v>128</v>
      </c>
      <c r="G834" s="7" t="s">
        <v>130</v>
      </c>
      <c r="H834" s="7" t="s">
        <v>129</v>
      </c>
      <c r="I834" s="30">
        <v>2</v>
      </c>
      <c r="J834" s="7" t="s">
        <v>1177</v>
      </c>
      <c r="K834" s="7" t="s">
        <v>1178</v>
      </c>
      <c r="L834" s="7" t="s">
        <v>132</v>
      </c>
      <c r="M834" s="7" t="s">
        <v>133</v>
      </c>
      <c r="N834" s="30">
        <v>0</v>
      </c>
      <c r="O834" s="30">
        <v>0</v>
      </c>
      <c r="P834" s="30">
        <v>0</v>
      </c>
      <c r="Q834" s="30">
        <v>0</v>
      </c>
      <c r="R834" s="29">
        <v>0</v>
      </c>
      <c r="S834" s="36">
        <v>0</v>
      </c>
      <c r="T834" s="7" t="s">
        <v>131</v>
      </c>
      <c r="U834" s="7" t="s">
        <v>699</v>
      </c>
      <c r="V834" s="7" t="s">
        <v>699</v>
      </c>
      <c r="W834" s="7" t="s">
        <v>1177</v>
      </c>
      <c r="X834" s="30">
        <v>1</v>
      </c>
      <c r="Y834" s="7" t="s">
        <v>1177</v>
      </c>
      <c r="Z834" s="7" t="s">
        <v>1178</v>
      </c>
      <c r="AA834" s="30">
        <v>0</v>
      </c>
      <c r="AB834" s="36">
        <v>0</v>
      </c>
      <c r="AC834" s="7" t="s">
        <v>1177</v>
      </c>
      <c r="AD834" s="37">
        <v>0</v>
      </c>
      <c r="AE834" s="7" t="s">
        <v>1177</v>
      </c>
      <c r="AF834" s="7" t="s">
        <v>1177</v>
      </c>
      <c r="AG834" s="7" t="s">
        <v>1177</v>
      </c>
      <c r="AH834" s="38"/>
      <c r="AI834" s="36">
        <v>0</v>
      </c>
      <c r="AJ834" s="7" t="s">
        <v>1193</v>
      </c>
      <c r="AK834" s="7" t="s">
        <v>1177</v>
      </c>
      <c r="AL834" s="7" t="s">
        <v>1177</v>
      </c>
      <c r="AM834" s="7" t="s">
        <v>1177</v>
      </c>
      <c r="AN834" s="7" t="s">
        <v>3212</v>
      </c>
      <c r="AO834" s="7" t="s">
        <v>1177</v>
      </c>
      <c r="AP834" s="7" t="s">
        <v>1177</v>
      </c>
      <c r="AQ834" s="7" t="s">
        <v>1177</v>
      </c>
      <c r="AR834" s="29">
        <v>0</v>
      </c>
      <c r="AS834" s="7" t="s">
        <v>1177</v>
      </c>
      <c r="AT834" s="7" t="s">
        <v>1363</v>
      </c>
      <c r="AU834" s="38">
        <v>46275</v>
      </c>
      <c r="AV834" s="39">
        <v>0.62350694444443999</v>
      </c>
    </row>
    <row r="835" spans="1:48" x14ac:dyDescent="0.35">
      <c r="A835" t="str">
        <f t="shared" ref="A835:A898" si="13">_xlfn.CONCAT(B835,D835)</f>
        <v>GP144559-001B832</v>
      </c>
      <c r="B835" s="7" t="s">
        <v>407</v>
      </c>
      <c r="C835" s="7" t="s">
        <v>653</v>
      </c>
      <c r="D835" s="7" t="s">
        <v>19</v>
      </c>
      <c r="E835" s="7" t="s">
        <v>1177</v>
      </c>
      <c r="F835" s="7" t="s">
        <v>134</v>
      </c>
      <c r="G835" s="7" t="s">
        <v>130</v>
      </c>
      <c r="H835" s="7" t="s">
        <v>129</v>
      </c>
      <c r="I835" s="30">
        <v>2</v>
      </c>
      <c r="J835" s="7" t="s">
        <v>1177</v>
      </c>
      <c r="K835" s="7" t="s">
        <v>1178</v>
      </c>
      <c r="L835" s="7" t="s">
        <v>132</v>
      </c>
      <c r="M835" s="7" t="s">
        <v>133</v>
      </c>
      <c r="N835" s="30">
        <v>0</v>
      </c>
      <c r="O835" s="30">
        <v>0</v>
      </c>
      <c r="P835" s="30">
        <v>0</v>
      </c>
      <c r="Q835" s="30">
        <v>0</v>
      </c>
      <c r="R835" s="29">
        <v>0</v>
      </c>
      <c r="S835" s="36">
        <v>0</v>
      </c>
      <c r="T835" s="7" t="s">
        <v>131</v>
      </c>
      <c r="U835" s="7" t="s">
        <v>654</v>
      </c>
      <c r="V835" s="7" t="s">
        <v>654</v>
      </c>
      <c r="W835" s="7" t="s">
        <v>1177</v>
      </c>
      <c r="X835" s="30">
        <v>2</v>
      </c>
      <c r="Y835" s="7" t="s">
        <v>1177</v>
      </c>
      <c r="Z835" s="7" t="s">
        <v>1178</v>
      </c>
      <c r="AA835" s="30">
        <v>0</v>
      </c>
      <c r="AB835" s="36">
        <v>0</v>
      </c>
      <c r="AC835" s="7" t="s">
        <v>1177</v>
      </c>
      <c r="AD835" s="37">
        <v>0</v>
      </c>
      <c r="AE835" s="7" t="s">
        <v>1177</v>
      </c>
      <c r="AF835" s="7" t="s">
        <v>1177</v>
      </c>
      <c r="AG835" s="7" t="s">
        <v>1177</v>
      </c>
      <c r="AH835" s="38"/>
      <c r="AI835" s="36">
        <v>0</v>
      </c>
      <c r="AJ835" s="7" t="s">
        <v>1193</v>
      </c>
      <c r="AK835" s="7" t="s">
        <v>1177</v>
      </c>
      <c r="AL835" s="7" t="s">
        <v>1177</v>
      </c>
      <c r="AM835" s="7" t="s">
        <v>1177</v>
      </c>
      <c r="AN835" s="7" t="s">
        <v>3212</v>
      </c>
      <c r="AO835" s="7" t="s">
        <v>1177</v>
      </c>
      <c r="AP835" s="7" t="s">
        <v>1177</v>
      </c>
      <c r="AQ835" s="7" t="s">
        <v>1177</v>
      </c>
      <c r="AR835" s="29">
        <v>0</v>
      </c>
      <c r="AS835" s="7" t="s">
        <v>1177</v>
      </c>
      <c r="AT835" s="7" t="s">
        <v>1363</v>
      </c>
      <c r="AU835" s="38">
        <v>46275</v>
      </c>
      <c r="AV835" s="39">
        <v>0.60388888888889003</v>
      </c>
    </row>
    <row r="836" spans="1:48" x14ac:dyDescent="0.35">
      <c r="A836" t="str">
        <f t="shared" si="13"/>
        <v>GP144559-001B833</v>
      </c>
      <c r="B836" s="7" t="s">
        <v>407</v>
      </c>
      <c r="C836" s="7" t="s">
        <v>698</v>
      </c>
      <c r="D836" s="7" t="s">
        <v>697</v>
      </c>
      <c r="E836" s="7" t="s">
        <v>1177</v>
      </c>
      <c r="F836" s="7" t="s">
        <v>134</v>
      </c>
      <c r="G836" s="7" t="s">
        <v>130</v>
      </c>
      <c r="H836" s="7" t="s">
        <v>129</v>
      </c>
      <c r="I836" s="30">
        <v>2</v>
      </c>
      <c r="J836" s="7" t="s">
        <v>1177</v>
      </c>
      <c r="K836" s="7" t="s">
        <v>1178</v>
      </c>
      <c r="L836" s="7" t="s">
        <v>132</v>
      </c>
      <c r="M836" s="7" t="s">
        <v>133</v>
      </c>
      <c r="N836" s="30">
        <v>0</v>
      </c>
      <c r="O836" s="30">
        <v>0</v>
      </c>
      <c r="P836" s="30">
        <v>0</v>
      </c>
      <c r="Q836" s="30">
        <v>0</v>
      </c>
      <c r="R836" s="29">
        <v>0</v>
      </c>
      <c r="S836" s="36">
        <v>0</v>
      </c>
      <c r="T836" s="7" t="s">
        <v>131</v>
      </c>
      <c r="U836" s="7" t="s">
        <v>699</v>
      </c>
      <c r="V836" s="7" t="s">
        <v>699</v>
      </c>
      <c r="W836" s="7" t="s">
        <v>1177</v>
      </c>
      <c r="X836" s="30">
        <v>2</v>
      </c>
      <c r="Y836" s="7" t="s">
        <v>1177</v>
      </c>
      <c r="Z836" s="7" t="s">
        <v>1178</v>
      </c>
      <c r="AA836" s="30">
        <v>0</v>
      </c>
      <c r="AB836" s="36">
        <v>0</v>
      </c>
      <c r="AC836" s="7" t="s">
        <v>1177</v>
      </c>
      <c r="AD836" s="37">
        <v>0</v>
      </c>
      <c r="AE836" s="7" t="s">
        <v>1177</v>
      </c>
      <c r="AF836" s="7" t="s">
        <v>1177</v>
      </c>
      <c r="AG836" s="7" t="s">
        <v>1177</v>
      </c>
      <c r="AH836" s="38"/>
      <c r="AI836" s="36">
        <v>0</v>
      </c>
      <c r="AJ836" s="7" t="s">
        <v>1193</v>
      </c>
      <c r="AK836" s="7" t="s">
        <v>1177</v>
      </c>
      <c r="AL836" s="7" t="s">
        <v>1177</v>
      </c>
      <c r="AM836" s="7" t="s">
        <v>1177</v>
      </c>
      <c r="AN836" s="7" t="s">
        <v>3212</v>
      </c>
      <c r="AO836" s="7" t="s">
        <v>1177</v>
      </c>
      <c r="AP836" s="7" t="s">
        <v>1177</v>
      </c>
      <c r="AQ836" s="7" t="s">
        <v>1177</v>
      </c>
      <c r="AR836" s="29">
        <v>0</v>
      </c>
      <c r="AS836" s="7" t="s">
        <v>1177</v>
      </c>
      <c r="AT836" s="7" t="s">
        <v>1363</v>
      </c>
      <c r="AU836" s="38">
        <v>46275</v>
      </c>
      <c r="AV836" s="39">
        <v>0.60395833333333004</v>
      </c>
    </row>
    <row r="837" spans="1:48" x14ac:dyDescent="0.35">
      <c r="A837" t="str">
        <f t="shared" si="13"/>
        <v>GP144559-001B838</v>
      </c>
      <c r="B837" s="7" t="s">
        <v>407</v>
      </c>
      <c r="C837" s="7" t="s">
        <v>744</v>
      </c>
      <c r="D837" s="7" t="s">
        <v>48</v>
      </c>
      <c r="E837" s="7" t="s">
        <v>1177</v>
      </c>
      <c r="F837" s="7" t="s">
        <v>134</v>
      </c>
      <c r="G837" s="7" t="s">
        <v>130</v>
      </c>
      <c r="H837" s="7" t="s">
        <v>129</v>
      </c>
      <c r="I837" s="30">
        <v>4</v>
      </c>
      <c r="J837" s="7" t="s">
        <v>1177</v>
      </c>
      <c r="K837" s="7" t="s">
        <v>1178</v>
      </c>
      <c r="L837" s="7" t="s">
        <v>132</v>
      </c>
      <c r="M837" s="7" t="s">
        <v>133</v>
      </c>
      <c r="N837" s="30">
        <v>0</v>
      </c>
      <c r="O837" s="30">
        <v>0</v>
      </c>
      <c r="P837" s="30">
        <v>0</v>
      </c>
      <c r="Q837" s="30">
        <v>0</v>
      </c>
      <c r="R837" s="29">
        <v>0</v>
      </c>
      <c r="S837" s="36">
        <v>0</v>
      </c>
      <c r="T837" s="7" t="s">
        <v>131</v>
      </c>
      <c r="U837" s="7" t="s">
        <v>745</v>
      </c>
      <c r="V837" s="7" t="s">
        <v>745</v>
      </c>
      <c r="W837" s="7" t="s">
        <v>1177</v>
      </c>
      <c r="X837" s="30">
        <v>4</v>
      </c>
      <c r="Y837" s="7" t="s">
        <v>1177</v>
      </c>
      <c r="Z837" s="7" t="s">
        <v>1178</v>
      </c>
      <c r="AA837" s="30">
        <v>0</v>
      </c>
      <c r="AB837" s="36">
        <v>0</v>
      </c>
      <c r="AC837" s="7" t="s">
        <v>1177</v>
      </c>
      <c r="AD837" s="37">
        <v>0</v>
      </c>
      <c r="AE837" s="7" t="s">
        <v>1177</v>
      </c>
      <c r="AF837" s="7" t="s">
        <v>1177</v>
      </c>
      <c r="AG837" s="7" t="s">
        <v>1177</v>
      </c>
      <c r="AH837" s="38"/>
      <c r="AI837" s="36">
        <v>0</v>
      </c>
      <c r="AJ837" s="7" t="s">
        <v>1193</v>
      </c>
      <c r="AK837" s="7" t="s">
        <v>1177</v>
      </c>
      <c r="AL837" s="7" t="s">
        <v>1177</v>
      </c>
      <c r="AM837" s="7" t="s">
        <v>1177</v>
      </c>
      <c r="AN837" s="7" t="s">
        <v>3212</v>
      </c>
      <c r="AO837" s="7" t="s">
        <v>1177</v>
      </c>
      <c r="AP837" s="7" t="s">
        <v>1177</v>
      </c>
      <c r="AQ837" s="7" t="s">
        <v>1177</v>
      </c>
      <c r="AR837" s="29">
        <v>0</v>
      </c>
      <c r="AS837" s="7" t="s">
        <v>1177</v>
      </c>
      <c r="AT837" s="7" t="s">
        <v>1363</v>
      </c>
      <c r="AU837" s="38">
        <v>46275</v>
      </c>
      <c r="AV837" s="39">
        <v>0.60447916666667001</v>
      </c>
    </row>
    <row r="838" spans="1:48" x14ac:dyDescent="0.35">
      <c r="A838" t="str">
        <f t="shared" si="13"/>
        <v>GP144559-001B856</v>
      </c>
      <c r="B838" s="7" t="s">
        <v>407</v>
      </c>
      <c r="C838" s="7" t="s">
        <v>852</v>
      </c>
      <c r="D838" s="7" t="s">
        <v>21</v>
      </c>
      <c r="E838" s="7" t="s">
        <v>1177</v>
      </c>
      <c r="F838" s="7" t="s">
        <v>134</v>
      </c>
      <c r="G838" s="7" t="s">
        <v>130</v>
      </c>
      <c r="H838" s="7" t="s">
        <v>129</v>
      </c>
      <c r="I838" s="30">
        <v>10</v>
      </c>
      <c r="J838" s="7" t="s">
        <v>1177</v>
      </c>
      <c r="K838" s="7" t="s">
        <v>1178</v>
      </c>
      <c r="L838" s="7" t="s">
        <v>132</v>
      </c>
      <c r="M838" s="7" t="s">
        <v>133</v>
      </c>
      <c r="N838" s="30">
        <v>0</v>
      </c>
      <c r="O838" s="30">
        <v>0</v>
      </c>
      <c r="P838" s="30">
        <v>0</v>
      </c>
      <c r="Q838" s="30">
        <v>0</v>
      </c>
      <c r="R838" s="29">
        <v>0</v>
      </c>
      <c r="S838" s="36">
        <v>0</v>
      </c>
      <c r="T838" s="7" t="s">
        <v>131</v>
      </c>
      <c r="U838" s="7" t="s">
        <v>853</v>
      </c>
      <c r="V838" s="7" t="s">
        <v>853</v>
      </c>
      <c r="W838" s="7" t="s">
        <v>1177</v>
      </c>
      <c r="X838" s="30">
        <v>10</v>
      </c>
      <c r="Y838" s="7" t="s">
        <v>1177</v>
      </c>
      <c r="Z838" s="7" t="s">
        <v>1178</v>
      </c>
      <c r="AA838" s="30">
        <v>0</v>
      </c>
      <c r="AB838" s="36">
        <v>0</v>
      </c>
      <c r="AC838" s="7" t="s">
        <v>1177</v>
      </c>
      <c r="AD838" s="37">
        <v>0</v>
      </c>
      <c r="AE838" s="7" t="s">
        <v>1177</v>
      </c>
      <c r="AF838" s="7" t="s">
        <v>1177</v>
      </c>
      <c r="AG838" s="7" t="s">
        <v>1177</v>
      </c>
      <c r="AH838" s="38"/>
      <c r="AI838" s="36">
        <v>0</v>
      </c>
      <c r="AJ838" s="7" t="s">
        <v>1193</v>
      </c>
      <c r="AK838" s="7" t="s">
        <v>1177</v>
      </c>
      <c r="AL838" s="7" t="s">
        <v>1177</v>
      </c>
      <c r="AM838" s="7" t="s">
        <v>1177</v>
      </c>
      <c r="AN838" s="7" t="s">
        <v>3212</v>
      </c>
      <c r="AO838" s="7" t="s">
        <v>1177</v>
      </c>
      <c r="AP838" s="7" t="s">
        <v>1177</v>
      </c>
      <c r="AQ838" s="7" t="s">
        <v>1177</v>
      </c>
      <c r="AR838" s="29">
        <v>0</v>
      </c>
      <c r="AS838" s="7" t="s">
        <v>1177</v>
      </c>
      <c r="AT838" s="7" t="s">
        <v>1363</v>
      </c>
      <c r="AU838" s="38">
        <v>46275</v>
      </c>
      <c r="AV838" s="39">
        <v>0.60524305555556002</v>
      </c>
    </row>
    <row r="839" spans="1:48" x14ac:dyDescent="0.35">
      <c r="A839" t="str">
        <f t="shared" si="13"/>
        <v>GP144559-001B857</v>
      </c>
      <c r="B839" s="7" t="s">
        <v>407</v>
      </c>
      <c r="C839" s="7" t="s">
        <v>958</v>
      </c>
      <c r="D839" s="7" t="s">
        <v>23</v>
      </c>
      <c r="E839" s="7" t="s">
        <v>1177</v>
      </c>
      <c r="F839" s="7" t="s">
        <v>134</v>
      </c>
      <c r="G839" s="7" t="s">
        <v>130</v>
      </c>
      <c r="H839" s="7" t="s">
        <v>129</v>
      </c>
      <c r="I839" s="30">
        <v>4</v>
      </c>
      <c r="J839" s="7" t="s">
        <v>1177</v>
      </c>
      <c r="K839" s="7" t="s">
        <v>1178</v>
      </c>
      <c r="L839" s="7" t="s">
        <v>132</v>
      </c>
      <c r="M839" s="7" t="s">
        <v>133</v>
      </c>
      <c r="N839" s="30">
        <v>0</v>
      </c>
      <c r="O839" s="30">
        <v>0</v>
      </c>
      <c r="P839" s="30">
        <v>0</v>
      </c>
      <c r="Q839" s="30">
        <v>0</v>
      </c>
      <c r="R839" s="29">
        <v>0</v>
      </c>
      <c r="S839" s="36">
        <v>0</v>
      </c>
      <c r="T839" s="7" t="s">
        <v>131</v>
      </c>
      <c r="U839" s="7" t="s">
        <v>959</v>
      </c>
      <c r="V839" s="7" t="s">
        <v>959</v>
      </c>
      <c r="W839" s="7" t="s">
        <v>1177</v>
      </c>
      <c r="X839" s="30">
        <v>4</v>
      </c>
      <c r="Y839" s="7" t="s">
        <v>1177</v>
      </c>
      <c r="Z839" s="7" t="s">
        <v>1178</v>
      </c>
      <c r="AA839" s="30">
        <v>0</v>
      </c>
      <c r="AB839" s="36">
        <v>0</v>
      </c>
      <c r="AC839" s="7" t="s">
        <v>1177</v>
      </c>
      <c r="AD839" s="37">
        <v>0</v>
      </c>
      <c r="AE839" s="7" t="s">
        <v>1177</v>
      </c>
      <c r="AF839" s="7" t="s">
        <v>1177</v>
      </c>
      <c r="AG839" s="7" t="s">
        <v>1177</v>
      </c>
      <c r="AH839" s="38"/>
      <c r="AI839" s="36">
        <v>0</v>
      </c>
      <c r="AJ839" s="7" t="s">
        <v>1193</v>
      </c>
      <c r="AK839" s="7" t="s">
        <v>1177</v>
      </c>
      <c r="AL839" s="7" t="s">
        <v>1177</v>
      </c>
      <c r="AM839" s="7" t="s">
        <v>1177</v>
      </c>
      <c r="AN839" s="7" t="s">
        <v>3212</v>
      </c>
      <c r="AO839" s="7" t="s">
        <v>1177</v>
      </c>
      <c r="AP839" s="7" t="s">
        <v>1177</v>
      </c>
      <c r="AQ839" s="7" t="s">
        <v>1177</v>
      </c>
      <c r="AR839" s="29">
        <v>0</v>
      </c>
      <c r="AS839" s="7" t="s">
        <v>1177</v>
      </c>
      <c r="AT839" s="7" t="s">
        <v>1363</v>
      </c>
      <c r="AU839" s="38">
        <v>46275</v>
      </c>
      <c r="AV839" s="39">
        <v>0.60528935185184995</v>
      </c>
    </row>
    <row r="840" spans="1:48" x14ac:dyDescent="0.35">
      <c r="A840" t="str">
        <f t="shared" si="13"/>
        <v>GP144559-001B864</v>
      </c>
      <c r="B840" s="7" t="s">
        <v>407</v>
      </c>
      <c r="C840" s="7" t="s">
        <v>1010</v>
      </c>
      <c r="D840" s="7" t="s">
        <v>10</v>
      </c>
      <c r="E840" s="7" t="s">
        <v>1177</v>
      </c>
      <c r="F840" s="7" t="s">
        <v>134</v>
      </c>
      <c r="G840" s="7" t="s">
        <v>130</v>
      </c>
      <c r="H840" s="7" t="s">
        <v>129</v>
      </c>
      <c r="I840" s="30">
        <v>5</v>
      </c>
      <c r="J840" s="7" t="s">
        <v>1177</v>
      </c>
      <c r="K840" s="7" t="s">
        <v>1178</v>
      </c>
      <c r="L840" s="7" t="s">
        <v>132</v>
      </c>
      <c r="M840" s="7" t="s">
        <v>133</v>
      </c>
      <c r="N840" s="30">
        <v>0</v>
      </c>
      <c r="O840" s="30">
        <v>0</v>
      </c>
      <c r="P840" s="30">
        <v>0</v>
      </c>
      <c r="Q840" s="30">
        <v>0</v>
      </c>
      <c r="R840" s="29">
        <v>0</v>
      </c>
      <c r="S840" s="36">
        <v>0</v>
      </c>
      <c r="T840" s="7" t="s">
        <v>131</v>
      </c>
      <c r="U840" s="7" t="s">
        <v>1011</v>
      </c>
      <c r="V840" s="7" t="s">
        <v>1011</v>
      </c>
      <c r="W840" s="7" t="s">
        <v>1177</v>
      </c>
      <c r="X840" s="30">
        <v>5</v>
      </c>
      <c r="Y840" s="7" t="s">
        <v>1177</v>
      </c>
      <c r="Z840" s="7" t="s">
        <v>1178</v>
      </c>
      <c r="AA840" s="30">
        <v>0</v>
      </c>
      <c r="AB840" s="36">
        <v>0</v>
      </c>
      <c r="AC840" s="7" t="s">
        <v>1177</v>
      </c>
      <c r="AD840" s="37">
        <v>0</v>
      </c>
      <c r="AE840" s="7" t="s">
        <v>1177</v>
      </c>
      <c r="AF840" s="7" t="s">
        <v>1177</v>
      </c>
      <c r="AG840" s="7" t="s">
        <v>1177</v>
      </c>
      <c r="AH840" s="38"/>
      <c r="AI840" s="36">
        <v>0</v>
      </c>
      <c r="AJ840" s="7" t="s">
        <v>1193</v>
      </c>
      <c r="AK840" s="7" t="s">
        <v>1177</v>
      </c>
      <c r="AL840" s="7" t="s">
        <v>1177</v>
      </c>
      <c r="AM840" s="7" t="s">
        <v>1177</v>
      </c>
      <c r="AN840" s="7" t="s">
        <v>3212</v>
      </c>
      <c r="AO840" s="7" t="s">
        <v>1177</v>
      </c>
      <c r="AP840" s="7" t="s">
        <v>1177</v>
      </c>
      <c r="AQ840" s="7" t="s">
        <v>1177</v>
      </c>
      <c r="AR840" s="29">
        <v>0</v>
      </c>
      <c r="AS840" s="7" t="s">
        <v>1177</v>
      </c>
      <c r="AT840" s="7" t="s">
        <v>1363</v>
      </c>
      <c r="AU840" s="38">
        <v>46275</v>
      </c>
      <c r="AV840" s="39">
        <v>0.60543981481481002</v>
      </c>
    </row>
    <row r="841" spans="1:48" x14ac:dyDescent="0.35">
      <c r="A841" t="str">
        <f t="shared" si="13"/>
        <v>GP144559-001B865</v>
      </c>
      <c r="B841" s="7" t="s">
        <v>407</v>
      </c>
      <c r="C841" s="7" t="s">
        <v>1039</v>
      </c>
      <c r="D841" s="7" t="s">
        <v>7</v>
      </c>
      <c r="E841" s="7" t="s">
        <v>1177</v>
      </c>
      <c r="F841" s="7" t="s">
        <v>134</v>
      </c>
      <c r="G841" s="7" t="s">
        <v>130</v>
      </c>
      <c r="H841" s="7" t="s">
        <v>129</v>
      </c>
      <c r="I841" s="30">
        <v>6</v>
      </c>
      <c r="J841" s="7" t="s">
        <v>1177</v>
      </c>
      <c r="K841" s="7" t="s">
        <v>1178</v>
      </c>
      <c r="L841" s="7" t="s">
        <v>132</v>
      </c>
      <c r="M841" s="7" t="s">
        <v>133</v>
      </c>
      <c r="N841" s="30">
        <v>0</v>
      </c>
      <c r="O841" s="30">
        <v>0</v>
      </c>
      <c r="P841" s="30">
        <v>0</v>
      </c>
      <c r="Q841" s="30">
        <v>0</v>
      </c>
      <c r="R841" s="29">
        <v>0</v>
      </c>
      <c r="S841" s="36">
        <v>0</v>
      </c>
      <c r="T841" s="7" t="s">
        <v>131</v>
      </c>
      <c r="U841" s="7" t="s">
        <v>1040</v>
      </c>
      <c r="V841" s="7" t="s">
        <v>1040</v>
      </c>
      <c r="W841" s="7" t="s">
        <v>1177</v>
      </c>
      <c r="X841" s="30">
        <v>6</v>
      </c>
      <c r="Y841" s="7" t="s">
        <v>1177</v>
      </c>
      <c r="Z841" s="7" t="s">
        <v>1178</v>
      </c>
      <c r="AA841" s="30">
        <v>0</v>
      </c>
      <c r="AB841" s="36">
        <v>0</v>
      </c>
      <c r="AC841" s="7" t="s">
        <v>1177</v>
      </c>
      <c r="AD841" s="37">
        <v>0</v>
      </c>
      <c r="AE841" s="7" t="s">
        <v>1177</v>
      </c>
      <c r="AF841" s="7" t="s">
        <v>1177</v>
      </c>
      <c r="AG841" s="7" t="s">
        <v>1177</v>
      </c>
      <c r="AH841" s="38"/>
      <c r="AI841" s="36">
        <v>0</v>
      </c>
      <c r="AJ841" s="7" t="s">
        <v>1193</v>
      </c>
      <c r="AK841" s="7" t="s">
        <v>1177</v>
      </c>
      <c r="AL841" s="7" t="s">
        <v>1177</v>
      </c>
      <c r="AM841" s="7" t="s">
        <v>1177</v>
      </c>
      <c r="AN841" s="7" t="s">
        <v>3212</v>
      </c>
      <c r="AO841" s="7" t="s">
        <v>1177</v>
      </c>
      <c r="AP841" s="7" t="s">
        <v>1177</v>
      </c>
      <c r="AQ841" s="7" t="s">
        <v>1177</v>
      </c>
      <c r="AR841" s="29">
        <v>0</v>
      </c>
      <c r="AS841" s="7" t="s">
        <v>1177</v>
      </c>
      <c r="AT841" s="7" t="s">
        <v>1363</v>
      </c>
      <c r="AU841" s="38">
        <v>46275</v>
      </c>
      <c r="AV841" s="39">
        <v>0.60553240740740999</v>
      </c>
    </row>
    <row r="842" spans="1:48" x14ac:dyDescent="0.35">
      <c r="A842" t="str">
        <f t="shared" si="13"/>
        <v>GP144559-001B867</v>
      </c>
      <c r="B842" s="7" t="s">
        <v>407</v>
      </c>
      <c r="C842" s="7" t="s">
        <v>1059</v>
      </c>
      <c r="D842" s="7" t="s">
        <v>25</v>
      </c>
      <c r="E842" s="7" t="s">
        <v>1177</v>
      </c>
      <c r="F842" s="7" t="s">
        <v>134</v>
      </c>
      <c r="G842" s="7" t="s">
        <v>130</v>
      </c>
      <c r="H842" s="7" t="s">
        <v>129</v>
      </c>
      <c r="I842" s="30">
        <v>2</v>
      </c>
      <c r="J842" s="7" t="s">
        <v>1177</v>
      </c>
      <c r="K842" s="7" t="s">
        <v>1178</v>
      </c>
      <c r="L842" s="7" t="s">
        <v>132</v>
      </c>
      <c r="M842" s="7" t="s">
        <v>133</v>
      </c>
      <c r="N842" s="30">
        <v>0</v>
      </c>
      <c r="O842" s="30">
        <v>0</v>
      </c>
      <c r="P842" s="30">
        <v>0</v>
      </c>
      <c r="Q842" s="30">
        <v>0</v>
      </c>
      <c r="R842" s="29">
        <v>0</v>
      </c>
      <c r="S842" s="36">
        <v>0</v>
      </c>
      <c r="T842" s="7" t="s">
        <v>131</v>
      </c>
      <c r="U842" s="7" t="s">
        <v>1060</v>
      </c>
      <c r="V842" s="7" t="s">
        <v>1060</v>
      </c>
      <c r="W842" s="7" t="s">
        <v>1177</v>
      </c>
      <c r="X842" s="30">
        <v>2</v>
      </c>
      <c r="Y842" s="7" t="s">
        <v>1177</v>
      </c>
      <c r="Z842" s="7" t="s">
        <v>1178</v>
      </c>
      <c r="AA842" s="30">
        <v>0</v>
      </c>
      <c r="AB842" s="36">
        <v>0</v>
      </c>
      <c r="AC842" s="7" t="s">
        <v>1177</v>
      </c>
      <c r="AD842" s="37">
        <v>0</v>
      </c>
      <c r="AE842" s="7" t="s">
        <v>1177</v>
      </c>
      <c r="AF842" s="7" t="s">
        <v>1177</v>
      </c>
      <c r="AG842" s="7" t="s">
        <v>1177</v>
      </c>
      <c r="AH842" s="38"/>
      <c r="AI842" s="36">
        <v>0</v>
      </c>
      <c r="AJ842" s="7" t="s">
        <v>1193</v>
      </c>
      <c r="AK842" s="7" t="s">
        <v>1177</v>
      </c>
      <c r="AL842" s="7" t="s">
        <v>1177</v>
      </c>
      <c r="AM842" s="7" t="s">
        <v>1177</v>
      </c>
      <c r="AN842" s="7" t="s">
        <v>3212</v>
      </c>
      <c r="AO842" s="7" t="s">
        <v>1177</v>
      </c>
      <c r="AP842" s="7" t="s">
        <v>1177</v>
      </c>
      <c r="AQ842" s="7" t="s">
        <v>1177</v>
      </c>
      <c r="AR842" s="29">
        <v>0</v>
      </c>
      <c r="AS842" s="7" t="s">
        <v>1177</v>
      </c>
      <c r="AT842" s="7" t="s">
        <v>1363</v>
      </c>
      <c r="AU842" s="38">
        <v>46275</v>
      </c>
      <c r="AV842" s="39">
        <v>0.60565972222221998</v>
      </c>
    </row>
    <row r="843" spans="1:48" x14ac:dyDescent="0.35">
      <c r="A843" t="str">
        <f t="shared" si="13"/>
        <v>GP144559-002B838</v>
      </c>
      <c r="B843" s="7" t="s">
        <v>750</v>
      </c>
      <c r="C843" s="7" t="s">
        <v>744</v>
      </c>
      <c r="D843" s="7" t="s">
        <v>48</v>
      </c>
      <c r="E843" s="7" t="s">
        <v>1177</v>
      </c>
      <c r="F843" s="7" t="s">
        <v>128</v>
      </c>
      <c r="G843" s="7" t="s">
        <v>130</v>
      </c>
      <c r="H843" s="7" t="s">
        <v>129</v>
      </c>
      <c r="I843" s="30">
        <v>1</v>
      </c>
      <c r="J843" s="7" t="s">
        <v>1177</v>
      </c>
      <c r="K843" s="7" t="s">
        <v>1178</v>
      </c>
      <c r="L843" s="7" t="s">
        <v>132</v>
      </c>
      <c r="M843" s="7" t="s">
        <v>133</v>
      </c>
      <c r="N843" s="30">
        <v>0</v>
      </c>
      <c r="O843" s="30">
        <v>0</v>
      </c>
      <c r="P843" s="30">
        <v>0</v>
      </c>
      <c r="Q843" s="30">
        <v>0</v>
      </c>
      <c r="R843" s="29">
        <v>0</v>
      </c>
      <c r="S843" s="36">
        <v>0</v>
      </c>
      <c r="T843" s="7" t="s">
        <v>131</v>
      </c>
      <c r="U843" s="7" t="s">
        <v>745</v>
      </c>
      <c r="V843" s="7" t="s">
        <v>745</v>
      </c>
      <c r="W843" s="7" t="s">
        <v>1177</v>
      </c>
      <c r="X843" s="30">
        <v>1</v>
      </c>
      <c r="Y843" s="7" t="s">
        <v>1177</v>
      </c>
      <c r="Z843" s="7" t="s">
        <v>1178</v>
      </c>
      <c r="AA843" s="30">
        <v>0</v>
      </c>
      <c r="AB843" s="36">
        <v>0</v>
      </c>
      <c r="AC843" s="7" t="s">
        <v>1177</v>
      </c>
      <c r="AD843" s="37">
        <v>0</v>
      </c>
      <c r="AE843" s="7" t="s">
        <v>1177</v>
      </c>
      <c r="AF843" s="7" t="s">
        <v>1177</v>
      </c>
      <c r="AG843" s="7" t="s">
        <v>1177</v>
      </c>
      <c r="AH843" s="38"/>
      <c r="AI843" s="36">
        <v>0</v>
      </c>
      <c r="AJ843" s="7" t="s">
        <v>1193</v>
      </c>
      <c r="AK843" s="7" t="s">
        <v>1177</v>
      </c>
      <c r="AL843" s="7" t="s">
        <v>1177</v>
      </c>
      <c r="AM843" s="7" t="s">
        <v>1177</v>
      </c>
      <c r="AN843" s="7" t="s">
        <v>3212</v>
      </c>
      <c r="AO843" s="7" t="s">
        <v>1177</v>
      </c>
      <c r="AP843" s="7" t="s">
        <v>1177</v>
      </c>
      <c r="AQ843" s="7" t="s">
        <v>1177</v>
      </c>
      <c r="AR843" s="29">
        <v>0</v>
      </c>
      <c r="AS843" s="7" t="s">
        <v>1177</v>
      </c>
      <c r="AT843" s="7" t="s">
        <v>1363</v>
      </c>
      <c r="AU843" s="38">
        <v>46275</v>
      </c>
      <c r="AV843" s="39">
        <v>0.62410879629630001</v>
      </c>
    </row>
    <row r="844" spans="1:48" x14ac:dyDescent="0.35">
      <c r="A844" t="str">
        <f t="shared" si="13"/>
        <v>GP144559-002B857</v>
      </c>
      <c r="B844" s="7" t="s">
        <v>750</v>
      </c>
      <c r="C844" s="7" t="s">
        <v>958</v>
      </c>
      <c r="D844" s="7" t="s">
        <v>23</v>
      </c>
      <c r="E844" s="7" t="s">
        <v>1177</v>
      </c>
      <c r="F844" s="7" t="s">
        <v>128</v>
      </c>
      <c r="G844" s="7" t="s">
        <v>130</v>
      </c>
      <c r="H844" s="7" t="s">
        <v>129</v>
      </c>
      <c r="I844" s="30">
        <v>1</v>
      </c>
      <c r="J844" s="7" t="s">
        <v>1177</v>
      </c>
      <c r="K844" s="7" t="s">
        <v>1178</v>
      </c>
      <c r="L844" s="7" t="s">
        <v>132</v>
      </c>
      <c r="M844" s="7" t="s">
        <v>133</v>
      </c>
      <c r="N844" s="30">
        <v>0</v>
      </c>
      <c r="O844" s="30">
        <v>0</v>
      </c>
      <c r="P844" s="30">
        <v>0</v>
      </c>
      <c r="Q844" s="30">
        <v>0</v>
      </c>
      <c r="R844" s="29">
        <v>0</v>
      </c>
      <c r="S844" s="36">
        <v>0</v>
      </c>
      <c r="T844" s="7" t="s">
        <v>131</v>
      </c>
      <c r="U844" s="7" t="s">
        <v>959</v>
      </c>
      <c r="V844" s="7" t="s">
        <v>959</v>
      </c>
      <c r="W844" s="7" t="s">
        <v>1177</v>
      </c>
      <c r="X844" s="30">
        <v>1</v>
      </c>
      <c r="Y844" s="7" t="s">
        <v>1177</v>
      </c>
      <c r="Z844" s="7" t="s">
        <v>1178</v>
      </c>
      <c r="AA844" s="30">
        <v>0</v>
      </c>
      <c r="AB844" s="36">
        <v>0</v>
      </c>
      <c r="AC844" s="7" t="s">
        <v>1177</v>
      </c>
      <c r="AD844" s="37">
        <v>0</v>
      </c>
      <c r="AE844" s="7" t="s">
        <v>1177</v>
      </c>
      <c r="AF844" s="7" t="s">
        <v>1177</v>
      </c>
      <c r="AG844" s="7" t="s">
        <v>1177</v>
      </c>
      <c r="AH844" s="38"/>
      <c r="AI844" s="36">
        <v>0</v>
      </c>
      <c r="AJ844" s="7" t="s">
        <v>1193</v>
      </c>
      <c r="AK844" s="7" t="s">
        <v>1177</v>
      </c>
      <c r="AL844" s="7" t="s">
        <v>1177</v>
      </c>
      <c r="AM844" s="7" t="s">
        <v>1177</v>
      </c>
      <c r="AN844" s="7" t="s">
        <v>3212</v>
      </c>
      <c r="AO844" s="7" t="s">
        <v>1177</v>
      </c>
      <c r="AP844" s="7" t="s">
        <v>1177</v>
      </c>
      <c r="AQ844" s="7" t="s">
        <v>1177</v>
      </c>
      <c r="AR844" s="29">
        <v>0</v>
      </c>
      <c r="AS844" s="7" t="s">
        <v>1177</v>
      </c>
      <c r="AT844" s="7" t="s">
        <v>1363</v>
      </c>
      <c r="AU844" s="38">
        <v>46275</v>
      </c>
      <c r="AV844" s="39">
        <v>0.62497685185185003</v>
      </c>
    </row>
    <row r="845" spans="1:48" x14ac:dyDescent="0.35">
      <c r="A845" t="str">
        <f t="shared" si="13"/>
        <v>GP145852B825</v>
      </c>
      <c r="B845" s="7" t="s">
        <v>66</v>
      </c>
      <c r="C845" s="7" t="s">
        <v>511</v>
      </c>
      <c r="D845" s="7" t="s">
        <v>16</v>
      </c>
      <c r="E845" s="7" t="s">
        <v>1177</v>
      </c>
      <c r="F845" s="7" t="s">
        <v>128</v>
      </c>
      <c r="G845" s="7" t="s">
        <v>130</v>
      </c>
      <c r="H845" s="7" t="s">
        <v>129</v>
      </c>
      <c r="I845" s="30">
        <v>3</v>
      </c>
      <c r="J845" s="7" t="s">
        <v>1177</v>
      </c>
      <c r="K845" s="7" t="s">
        <v>1178</v>
      </c>
      <c r="L845" s="7" t="s">
        <v>132</v>
      </c>
      <c r="M845" s="7" t="s">
        <v>133</v>
      </c>
      <c r="N845" s="30">
        <v>0</v>
      </c>
      <c r="O845" s="30">
        <v>0</v>
      </c>
      <c r="P845" s="30">
        <v>0</v>
      </c>
      <c r="Q845" s="30">
        <v>0</v>
      </c>
      <c r="R845" s="29">
        <v>0</v>
      </c>
      <c r="S845" s="36">
        <v>0</v>
      </c>
      <c r="T845" s="7" t="s">
        <v>131</v>
      </c>
      <c r="U845" s="7" t="s">
        <v>512</v>
      </c>
      <c r="V845" s="7" t="s">
        <v>512</v>
      </c>
      <c r="W845" s="7" t="s">
        <v>1177</v>
      </c>
      <c r="X845" s="30">
        <v>1</v>
      </c>
      <c r="Y845" s="7" t="s">
        <v>1177</v>
      </c>
      <c r="Z845" s="7" t="s">
        <v>1178</v>
      </c>
      <c r="AA845" s="30">
        <v>0</v>
      </c>
      <c r="AB845" s="36">
        <v>0</v>
      </c>
      <c r="AC845" s="7" t="s">
        <v>1177</v>
      </c>
      <c r="AD845" s="37">
        <v>0</v>
      </c>
      <c r="AE845" s="7" t="s">
        <v>1177</v>
      </c>
      <c r="AF845" s="7" t="s">
        <v>1177</v>
      </c>
      <c r="AG845" s="7" t="s">
        <v>1177</v>
      </c>
      <c r="AH845" s="38"/>
      <c r="AI845" s="36">
        <v>0</v>
      </c>
      <c r="AJ845" s="7" t="s">
        <v>1193</v>
      </c>
      <c r="AK845" s="7" t="s">
        <v>1177</v>
      </c>
      <c r="AL845" s="7" t="s">
        <v>1177</v>
      </c>
      <c r="AM845" s="7" t="s">
        <v>1177</v>
      </c>
      <c r="AN845" s="7" t="s">
        <v>3212</v>
      </c>
      <c r="AO845" s="7" t="s">
        <v>1177</v>
      </c>
      <c r="AP845" s="7" t="s">
        <v>1177</v>
      </c>
      <c r="AQ845" s="7" t="s">
        <v>1177</v>
      </c>
      <c r="AR845" s="29">
        <v>0</v>
      </c>
      <c r="AS845" s="7" t="s">
        <v>1177</v>
      </c>
      <c r="AT845" s="7" t="s">
        <v>1363</v>
      </c>
      <c r="AU845" s="38">
        <v>46275</v>
      </c>
      <c r="AV845" s="39">
        <v>0.62304398148147999</v>
      </c>
    </row>
    <row r="846" spans="1:48" x14ac:dyDescent="0.35">
      <c r="A846" t="str">
        <f t="shared" si="13"/>
        <v>GP145852B832</v>
      </c>
      <c r="B846" s="7" t="s">
        <v>66</v>
      </c>
      <c r="C846" s="7" t="s">
        <v>653</v>
      </c>
      <c r="D846" s="7" t="s">
        <v>19</v>
      </c>
      <c r="E846" s="7" t="s">
        <v>1177</v>
      </c>
      <c r="F846" s="7" t="s">
        <v>128</v>
      </c>
      <c r="G846" s="7" t="s">
        <v>130</v>
      </c>
      <c r="H846" s="7" t="s">
        <v>129</v>
      </c>
      <c r="I846" s="30">
        <v>4</v>
      </c>
      <c r="J846" s="7" t="s">
        <v>1177</v>
      </c>
      <c r="K846" s="7" t="s">
        <v>1178</v>
      </c>
      <c r="L846" s="7" t="s">
        <v>132</v>
      </c>
      <c r="M846" s="7" t="s">
        <v>133</v>
      </c>
      <c r="N846" s="30">
        <v>0</v>
      </c>
      <c r="O846" s="30">
        <v>0</v>
      </c>
      <c r="P846" s="30">
        <v>0</v>
      </c>
      <c r="Q846" s="30">
        <v>0</v>
      </c>
      <c r="R846" s="29">
        <v>0</v>
      </c>
      <c r="S846" s="36">
        <v>0</v>
      </c>
      <c r="T846" s="7" t="s">
        <v>131</v>
      </c>
      <c r="U846" s="7" t="s">
        <v>654</v>
      </c>
      <c r="V846" s="7" t="s">
        <v>654</v>
      </c>
      <c r="W846" s="7" t="s">
        <v>1177</v>
      </c>
      <c r="X846" s="30">
        <v>1</v>
      </c>
      <c r="Y846" s="7" t="s">
        <v>1177</v>
      </c>
      <c r="Z846" s="7" t="s">
        <v>1178</v>
      </c>
      <c r="AA846" s="30">
        <v>0</v>
      </c>
      <c r="AB846" s="36">
        <v>0</v>
      </c>
      <c r="AC846" s="7" t="s">
        <v>1177</v>
      </c>
      <c r="AD846" s="37">
        <v>0</v>
      </c>
      <c r="AE846" s="7" t="s">
        <v>1177</v>
      </c>
      <c r="AF846" s="7" t="s">
        <v>1177</v>
      </c>
      <c r="AG846" s="7" t="s">
        <v>1177</v>
      </c>
      <c r="AH846" s="38"/>
      <c r="AI846" s="36">
        <v>0</v>
      </c>
      <c r="AJ846" s="7" t="s">
        <v>1193</v>
      </c>
      <c r="AK846" s="7" t="s">
        <v>1177</v>
      </c>
      <c r="AL846" s="7" t="s">
        <v>1177</v>
      </c>
      <c r="AM846" s="7" t="s">
        <v>1177</v>
      </c>
      <c r="AN846" s="7" t="s">
        <v>3212</v>
      </c>
      <c r="AO846" s="7" t="s">
        <v>1177</v>
      </c>
      <c r="AP846" s="7" t="s">
        <v>1177</v>
      </c>
      <c r="AQ846" s="7" t="s">
        <v>1177</v>
      </c>
      <c r="AR846" s="29">
        <v>0</v>
      </c>
      <c r="AS846" s="7" t="s">
        <v>1177</v>
      </c>
      <c r="AT846" s="7" t="s">
        <v>1363</v>
      </c>
      <c r="AU846" s="38">
        <v>46275</v>
      </c>
      <c r="AV846" s="39">
        <v>0.62336805555555996</v>
      </c>
    </row>
    <row r="847" spans="1:48" x14ac:dyDescent="0.35">
      <c r="A847" t="str">
        <f t="shared" si="13"/>
        <v>GP145852B833</v>
      </c>
      <c r="B847" s="7" t="s">
        <v>66</v>
      </c>
      <c r="C847" s="7" t="s">
        <v>698</v>
      </c>
      <c r="D847" s="7" t="s">
        <v>697</v>
      </c>
      <c r="E847" s="7" t="s">
        <v>1177</v>
      </c>
      <c r="F847" s="7" t="s">
        <v>128</v>
      </c>
      <c r="G847" s="7" t="s">
        <v>130</v>
      </c>
      <c r="H847" s="7" t="s">
        <v>129</v>
      </c>
      <c r="I847" s="30">
        <v>2</v>
      </c>
      <c r="J847" s="7" t="s">
        <v>1177</v>
      </c>
      <c r="K847" s="7" t="s">
        <v>1178</v>
      </c>
      <c r="L847" s="7" t="s">
        <v>132</v>
      </c>
      <c r="M847" s="7" t="s">
        <v>133</v>
      </c>
      <c r="N847" s="30">
        <v>0</v>
      </c>
      <c r="O847" s="30">
        <v>0</v>
      </c>
      <c r="P847" s="30">
        <v>0</v>
      </c>
      <c r="Q847" s="30">
        <v>0</v>
      </c>
      <c r="R847" s="29">
        <v>0</v>
      </c>
      <c r="S847" s="36">
        <v>0</v>
      </c>
      <c r="T847" s="7" t="s">
        <v>131</v>
      </c>
      <c r="U847" s="7" t="s">
        <v>699</v>
      </c>
      <c r="V847" s="7" t="s">
        <v>699</v>
      </c>
      <c r="W847" s="7" t="s">
        <v>1177</v>
      </c>
      <c r="X847" s="30">
        <v>1</v>
      </c>
      <c r="Y847" s="7" t="s">
        <v>1177</v>
      </c>
      <c r="Z847" s="7" t="s">
        <v>1178</v>
      </c>
      <c r="AA847" s="30">
        <v>0</v>
      </c>
      <c r="AB847" s="36">
        <v>0</v>
      </c>
      <c r="AC847" s="7" t="s">
        <v>1177</v>
      </c>
      <c r="AD847" s="37">
        <v>0</v>
      </c>
      <c r="AE847" s="7" t="s">
        <v>1177</v>
      </c>
      <c r="AF847" s="7" t="s">
        <v>1177</v>
      </c>
      <c r="AG847" s="7" t="s">
        <v>1177</v>
      </c>
      <c r="AH847" s="38"/>
      <c r="AI847" s="36">
        <v>0</v>
      </c>
      <c r="AJ847" s="7" t="s">
        <v>1193</v>
      </c>
      <c r="AK847" s="7" t="s">
        <v>1177</v>
      </c>
      <c r="AL847" s="7" t="s">
        <v>1177</v>
      </c>
      <c r="AM847" s="7" t="s">
        <v>1177</v>
      </c>
      <c r="AN847" s="7" t="s">
        <v>3212</v>
      </c>
      <c r="AO847" s="7" t="s">
        <v>1177</v>
      </c>
      <c r="AP847" s="7" t="s">
        <v>1177</v>
      </c>
      <c r="AQ847" s="7" t="s">
        <v>1177</v>
      </c>
      <c r="AR847" s="29">
        <v>0</v>
      </c>
      <c r="AS847" s="7" t="s">
        <v>1177</v>
      </c>
      <c r="AT847" s="7" t="s">
        <v>1363</v>
      </c>
      <c r="AU847" s="38">
        <v>46275</v>
      </c>
      <c r="AV847" s="39">
        <v>0.62347222222221998</v>
      </c>
    </row>
    <row r="848" spans="1:48" x14ac:dyDescent="0.35">
      <c r="A848" t="str">
        <f t="shared" si="13"/>
        <v>GP145852B838</v>
      </c>
      <c r="B848" s="7" t="s">
        <v>66</v>
      </c>
      <c r="C848" s="7" t="s">
        <v>744</v>
      </c>
      <c r="D848" s="7" t="s">
        <v>48</v>
      </c>
      <c r="E848" s="7" t="s">
        <v>1177</v>
      </c>
      <c r="F848" s="7" t="s">
        <v>128</v>
      </c>
      <c r="G848" s="7" t="s">
        <v>130</v>
      </c>
      <c r="H848" s="7" t="s">
        <v>129</v>
      </c>
      <c r="I848" s="30">
        <v>1</v>
      </c>
      <c r="J848" s="7" t="s">
        <v>1177</v>
      </c>
      <c r="K848" s="7" t="s">
        <v>1178</v>
      </c>
      <c r="L848" s="7" t="s">
        <v>132</v>
      </c>
      <c r="M848" s="7" t="s">
        <v>133</v>
      </c>
      <c r="N848" s="30">
        <v>0</v>
      </c>
      <c r="O848" s="30">
        <v>0</v>
      </c>
      <c r="P848" s="30">
        <v>0</v>
      </c>
      <c r="Q848" s="30">
        <v>0</v>
      </c>
      <c r="R848" s="29">
        <v>0</v>
      </c>
      <c r="S848" s="36">
        <v>0</v>
      </c>
      <c r="T848" s="7" t="s">
        <v>131</v>
      </c>
      <c r="U848" s="7" t="s">
        <v>745</v>
      </c>
      <c r="V848" s="7" t="s">
        <v>745</v>
      </c>
      <c r="W848" s="7" t="s">
        <v>1177</v>
      </c>
      <c r="X848" s="30">
        <v>1</v>
      </c>
      <c r="Y848" s="7" t="s">
        <v>1177</v>
      </c>
      <c r="Z848" s="7" t="s">
        <v>1178</v>
      </c>
      <c r="AA848" s="30">
        <v>0</v>
      </c>
      <c r="AB848" s="36">
        <v>0</v>
      </c>
      <c r="AC848" s="7" t="s">
        <v>1177</v>
      </c>
      <c r="AD848" s="37">
        <v>0</v>
      </c>
      <c r="AE848" s="7" t="s">
        <v>1177</v>
      </c>
      <c r="AF848" s="7" t="s">
        <v>1177</v>
      </c>
      <c r="AG848" s="7" t="s">
        <v>1177</v>
      </c>
      <c r="AH848" s="38"/>
      <c r="AI848" s="36">
        <v>0</v>
      </c>
      <c r="AJ848" s="7" t="s">
        <v>1193</v>
      </c>
      <c r="AK848" s="7" t="s">
        <v>1177</v>
      </c>
      <c r="AL848" s="7" t="s">
        <v>1177</v>
      </c>
      <c r="AM848" s="7" t="s">
        <v>1177</v>
      </c>
      <c r="AN848" s="7" t="s">
        <v>3212</v>
      </c>
      <c r="AO848" s="7" t="s">
        <v>1177</v>
      </c>
      <c r="AP848" s="7" t="s">
        <v>1177</v>
      </c>
      <c r="AQ848" s="7" t="s">
        <v>1177</v>
      </c>
      <c r="AR848" s="29">
        <v>0</v>
      </c>
      <c r="AS848" s="7" t="s">
        <v>1177</v>
      </c>
      <c r="AT848" s="7" t="s">
        <v>1363</v>
      </c>
      <c r="AU848" s="38">
        <v>46275</v>
      </c>
      <c r="AV848" s="39">
        <v>0.62410879629630001</v>
      </c>
    </row>
    <row r="849" spans="1:48" x14ac:dyDescent="0.35">
      <c r="A849" t="str">
        <f t="shared" si="13"/>
        <v>GP145852B856</v>
      </c>
      <c r="B849" s="7" t="s">
        <v>66</v>
      </c>
      <c r="C849" s="7" t="s">
        <v>852</v>
      </c>
      <c r="D849" s="7" t="s">
        <v>21</v>
      </c>
      <c r="E849" s="7" t="s">
        <v>1177</v>
      </c>
      <c r="F849" s="7" t="s">
        <v>128</v>
      </c>
      <c r="G849" s="7" t="s">
        <v>130</v>
      </c>
      <c r="H849" s="7" t="s">
        <v>129</v>
      </c>
      <c r="I849" s="30">
        <v>1</v>
      </c>
      <c r="J849" s="7" t="s">
        <v>1177</v>
      </c>
      <c r="K849" s="7" t="s">
        <v>1178</v>
      </c>
      <c r="L849" s="7" t="s">
        <v>132</v>
      </c>
      <c r="M849" s="7" t="s">
        <v>133</v>
      </c>
      <c r="N849" s="30">
        <v>0</v>
      </c>
      <c r="O849" s="30">
        <v>0</v>
      </c>
      <c r="P849" s="30">
        <v>0</v>
      </c>
      <c r="Q849" s="30">
        <v>0</v>
      </c>
      <c r="R849" s="29">
        <v>0</v>
      </c>
      <c r="S849" s="36">
        <v>0</v>
      </c>
      <c r="T849" s="7" t="s">
        <v>131</v>
      </c>
      <c r="U849" s="7" t="s">
        <v>853</v>
      </c>
      <c r="V849" s="7" t="s">
        <v>853</v>
      </c>
      <c r="W849" s="7" t="s">
        <v>1177</v>
      </c>
      <c r="X849" s="30">
        <v>1</v>
      </c>
      <c r="Y849" s="7" t="s">
        <v>1177</v>
      </c>
      <c r="Z849" s="7" t="s">
        <v>1178</v>
      </c>
      <c r="AA849" s="30">
        <v>0</v>
      </c>
      <c r="AB849" s="36">
        <v>0</v>
      </c>
      <c r="AC849" s="7" t="s">
        <v>1177</v>
      </c>
      <c r="AD849" s="37">
        <v>0</v>
      </c>
      <c r="AE849" s="7" t="s">
        <v>1177</v>
      </c>
      <c r="AF849" s="7" t="s">
        <v>1177</v>
      </c>
      <c r="AG849" s="7" t="s">
        <v>1177</v>
      </c>
      <c r="AH849" s="38"/>
      <c r="AI849" s="36">
        <v>0</v>
      </c>
      <c r="AJ849" s="7" t="s">
        <v>1193</v>
      </c>
      <c r="AK849" s="7" t="s">
        <v>1177</v>
      </c>
      <c r="AL849" s="7" t="s">
        <v>1177</v>
      </c>
      <c r="AM849" s="7" t="s">
        <v>1177</v>
      </c>
      <c r="AN849" s="7" t="s">
        <v>3212</v>
      </c>
      <c r="AO849" s="7" t="s">
        <v>1177</v>
      </c>
      <c r="AP849" s="7" t="s">
        <v>1177</v>
      </c>
      <c r="AQ849" s="7" t="s">
        <v>1177</v>
      </c>
      <c r="AR849" s="29">
        <v>0</v>
      </c>
      <c r="AS849" s="7" t="s">
        <v>1177</v>
      </c>
      <c r="AT849" s="7" t="s">
        <v>1363</v>
      </c>
      <c r="AU849" s="38">
        <v>46275</v>
      </c>
      <c r="AV849" s="39">
        <v>0.62486111111110998</v>
      </c>
    </row>
    <row r="850" spans="1:48" x14ac:dyDescent="0.35">
      <c r="A850" t="str">
        <f t="shared" si="13"/>
        <v>GP145859B825</v>
      </c>
      <c r="B850" s="7" t="s">
        <v>458</v>
      </c>
      <c r="C850" s="7" t="s">
        <v>511</v>
      </c>
      <c r="D850" s="7" t="s">
        <v>16</v>
      </c>
      <c r="E850" s="7" t="s">
        <v>1177</v>
      </c>
      <c r="F850" s="7" t="s">
        <v>128</v>
      </c>
      <c r="G850" s="7" t="s">
        <v>130</v>
      </c>
      <c r="H850" s="7" t="s">
        <v>129</v>
      </c>
      <c r="I850" s="30">
        <v>3</v>
      </c>
      <c r="J850" s="7" t="s">
        <v>1177</v>
      </c>
      <c r="K850" s="7" t="s">
        <v>1178</v>
      </c>
      <c r="L850" s="7" t="s">
        <v>132</v>
      </c>
      <c r="M850" s="7" t="s">
        <v>133</v>
      </c>
      <c r="N850" s="30">
        <v>0</v>
      </c>
      <c r="O850" s="30">
        <v>0</v>
      </c>
      <c r="P850" s="30">
        <v>0</v>
      </c>
      <c r="Q850" s="30">
        <v>0</v>
      </c>
      <c r="R850" s="29">
        <v>0</v>
      </c>
      <c r="S850" s="36">
        <v>0</v>
      </c>
      <c r="T850" s="7" t="s">
        <v>131</v>
      </c>
      <c r="U850" s="7" t="s">
        <v>512</v>
      </c>
      <c r="V850" s="7" t="s">
        <v>512</v>
      </c>
      <c r="W850" s="7" t="s">
        <v>1177</v>
      </c>
      <c r="X850" s="30">
        <v>1</v>
      </c>
      <c r="Y850" s="7" t="s">
        <v>1177</v>
      </c>
      <c r="Z850" s="7" t="s">
        <v>1178</v>
      </c>
      <c r="AA850" s="30">
        <v>0</v>
      </c>
      <c r="AB850" s="36">
        <v>0</v>
      </c>
      <c r="AC850" s="7" t="s">
        <v>1177</v>
      </c>
      <c r="AD850" s="37">
        <v>0</v>
      </c>
      <c r="AE850" s="7" t="s">
        <v>1177</v>
      </c>
      <c r="AF850" s="7" t="s">
        <v>1177</v>
      </c>
      <c r="AG850" s="7" t="s">
        <v>1177</v>
      </c>
      <c r="AH850" s="38"/>
      <c r="AI850" s="36">
        <v>0</v>
      </c>
      <c r="AJ850" s="7" t="s">
        <v>1193</v>
      </c>
      <c r="AK850" s="7" t="s">
        <v>1177</v>
      </c>
      <c r="AL850" s="7" t="s">
        <v>1177</v>
      </c>
      <c r="AM850" s="7" t="s">
        <v>1177</v>
      </c>
      <c r="AN850" s="7" t="s">
        <v>3212</v>
      </c>
      <c r="AO850" s="7" t="s">
        <v>1177</v>
      </c>
      <c r="AP850" s="7" t="s">
        <v>1177</v>
      </c>
      <c r="AQ850" s="7" t="s">
        <v>1177</v>
      </c>
      <c r="AR850" s="29">
        <v>0</v>
      </c>
      <c r="AS850" s="7" t="s">
        <v>1177</v>
      </c>
      <c r="AT850" s="7" t="s">
        <v>1363</v>
      </c>
      <c r="AU850" s="38">
        <v>46275</v>
      </c>
      <c r="AV850" s="39">
        <v>0.62304398148147999</v>
      </c>
    </row>
    <row r="851" spans="1:48" x14ac:dyDescent="0.35">
      <c r="A851" t="str">
        <f t="shared" si="13"/>
        <v>GP145859B832</v>
      </c>
      <c r="B851" s="7" t="s">
        <v>458</v>
      </c>
      <c r="C851" s="7" t="s">
        <v>653</v>
      </c>
      <c r="D851" s="7" t="s">
        <v>19</v>
      </c>
      <c r="E851" s="7" t="s">
        <v>1177</v>
      </c>
      <c r="F851" s="7" t="s">
        <v>128</v>
      </c>
      <c r="G851" s="7" t="s">
        <v>130</v>
      </c>
      <c r="H851" s="7" t="s">
        <v>129</v>
      </c>
      <c r="I851" s="30">
        <v>2</v>
      </c>
      <c r="J851" s="7" t="s">
        <v>1177</v>
      </c>
      <c r="K851" s="7" t="s">
        <v>1178</v>
      </c>
      <c r="L851" s="7" t="s">
        <v>132</v>
      </c>
      <c r="M851" s="7" t="s">
        <v>133</v>
      </c>
      <c r="N851" s="30">
        <v>0</v>
      </c>
      <c r="O851" s="30">
        <v>0</v>
      </c>
      <c r="P851" s="30">
        <v>0</v>
      </c>
      <c r="Q851" s="30">
        <v>0</v>
      </c>
      <c r="R851" s="29">
        <v>0</v>
      </c>
      <c r="S851" s="36">
        <v>0</v>
      </c>
      <c r="T851" s="7" t="s">
        <v>131</v>
      </c>
      <c r="U851" s="7" t="s">
        <v>654</v>
      </c>
      <c r="V851" s="7" t="s">
        <v>654</v>
      </c>
      <c r="W851" s="7" t="s">
        <v>1177</v>
      </c>
      <c r="X851" s="30">
        <v>1</v>
      </c>
      <c r="Y851" s="7" t="s">
        <v>1177</v>
      </c>
      <c r="Z851" s="7" t="s">
        <v>1178</v>
      </c>
      <c r="AA851" s="30">
        <v>0</v>
      </c>
      <c r="AB851" s="36">
        <v>0</v>
      </c>
      <c r="AC851" s="7" t="s">
        <v>1177</v>
      </c>
      <c r="AD851" s="37">
        <v>0</v>
      </c>
      <c r="AE851" s="7" t="s">
        <v>1177</v>
      </c>
      <c r="AF851" s="7" t="s">
        <v>1177</v>
      </c>
      <c r="AG851" s="7" t="s">
        <v>1177</v>
      </c>
      <c r="AH851" s="38"/>
      <c r="AI851" s="36">
        <v>0</v>
      </c>
      <c r="AJ851" s="7" t="s">
        <v>1193</v>
      </c>
      <c r="AK851" s="7" t="s">
        <v>1177</v>
      </c>
      <c r="AL851" s="7" t="s">
        <v>1177</v>
      </c>
      <c r="AM851" s="7" t="s">
        <v>1177</v>
      </c>
      <c r="AN851" s="7" t="s">
        <v>3212</v>
      </c>
      <c r="AO851" s="7" t="s">
        <v>1177</v>
      </c>
      <c r="AP851" s="7" t="s">
        <v>1177</v>
      </c>
      <c r="AQ851" s="7" t="s">
        <v>1177</v>
      </c>
      <c r="AR851" s="29">
        <v>0</v>
      </c>
      <c r="AS851" s="7" t="s">
        <v>1177</v>
      </c>
      <c r="AT851" s="7" t="s">
        <v>1363</v>
      </c>
      <c r="AU851" s="38">
        <v>46275</v>
      </c>
      <c r="AV851" s="39">
        <v>0.62336805555555996</v>
      </c>
    </row>
    <row r="852" spans="1:48" x14ac:dyDescent="0.35">
      <c r="A852" t="str">
        <f t="shared" si="13"/>
        <v>GP145859B833</v>
      </c>
      <c r="B852" s="7" t="s">
        <v>458</v>
      </c>
      <c r="C852" s="7" t="s">
        <v>698</v>
      </c>
      <c r="D852" s="7" t="s">
        <v>697</v>
      </c>
      <c r="E852" s="7" t="s">
        <v>1177</v>
      </c>
      <c r="F852" s="7" t="s">
        <v>128</v>
      </c>
      <c r="G852" s="7" t="s">
        <v>130</v>
      </c>
      <c r="H852" s="7" t="s">
        <v>129</v>
      </c>
      <c r="I852" s="30">
        <v>2</v>
      </c>
      <c r="J852" s="7" t="s">
        <v>1177</v>
      </c>
      <c r="K852" s="7" t="s">
        <v>1178</v>
      </c>
      <c r="L852" s="7" t="s">
        <v>132</v>
      </c>
      <c r="M852" s="7" t="s">
        <v>133</v>
      </c>
      <c r="N852" s="30">
        <v>0</v>
      </c>
      <c r="O852" s="30">
        <v>0</v>
      </c>
      <c r="P852" s="30">
        <v>0</v>
      </c>
      <c r="Q852" s="30">
        <v>0</v>
      </c>
      <c r="R852" s="29">
        <v>0</v>
      </c>
      <c r="S852" s="36">
        <v>0</v>
      </c>
      <c r="T852" s="7" t="s">
        <v>131</v>
      </c>
      <c r="U852" s="7" t="s">
        <v>699</v>
      </c>
      <c r="V852" s="7" t="s">
        <v>699</v>
      </c>
      <c r="W852" s="7" t="s">
        <v>1177</v>
      </c>
      <c r="X852" s="30">
        <v>1</v>
      </c>
      <c r="Y852" s="7" t="s">
        <v>1177</v>
      </c>
      <c r="Z852" s="7" t="s">
        <v>1178</v>
      </c>
      <c r="AA852" s="30">
        <v>0</v>
      </c>
      <c r="AB852" s="36">
        <v>0</v>
      </c>
      <c r="AC852" s="7" t="s">
        <v>1177</v>
      </c>
      <c r="AD852" s="37">
        <v>0</v>
      </c>
      <c r="AE852" s="7" t="s">
        <v>1177</v>
      </c>
      <c r="AF852" s="7" t="s">
        <v>1177</v>
      </c>
      <c r="AG852" s="7" t="s">
        <v>1177</v>
      </c>
      <c r="AH852" s="38"/>
      <c r="AI852" s="36">
        <v>0</v>
      </c>
      <c r="AJ852" s="7" t="s">
        <v>1193</v>
      </c>
      <c r="AK852" s="7" t="s">
        <v>1177</v>
      </c>
      <c r="AL852" s="7" t="s">
        <v>1177</v>
      </c>
      <c r="AM852" s="7" t="s">
        <v>1177</v>
      </c>
      <c r="AN852" s="7" t="s">
        <v>3212</v>
      </c>
      <c r="AO852" s="7" t="s">
        <v>1177</v>
      </c>
      <c r="AP852" s="7" t="s">
        <v>1177</v>
      </c>
      <c r="AQ852" s="7" t="s">
        <v>1177</v>
      </c>
      <c r="AR852" s="29">
        <v>0</v>
      </c>
      <c r="AS852" s="7" t="s">
        <v>1177</v>
      </c>
      <c r="AT852" s="7" t="s">
        <v>1363</v>
      </c>
      <c r="AU852" s="38">
        <v>46275</v>
      </c>
      <c r="AV852" s="39">
        <v>0.62350694444443999</v>
      </c>
    </row>
    <row r="853" spans="1:48" x14ac:dyDescent="0.35">
      <c r="A853" t="str">
        <f t="shared" si="13"/>
        <v>GP145859B838</v>
      </c>
      <c r="B853" s="7" t="s">
        <v>458</v>
      </c>
      <c r="C853" s="7" t="s">
        <v>744</v>
      </c>
      <c r="D853" s="7" t="s">
        <v>48</v>
      </c>
      <c r="E853" s="7" t="s">
        <v>1177</v>
      </c>
      <c r="F853" s="7" t="s">
        <v>128</v>
      </c>
      <c r="G853" s="7" t="s">
        <v>130</v>
      </c>
      <c r="H853" s="7" t="s">
        <v>129</v>
      </c>
      <c r="I853" s="30">
        <v>2</v>
      </c>
      <c r="J853" s="7" t="s">
        <v>1177</v>
      </c>
      <c r="K853" s="7" t="s">
        <v>1178</v>
      </c>
      <c r="L853" s="7" t="s">
        <v>132</v>
      </c>
      <c r="M853" s="7" t="s">
        <v>133</v>
      </c>
      <c r="N853" s="30">
        <v>0</v>
      </c>
      <c r="O853" s="30">
        <v>0</v>
      </c>
      <c r="P853" s="30">
        <v>0</v>
      </c>
      <c r="Q853" s="30">
        <v>0</v>
      </c>
      <c r="R853" s="29">
        <v>0</v>
      </c>
      <c r="S853" s="36">
        <v>0</v>
      </c>
      <c r="T853" s="7" t="s">
        <v>131</v>
      </c>
      <c r="U853" s="7" t="s">
        <v>745</v>
      </c>
      <c r="V853" s="7" t="s">
        <v>745</v>
      </c>
      <c r="W853" s="7" t="s">
        <v>1177</v>
      </c>
      <c r="X853" s="30">
        <v>1</v>
      </c>
      <c r="Y853" s="7" t="s">
        <v>1177</v>
      </c>
      <c r="Z853" s="7" t="s">
        <v>1178</v>
      </c>
      <c r="AA853" s="30">
        <v>0</v>
      </c>
      <c r="AB853" s="36">
        <v>0</v>
      </c>
      <c r="AC853" s="7" t="s">
        <v>1177</v>
      </c>
      <c r="AD853" s="37">
        <v>0</v>
      </c>
      <c r="AE853" s="7" t="s">
        <v>1177</v>
      </c>
      <c r="AF853" s="7" t="s">
        <v>1177</v>
      </c>
      <c r="AG853" s="7" t="s">
        <v>1177</v>
      </c>
      <c r="AH853" s="38"/>
      <c r="AI853" s="36">
        <v>0</v>
      </c>
      <c r="AJ853" s="7" t="s">
        <v>1193</v>
      </c>
      <c r="AK853" s="7" t="s">
        <v>1177</v>
      </c>
      <c r="AL853" s="7" t="s">
        <v>1177</v>
      </c>
      <c r="AM853" s="7" t="s">
        <v>1177</v>
      </c>
      <c r="AN853" s="7" t="s">
        <v>3212</v>
      </c>
      <c r="AO853" s="7" t="s">
        <v>1177</v>
      </c>
      <c r="AP853" s="7" t="s">
        <v>1177</v>
      </c>
      <c r="AQ853" s="7" t="s">
        <v>1177</v>
      </c>
      <c r="AR853" s="29">
        <v>0</v>
      </c>
      <c r="AS853" s="7" t="s">
        <v>1177</v>
      </c>
      <c r="AT853" s="7" t="s">
        <v>1363</v>
      </c>
      <c r="AU853" s="38">
        <v>46275</v>
      </c>
      <c r="AV853" s="39">
        <v>0.62410879629630001</v>
      </c>
    </row>
    <row r="854" spans="1:48" x14ac:dyDescent="0.35">
      <c r="A854" t="str">
        <f t="shared" si="13"/>
        <v>GP145859B856</v>
      </c>
      <c r="B854" s="7" t="s">
        <v>458</v>
      </c>
      <c r="C854" s="7" t="s">
        <v>852</v>
      </c>
      <c r="D854" s="7" t="s">
        <v>21</v>
      </c>
      <c r="E854" s="7" t="s">
        <v>1177</v>
      </c>
      <c r="F854" s="7" t="s">
        <v>128</v>
      </c>
      <c r="G854" s="7" t="s">
        <v>130</v>
      </c>
      <c r="H854" s="7" t="s">
        <v>129</v>
      </c>
      <c r="I854" s="30">
        <v>2</v>
      </c>
      <c r="J854" s="7" t="s">
        <v>1177</v>
      </c>
      <c r="K854" s="7" t="s">
        <v>1178</v>
      </c>
      <c r="L854" s="7" t="s">
        <v>132</v>
      </c>
      <c r="M854" s="7" t="s">
        <v>133</v>
      </c>
      <c r="N854" s="30">
        <v>0</v>
      </c>
      <c r="O854" s="30">
        <v>0</v>
      </c>
      <c r="P854" s="30">
        <v>0</v>
      </c>
      <c r="Q854" s="30">
        <v>0</v>
      </c>
      <c r="R854" s="29">
        <v>0</v>
      </c>
      <c r="S854" s="36">
        <v>0</v>
      </c>
      <c r="T854" s="7" t="s">
        <v>131</v>
      </c>
      <c r="U854" s="7" t="s">
        <v>853</v>
      </c>
      <c r="V854" s="7" t="s">
        <v>853</v>
      </c>
      <c r="W854" s="7" t="s">
        <v>1177</v>
      </c>
      <c r="X854" s="30">
        <v>1</v>
      </c>
      <c r="Y854" s="7" t="s">
        <v>1177</v>
      </c>
      <c r="Z854" s="7" t="s">
        <v>1178</v>
      </c>
      <c r="AA854" s="30">
        <v>0</v>
      </c>
      <c r="AB854" s="36">
        <v>0</v>
      </c>
      <c r="AC854" s="7" t="s">
        <v>1177</v>
      </c>
      <c r="AD854" s="37">
        <v>0</v>
      </c>
      <c r="AE854" s="7" t="s">
        <v>1177</v>
      </c>
      <c r="AF854" s="7" t="s">
        <v>1177</v>
      </c>
      <c r="AG854" s="7" t="s">
        <v>1177</v>
      </c>
      <c r="AH854" s="38"/>
      <c r="AI854" s="36">
        <v>0</v>
      </c>
      <c r="AJ854" s="7" t="s">
        <v>1193</v>
      </c>
      <c r="AK854" s="7" t="s">
        <v>1177</v>
      </c>
      <c r="AL854" s="7" t="s">
        <v>1177</v>
      </c>
      <c r="AM854" s="7" t="s">
        <v>1177</v>
      </c>
      <c r="AN854" s="7" t="s">
        <v>3212</v>
      </c>
      <c r="AO854" s="7" t="s">
        <v>1177</v>
      </c>
      <c r="AP854" s="7" t="s">
        <v>1177</v>
      </c>
      <c r="AQ854" s="7" t="s">
        <v>1177</v>
      </c>
      <c r="AR854" s="29">
        <v>0</v>
      </c>
      <c r="AS854" s="7" t="s">
        <v>1177</v>
      </c>
      <c r="AT854" s="7" t="s">
        <v>1363</v>
      </c>
      <c r="AU854" s="38">
        <v>46275</v>
      </c>
      <c r="AV854" s="39">
        <v>0.62486111111110998</v>
      </c>
    </row>
    <row r="855" spans="1:48" x14ac:dyDescent="0.35">
      <c r="A855" t="str">
        <f t="shared" si="13"/>
        <v>GP145859B857</v>
      </c>
      <c r="B855" s="7" t="s">
        <v>458</v>
      </c>
      <c r="C855" s="7" t="s">
        <v>958</v>
      </c>
      <c r="D855" s="7" t="s">
        <v>23</v>
      </c>
      <c r="E855" s="7" t="s">
        <v>1177</v>
      </c>
      <c r="F855" s="7" t="s">
        <v>128</v>
      </c>
      <c r="G855" s="7" t="s">
        <v>130</v>
      </c>
      <c r="H855" s="7" t="s">
        <v>129</v>
      </c>
      <c r="I855" s="30">
        <v>2</v>
      </c>
      <c r="J855" s="7" t="s">
        <v>1177</v>
      </c>
      <c r="K855" s="7" t="s">
        <v>1178</v>
      </c>
      <c r="L855" s="7" t="s">
        <v>132</v>
      </c>
      <c r="M855" s="7" t="s">
        <v>133</v>
      </c>
      <c r="N855" s="30">
        <v>0</v>
      </c>
      <c r="O855" s="30">
        <v>0</v>
      </c>
      <c r="P855" s="30">
        <v>0</v>
      </c>
      <c r="Q855" s="30">
        <v>0</v>
      </c>
      <c r="R855" s="29">
        <v>0</v>
      </c>
      <c r="S855" s="36">
        <v>0</v>
      </c>
      <c r="T855" s="7" t="s">
        <v>131</v>
      </c>
      <c r="U855" s="7" t="s">
        <v>959</v>
      </c>
      <c r="V855" s="7" t="s">
        <v>959</v>
      </c>
      <c r="W855" s="7" t="s">
        <v>1177</v>
      </c>
      <c r="X855" s="30">
        <v>1</v>
      </c>
      <c r="Y855" s="7" t="s">
        <v>1177</v>
      </c>
      <c r="Z855" s="7" t="s">
        <v>1178</v>
      </c>
      <c r="AA855" s="30">
        <v>0</v>
      </c>
      <c r="AB855" s="36">
        <v>0</v>
      </c>
      <c r="AC855" s="7" t="s">
        <v>1177</v>
      </c>
      <c r="AD855" s="37">
        <v>0</v>
      </c>
      <c r="AE855" s="7" t="s">
        <v>1177</v>
      </c>
      <c r="AF855" s="7" t="s">
        <v>1177</v>
      </c>
      <c r="AG855" s="7" t="s">
        <v>1177</v>
      </c>
      <c r="AH855" s="38"/>
      <c r="AI855" s="36">
        <v>0</v>
      </c>
      <c r="AJ855" s="7" t="s">
        <v>1193</v>
      </c>
      <c r="AK855" s="7" t="s">
        <v>1177</v>
      </c>
      <c r="AL855" s="7" t="s">
        <v>1177</v>
      </c>
      <c r="AM855" s="7" t="s">
        <v>1177</v>
      </c>
      <c r="AN855" s="7" t="s">
        <v>3212</v>
      </c>
      <c r="AO855" s="7" t="s">
        <v>1177</v>
      </c>
      <c r="AP855" s="7" t="s">
        <v>1177</v>
      </c>
      <c r="AQ855" s="7" t="s">
        <v>1177</v>
      </c>
      <c r="AR855" s="29">
        <v>0</v>
      </c>
      <c r="AS855" s="7" t="s">
        <v>1177</v>
      </c>
      <c r="AT855" s="7" t="s">
        <v>1363</v>
      </c>
      <c r="AU855" s="38">
        <v>46275</v>
      </c>
      <c r="AV855" s="39">
        <v>0.62497685185185003</v>
      </c>
    </row>
    <row r="856" spans="1:48" x14ac:dyDescent="0.35">
      <c r="A856" t="str">
        <f t="shared" si="13"/>
        <v>GP145859B864</v>
      </c>
      <c r="B856" s="7" t="s">
        <v>458</v>
      </c>
      <c r="C856" s="7" t="s">
        <v>1010</v>
      </c>
      <c r="D856" s="7" t="s">
        <v>10</v>
      </c>
      <c r="E856" s="7" t="s">
        <v>1177</v>
      </c>
      <c r="F856" s="7" t="s">
        <v>128</v>
      </c>
      <c r="G856" s="7" t="s">
        <v>130</v>
      </c>
      <c r="H856" s="7" t="s">
        <v>129</v>
      </c>
      <c r="I856" s="30">
        <v>2</v>
      </c>
      <c r="J856" s="7" t="s">
        <v>1177</v>
      </c>
      <c r="K856" s="7" t="s">
        <v>1178</v>
      </c>
      <c r="L856" s="7" t="s">
        <v>132</v>
      </c>
      <c r="M856" s="7" t="s">
        <v>133</v>
      </c>
      <c r="N856" s="30">
        <v>0</v>
      </c>
      <c r="O856" s="30">
        <v>0</v>
      </c>
      <c r="P856" s="30">
        <v>0</v>
      </c>
      <c r="Q856" s="30">
        <v>0</v>
      </c>
      <c r="R856" s="29">
        <v>0</v>
      </c>
      <c r="S856" s="36">
        <v>0</v>
      </c>
      <c r="T856" s="7" t="s">
        <v>131</v>
      </c>
      <c r="U856" s="7" t="s">
        <v>1011</v>
      </c>
      <c r="V856" s="7" t="s">
        <v>1011</v>
      </c>
      <c r="W856" s="7" t="s">
        <v>1177</v>
      </c>
      <c r="X856" s="30">
        <v>1</v>
      </c>
      <c r="Y856" s="7" t="s">
        <v>1177</v>
      </c>
      <c r="Z856" s="7" t="s">
        <v>1178</v>
      </c>
      <c r="AA856" s="30">
        <v>0</v>
      </c>
      <c r="AB856" s="36">
        <v>0</v>
      </c>
      <c r="AC856" s="7" t="s">
        <v>1177</v>
      </c>
      <c r="AD856" s="37">
        <v>0</v>
      </c>
      <c r="AE856" s="7" t="s">
        <v>1177</v>
      </c>
      <c r="AF856" s="7" t="s">
        <v>1177</v>
      </c>
      <c r="AG856" s="7" t="s">
        <v>1177</v>
      </c>
      <c r="AH856" s="38"/>
      <c r="AI856" s="36">
        <v>0</v>
      </c>
      <c r="AJ856" s="7" t="s">
        <v>1193</v>
      </c>
      <c r="AK856" s="7" t="s">
        <v>1177</v>
      </c>
      <c r="AL856" s="7" t="s">
        <v>1177</v>
      </c>
      <c r="AM856" s="7" t="s">
        <v>1177</v>
      </c>
      <c r="AN856" s="7" t="s">
        <v>3212</v>
      </c>
      <c r="AO856" s="7" t="s">
        <v>1177</v>
      </c>
      <c r="AP856" s="7" t="s">
        <v>1177</v>
      </c>
      <c r="AQ856" s="7" t="s">
        <v>1177</v>
      </c>
      <c r="AR856" s="29">
        <v>0</v>
      </c>
      <c r="AS856" s="7" t="s">
        <v>1177</v>
      </c>
      <c r="AT856" s="7" t="s">
        <v>1363</v>
      </c>
      <c r="AU856" s="38">
        <v>46275</v>
      </c>
      <c r="AV856" s="39">
        <v>0.62646990740741004</v>
      </c>
    </row>
    <row r="857" spans="1:48" x14ac:dyDescent="0.35">
      <c r="A857" t="str">
        <f t="shared" si="13"/>
        <v>GP145859B867</v>
      </c>
      <c r="B857" s="7" t="s">
        <v>458</v>
      </c>
      <c r="C857" s="7" t="s">
        <v>1059</v>
      </c>
      <c r="D857" s="7" t="s">
        <v>25</v>
      </c>
      <c r="E857" s="7" t="s">
        <v>1177</v>
      </c>
      <c r="F857" s="7" t="s">
        <v>128</v>
      </c>
      <c r="G857" s="7" t="s">
        <v>130</v>
      </c>
      <c r="H857" s="7" t="s">
        <v>129</v>
      </c>
      <c r="I857" s="30">
        <v>2</v>
      </c>
      <c r="J857" s="7" t="s">
        <v>1177</v>
      </c>
      <c r="K857" s="7" t="s">
        <v>1178</v>
      </c>
      <c r="L857" s="7" t="s">
        <v>132</v>
      </c>
      <c r="M857" s="7" t="s">
        <v>133</v>
      </c>
      <c r="N857" s="30">
        <v>0</v>
      </c>
      <c r="O857" s="30">
        <v>0</v>
      </c>
      <c r="P857" s="30">
        <v>0</v>
      </c>
      <c r="Q857" s="30">
        <v>0</v>
      </c>
      <c r="R857" s="29">
        <v>0</v>
      </c>
      <c r="S857" s="36">
        <v>0</v>
      </c>
      <c r="T857" s="7" t="s">
        <v>131</v>
      </c>
      <c r="U857" s="7" t="s">
        <v>1060</v>
      </c>
      <c r="V857" s="7" t="s">
        <v>1060</v>
      </c>
      <c r="W857" s="7" t="s">
        <v>1177</v>
      </c>
      <c r="X857" s="30">
        <v>1</v>
      </c>
      <c r="Y857" s="7" t="s">
        <v>1177</v>
      </c>
      <c r="Z857" s="7" t="s">
        <v>1178</v>
      </c>
      <c r="AA857" s="30">
        <v>0</v>
      </c>
      <c r="AB857" s="36">
        <v>0</v>
      </c>
      <c r="AC857" s="7" t="s">
        <v>1177</v>
      </c>
      <c r="AD857" s="37">
        <v>0</v>
      </c>
      <c r="AE857" s="7" t="s">
        <v>1177</v>
      </c>
      <c r="AF857" s="7" t="s">
        <v>1177</v>
      </c>
      <c r="AG857" s="7" t="s">
        <v>1177</v>
      </c>
      <c r="AH857" s="38"/>
      <c r="AI857" s="36">
        <v>0</v>
      </c>
      <c r="AJ857" s="7" t="s">
        <v>1193</v>
      </c>
      <c r="AK857" s="7" t="s">
        <v>1177</v>
      </c>
      <c r="AL857" s="7" t="s">
        <v>1177</v>
      </c>
      <c r="AM857" s="7" t="s">
        <v>1177</v>
      </c>
      <c r="AN857" s="7" t="s">
        <v>3212</v>
      </c>
      <c r="AO857" s="7" t="s">
        <v>1177</v>
      </c>
      <c r="AP857" s="7" t="s">
        <v>1177</v>
      </c>
      <c r="AQ857" s="7" t="s">
        <v>1177</v>
      </c>
      <c r="AR857" s="29">
        <v>0</v>
      </c>
      <c r="AS857" s="7" t="s">
        <v>1177</v>
      </c>
      <c r="AT857" s="7" t="s">
        <v>1363</v>
      </c>
      <c r="AU857" s="38">
        <v>46275</v>
      </c>
      <c r="AV857" s="39">
        <v>0.62738425925926</v>
      </c>
    </row>
    <row r="858" spans="1:48" x14ac:dyDescent="0.35">
      <c r="A858" t="str">
        <f t="shared" si="13"/>
        <v>GP164975B833</v>
      </c>
      <c r="B858" s="7" t="s">
        <v>706</v>
      </c>
      <c r="C858" s="7" t="s">
        <v>698</v>
      </c>
      <c r="D858" s="7" t="s">
        <v>697</v>
      </c>
      <c r="E858" s="7" t="s">
        <v>1177</v>
      </c>
      <c r="F858" s="7" t="s">
        <v>128</v>
      </c>
      <c r="G858" s="7" t="s">
        <v>130</v>
      </c>
      <c r="H858" s="7" t="s">
        <v>129</v>
      </c>
      <c r="I858" s="30">
        <v>2</v>
      </c>
      <c r="J858" s="7" t="s">
        <v>1177</v>
      </c>
      <c r="K858" s="7" t="s">
        <v>1178</v>
      </c>
      <c r="L858" s="7" t="s">
        <v>132</v>
      </c>
      <c r="M858" s="7" t="s">
        <v>133</v>
      </c>
      <c r="N858" s="30">
        <v>0</v>
      </c>
      <c r="O858" s="30">
        <v>0</v>
      </c>
      <c r="P858" s="30">
        <v>0</v>
      </c>
      <c r="Q858" s="30">
        <v>0</v>
      </c>
      <c r="R858" s="29">
        <v>0</v>
      </c>
      <c r="S858" s="36">
        <v>0</v>
      </c>
      <c r="T858" s="7" t="s">
        <v>131</v>
      </c>
      <c r="U858" s="7" t="s">
        <v>699</v>
      </c>
      <c r="V858" s="7" t="s">
        <v>699</v>
      </c>
      <c r="W858" s="7" t="s">
        <v>1177</v>
      </c>
      <c r="X858" s="30">
        <v>1</v>
      </c>
      <c r="Y858" s="7" t="s">
        <v>1177</v>
      </c>
      <c r="Z858" s="7" t="s">
        <v>1178</v>
      </c>
      <c r="AA858" s="30">
        <v>0</v>
      </c>
      <c r="AB858" s="36">
        <v>0</v>
      </c>
      <c r="AC858" s="7" t="s">
        <v>1177</v>
      </c>
      <c r="AD858" s="37">
        <v>0</v>
      </c>
      <c r="AE858" s="7" t="s">
        <v>1177</v>
      </c>
      <c r="AF858" s="7" t="s">
        <v>1177</v>
      </c>
      <c r="AG858" s="7" t="s">
        <v>1177</v>
      </c>
      <c r="AH858" s="38"/>
      <c r="AI858" s="36">
        <v>0</v>
      </c>
      <c r="AJ858" s="7" t="s">
        <v>1193</v>
      </c>
      <c r="AK858" s="7" t="s">
        <v>1177</v>
      </c>
      <c r="AL858" s="7" t="s">
        <v>1177</v>
      </c>
      <c r="AM858" s="7" t="s">
        <v>1177</v>
      </c>
      <c r="AN858" s="7" t="s">
        <v>3212</v>
      </c>
      <c r="AO858" s="7" t="s">
        <v>1177</v>
      </c>
      <c r="AP858" s="7" t="s">
        <v>1177</v>
      </c>
      <c r="AQ858" s="7" t="s">
        <v>1177</v>
      </c>
      <c r="AR858" s="29">
        <v>0</v>
      </c>
      <c r="AS858" s="7" t="s">
        <v>1177</v>
      </c>
      <c r="AT858" s="7" t="s">
        <v>1363</v>
      </c>
      <c r="AU858" s="38">
        <v>46275</v>
      </c>
      <c r="AV858" s="39">
        <v>0.62350694444443999</v>
      </c>
    </row>
    <row r="859" spans="1:48" x14ac:dyDescent="0.35">
      <c r="A859" t="str">
        <f t="shared" si="13"/>
        <v>GP164975B856</v>
      </c>
      <c r="B859" s="7" t="s">
        <v>706</v>
      </c>
      <c r="C859" s="7" t="s">
        <v>852</v>
      </c>
      <c r="D859" s="7" t="s">
        <v>21</v>
      </c>
      <c r="E859" s="7" t="s">
        <v>1177</v>
      </c>
      <c r="F859" s="7" t="s">
        <v>128</v>
      </c>
      <c r="G859" s="7" t="s">
        <v>130</v>
      </c>
      <c r="H859" s="7" t="s">
        <v>129</v>
      </c>
      <c r="I859" s="30">
        <v>2</v>
      </c>
      <c r="J859" s="7" t="s">
        <v>1177</v>
      </c>
      <c r="K859" s="7" t="s">
        <v>1178</v>
      </c>
      <c r="L859" s="7" t="s">
        <v>132</v>
      </c>
      <c r="M859" s="7" t="s">
        <v>133</v>
      </c>
      <c r="N859" s="30">
        <v>0</v>
      </c>
      <c r="O859" s="30">
        <v>0</v>
      </c>
      <c r="P859" s="30">
        <v>0</v>
      </c>
      <c r="Q859" s="30">
        <v>0</v>
      </c>
      <c r="R859" s="29">
        <v>0</v>
      </c>
      <c r="S859" s="36">
        <v>0</v>
      </c>
      <c r="T859" s="7" t="s">
        <v>131</v>
      </c>
      <c r="U859" s="7" t="s">
        <v>853</v>
      </c>
      <c r="V859" s="7" t="s">
        <v>853</v>
      </c>
      <c r="W859" s="7" t="s">
        <v>1177</v>
      </c>
      <c r="X859" s="30">
        <v>1</v>
      </c>
      <c r="Y859" s="7" t="s">
        <v>1177</v>
      </c>
      <c r="Z859" s="7" t="s">
        <v>1178</v>
      </c>
      <c r="AA859" s="30">
        <v>0</v>
      </c>
      <c r="AB859" s="36">
        <v>0</v>
      </c>
      <c r="AC859" s="7" t="s">
        <v>1177</v>
      </c>
      <c r="AD859" s="37">
        <v>0</v>
      </c>
      <c r="AE859" s="7" t="s">
        <v>1177</v>
      </c>
      <c r="AF859" s="7" t="s">
        <v>1177</v>
      </c>
      <c r="AG859" s="7" t="s">
        <v>1177</v>
      </c>
      <c r="AH859" s="38"/>
      <c r="AI859" s="36">
        <v>0</v>
      </c>
      <c r="AJ859" s="7" t="s">
        <v>1193</v>
      </c>
      <c r="AK859" s="7" t="s">
        <v>1177</v>
      </c>
      <c r="AL859" s="7" t="s">
        <v>1177</v>
      </c>
      <c r="AM859" s="7" t="s">
        <v>1177</v>
      </c>
      <c r="AN859" s="7" t="s">
        <v>3212</v>
      </c>
      <c r="AO859" s="7" t="s">
        <v>1177</v>
      </c>
      <c r="AP859" s="7" t="s">
        <v>1177</v>
      </c>
      <c r="AQ859" s="7" t="s">
        <v>1177</v>
      </c>
      <c r="AR859" s="29">
        <v>0</v>
      </c>
      <c r="AS859" s="7" t="s">
        <v>1177</v>
      </c>
      <c r="AT859" s="7" t="s">
        <v>1363</v>
      </c>
      <c r="AU859" s="38">
        <v>46275</v>
      </c>
      <c r="AV859" s="39">
        <v>0.62486111111110998</v>
      </c>
    </row>
    <row r="860" spans="1:48" x14ac:dyDescent="0.35">
      <c r="A860" t="str">
        <f t="shared" si="13"/>
        <v>GP164975B857</v>
      </c>
      <c r="B860" s="7" t="s">
        <v>706</v>
      </c>
      <c r="C860" s="7" t="s">
        <v>958</v>
      </c>
      <c r="D860" s="7" t="s">
        <v>23</v>
      </c>
      <c r="E860" s="7" t="s">
        <v>1177</v>
      </c>
      <c r="F860" s="7" t="s">
        <v>128</v>
      </c>
      <c r="G860" s="7" t="s">
        <v>130</v>
      </c>
      <c r="H860" s="7" t="s">
        <v>129</v>
      </c>
      <c r="I860" s="30">
        <v>2</v>
      </c>
      <c r="J860" s="7" t="s">
        <v>1177</v>
      </c>
      <c r="K860" s="7" t="s">
        <v>1178</v>
      </c>
      <c r="L860" s="7" t="s">
        <v>132</v>
      </c>
      <c r="M860" s="7" t="s">
        <v>133</v>
      </c>
      <c r="N860" s="30">
        <v>0</v>
      </c>
      <c r="O860" s="30">
        <v>0</v>
      </c>
      <c r="P860" s="30">
        <v>0</v>
      </c>
      <c r="Q860" s="30">
        <v>0</v>
      </c>
      <c r="R860" s="29">
        <v>0</v>
      </c>
      <c r="S860" s="36">
        <v>0</v>
      </c>
      <c r="T860" s="7" t="s">
        <v>131</v>
      </c>
      <c r="U860" s="7" t="s">
        <v>959</v>
      </c>
      <c r="V860" s="7" t="s">
        <v>959</v>
      </c>
      <c r="W860" s="7" t="s">
        <v>1177</v>
      </c>
      <c r="X860" s="30">
        <v>1</v>
      </c>
      <c r="Y860" s="7" t="s">
        <v>1177</v>
      </c>
      <c r="Z860" s="7" t="s">
        <v>1178</v>
      </c>
      <c r="AA860" s="30">
        <v>0</v>
      </c>
      <c r="AB860" s="36">
        <v>0</v>
      </c>
      <c r="AC860" s="7" t="s">
        <v>1177</v>
      </c>
      <c r="AD860" s="37">
        <v>0</v>
      </c>
      <c r="AE860" s="7" t="s">
        <v>1177</v>
      </c>
      <c r="AF860" s="7" t="s">
        <v>1177</v>
      </c>
      <c r="AG860" s="7" t="s">
        <v>1177</v>
      </c>
      <c r="AH860" s="38"/>
      <c r="AI860" s="36">
        <v>0</v>
      </c>
      <c r="AJ860" s="7" t="s">
        <v>1193</v>
      </c>
      <c r="AK860" s="7" t="s">
        <v>1177</v>
      </c>
      <c r="AL860" s="7" t="s">
        <v>1177</v>
      </c>
      <c r="AM860" s="7" t="s">
        <v>1177</v>
      </c>
      <c r="AN860" s="7" t="s">
        <v>3212</v>
      </c>
      <c r="AO860" s="7" t="s">
        <v>1177</v>
      </c>
      <c r="AP860" s="7" t="s">
        <v>1177</v>
      </c>
      <c r="AQ860" s="7" t="s">
        <v>1177</v>
      </c>
      <c r="AR860" s="29">
        <v>0</v>
      </c>
      <c r="AS860" s="7" t="s">
        <v>1177</v>
      </c>
      <c r="AT860" s="7" t="s">
        <v>1363</v>
      </c>
      <c r="AU860" s="38">
        <v>46275</v>
      </c>
      <c r="AV860" s="39">
        <v>0.62497685185185003</v>
      </c>
    </row>
    <row r="861" spans="1:48" x14ac:dyDescent="0.35">
      <c r="A861" t="str">
        <f t="shared" si="13"/>
        <v>GP164975B864</v>
      </c>
      <c r="B861" s="7" t="s">
        <v>706</v>
      </c>
      <c r="C861" s="7" t="s">
        <v>1010</v>
      </c>
      <c r="D861" s="7" t="s">
        <v>10</v>
      </c>
      <c r="E861" s="7" t="s">
        <v>1177</v>
      </c>
      <c r="F861" s="7" t="s">
        <v>128</v>
      </c>
      <c r="G861" s="7" t="s">
        <v>130</v>
      </c>
      <c r="H861" s="7" t="s">
        <v>129</v>
      </c>
      <c r="I861" s="30">
        <v>2</v>
      </c>
      <c r="J861" s="7" t="s">
        <v>1177</v>
      </c>
      <c r="K861" s="7" t="s">
        <v>1178</v>
      </c>
      <c r="L861" s="7" t="s">
        <v>132</v>
      </c>
      <c r="M861" s="7" t="s">
        <v>133</v>
      </c>
      <c r="N861" s="30">
        <v>0</v>
      </c>
      <c r="O861" s="30">
        <v>0</v>
      </c>
      <c r="P861" s="30">
        <v>0</v>
      </c>
      <c r="Q861" s="30">
        <v>0</v>
      </c>
      <c r="R861" s="29">
        <v>0</v>
      </c>
      <c r="S861" s="36">
        <v>0</v>
      </c>
      <c r="T861" s="7" t="s">
        <v>131</v>
      </c>
      <c r="U861" s="7" t="s">
        <v>1011</v>
      </c>
      <c r="V861" s="7" t="s">
        <v>1011</v>
      </c>
      <c r="W861" s="7" t="s">
        <v>1177</v>
      </c>
      <c r="X861" s="30">
        <v>1</v>
      </c>
      <c r="Y861" s="7" t="s">
        <v>1177</v>
      </c>
      <c r="Z861" s="7" t="s">
        <v>1178</v>
      </c>
      <c r="AA861" s="30">
        <v>0</v>
      </c>
      <c r="AB861" s="36">
        <v>0</v>
      </c>
      <c r="AC861" s="7" t="s">
        <v>1177</v>
      </c>
      <c r="AD861" s="37">
        <v>0</v>
      </c>
      <c r="AE861" s="7" t="s">
        <v>1177</v>
      </c>
      <c r="AF861" s="7" t="s">
        <v>1177</v>
      </c>
      <c r="AG861" s="7" t="s">
        <v>1177</v>
      </c>
      <c r="AH861" s="38"/>
      <c r="AI861" s="36">
        <v>0</v>
      </c>
      <c r="AJ861" s="7" t="s">
        <v>1193</v>
      </c>
      <c r="AK861" s="7" t="s">
        <v>1177</v>
      </c>
      <c r="AL861" s="7" t="s">
        <v>1177</v>
      </c>
      <c r="AM861" s="7" t="s">
        <v>1177</v>
      </c>
      <c r="AN861" s="7" t="s">
        <v>3212</v>
      </c>
      <c r="AO861" s="7" t="s">
        <v>1177</v>
      </c>
      <c r="AP861" s="7" t="s">
        <v>1177</v>
      </c>
      <c r="AQ861" s="7" t="s">
        <v>1177</v>
      </c>
      <c r="AR861" s="29">
        <v>0</v>
      </c>
      <c r="AS861" s="7" t="s">
        <v>1177</v>
      </c>
      <c r="AT861" s="7" t="s">
        <v>1363</v>
      </c>
      <c r="AU861" s="38">
        <v>46275</v>
      </c>
      <c r="AV861" s="39">
        <v>0.62645833333333001</v>
      </c>
    </row>
    <row r="862" spans="1:48" x14ac:dyDescent="0.35">
      <c r="A862" t="str">
        <f t="shared" si="13"/>
        <v>GP164975B865</v>
      </c>
      <c r="B862" s="7" t="s">
        <v>706</v>
      </c>
      <c r="C862" s="7" t="s">
        <v>1039</v>
      </c>
      <c r="D862" s="7" t="s">
        <v>7</v>
      </c>
      <c r="E862" s="7" t="s">
        <v>1177</v>
      </c>
      <c r="F862" s="7" t="s">
        <v>128</v>
      </c>
      <c r="G862" s="7" t="s">
        <v>130</v>
      </c>
      <c r="H862" s="7" t="s">
        <v>129</v>
      </c>
      <c r="I862" s="30">
        <v>2</v>
      </c>
      <c r="J862" s="7" t="s">
        <v>1177</v>
      </c>
      <c r="K862" s="7" t="s">
        <v>1178</v>
      </c>
      <c r="L862" s="7" t="s">
        <v>132</v>
      </c>
      <c r="M862" s="7" t="s">
        <v>133</v>
      </c>
      <c r="N862" s="30">
        <v>0</v>
      </c>
      <c r="O862" s="30">
        <v>0</v>
      </c>
      <c r="P862" s="30">
        <v>0</v>
      </c>
      <c r="Q862" s="30">
        <v>0</v>
      </c>
      <c r="R862" s="29">
        <v>0</v>
      </c>
      <c r="S862" s="36">
        <v>0</v>
      </c>
      <c r="T862" s="7" t="s">
        <v>131</v>
      </c>
      <c r="U862" s="7" t="s">
        <v>1040</v>
      </c>
      <c r="V862" s="7" t="s">
        <v>1040</v>
      </c>
      <c r="W862" s="7" t="s">
        <v>1177</v>
      </c>
      <c r="X862" s="30">
        <v>1</v>
      </c>
      <c r="Y862" s="7" t="s">
        <v>1177</v>
      </c>
      <c r="Z862" s="7" t="s">
        <v>1178</v>
      </c>
      <c r="AA862" s="30">
        <v>0</v>
      </c>
      <c r="AB862" s="36">
        <v>0</v>
      </c>
      <c r="AC862" s="7" t="s">
        <v>1177</v>
      </c>
      <c r="AD862" s="37">
        <v>0</v>
      </c>
      <c r="AE862" s="7" t="s">
        <v>1177</v>
      </c>
      <c r="AF862" s="7" t="s">
        <v>1177</v>
      </c>
      <c r="AG862" s="7" t="s">
        <v>1177</v>
      </c>
      <c r="AH862" s="38"/>
      <c r="AI862" s="36">
        <v>0</v>
      </c>
      <c r="AJ862" s="7" t="s">
        <v>1193</v>
      </c>
      <c r="AK862" s="7" t="s">
        <v>1177</v>
      </c>
      <c r="AL862" s="7" t="s">
        <v>1177</v>
      </c>
      <c r="AM862" s="7" t="s">
        <v>1177</v>
      </c>
      <c r="AN862" s="7" t="s">
        <v>3212</v>
      </c>
      <c r="AO862" s="7" t="s">
        <v>1177</v>
      </c>
      <c r="AP862" s="7" t="s">
        <v>1177</v>
      </c>
      <c r="AQ862" s="7" t="s">
        <v>1177</v>
      </c>
      <c r="AR862" s="29">
        <v>0</v>
      </c>
      <c r="AS862" s="7" t="s">
        <v>1177</v>
      </c>
      <c r="AT862" s="7" t="s">
        <v>1363</v>
      </c>
      <c r="AU862" s="38">
        <v>46275</v>
      </c>
      <c r="AV862" s="39">
        <v>0.62665509259259</v>
      </c>
    </row>
    <row r="863" spans="1:48" x14ac:dyDescent="0.35">
      <c r="A863" t="str">
        <f t="shared" si="13"/>
        <v>GP164975B867</v>
      </c>
      <c r="B863" s="7" t="s">
        <v>706</v>
      </c>
      <c r="C863" s="7" t="s">
        <v>1059</v>
      </c>
      <c r="D863" s="7" t="s">
        <v>25</v>
      </c>
      <c r="E863" s="7" t="s">
        <v>1177</v>
      </c>
      <c r="F863" s="7" t="s">
        <v>128</v>
      </c>
      <c r="G863" s="7" t="s">
        <v>130</v>
      </c>
      <c r="H863" s="7" t="s">
        <v>129</v>
      </c>
      <c r="I863" s="30">
        <v>2</v>
      </c>
      <c r="J863" s="7" t="s">
        <v>1177</v>
      </c>
      <c r="K863" s="7" t="s">
        <v>1178</v>
      </c>
      <c r="L863" s="7" t="s">
        <v>132</v>
      </c>
      <c r="M863" s="7" t="s">
        <v>133</v>
      </c>
      <c r="N863" s="30">
        <v>0</v>
      </c>
      <c r="O863" s="30">
        <v>0</v>
      </c>
      <c r="P863" s="30">
        <v>0</v>
      </c>
      <c r="Q863" s="30">
        <v>0</v>
      </c>
      <c r="R863" s="29">
        <v>0</v>
      </c>
      <c r="S863" s="36">
        <v>0</v>
      </c>
      <c r="T863" s="7" t="s">
        <v>131</v>
      </c>
      <c r="U863" s="7" t="s">
        <v>1060</v>
      </c>
      <c r="V863" s="7" t="s">
        <v>1060</v>
      </c>
      <c r="W863" s="7" t="s">
        <v>1177</v>
      </c>
      <c r="X863" s="30">
        <v>1</v>
      </c>
      <c r="Y863" s="7" t="s">
        <v>1177</v>
      </c>
      <c r="Z863" s="7" t="s">
        <v>1178</v>
      </c>
      <c r="AA863" s="30">
        <v>0</v>
      </c>
      <c r="AB863" s="36">
        <v>0</v>
      </c>
      <c r="AC863" s="7" t="s">
        <v>1177</v>
      </c>
      <c r="AD863" s="37">
        <v>0</v>
      </c>
      <c r="AE863" s="7" t="s">
        <v>1177</v>
      </c>
      <c r="AF863" s="7" t="s">
        <v>1177</v>
      </c>
      <c r="AG863" s="7" t="s">
        <v>1177</v>
      </c>
      <c r="AH863" s="38"/>
      <c r="AI863" s="36">
        <v>0</v>
      </c>
      <c r="AJ863" s="7" t="s">
        <v>1193</v>
      </c>
      <c r="AK863" s="7" t="s">
        <v>1177</v>
      </c>
      <c r="AL863" s="7" t="s">
        <v>1177</v>
      </c>
      <c r="AM863" s="7" t="s">
        <v>1177</v>
      </c>
      <c r="AN863" s="7" t="s">
        <v>3212</v>
      </c>
      <c r="AO863" s="7" t="s">
        <v>1177</v>
      </c>
      <c r="AP863" s="7" t="s">
        <v>1177</v>
      </c>
      <c r="AQ863" s="7" t="s">
        <v>1177</v>
      </c>
      <c r="AR863" s="29">
        <v>0</v>
      </c>
      <c r="AS863" s="7" t="s">
        <v>1177</v>
      </c>
      <c r="AT863" s="7" t="s">
        <v>1363</v>
      </c>
      <c r="AU863" s="38">
        <v>46275</v>
      </c>
      <c r="AV863" s="39">
        <v>0.62738425925926</v>
      </c>
    </row>
    <row r="864" spans="1:48" x14ac:dyDescent="0.35">
      <c r="A864" t="str">
        <f t="shared" si="13"/>
        <v>GP165581B856</v>
      </c>
      <c r="B864" s="7" t="s">
        <v>863</v>
      </c>
      <c r="C864" s="7" t="s">
        <v>852</v>
      </c>
      <c r="D864" s="7" t="s">
        <v>21</v>
      </c>
      <c r="E864" s="7" t="s">
        <v>1177</v>
      </c>
      <c r="F864" s="7" t="s">
        <v>128</v>
      </c>
      <c r="G864" s="7" t="s">
        <v>130</v>
      </c>
      <c r="H864" s="7" t="s">
        <v>129</v>
      </c>
      <c r="I864" s="30">
        <v>1</v>
      </c>
      <c r="J864" s="7" t="s">
        <v>1177</v>
      </c>
      <c r="K864" s="7" t="s">
        <v>1178</v>
      </c>
      <c r="L864" s="7" t="s">
        <v>132</v>
      </c>
      <c r="M864" s="7" t="s">
        <v>133</v>
      </c>
      <c r="N864" s="30">
        <v>0</v>
      </c>
      <c r="O864" s="30">
        <v>0</v>
      </c>
      <c r="P864" s="30">
        <v>0</v>
      </c>
      <c r="Q864" s="30">
        <v>0</v>
      </c>
      <c r="R864" s="29">
        <v>0</v>
      </c>
      <c r="S864" s="36">
        <v>0</v>
      </c>
      <c r="T864" s="7" t="s">
        <v>131</v>
      </c>
      <c r="U864" s="7" t="s">
        <v>853</v>
      </c>
      <c r="V864" s="7" t="s">
        <v>853</v>
      </c>
      <c r="W864" s="7" t="s">
        <v>1177</v>
      </c>
      <c r="X864" s="30">
        <v>1</v>
      </c>
      <c r="Y864" s="7" t="s">
        <v>1177</v>
      </c>
      <c r="Z864" s="7" t="s">
        <v>1178</v>
      </c>
      <c r="AA864" s="30">
        <v>0</v>
      </c>
      <c r="AB864" s="36">
        <v>0</v>
      </c>
      <c r="AC864" s="7" t="s">
        <v>1177</v>
      </c>
      <c r="AD864" s="37">
        <v>0</v>
      </c>
      <c r="AE864" s="7" t="s">
        <v>1177</v>
      </c>
      <c r="AF864" s="7" t="s">
        <v>1177</v>
      </c>
      <c r="AG864" s="7" t="s">
        <v>1177</v>
      </c>
      <c r="AH864" s="38"/>
      <c r="AI864" s="36">
        <v>0</v>
      </c>
      <c r="AJ864" s="7" t="s">
        <v>1193</v>
      </c>
      <c r="AK864" s="7" t="s">
        <v>1177</v>
      </c>
      <c r="AL864" s="7" t="s">
        <v>1177</v>
      </c>
      <c r="AM864" s="7" t="s">
        <v>1177</v>
      </c>
      <c r="AN864" s="7" t="s">
        <v>3212</v>
      </c>
      <c r="AO864" s="7" t="s">
        <v>1177</v>
      </c>
      <c r="AP864" s="7" t="s">
        <v>1177</v>
      </c>
      <c r="AQ864" s="7" t="s">
        <v>1177</v>
      </c>
      <c r="AR864" s="29">
        <v>0</v>
      </c>
      <c r="AS864" s="7" t="s">
        <v>1177</v>
      </c>
      <c r="AT864" s="7" t="s">
        <v>1363</v>
      </c>
      <c r="AU864" s="38">
        <v>46275</v>
      </c>
      <c r="AV864" s="39">
        <v>0.62486111111110998</v>
      </c>
    </row>
    <row r="865" spans="1:48" x14ac:dyDescent="0.35">
      <c r="A865" t="str">
        <f t="shared" si="13"/>
        <v>GP169357B825</v>
      </c>
      <c r="B865" s="7" t="s">
        <v>267</v>
      </c>
      <c r="C865" s="7" t="s">
        <v>511</v>
      </c>
      <c r="D865" s="7" t="s">
        <v>16</v>
      </c>
      <c r="E865" s="7" t="s">
        <v>1177</v>
      </c>
      <c r="F865" s="7" t="s">
        <v>134</v>
      </c>
      <c r="G865" s="7" t="s">
        <v>130</v>
      </c>
      <c r="H865" s="7" t="s">
        <v>129</v>
      </c>
      <c r="I865" s="30">
        <v>2</v>
      </c>
      <c r="J865" s="7" t="s">
        <v>1177</v>
      </c>
      <c r="K865" s="7" t="s">
        <v>1178</v>
      </c>
      <c r="L865" s="7" t="s">
        <v>132</v>
      </c>
      <c r="M865" s="7" t="s">
        <v>133</v>
      </c>
      <c r="N865" s="30">
        <v>0</v>
      </c>
      <c r="O865" s="30">
        <v>0</v>
      </c>
      <c r="P865" s="30">
        <v>0</v>
      </c>
      <c r="Q865" s="30">
        <v>0</v>
      </c>
      <c r="R865" s="29">
        <v>0</v>
      </c>
      <c r="S865" s="36">
        <v>0</v>
      </c>
      <c r="T865" s="7" t="s">
        <v>131</v>
      </c>
      <c r="U865" s="7" t="s">
        <v>512</v>
      </c>
      <c r="V865" s="7" t="s">
        <v>512</v>
      </c>
      <c r="W865" s="7" t="s">
        <v>1177</v>
      </c>
      <c r="X865" s="30">
        <v>2</v>
      </c>
      <c r="Y865" s="7" t="s">
        <v>1177</v>
      </c>
      <c r="Z865" s="7" t="s">
        <v>1178</v>
      </c>
      <c r="AA865" s="30">
        <v>0</v>
      </c>
      <c r="AB865" s="36">
        <v>0</v>
      </c>
      <c r="AC865" s="7" t="s">
        <v>1177</v>
      </c>
      <c r="AD865" s="37">
        <v>0</v>
      </c>
      <c r="AE865" s="7" t="s">
        <v>1177</v>
      </c>
      <c r="AF865" s="7" t="s">
        <v>1177</v>
      </c>
      <c r="AG865" s="7" t="s">
        <v>1177</v>
      </c>
      <c r="AH865" s="38"/>
      <c r="AI865" s="36">
        <v>0</v>
      </c>
      <c r="AJ865" s="7" t="s">
        <v>1193</v>
      </c>
      <c r="AK865" s="7" t="s">
        <v>1177</v>
      </c>
      <c r="AL865" s="7" t="s">
        <v>1177</v>
      </c>
      <c r="AM865" s="7" t="s">
        <v>1177</v>
      </c>
      <c r="AN865" s="7" t="s">
        <v>3212</v>
      </c>
      <c r="AO865" s="7" t="s">
        <v>1177</v>
      </c>
      <c r="AP865" s="7" t="s">
        <v>1177</v>
      </c>
      <c r="AQ865" s="7" t="s">
        <v>1177</v>
      </c>
      <c r="AR865" s="29">
        <v>0</v>
      </c>
      <c r="AS865" s="7" t="s">
        <v>1177</v>
      </c>
      <c r="AT865" s="7" t="s">
        <v>1363</v>
      </c>
      <c r="AU865" s="38">
        <v>46275</v>
      </c>
      <c r="AV865" s="39">
        <v>0.60351851851852001</v>
      </c>
    </row>
    <row r="866" spans="1:48" x14ac:dyDescent="0.35">
      <c r="A866" t="str">
        <f t="shared" si="13"/>
        <v>GP169357B856</v>
      </c>
      <c r="B866" s="7" t="s">
        <v>267</v>
      </c>
      <c r="C866" s="7" t="s">
        <v>852</v>
      </c>
      <c r="D866" s="7" t="s">
        <v>21</v>
      </c>
      <c r="E866" s="7" t="s">
        <v>1177</v>
      </c>
      <c r="F866" s="7" t="s">
        <v>134</v>
      </c>
      <c r="G866" s="7" t="s">
        <v>130</v>
      </c>
      <c r="H866" s="7" t="s">
        <v>129</v>
      </c>
      <c r="I866" s="30">
        <v>2</v>
      </c>
      <c r="J866" s="7" t="s">
        <v>1177</v>
      </c>
      <c r="K866" s="7" t="s">
        <v>1178</v>
      </c>
      <c r="L866" s="7" t="s">
        <v>132</v>
      </c>
      <c r="M866" s="7" t="s">
        <v>133</v>
      </c>
      <c r="N866" s="30">
        <v>0</v>
      </c>
      <c r="O866" s="30">
        <v>0</v>
      </c>
      <c r="P866" s="30">
        <v>0</v>
      </c>
      <c r="Q866" s="30">
        <v>0</v>
      </c>
      <c r="R866" s="29">
        <v>0</v>
      </c>
      <c r="S866" s="36">
        <v>0</v>
      </c>
      <c r="T866" s="7" t="s">
        <v>131</v>
      </c>
      <c r="U866" s="7" t="s">
        <v>853</v>
      </c>
      <c r="V866" s="7" t="s">
        <v>853</v>
      </c>
      <c r="W866" s="7" t="s">
        <v>1177</v>
      </c>
      <c r="X866" s="30">
        <v>2</v>
      </c>
      <c r="Y866" s="7" t="s">
        <v>1177</v>
      </c>
      <c r="Z866" s="7" t="s">
        <v>1178</v>
      </c>
      <c r="AA866" s="30">
        <v>0</v>
      </c>
      <c r="AB866" s="36">
        <v>0</v>
      </c>
      <c r="AC866" s="7" t="s">
        <v>1177</v>
      </c>
      <c r="AD866" s="37">
        <v>0</v>
      </c>
      <c r="AE866" s="7" t="s">
        <v>1177</v>
      </c>
      <c r="AF866" s="7" t="s">
        <v>1177</v>
      </c>
      <c r="AG866" s="7" t="s">
        <v>1177</v>
      </c>
      <c r="AH866" s="38"/>
      <c r="AI866" s="36">
        <v>0</v>
      </c>
      <c r="AJ866" s="7" t="s">
        <v>1193</v>
      </c>
      <c r="AK866" s="7" t="s">
        <v>1177</v>
      </c>
      <c r="AL866" s="7" t="s">
        <v>1177</v>
      </c>
      <c r="AM866" s="7" t="s">
        <v>1177</v>
      </c>
      <c r="AN866" s="7" t="s">
        <v>3212</v>
      </c>
      <c r="AO866" s="7" t="s">
        <v>1177</v>
      </c>
      <c r="AP866" s="7" t="s">
        <v>1177</v>
      </c>
      <c r="AQ866" s="7" t="s">
        <v>1177</v>
      </c>
      <c r="AR866" s="29">
        <v>0</v>
      </c>
      <c r="AS866" s="7" t="s">
        <v>1177</v>
      </c>
      <c r="AT866" s="7" t="s">
        <v>1363</v>
      </c>
      <c r="AU866" s="38">
        <v>46275</v>
      </c>
      <c r="AV866" s="39">
        <v>0.60524305555556002</v>
      </c>
    </row>
    <row r="867" spans="1:48" x14ac:dyDescent="0.35">
      <c r="A867" t="str">
        <f t="shared" si="13"/>
        <v>GP169357B865</v>
      </c>
      <c r="B867" s="7" t="s">
        <v>267</v>
      </c>
      <c r="C867" s="7" t="s">
        <v>1039</v>
      </c>
      <c r="D867" s="7" t="s">
        <v>7</v>
      </c>
      <c r="E867" s="7" t="s">
        <v>1177</v>
      </c>
      <c r="F867" s="7" t="s">
        <v>134</v>
      </c>
      <c r="G867" s="7" t="s">
        <v>130</v>
      </c>
      <c r="H867" s="7" t="s">
        <v>129</v>
      </c>
      <c r="I867" s="30">
        <v>2</v>
      </c>
      <c r="J867" s="7" t="s">
        <v>1177</v>
      </c>
      <c r="K867" s="7" t="s">
        <v>1178</v>
      </c>
      <c r="L867" s="7" t="s">
        <v>132</v>
      </c>
      <c r="M867" s="7" t="s">
        <v>133</v>
      </c>
      <c r="N867" s="30">
        <v>0</v>
      </c>
      <c r="O867" s="30">
        <v>0</v>
      </c>
      <c r="P867" s="30">
        <v>0</v>
      </c>
      <c r="Q867" s="30">
        <v>0</v>
      </c>
      <c r="R867" s="29">
        <v>0</v>
      </c>
      <c r="S867" s="36">
        <v>0</v>
      </c>
      <c r="T867" s="7" t="s">
        <v>131</v>
      </c>
      <c r="U867" s="7" t="s">
        <v>1040</v>
      </c>
      <c r="V867" s="7" t="s">
        <v>1040</v>
      </c>
      <c r="W867" s="7" t="s">
        <v>1177</v>
      </c>
      <c r="X867" s="30">
        <v>2</v>
      </c>
      <c r="Y867" s="7" t="s">
        <v>1177</v>
      </c>
      <c r="Z867" s="7" t="s">
        <v>1178</v>
      </c>
      <c r="AA867" s="30">
        <v>0</v>
      </c>
      <c r="AB867" s="36">
        <v>0</v>
      </c>
      <c r="AC867" s="7" t="s">
        <v>1177</v>
      </c>
      <c r="AD867" s="37">
        <v>0</v>
      </c>
      <c r="AE867" s="7" t="s">
        <v>1177</v>
      </c>
      <c r="AF867" s="7" t="s">
        <v>1177</v>
      </c>
      <c r="AG867" s="7" t="s">
        <v>1177</v>
      </c>
      <c r="AH867" s="38"/>
      <c r="AI867" s="36">
        <v>0</v>
      </c>
      <c r="AJ867" s="7" t="s">
        <v>1193</v>
      </c>
      <c r="AK867" s="7" t="s">
        <v>1177</v>
      </c>
      <c r="AL867" s="7" t="s">
        <v>1177</v>
      </c>
      <c r="AM867" s="7" t="s">
        <v>1177</v>
      </c>
      <c r="AN867" s="7" t="s">
        <v>3212</v>
      </c>
      <c r="AO867" s="7" t="s">
        <v>1177</v>
      </c>
      <c r="AP867" s="7" t="s">
        <v>1177</v>
      </c>
      <c r="AQ867" s="7" t="s">
        <v>1177</v>
      </c>
      <c r="AR867" s="29">
        <v>0</v>
      </c>
      <c r="AS867" s="7" t="s">
        <v>1177</v>
      </c>
      <c r="AT867" s="7" t="s">
        <v>1363</v>
      </c>
      <c r="AU867" s="38">
        <v>46275</v>
      </c>
      <c r="AV867" s="39">
        <v>0.60554398148148003</v>
      </c>
    </row>
    <row r="868" spans="1:48" x14ac:dyDescent="0.35">
      <c r="A868" t="str">
        <f t="shared" si="13"/>
        <v>GP169357B867</v>
      </c>
      <c r="B868" s="7" t="s">
        <v>267</v>
      </c>
      <c r="C868" s="7" t="s">
        <v>1059</v>
      </c>
      <c r="D868" s="7" t="s">
        <v>25</v>
      </c>
      <c r="E868" s="7" t="s">
        <v>1177</v>
      </c>
      <c r="F868" s="7" t="s">
        <v>134</v>
      </c>
      <c r="G868" s="7" t="s">
        <v>130</v>
      </c>
      <c r="H868" s="7" t="s">
        <v>129</v>
      </c>
      <c r="I868" s="30">
        <v>2</v>
      </c>
      <c r="J868" s="7" t="s">
        <v>1177</v>
      </c>
      <c r="K868" s="7" t="s">
        <v>1178</v>
      </c>
      <c r="L868" s="7" t="s">
        <v>132</v>
      </c>
      <c r="M868" s="7" t="s">
        <v>133</v>
      </c>
      <c r="N868" s="30">
        <v>0</v>
      </c>
      <c r="O868" s="30">
        <v>0</v>
      </c>
      <c r="P868" s="30">
        <v>0</v>
      </c>
      <c r="Q868" s="30">
        <v>0</v>
      </c>
      <c r="R868" s="29">
        <v>0</v>
      </c>
      <c r="S868" s="36">
        <v>0</v>
      </c>
      <c r="T868" s="7" t="s">
        <v>131</v>
      </c>
      <c r="U868" s="7" t="s">
        <v>1060</v>
      </c>
      <c r="V868" s="7" t="s">
        <v>1060</v>
      </c>
      <c r="W868" s="7" t="s">
        <v>1177</v>
      </c>
      <c r="X868" s="30">
        <v>2</v>
      </c>
      <c r="Y868" s="7" t="s">
        <v>1177</v>
      </c>
      <c r="Z868" s="7" t="s">
        <v>1178</v>
      </c>
      <c r="AA868" s="30">
        <v>0</v>
      </c>
      <c r="AB868" s="36">
        <v>0</v>
      </c>
      <c r="AC868" s="7" t="s">
        <v>1177</v>
      </c>
      <c r="AD868" s="37">
        <v>0</v>
      </c>
      <c r="AE868" s="7" t="s">
        <v>1177</v>
      </c>
      <c r="AF868" s="7" t="s">
        <v>1177</v>
      </c>
      <c r="AG868" s="7" t="s">
        <v>1177</v>
      </c>
      <c r="AH868" s="38"/>
      <c r="AI868" s="36">
        <v>0</v>
      </c>
      <c r="AJ868" s="7" t="s">
        <v>1193</v>
      </c>
      <c r="AK868" s="7" t="s">
        <v>1177</v>
      </c>
      <c r="AL868" s="7" t="s">
        <v>1177</v>
      </c>
      <c r="AM868" s="7" t="s">
        <v>1177</v>
      </c>
      <c r="AN868" s="7" t="s">
        <v>3212</v>
      </c>
      <c r="AO868" s="7" t="s">
        <v>1177</v>
      </c>
      <c r="AP868" s="7" t="s">
        <v>1177</v>
      </c>
      <c r="AQ868" s="7" t="s">
        <v>1177</v>
      </c>
      <c r="AR868" s="29">
        <v>0</v>
      </c>
      <c r="AS868" s="7" t="s">
        <v>1177</v>
      </c>
      <c r="AT868" s="7" t="s">
        <v>1363</v>
      </c>
      <c r="AU868" s="38">
        <v>46275</v>
      </c>
      <c r="AV868" s="39">
        <v>0.60565972222221998</v>
      </c>
    </row>
    <row r="869" spans="1:48" x14ac:dyDescent="0.35">
      <c r="A869" t="str">
        <f t="shared" si="13"/>
        <v>GP171637B825</v>
      </c>
      <c r="B869" s="7" t="s">
        <v>554</v>
      </c>
      <c r="C869" s="7" t="s">
        <v>511</v>
      </c>
      <c r="D869" s="7" t="s">
        <v>16</v>
      </c>
      <c r="E869" s="7" t="s">
        <v>1177</v>
      </c>
      <c r="F869" s="7" t="s">
        <v>128</v>
      </c>
      <c r="G869" s="7" t="s">
        <v>130</v>
      </c>
      <c r="H869" s="7" t="s">
        <v>129</v>
      </c>
      <c r="I869" s="30">
        <v>1</v>
      </c>
      <c r="J869" s="7" t="s">
        <v>1177</v>
      </c>
      <c r="K869" s="7" t="s">
        <v>1178</v>
      </c>
      <c r="L869" s="7" t="s">
        <v>132</v>
      </c>
      <c r="M869" s="7" t="s">
        <v>133</v>
      </c>
      <c r="N869" s="30">
        <v>0</v>
      </c>
      <c r="O869" s="30">
        <v>0</v>
      </c>
      <c r="P869" s="30">
        <v>0</v>
      </c>
      <c r="Q869" s="30">
        <v>0</v>
      </c>
      <c r="R869" s="29">
        <v>0</v>
      </c>
      <c r="S869" s="36">
        <v>0</v>
      </c>
      <c r="T869" s="7" t="s">
        <v>131</v>
      </c>
      <c r="U869" s="7" t="s">
        <v>512</v>
      </c>
      <c r="V869" s="7" t="s">
        <v>512</v>
      </c>
      <c r="W869" s="7" t="s">
        <v>1177</v>
      </c>
      <c r="X869" s="30">
        <v>1</v>
      </c>
      <c r="Y869" s="7" t="s">
        <v>1177</v>
      </c>
      <c r="Z869" s="7" t="s">
        <v>1178</v>
      </c>
      <c r="AA869" s="30">
        <v>0</v>
      </c>
      <c r="AB869" s="36">
        <v>0</v>
      </c>
      <c r="AC869" s="7" t="s">
        <v>1177</v>
      </c>
      <c r="AD869" s="37">
        <v>0</v>
      </c>
      <c r="AE869" s="7" t="s">
        <v>1177</v>
      </c>
      <c r="AF869" s="7" t="s">
        <v>1177</v>
      </c>
      <c r="AG869" s="7" t="s">
        <v>1177</v>
      </c>
      <c r="AH869" s="38"/>
      <c r="AI869" s="36">
        <v>0</v>
      </c>
      <c r="AJ869" s="7" t="s">
        <v>1193</v>
      </c>
      <c r="AK869" s="7" t="s">
        <v>1177</v>
      </c>
      <c r="AL869" s="7" t="s">
        <v>1177</v>
      </c>
      <c r="AM869" s="7" t="s">
        <v>1177</v>
      </c>
      <c r="AN869" s="7" t="s">
        <v>3212</v>
      </c>
      <c r="AO869" s="7" t="s">
        <v>1177</v>
      </c>
      <c r="AP869" s="7" t="s">
        <v>1177</v>
      </c>
      <c r="AQ869" s="7" t="s">
        <v>1177</v>
      </c>
      <c r="AR869" s="29">
        <v>0</v>
      </c>
      <c r="AS869" s="7" t="s">
        <v>1177</v>
      </c>
      <c r="AT869" s="7" t="s">
        <v>1363</v>
      </c>
      <c r="AU869" s="38">
        <v>46275</v>
      </c>
      <c r="AV869" s="39">
        <v>0.60349537037037004</v>
      </c>
    </row>
    <row r="870" spans="1:48" x14ac:dyDescent="0.35">
      <c r="A870" t="str">
        <f t="shared" si="13"/>
        <v>GP171641B825</v>
      </c>
      <c r="B870" s="7" t="s">
        <v>268</v>
      </c>
      <c r="C870" s="7" t="s">
        <v>511</v>
      </c>
      <c r="D870" s="7" t="s">
        <v>16</v>
      </c>
      <c r="E870" s="7" t="s">
        <v>1177</v>
      </c>
      <c r="F870" s="7" t="s">
        <v>128</v>
      </c>
      <c r="G870" s="7" t="s">
        <v>130</v>
      </c>
      <c r="H870" s="7" t="s">
        <v>129</v>
      </c>
      <c r="I870" s="30">
        <v>2</v>
      </c>
      <c r="J870" s="7" t="s">
        <v>1177</v>
      </c>
      <c r="K870" s="7" t="s">
        <v>1178</v>
      </c>
      <c r="L870" s="7" t="s">
        <v>132</v>
      </c>
      <c r="M870" s="7" t="s">
        <v>133</v>
      </c>
      <c r="N870" s="30">
        <v>0</v>
      </c>
      <c r="O870" s="30">
        <v>0</v>
      </c>
      <c r="P870" s="30">
        <v>0</v>
      </c>
      <c r="Q870" s="30">
        <v>0</v>
      </c>
      <c r="R870" s="29">
        <v>0</v>
      </c>
      <c r="S870" s="36">
        <v>0</v>
      </c>
      <c r="T870" s="7" t="s">
        <v>131</v>
      </c>
      <c r="U870" s="7" t="s">
        <v>512</v>
      </c>
      <c r="V870" s="7" t="s">
        <v>512</v>
      </c>
      <c r="W870" s="7" t="s">
        <v>1177</v>
      </c>
      <c r="X870" s="30">
        <v>1</v>
      </c>
      <c r="Y870" s="7" t="s">
        <v>1177</v>
      </c>
      <c r="Z870" s="7" t="s">
        <v>1178</v>
      </c>
      <c r="AA870" s="30">
        <v>0</v>
      </c>
      <c r="AB870" s="36">
        <v>0</v>
      </c>
      <c r="AC870" s="7" t="s">
        <v>1177</v>
      </c>
      <c r="AD870" s="37">
        <v>0</v>
      </c>
      <c r="AE870" s="7" t="s">
        <v>1177</v>
      </c>
      <c r="AF870" s="7" t="s">
        <v>1177</v>
      </c>
      <c r="AG870" s="7" t="s">
        <v>1177</v>
      </c>
      <c r="AH870" s="38"/>
      <c r="AI870" s="36">
        <v>0</v>
      </c>
      <c r="AJ870" s="7" t="s">
        <v>1193</v>
      </c>
      <c r="AK870" s="7" t="s">
        <v>1177</v>
      </c>
      <c r="AL870" s="7" t="s">
        <v>1177</v>
      </c>
      <c r="AM870" s="7" t="s">
        <v>1177</v>
      </c>
      <c r="AN870" s="7" t="s">
        <v>3212</v>
      </c>
      <c r="AO870" s="7" t="s">
        <v>1177</v>
      </c>
      <c r="AP870" s="7" t="s">
        <v>1177</v>
      </c>
      <c r="AQ870" s="7" t="s">
        <v>1177</v>
      </c>
      <c r="AR870" s="29">
        <v>0</v>
      </c>
      <c r="AS870" s="7" t="s">
        <v>1177</v>
      </c>
      <c r="AT870" s="7" t="s">
        <v>1363</v>
      </c>
      <c r="AU870" s="38">
        <v>46275</v>
      </c>
      <c r="AV870" s="39">
        <v>0.60349537037037004</v>
      </c>
    </row>
    <row r="871" spans="1:48" x14ac:dyDescent="0.35">
      <c r="A871" t="str">
        <f t="shared" si="13"/>
        <v>GP171641B832</v>
      </c>
      <c r="B871" s="7" t="s">
        <v>268</v>
      </c>
      <c r="C871" s="7" t="s">
        <v>653</v>
      </c>
      <c r="D871" s="7" t="s">
        <v>19</v>
      </c>
      <c r="E871" s="7" t="s">
        <v>1177</v>
      </c>
      <c r="F871" s="7" t="s">
        <v>128</v>
      </c>
      <c r="G871" s="7" t="s">
        <v>130</v>
      </c>
      <c r="H871" s="7" t="s">
        <v>129</v>
      </c>
      <c r="I871" s="30">
        <v>2</v>
      </c>
      <c r="J871" s="7" t="s">
        <v>1177</v>
      </c>
      <c r="K871" s="7" t="s">
        <v>1178</v>
      </c>
      <c r="L871" s="7" t="s">
        <v>132</v>
      </c>
      <c r="M871" s="7" t="s">
        <v>133</v>
      </c>
      <c r="N871" s="30">
        <v>0</v>
      </c>
      <c r="O871" s="30">
        <v>0</v>
      </c>
      <c r="P871" s="30">
        <v>0</v>
      </c>
      <c r="Q871" s="30">
        <v>0</v>
      </c>
      <c r="R871" s="29">
        <v>0</v>
      </c>
      <c r="S871" s="36">
        <v>0</v>
      </c>
      <c r="T871" s="7" t="s">
        <v>131</v>
      </c>
      <c r="U871" s="7" t="s">
        <v>654</v>
      </c>
      <c r="V871" s="7" t="s">
        <v>654</v>
      </c>
      <c r="W871" s="7" t="s">
        <v>1177</v>
      </c>
      <c r="X871" s="30">
        <v>1</v>
      </c>
      <c r="Y871" s="7" t="s">
        <v>1177</v>
      </c>
      <c r="Z871" s="7" t="s">
        <v>1178</v>
      </c>
      <c r="AA871" s="30">
        <v>0</v>
      </c>
      <c r="AB871" s="36">
        <v>0</v>
      </c>
      <c r="AC871" s="7" t="s">
        <v>1177</v>
      </c>
      <c r="AD871" s="37">
        <v>0</v>
      </c>
      <c r="AE871" s="7" t="s">
        <v>1177</v>
      </c>
      <c r="AF871" s="7" t="s">
        <v>1177</v>
      </c>
      <c r="AG871" s="7" t="s">
        <v>1177</v>
      </c>
      <c r="AH871" s="38"/>
      <c r="AI871" s="36">
        <v>0</v>
      </c>
      <c r="AJ871" s="7" t="s">
        <v>1193</v>
      </c>
      <c r="AK871" s="7" t="s">
        <v>1177</v>
      </c>
      <c r="AL871" s="7" t="s">
        <v>1177</v>
      </c>
      <c r="AM871" s="7" t="s">
        <v>1177</v>
      </c>
      <c r="AN871" s="7" t="s">
        <v>3212</v>
      </c>
      <c r="AO871" s="7" t="s">
        <v>1177</v>
      </c>
      <c r="AP871" s="7" t="s">
        <v>1177</v>
      </c>
      <c r="AQ871" s="7" t="s">
        <v>1177</v>
      </c>
      <c r="AR871" s="29">
        <v>0</v>
      </c>
      <c r="AS871" s="7" t="s">
        <v>1177</v>
      </c>
      <c r="AT871" s="7" t="s">
        <v>1363</v>
      </c>
      <c r="AU871" s="38">
        <v>46275</v>
      </c>
      <c r="AV871" s="39">
        <v>0.60392361111111004</v>
      </c>
    </row>
    <row r="872" spans="1:48" x14ac:dyDescent="0.35">
      <c r="A872" t="str">
        <f t="shared" si="13"/>
        <v>GP171727B838</v>
      </c>
      <c r="B872" s="7" t="s">
        <v>269</v>
      </c>
      <c r="C872" s="7" t="s">
        <v>744</v>
      </c>
      <c r="D872" s="7" t="s">
        <v>48</v>
      </c>
      <c r="E872" s="7" t="s">
        <v>1177</v>
      </c>
      <c r="F872" s="7" t="s">
        <v>128</v>
      </c>
      <c r="G872" s="7" t="s">
        <v>130</v>
      </c>
      <c r="H872" s="7" t="s">
        <v>129</v>
      </c>
      <c r="I872" s="30">
        <v>1</v>
      </c>
      <c r="J872" s="7" t="s">
        <v>1177</v>
      </c>
      <c r="K872" s="7" t="s">
        <v>1178</v>
      </c>
      <c r="L872" s="7" t="s">
        <v>132</v>
      </c>
      <c r="M872" s="7" t="s">
        <v>133</v>
      </c>
      <c r="N872" s="30">
        <v>0</v>
      </c>
      <c r="O872" s="30">
        <v>0</v>
      </c>
      <c r="P872" s="30">
        <v>0</v>
      </c>
      <c r="Q872" s="30">
        <v>0</v>
      </c>
      <c r="R872" s="29">
        <v>0</v>
      </c>
      <c r="S872" s="36">
        <v>0</v>
      </c>
      <c r="T872" s="7" t="s">
        <v>131</v>
      </c>
      <c r="U872" s="7" t="s">
        <v>745</v>
      </c>
      <c r="V872" s="7" t="s">
        <v>745</v>
      </c>
      <c r="W872" s="7" t="s">
        <v>1177</v>
      </c>
      <c r="X872" s="30">
        <v>1</v>
      </c>
      <c r="Y872" s="7" t="s">
        <v>1177</v>
      </c>
      <c r="Z872" s="7" t="s">
        <v>1178</v>
      </c>
      <c r="AA872" s="30">
        <v>0</v>
      </c>
      <c r="AB872" s="36">
        <v>0</v>
      </c>
      <c r="AC872" s="7" t="s">
        <v>1177</v>
      </c>
      <c r="AD872" s="37">
        <v>0</v>
      </c>
      <c r="AE872" s="7" t="s">
        <v>1177</v>
      </c>
      <c r="AF872" s="7" t="s">
        <v>1177</v>
      </c>
      <c r="AG872" s="7" t="s">
        <v>1177</v>
      </c>
      <c r="AH872" s="38"/>
      <c r="AI872" s="36">
        <v>0</v>
      </c>
      <c r="AJ872" s="7" t="s">
        <v>1193</v>
      </c>
      <c r="AK872" s="7" t="s">
        <v>1177</v>
      </c>
      <c r="AL872" s="7" t="s">
        <v>1177</v>
      </c>
      <c r="AM872" s="7" t="s">
        <v>1177</v>
      </c>
      <c r="AN872" s="7" t="s">
        <v>3212</v>
      </c>
      <c r="AO872" s="7" t="s">
        <v>1177</v>
      </c>
      <c r="AP872" s="7" t="s">
        <v>1177</v>
      </c>
      <c r="AQ872" s="7" t="s">
        <v>1177</v>
      </c>
      <c r="AR872" s="29">
        <v>0</v>
      </c>
      <c r="AS872" s="7" t="s">
        <v>1177</v>
      </c>
      <c r="AT872" s="7" t="s">
        <v>1363</v>
      </c>
      <c r="AU872" s="38">
        <v>46275</v>
      </c>
      <c r="AV872" s="39">
        <v>0.60445601851852004</v>
      </c>
    </row>
    <row r="873" spans="1:48" x14ac:dyDescent="0.35">
      <c r="A873" t="str">
        <f t="shared" si="13"/>
        <v>GP172165B825</v>
      </c>
      <c r="B873" s="7" t="s">
        <v>270</v>
      </c>
      <c r="C873" s="7" t="s">
        <v>511</v>
      </c>
      <c r="D873" s="7" t="s">
        <v>16</v>
      </c>
      <c r="E873" s="7" t="s">
        <v>1177</v>
      </c>
      <c r="F873" s="7" t="s">
        <v>128</v>
      </c>
      <c r="G873" s="7" t="s">
        <v>130</v>
      </c>
      <c r="H873" s="7" t="s">
        <v>129</v>
      </c>
      <c r="I873" s="30">
        <v>2</v>
      </c>
      <c r="J873" s="7" t="s">
        <v>1177</v>
      </c>
      <c r="K873" s="7" t="s">
        <v>1178</v>
      </c>
      <c r="L873" s="7" t="s">
        <v>132</v>
      </c>
      <c r="M873" s="7" t="s">
        <v>133</v>
      </c>
      <c r="N873" s="30">
        <v>0</v>
      </c>
      <c r="O873" s="30">
        <v>0</v>
      </c>
      <c r="P873" s="30">
        <v>0</v>
      </c>
      <c r="Q873" s="30">
        <v>0</v>
      </c>
      <c r="R873" s="29">
        <v>0</v>
      </c>
      <c r="S873" s="36">
        <v>0</v>
      </c>
      <c r="T873" s="7" t="s">
        <v>131</v>
      </c>
      <c r="U873" s="7" t="s">
        <v>512</v>
      </c>
      <c r="V873" s="7" t="s">
        <v>512</v>
      </c>
      <c r="W873" s="7" t="s">
        <v>1177</v>
      </c>
      <c r="X873" s="30">
        <v>1</v>
      </c>
      <c r="Y873" s="7" t="s">
        <v>1177</v>
      </c>
      <c r="Z873" s="7" t="s">
        <v>1178</v>
      </c>
      <c r="AA873" s="30">
        <v>0</v>
      </c>
      <c r="AB873" s="36">
        <v>0</v>
      </c>
      <c r="AC873" s="7" t="s">
        <v>1177</v>
      </c>
      <c r="AD873" s="37">
        <v>0</v>
      </c>
      <c r="AE873" s="7" t="s">
        <v>1177</v>
      </c>
      <c r="AF873" s="7" t="s">
        <v>1177</v>
      </c>
      <c r="AG873" s="7" t="s">
        <v>1177</v>
      </c>
      <c r="AH873" s="38"/>
      <c r="AI873" s="36">
        <v>0</v>
      </c>
      <c r="AJ873" s="7" t="s">
        <v>1193</v>
      </c>
      <c r="AK873" s="7" t="s">
        <v>1177</v>
      </c>
      <c r="AL873" s="7" t="s">
        <v>1177</v>
      </c>
      <c r="AM873" s="7" t="s">
        <v>1177</v>
      </c>
      <c r="AN873" s="7" t="s">
        <v>3212</v>
      </c>
      <c r="AO873" s="7" t="s">
        <v>1177</v>
      </c>
      <c r="AP873" s="7" t="s">
        <v>1177</v>
      </c>
      <c r="AQ873" s="7" t="s">
        <v>1177</v>
      </c>
      <c r="AR873" s="29">
        <v>0</v>
      </c>
      <c r="AS873" s="7" t="s">
        <v>1177</v>
      </c>
      <c r="AT873" s="7" t="s">
        <v>1363</v>
      </c>
      <c r="AU873" s="38">
        <v>46275</v>
      </c>
      <c r="AV873" s="39">
        <v>0.62304398148147999</v>
      </c>
    </row>
    <row r="874" spans="1:48" x14ac:dyDescent="0.35">
      <c r="A874" t="str">
        <f t="shared" si="13"/>
        <v>GP172165B832</v>
      </c>
      <c r="B874" s="7" t="s">
        <v>270</v>
      </c>
      <c r="C874" s="7" t="s">
        <v>653</v>
      </c>
      <c r="D874" s="7" t="s">
        <v>19</v>
      </c>
      <c r="E874" s="7" t="s">
        <v>1177</v>
      </c>
      <c r="F874" s="7" t="s">
        <v>128</v>
      </c>
      <c r="G874" s="7" t="s">
        <v>130</v>
      </c>
      <c r="H874" s="7" t="s">
        <v>129</v>
      </c>
      <c r="I874" s="30">
        <v>3</v>
      </c>
      <c r="J874" s="7" t="s">
        <v>1177</v>
      </c>
      <c r="K874" s="7" t="s">
        <v>1178</v>
      </c>
      <c r="L874" s="7" t="s">
        <v>132</v>
      </c>
      <c r="M874" s="7" t="s">
        <v>133</v>
      </c>
      <c r="N874" s="30">
        <v>0</v>
      </c>
      <c r="O874" s="30">
        <v>0</v>
      </c>
      <c r="P874" s="30">
        <v>0</v>
      </c>
      <c r="Q874" s="30">
        <v>0</v>
      </c>
      <c r="R874" s="29">
        <v>0</v>
      </c>
      <c r="S874" s="36">
        <v>0</v>
      </c>
      <c r="T874" s="7" t="s">
        <v>131</v>
      </c>
      <c r="U874" s="7" t="s">
        <v>654</v>
      </c>
      <c r="V874" s="7" t="s">
        <v>654</v>
      </c>
      <c r="W874" s="7" t="s">
        <v>1177</v>
      </c>
      <c r="X874" s="30">
        <v>1</v>
      </c>
      <c r="Y874" s="7" t="s">
        <v>1177</v>
      </c>
      <c r="Z874" s="7" t="s">
        <v>1178</v>
      </c>
      <c r="AA874" s="30">
        <v>0</v>
      </c>
      <c r="AB874" s="36">
        <v>0</v>
      </c>
      <c r="AC874" s="7" t="s">
        <v>1177</v>
      </c>
      <c r="AD874" s="37">
        <v>0</v>
      </c>
      <c r="AE874" s="7" t="s">
        <v>1177</v>
      </c>
      <c r="AF874" s="7" t="s">
        <v>1177</v>
      </c>
      <c r="AG874" s="7" t="s">
        <v>1177</v>
      </c>
      <c r="AH874" s="38"/>
      <c r="AI874" s="36">
        <v>0</v>
      </c>
      <c r="AJ874" s="7" t="s">
        <v>1193</v>
      </c>
      <c r="AK874" s="7" t="s">
        <v>1177</v>
      </c>
      <c r="AL874" s="7" t="s">
        <v>1177</v>
      </c>
      <c r="AM874" s="7" t="s">
        <v>1177</v>
      </c>
      <c r="AN874" s="7" t="s">
        <v>3212</v>
      </c>
      <c r="AO874" s="7" t="s">
        <v>1177</v>
      </c>
      <c r="AP874" s="7" t="s">
        <v>1177</v>
      </c>
      <c r="AQ874" s="7" t="s">
        <v>1177</v>
      </c>
      <c r="AR874" s="29">
        <v>0</v>
      </c>
      <c r="AS874" s="7" t="s">
        <v>1177</v>
      </c>
      <c r="AT874" s="7" t="s">
        <v>1363</v>
      </c>
      <c r="AU874" s="38">
        <v>46275</v>
      </c>
      <c r="AV874" s="39">
        <v>0.62336805555555996</v>
      </c>
    </row>
    <row r="875" spans="1:48" x14ac:dyDescent="0.35">
      <c r="A875" t="str">
        <f t="shared" si="13"/>
        <v>GP172167B825</v>
      </c>
      <c r="B875" s="7" t="s">
        <v>271</v>
      </c>
      <c r="C875" s="7" t="s">
        <v>511</v>
      </c>
      <c r="D875" s="7" t="s">
        <v>16</v>
      </c>
      <c r="E875" s="7" t="s">
        <v>1177</v>
      </c>
      <c r="F875" s="7" t="s">
        <v>128</v>
      </c>
      <c r="G875" s="7" t="s">
        <v>130</v>
      </c>
      <c r="H875" s="7" t="s">
        <v>129</v>
      </c>
      <c r="I875" s="30">
        <v>1</v>
      </c>
      <c r="J875" s="7" t="s">
        <v>1177</v>
      </c>
      <c r="K875" s="7" t="s">
        <v>1178</v>
      </c>
      <c r="L875" s="7" t="s">
        <v>132</v>
      </c>
      <c r="M875" s="7" t="s">
        <v>133</v>
      </c>
      <c r="N875" s="30">
        <v>0</v>
      </c>
      <c r="O875" s="30">
        <v>0</v>
      </c>
      <c r="P875" s="30">
        <v>0</v>
      </c>
      <c r="Q875" s="30">
        <v>0</v>
      </c>
      <c r="R875" s="29">
        <v>0</v>
      </c>
      <c r="S875" s="36">
        <v>0</v>
      </c>
      <c r="T875" s="7" t="s">
        <v>131</v>
      </c>
      <c r="U875" s="7" t="s">
        <v>512</v>
      </c>
      <c r="V875" s="7" t="s">
        <v>512</v>
      </c>
      <c r="W875" s="7" t="s">
        <v>1177</v>
      </c>
      <c r="X875" s="30">
        <v>1</v>
      </c>
      <c r="Y875" s="7" t="s">
        <v>1177</v>
      </c>
      <c r="Z875" s="7" t="s">
        <v>1178</v>
      </c>
      <c r="AA875" s="30">
        <v>0</v>
      </c>
      <c r="AB875" s="36">
        <v>0</v>
      </c>
      <c r="AC875" s="7" t="s">
        <v>1177</v>
      </c>
      <c r="AD875" s="37">
        <v>0</v>
      </c>
      <c r="AE875" s="7" t="s">
        <v>1177</v>
      </c>
      <c r="AF875" s="7" t="s">
        <v>1177</v>
      </c>
      <c r="AG875" s="7" t="s">
        <v>1177</v>
      </c>
      <c r="AH875" s="38"/>
      <c r="AI875" s="36">
        <v>0</v>
      </c>
      <c r="AJ875" s="7" t="s">
        <v>1193</v>
      </c>
      <c r="AK875" s="7" t="s">
        <v>1177</v>
      </c>
      <c r="AL875" s="7" t="s">
        <v>1177</v>
      </c>
      <c r="AM875" s="7" t="s">
        <v>1177</v>
      </c>
      <c r="AN875" s="7" t="s">
        <v>3212</v>
      </c>
      <c r="AO875" s="7" t="s">
        <v>1177</v>
      </c>
      <c r="AP875" s="7" t="s">
        <v>1177</v>
      </c>
      <c r="AQ875" s="7" t="s">
        <v>1177</v>
      </c>
      <c r="AR875" s="29">
        <v>0</v>
      </c>
      <c r="AS875" s="7" t="s">
        <v>1177</v>
      </c>
      <c r="AT875" s="7" t="s">
        <v>1363</v>
      </c>
      <c r="AU875" s="38">
        <v>46275</v>
      </c>
      <c r="AV875" s="39">
        <v>0.60349537037037004</v>
      </c>
    </row>
    <row r="876" spans="1:48" x14ac:dyDescent="0.35">
      <c r="A876" t="str">
        <f t="shared" si="13"/>
        <v>GP172167B832</v>
      </c>
      <c r="B876" s="7" t="s">
        <v>271</v>
      </c>
      <c r="C876" s="7" t="s">
        <v>653</v>
      </c>
      <c r="D876" s="7" t="s">
        <v>19</v>
      </c>
      <c r="E876" s="7" t="s">
        <v>1177</v>
      </c>
      <c r="F876" s="7" t="s">
        <v>128</v>
      </c>
      <c r="G876" s="7" t="s">
        <v>130</v>
      </c>
      <c r="H876" s="7" t="s">
        <v>129</v>
      </c>
      <c r="I876" s="30">
        <v>2</v>
      </c>
      <c r="J876" s="7" t="s">
        <v>1177</v>
      </c>
      <c r="K876" s="7" t="s">
        <v>1178</v>
      </c>
      <c r="L876" s="7" t="s">
        <v>132</v>
      </c>
      <c r="M876" s="7" t="s">
        <v>133</v>
      </c>
      <c r="N876" s="30">
        <v>0</v>
      </c>
      <c r="O876" s="30">
        <v>0</v>
      </c>
      <c r="P876" s="30">
        <v>0</v>
      </c>
      <c r="Q876" s="30">
        <v>0</v>
      </c>
      <c r="R876" s="29">
        <v>0</v>
      </c>
      <c r="S876" s="36">
        <v>0</v>
      </c>
      <c r="T876" s="7" t="s">
        <v>131</v>
      </c>
      <c r="U876" s="7" t="s">
        <v>654</v>
      </c>
      <c r="V876" s="7" t="s">
        <v>654</v>
      </c>
      <c r="W876" s="7" t="s">
        <v>1177</v>
      </c>
      <c r="X876" s="30">
        <v>1</v>
      </c>
      <c r="Y876" s="7" t="s">
        <v>1177</v>
      </c>
      <c r="Z876" s="7" t="s">
        <v>1178</v>
      </c>
      <c r="AA876" s="30">
        <v>0</v>
      </c>
      <c r="AB876" s="36">
        <v>0</v>
      </c>
      <c r="AC876" s="7" t="s">
        <v>1177</v>
      </c>
      <c r="AD876" s="37">
        <v>0</v>
      </c>
      <c r="AE876" s="7" t="s">
        <v>1177</v>
      </c>
      <c r="AF876" s="7" t="s">
        <v>1177</v>
      </c>
      <c r="AG876" s="7" t="s">
        <v>1177</v>
      </c>
      <c r="AH876" s="38"/>
      <c r="AI876" s="36">
        <v>0</v>
      </c>
      <c r="AJ876" s="7" t="s">
        <v>1193</v>
      </c>
      <c r="AK876" s="7" t="s">
        <v>1177</v>
      </c>
      <c r="AL876" s="7" t="s">
        <v>1177</v>
      </c>
      <c r="AM876" s="7" t="s">
        <v>1177</v>
      </c>
      <c r="AN876" s="7" t="s">
        <v>3212</v>
      </c>
      <c r="AO876" s="7" t="s">
        <v>1177</v>
      </c>
      <c r="AP876" s="7" t="s">
        <v>1177</v>
      </c>
      <c r="AQ876" s="7" t="s">
        <v>1177</v>
      </c>
      <c r="AR876" s="29">
        <v>0</v>
      </c>
      <c r="AS876" s="7" t="s">
        <v>1177</v>
      </c>
      <c r="AT876" s="7" t="s">
        <v>1363</v>
      </c>
      <c r="AU876" s="38">
        <v>46275</v>
      </c>
      <c r="AV876" s="39">
        <v>0.60393518518518996</v>
      </c>
    </row>
    <row r="877" spans="1:48" x14ac:dyDescent="0.35">
      <c r="A877" t="str">
        <f t="shared" si="13"/>
        <v>GP172167B838</v>
      </c>
      <c r="B877" s="7" t="s">
        <v>271</v>
      </c>
      <c r="C877" s="7" t="s">
        <v>744</v>
      </c>
      <c r="D877" s="7" t="s">
        <v>48</v>
      </c>
      <c r="E877" s="7" t="s">
        <v>1177</v>
      </c>
      <c r="F877" s="7" t="s">
        <v>128</v>
      </c>
      <c r="G877" s="7" t="s">
        <v>130</v>
      </c>
      <c r="H877" s="7" t="s">
        <v>129</v>
      </c>
      <c r="I877" s="30">
        <v>2</v>
      </c>
      <c r="J877" s="7" t="s">
        <v>1177</v>
      </c>
      <c r="K877" s="7" t="s">
        <v>1178</v>
      </c>
      <c r="L877" s="7" t="s">
        <v>132</v>
      </c>
      <c r="M877" s="7" t="s">
        <v>133</v>
      </c>
      <c r="N877" s="30">
        <v>0</v>
      </c>
      <c r="O877" s="30">
        <v>0</v>
      </c>
      <c r="P877" s="30">
        <v>0</v>
      </c>
      <c r="Q877" s="30">
        <v>0</v>
      </c>
      <c r="R877" s="29">
        <v>0</v>
      </c>
      <c r="S877" s="36">
        <v>0</v>
      </c>
      <c r="T877" s="7" t="s">
        <v>131</v>
      </c>
      <c r="U877" s="7" t="s">
        <v>745</v>
      </c>
      <c r="V877" s="7" t="s">
        <v>745</v>
      </c>
      <c r="W877" s="7" t="s">
        <v>1177</v>
      </c>
      <c r="X877" s="30">
        <v>1</v>
      </c>
      <c r="Y877" s="7" t="s">
        <v>1177</v>
      </c>
      <c r="Z877" s="7" t="s">
        <v>1178</v>
      </c>
      <c r="AA877" s="30">
        <v>0</v>
      </c>
      <c r="AB877" s="36">
        <v>0</v>
      </c>
      <c r="AC877" s="7" t="s">
        <v>1177</v>
      </c>
      <c r="AD877" s="37">
        <v>0</v>
      </c>
      <c r="AE877" s="7" t="s">
        <v>1177</v>
      </c>
      <c r="AF877" s="7" t="s">
        <v>1177</v>
      </c>
      <c r="AG877" s="7" t="s">
        <v>1177</v>
      </c>
      <c r="AH877" s="38"/>
      <c r="AI877" s="36">
        <v>0</v>
      </c>
      <c r="AJ877" s="7" t="s">
        <v>1193</v>
      </c>
      <c r="AK877" s="7" t="s">
        <v>1177</v>
      </c>
      <c r="AL877" s="7" t="s">
        <v>1177</v>
      </c>
      <c r="AM877" s="7" t="s">
        <v>1177</v>
      </c>
      <c r="AN877" s="7" t="s">
        <v>3212</v>
      </c>
      <c r="AO877" s="7" t="s">
        <v>1177</v>
      </c>
      <c r="AP877" s="7" t="s">
        <v>1177</v>
      </c>
      <c r="AQ877" s="7" t="s">
        <v>1177</v>
      </c>
      <c r="AR877" s="29">
        <v>0</v>
      </c>
      <c r="AS877" s="7" t="s">
        <v>1177</v>
      </c>
      <c r="AT877" s="7" t="s">
        <v>1363</v>
      </c>
      <c r="AU877" s="38">
        <v>46275</v>
      </c>
      <c r="AV877" s="39">
        <v>0.60445601851852004</v>
      </c>
    </row>
    <row r="878" spans="1:48" x14ac:dyDescent="0.35">
      <c r="A878" t="str">
        <f t="shared" si="13"/>
        <v>GP172175B832</v>
      </c>
      <c r="B878" s="7" t="s">
        <v>272</v>
      </c>
      <c r="C878" s="7" t="s">
        <v>653</v>
      </c>
      <c r="D878" s="7" t="s">
        <v>19</v>
      </c>
      <c r="E878" s="7" t="s">
        <v>1177</v>
      </c>
      <c r="F878" s="7" t="s">
        <v>128</v>
      </c>
      <c r="G878" s="7" t="s">
        <v>130</v>
      </c>
      <c r="H878" s="7" t="s">
        <v>129</v>
      </c>
      <c r="I878" s="30">
        <v>2</v>
      </c>
      <c r="J878" s="7" t="s">
        <v>1177</v>
      </c>
      <c r="K878" s="7" t="s">
        <v>1178</v>
      </c>
      <c r="L878" s="7" t="s">
        <v>132</v>
      </c>
      <c r="M878" s="7" t="s">
        <v>133</v>
      </c>
      <c r="N878" s="30">
        <v>0</v>
      </c>
      <c r="O878" s="30">
        <v>0</v>
      </c>
      <c r="P878" s="30">
        <v>0</v>
      </c>
      <c r="Q878" s="30">
        <v>0</v>
      </c>
      <c r="R878" s="29">
        <v>0</v>
      </c>
      <c r="S878" s="36">
        <v>0</v>
      </c>
      <c r="T878" s="7" t="s">
        <v>131</v>
      </c>
      <c r="U878" s="7" t="s">
        <v>654</v>
      </c>
      <c r="V878" s="7" t="s">
        <v>654</v>
      </c>
      <c r="W878" s="7" t="s">
        <v>1177</v>
      </c>
      <c r="X878" s="30">
        <v>1</v>
      </c>
      <c r="Y878" s="7" t="s">
        <v>1177</v>
      </c>
      <c r="Z878" s="7" t="s">
        <v>1178</v>
      </c>
      <c r="AA878" s="30">
        <v>0</v>
      </c>
      <c r="AB878" s="36">
        <v>0</v>
      </c>
      <c r="AC878" s="7" t="s">
        <v>1177</v>
      </c>
      <c r="AD878" s="37">
        <v>0</v>
      </c>
      <c r="AE878" s="7" t="s">
        <v>1177</v>
      </c>
      <c r="AF878" s="7" t="s">
        <v>1177</v>
      </c>
      <c r="AG878" s="7" t="s">
        <v>1177</v>
      </c>
      <c r="AH878" s="38"/>
      <c r="AI878" s="36">
        <v>0</v>
      </c>
      <c r="AJ878" s="7" t="s">
        <v>1193</v>
      </c>
      <c r="AK878" s="7" t="s">
        <v>1177</v>
      </c>
      <c r="AL878" s="7" t="s">
        <v>1177</v>
      </c>
      <c r="AM878" s="7" t="s">
        <v>1177</v>
      </c>
      <c r="AN878" s="7" t="s">
        <v>3212</v>
      </c>
      <c r="AO878" s="7" t="s">
        <v>1177</v>
      </c>
      <c r="AP878" s="7" t="s">
        <v>1177</v>
      </c>
      <c r="AQ878" s="7" t="s">
        <v>1177</v>
      </c>
      <c r="AR878" s="29">
        <v>0</v>
      </c>
      <c r="AS878" s="7" t="s">
        <v>1177</v>
      </c>
      <c r="AT878" s="7" t="s">
        <v>1363</v>
      </c>
      <c r="AU878" s="38">
        <v>46275</v>
      </c>
      <c r="AV878" s="39">
        <v>0.62336805555555996</v>
      </c>
    </row>
    <row r="879" spans="1:48" x14ac:dyDescent="0.35">
      <c r="A879" t="str">
        <f t="shared" si="13"/>
        <v>GP172176B857</v>
      </c>
      <c r="B879" s="7" t="s">
        <v>273</v>
      </c>
      <c r="C879" s="7" t="s">
        <v>958</v>
      </c>
      <c r="D879" s="7" t="s">
        <v>23</v>
      </c>
      <c r="E879" s="7" t="s">
        <v>1177</v>
      </c>
      <c r="F879" s="7" t="s">
        <v>128</v>
      </c>
      <c r="G879" s="7" t="s">
        <v>130</v>
      </c>
      <c r="H879" s="7" t="s">
        <v>129</v>
      </c>
      <c r="I879" s="30">
        <v>1</v>
      </c>
      <c r="J879" s="7" t="s">
        <v>1177</v>
      </c>
      <c r="K879" s="7" t="s">
        <v>1178</v>
      </c>
      <c r="L879" s="7" t="s">
        <v>132</v>
      </c>
      <c r="M879" s="7" t="s">
        <v>133</v>
      </c>
      <c r="N879" s="30">
        <v>0</v>
      </c>
      <c r="O879" s="30">
        <v>0</v>
      </c>
      <c r="P879" s="30">
        <v>0</v>
      </c>
      <c r="Q879" s="30">
        <v>0</v>
      </c>
      <c r="R879" s="29">
        <v>0</v>
      </c>
      <c r="S879" s="36">
        <v>0</v>
      </c>
      <c r="T879" s="7" t="s">
        <v>131</v>
      </c>
      <c r="U879" s="7" t="s">
        <v>959</v>
      </c>
      <c r="V879" s="7" t="s">
        <v>959</v>
      </c>
      <c r="W879" s="7" t="s">
        <v>1177</v>
      </c>
      <c r="X879" s="30">
        <v>1</v>
      </c>
      <c r="Y879" s="7" t="s">
        <v>1177</v>
      </c>
      <c r="Z879" s="7" t="s">
        <v>1178</v>
      </c>
      <c r="AA879" s="30">
        <v>0</v>
      </c>
      <c r="AB879" s="36">
        <v>0</v>
      </c>
      <c r="AC879" s="7" t="s">
        <v>1177</v>
      </c>
      <c r="AD879" s="37">
        <v>0</v>
      </c>
      <c r="AE879" s="7" t="s">
        <v>1177</v>
      </c>
      <c r="AF879" s="7" t="s">
        <v>1177</v>
      </c>
      <c r="AG879" s="7" t="s">
        <v>1177</v>
      </c>
      <c r="AH879" s="38"/>
      <c r="AI879" s="36">
        <v>0</v>
      </c>
      <c r="AJ879" s="7" t="s">
        <v>1193</v>
      </c>
      <c r="AK879" s="7" t="s">
        <v>1177</v>
      </c>
      <c r="AL879" s="7" t="s">
        <v>1177</v>
      </c>
      <c r="AM879" s="7" t="s">
        <v>1177</v>
      </c>
      <c r="AN879" s="7" t="s">
        <v>3212</v>
      </c>
      <c r="AO879" s="7" t="s">
        <v>1177</v>
      </c>
      <c r="AP879" s="7" t="s">
        <v>1177</v>
      </c>
      <c r="AQ879" s="7" t="s">
        <v>1177</v>
      </c>
      <c r="AR879" s="29">
        <v>0</v>
      </c>
      <c r="AS879" s="7" t="s">
        <v>1177</v>
      </c>
      <c r="AT879" s="7" t="s">
        <v>1363</v>
      </c>
      <c r="AU879" s="38">
        <v>46275</v>
      </c>
      <c r="AV879" s="39">
        <v>0.62497685185185003</v>
      </c>
    </row>
    <row r="880" spans="1:48" x14ac:dyDescent="0.35">
      <c r="A880" t="str">
        <f t="shared" si="13"/>
        <v>GP172176B864</v>
      </c>
      <c r="B880" s="7" t="s">
        <v>273</v>
      </c>
      <c r="C880" s="7" t="s">
        <v>1010</v>
      </c>
      <c r="D880" s="7" t="s">
        <v>10</v>
      </c>
      <c r="E880" s="7" t="s">
        <v>1177</v>
      </c>
      <c r="F880" s="7" t="s">
        <v>128</v>
      </c>
      <c r="G880" s="7" t="s">
        <v>130</v>
      </c>
      <c r="H880" s="7" t="s">
        <v>129</v>
      </c>
      <c r="I880" s="30">
        <v>2</v>
      </c>
      <c r="J880" s="7" t="s">
        <v>1177</v>
      </c>
      <c r="K880" s="7" t="s">
        <v>1178</v>
      </c>
      <c r="L880" s="7" t="s">
        <v>132</v>
      </c>
      <c r="M880" s="7" t="s">
        <v>133</v>
      </c>
      <c r="N880" s="30">
        <v>0</v>
      </c>
      <c r="O880" s="30">
        <v>0</v>
      </c>
      <c r="P880" s="30">
        <v>0</v>
      </c>
      <c r="Q880" s="30">
        <v>0</v>
      </c>
      <c r="R880" s="29">
        <v>0</v>
      </c>
      <c r="S880" s="36">
        <v>0</v>
      </c>
      <c r="T880" s="7" t="s">
        <v>131</v>
      </c>
      <c r="U880" s="7" t="s">
        <v>1011</v>
      </c>
      <c r="V880" s="7" t="s">
        <v>1011</v>
      </c>
      <c r="W880" s="7" t="s">
        <v>1177</v>
      </c>
      <c r="X880" s="30">
        <v>1</v>
      </c>
      <c r="Y880" s="7" t="s">
        <v>1177</v>
      </c>
      <c r="Z880" s="7" t="s">
        <v>1178</v>
      </c>
      <c r="AA880" s="30">
        <v>0</v>
      </c>
      <c r="AB880" s="36">
        <v>0</v>
      </c>
      <c r="AC880" s="7" t="s">
        <v>1177</v>
      </c>
      <c r="AD880" s="37">
        <v>0</v>
      </c>
      <c r="AE880" s="7" t="s">
        <v>1177</v>
      </c>
      <c r="AF880" s="7" t="s">
        <v>1177</v>
      </c>
      <c r="AG880" s="7" t="s">
        <v>1177</v>
      </c>
      <c r="AH880" s="38"/>
      <c r="AI880" s="36">
        <v>0</v>
      </c>
      <c r="AJ880" s="7" t="s">
        <v>1193</v>
      </c>
      <c r="AK880" s="7" t="s">
        <v>1177</v>
      </c>
      <c r="AL880" s="7" t="s">
        <v>1177</v>
      </c>
      <c r="AM880" s="7" t="s">
        <v>1177</v>
      </c>
      <c r="AN880" s="7" t="s">
        <v>3212</v>
      </c>
      <c r="AO880" s="7" t="s">
        <v>1177</v>
      </c>
      <c r="AP880" s="7" t="s">
        <v>1177</v>
      </c>
      <c r="AQ880" s="7" t="s">
        <v>1177</v>
      </c>
      <c r="AR880" s="29">
        <v>0</v>
      </c>
      <c r="AS880" s="7" t="s">
        <v>1177</v>
      </c>
      <c r="AT880" s="7" t="s">
        <v>1363</v>
      </c>
      <c r="AU880" s="38">
        <v>46275</v>
      </c>
      <c r="AV880" s="39">
        <v>0.62644675925925997</v>
      </c>
    </row>
    <row r="881" spans="1:48" x14ac:dyDescent="0.35">
      <c r="A881" t="str">
        <f t="shared" si="13"/>
        <v>GP172176B867</v>
      </c>
      <c r="B881" s="7" t="s">
        <v>273</v>
      </c>
      <c r="C881" s="7" t="s">
        <v>1059</v>
      </c>
      <c r="D881" s="7" t="s">
        <v>25</v>
      </c>
      <c r="E881" s="7" t="s">
        <v>1177</v>
      </c>
      <c r="F881" s="7" t="s">
        <v>128</v>
      </c>
      <c r="G881" s="7" t="s">
        <v>130</v>
      </c>
      <c r="H881" s="7" t="s">
        <v>129</v>
      </c>
      <c r="I881" s="30">
        <v>2</v>
      </c>
      <c r="J881" s="7" t="s">
        <v>1177</v>
      </c>
      <c r="K881" s="7" t="s">
        <v>1178</v>
      </c>
      <c r="L881" s="7" t="s">
        <v>132</v>
      </c>
      <c r="M881" s="7" t="s">
        <v>133</v>
      </c>
      <c r="N881" s="30">
        <v>0</v>
      </c>
      <c r="O881" s="30">
        <v>0</v>
      </c>
      <c r="P881" s="30">
        <v>0</v>
      </c>
      <c r="Q881" s="30">
        <v>0</v>
      </c>
      <c r="R881" s="29">
        <v>0</v>
      </c>
      <c r="S881" s="36">
        <v>0</v>
      </c>
      <c r="T881" s="7" t="s">
        <v>131</v>
      </c>
      <c r="U881" s="7" t="s">
        <v>1060</v>
      </c>
      <c r="V881" s="7" t="s">
        <v>1060</v>
      </c>
      <c r="W881" s="7" t="s">
        <v>1177</v>
      </c>
      <c r="X881" s="30">
        <v>1</v>
      </c>
      <c r="Y881" s="7" t="s">
        <v>1177</v>
      </c>
      <c r="Z881" s="7" t="s">
        <v>1178</v>
      </c>
      <c r="AA881" s="30">
        <v>0</v>
      </c>
      <c r="AB881" s="36">
        <v>0</v>
      </c>
      <c r="AC881" s="7" t="s">
        <v>1177</v>
      </c>
      <c r="AD881" s="37">
        <v>0</v>
      </c>
      <c r="AE881" s="7" t="s">
        <v>1177</v>
      </c>
      <c r="AF881" s="7" t="s">
        <v>1177</v>
      </c>
      <c r="AG881" s="7" t="s">
        <v>1177</v>
      </c>
      <c r="AH881" s="38"/>
      <c r="AI881" s="36">
        <v>0</v>
      </c>
      <c r="AJ881" s="7" t="s">
        <v>1193</v>
      </c>
      <c r="AK881" s="7" t="s">
        <v>1177</v>
      </c>
      <c r="AL881" s="7" t="s">
        <v>1177</v>
      </c>
      <c r="AM881" s="7" t="s">
        <v>1177</v>
      </c>
      <c r="AN881" s="7" t="s">
        <v>3212</v>
      </c>
      <c r="AO881" s="7" t="s">
        <v>1177</v>
      </c>
      <c r="AP881" s="7" t="s">
        <v>1177</v>
      </c>
      <c r="AQ881" s="7" t="s">
        <v>1177</v>
      </c>
      <c r="AR881" s="29">
        <v>0</v>
      </c>
      <c r="AS881" s="7" t="s">
        <v>1177</v>
      </c>
      <c r="AT881" s="7" t="s">
        <v>1363</v>
      </c>
      <c r="AU881" s="38">
        <v>46275</v>
      </c>
      <c r="AV881" s="39">
        <v>0.62738425925926</v>
      </c>
    </row>
    <row r="882" spans="1:48" x14ac:dyDescent="0.35">
      <c r="A882" t="str">
        <f t="shared" si="13"/>
        <v>GP172178B838</v>
      </c>
      <c r="B882" s="7" t="s">
        <v>751</v>
      </c>
      <c r="C882" s="7" t="s">
        <v>744</v>
      </c>
      <c r="D882" s="7" t="s">
        <v>48</v>
      </c>
      <c r="E882" s="7" t="s">
        <v>1177</v>
      </c>
      <c r="F882" s="7" t="s">
        <v>128</v>
      </c>
      <c r="G882" s="7" t="s">
        <v>130</v>
      </c>
      <c r="H882" s="7" t="s">
        <v>129</v>
      </c>
      <c r="I882" s="30">
        <v>2</v>
      </c>
      <c r="J882" s="7" t="s">
        <v>1177</v>
      </c>
      <c r="K882" s="7" t="s">
        <v>1178</v>
      </c>
      <c r="L882" s="7" t="s">
        <v>132</v>
      </c>
      <c r="M882" s="7" t="s">
        <v>133</v>
      </c>
      <c r="N882" s="30">
        <v>0</v>
      </c>
      <c r="O882" s="30">
        <v>0</v>
      </c>
      <c r="P882" s="30">
        <v>0</v>
      </c>
      <c r="Q882" s="30">
        <v>0</v>
      </c>
      <c r="R882" s="29">
        <v>0</v>
      </c>
      <c r="S882" s="36">
        <v>0</v>
      </c>
      <c r="T882" s="7" t="s">
        <v>131</v>
      </c>
      <c r="U882" s="7" t="s">
        <v>745</v>
      </c>
      <c r="V882" s="7" t="s">
        <v>745</v>
      </c>
      <c r="W882" s="7" t="s">
        <v>1177</v>
      </c>
      <c r="X882" s="30">
        <v>1</v>
      </c>
      <c r="Y882" s="7" t="s">
        <v>1177</v>
      </c>
      <c r="Z882" s="7" t="s">
        <v>1178</v>
      </c>
      <c r="AA882" s="30">
        <v>0</v>
      </c>
      <c r="AB882" s="36">
        <v>0</v>
      </c>
      <c r="AC882" s="7" t="s">
        <v>1177</v>
      </c>
      <c r="AD882" s="37">
        <v>0</v>
      </c>
      <c r="AE882" s="7" t="s">
        <v>1177</v>
      </c>
      <c r="AF882" s="7" t="s">
        <v>1177</v>
      </c>
      <c r="AG882" s="7" t="s">
        <v>1177</v>
      </c>
      <c r="AH882" s="38"/>
      <c r="AI882" s="36">
        <v>0</v>
      </c>
      <c r="AJ882" s="7" t="s">
        <v>1193</v>
      </c>
      <c r="AK882" s="7" t="s">
        <v>1177</v>
      </c>
      <c r="AL882" s="7" t="s">
        <v>1177</v>
      </c>
      <c r="AM882" s="7" t="s">
        <v>1177</v>
      </c>
      <c r="AN882" s="7" t="s">
        <v>3212</v>
      </c>
      <c r="AO882" s="7" t="s">
        <v>1177</v>
      </c>
      <c r="AP882" s="7" t="s">
        <v>1177</v>
      </c>
      <c r="AQ882" s="7" t="s">
        <v>1177</v>
      </c>
      <c r="AR882" s="29">
        <v>0</v>
      </c>
      <c r="AS882" s="7" t="s">
        <v>1177</v>
      </c>
      <c r="AT882" s="7" t="s">
        <v>1363</v>
      </c>
      <c r="AU882" s="38">
        <v>46275</v>
      </c>
      <c r="AV882" s="39">
        <v>0.62412037037037005</v>
      </c>
    </row>
    <row r="883" spans="1:48" x14ac:dyDescent="0.35">
      <c r="A883" t="str">
        <f t="shared" si="13"/>
        <v>GP172178B856</v>
      </c>
      <c r="B883" s="7" t="s">
        <v>751</v>
      </c>
      <c r="C883" s="7" t="s">
        <v>852</v>
      </c>
      <c r="D883" s="7" t="s">
        <v>21</v>
      </c>
      <c r="E883" s="7" t="s">
        <v>1177</v>
      </c>
      <c r="F883" s="7" t="s">
        <v>128</v>
      </c>
      <c r="G883" s="7" t="s">
        <v>130</v>
      </c>
      <c r="H883" s="7" t="s">
        <v>129</v>
      </c>
      <c r="I883" s="30">
        <v>2</v>
      </c>
      <c r="J883" s="7" t="s">
        <v>1177</v>
      </c>
      <c r="K883" s="7" t="s">
        <v>1178</v>
      </c>
      <c r="L883" s="7" t="s">
        <v>132</v>
      </c>
      <c r="M883" s="7" t="s">
        <v>133</v>
      </c>
      <c r="N883" s="30">
        <v>0</v>
      </c>
      <c r="O883" s="30">
        <v>0</v>
      </c>
      <c r="P883" s="30">
        <v>0</v>
      </c>
      <c r="Q883" s="30">
        <v>0</v>
      </c>
      <c r="R883" s="29">
        <v>0</v>
      </c>
      <c r="S883" s="36">
        <v>0</v>
      </c>
      <c r="T883" s="7" t="s">
        <v>131</v>
      </c>
      <c r="U883" s="7" t="s">
        <v>853</v>
      </c>
      <c r="V883" s="7" t="s">
        <v>853</v>
      </c>
      <c r="W883" s="7" t="s">
        <v>1177</v>
      </c>
      <c r="X883" s="30">
        <v>1</v>
      </c>
      <c r="Y883" s="7" t="s">
        <v>1177</v>
      </c>
      <c r="Z883" s="7" t="s">
        <v>1178</v>
      </c>
      <c r="AA883" s="30">
        <v>0</v>
      </c>
      <c r="AB883" s="36">
        <v>0</v>
      </c>
      <c r="AC883" s="7" t="s">
        <v>1177</v>
      </c>
      <c r="AD883" s="37">
        <v>0</v>
      </c>
      <c r="AE883" s="7" t="s">
        <v>1177</v>
      </c>
      <c r="AF883" s="7" t="s">
        <v>1177</v>
      </c>
      <c r="AG883" s="7" t="s">
        <v>1177</v>
      </c>
      <c r="AH883" s="38"/>
      <c r="AI883" s="36">
        <v>0</v>
      </c>
      <c r="AJ883" s="7" t="s">
        <v>1193</v>
      </c>
      <c r="AK883" s="7" t="s">
        <v>1177</v>
      </c>
      <c r="AL883" s="7" t="s">
        <v>1177</v>
      </c>
      <c r="AM883" s="7" t="s">
        <v>1177</v>
      </c>
      <c r="AN883" s="7" t="s">
        <v>3212</v>
      </c>
      <c r="AO883" s="7" t="s">
        <v>1177</v>
      </c>
      <c r="AP883" s="7" t="s">
        <v>1177</v>
      </c>
      <c r="AQ883" s="7" t="s">
        <v>1177</v>
      </c>
      <c r="AR883" s="29">
        <v>0</v>
      </c>
      <c r="AS883" s="7" t="s">
        <v>1177</v>
      </c>
      <c r="AT883" s="7" t="s">
        <v>1363</v>
      </c>
      <c r="AU883" s="38">
        <v>46275</v>
      </c>
      <c r="AV883" s="39">
        <v>0.62486111111110998</v>
      </c>
    </row>
    <row r="884" spans="1:48" x14ac:dyDescent="0.35">
      <c r="A884" t="str">
        <f t="shared" si="13"/>
        <v>GP183406B825</v>
      </c>
      <c r="B884" s="7" t="s">
        <v>450</v>
      </c>
      <c r="C884" s="7" t="s">
        <v>511</v>
      </c>
      <c r="D884" s="7" t="s">
        <v>16</v>
      </c>
      <c r="E884" s="7" t="s">
        <v>1177</v>
      </c>
      <c r="F884" s="7" t="s">
        <v>128</v>
      </c>
      <c r="G884" s="7" t="s">
        <v>130</v>
      </c>
      <c r="H884" s="7" t="s">
        <v>129</v>
      </c>
      <c r="I884" s="30">
        <v>2</v>
      </c>
      <c r="J884" s="7" t="s">
        <v>1177</v>
      </c>
      <c r="K884" s="7" t="s">
        <v>1178</v>
      </c>
      <c r="L884" s="7" t="s">
        <v>132</v>
      </c>
      <c r="M884" s="7" t="s">
        <v>133</v>
      </c>
      <c r="N884" s="30">
        <v>0</v>
      </c>
      <c r="O884" s="30">
        <v>0</v>
      </c>
      <c r="P884" s="30">
        <v>0</v>
      </c>
      <c r="Q884" s="30">
        <v>0</v>
      </c>
      <c r="R884" s="29">
        <v>0</v>
      </c>
      <c r="S884" s="36">
        <v>0</v>
      </c>
      <c r="T884" s="7" t="s">
        <v>131</v>
      </c>
      <c r="U884" s="7" t="s">
        <v>512</v>
      </c>
      <c r="V884" s="7" t="s">
        <v>512</v>
      </c>
      <c r="W884" s="7" t="s">
        <v>1177</v>
      </c>
      <c r="X884" s="30">
        <v>1</v>
      </c>
      <c r="Y884" s="7" t="s">
        <v>1177</v>
      </c>
      <c r="Z884" s="7" t="s">
        <v>1178</v>
      </c>
      <c r="AA884" s="30">
        <v>0</v>
      </c>
      <c r="AB884" s="36">
        <v>0</v>
      </c>
      <c r="AC884" s="7" t="s">
        <v>1177</v>
      </c>
      <c r="AD884" s="37">
        <v>0</v>
      </c>
      <c r="AE884" s="7" t="s">
        <v>1177</v>
      </c>
      <c r="AF884" s="7" t="s">
        <v>1177</v>
      </c>
      <c r="AG884" s="7" t="s">
        <v>1177</v>
      </c>
      <c r="AH884" s="38"/>
      <c r="AI884" s="36">
        <v>0</v>
      </c>
      <c r="AJ884" s="7" t="s">
        <v>1193</v>
      </c>
      <c r="AK884" s="7" t="s">
        <v>1177</v>
      </c>
      <c r="AL884" s="7" t="s">
        <v>1177</v>
      </c>
      <c r="AM884" s="7" t="s">
        <v>1177</v>
      </c>
      <c r="AN884" s="7" t="s">
        <v>3212</v>
      </c>
      <c r="AO884" s="7" t="s">
        <v>1177</v>
      </c>
      <c r="AP884" s="7" t="s">
        <v>1177</v>
      </c>
      <c r="AQ884" s="7" t="s">
        <v>1177</v>
      </c>
      <c r="AR884" s="29">
        <v>0</v>
      </c>
      <c r="AS884" s="7" t="s">
        <v>1177</v>
      </c>
      <c r="AT884" s="7" t="s">
        <v>1363</v>
      </c>
      <c r="AU884" s="38">
        <v>46275</v>
      </c>
      <c r="AV884" s="39">
        <v>0.60349537037037004</v>
      </c>
    </row>
    <row r="885" spans="1:48" x14ac:dyDescent="0.35">
      <c r="A885" t="str">
        <f t="shared" si="13"/>
        <v>GP188913B857</v>
      </c>
      <c r="B885" s="7" t="s">
        <v>970</v>
      </c>
      <c r="C885" s="7" t="s">
        <v>958</v>
      </c>
      <c r="D885" s="7" t="s">
        <v>23</v>
      </c>
      <c r="E885" s="7" t="s">
        <v>1177</v>
      </c>
      <c r="F885" s="7" t="s">
        <v>128</v>
      </c>
      <c r="G885" s="7" t="s">
        <v>130</v>
      </c>
      <c r="H885" s="7" t="s">
        <v>129</v>
      </c>
      <c r="I885" s="30">
        <v>4</v>
      </c>
      <c r="J885" s="7" t="s">
        <v>1177</v>
      </c>
      <c r="K885" s="7" t="s">
        <v>1178</v>
      </c>
      <c r="L885" s="7" t="s">
        <v>132</v>
      </c>
      <c r="M885" s="7" t="s">
        <v>133</v>
      </c>
      <c r="N885" s="30">
        <v>0</v>
      </c>
      <c r="O885" s="30">
        <v>0</v>
      </c>
      <c r="P885" s="30">
        <v>0</v>
      </c>
      <c r="Q885" s="30">
        <v>0</v>
      </c>
      <c r="R885" s="29">
        <v>0</v>
      </c>
      <c r="S885" s="36">
        <v>0</v>
      </c>
      <c r="T885" s="7" t="s">
        <v>131</v>
      </c>
      <c r="U885" s="7" t="s">
        <v>959</v>
      </c>
      <c r="V885" s="7" t="s">
        <v>959</v>
      </c>
      <c r="W885" s="7" t="s">
        <v>1177</v>
      </c>
      <c r="X885" s="30">
        <v>1</v>
      </c>
      <c r="Y885" s="7" t="s">
        <v>1177</v>
      </c>
      <c r="Z885" s="7" t="s">
        <v>1178</v>
      </c>
      <c r="AA885" s="30">
        <v>0</v>
      </c>
      <c r="AB885" s="36">
        <v>0</v>
      </c>
      <c r="AC885" s="7" t="s">
        <v>1177</v>
      </c>
      <c r="AD885" s="37">
        <v>0</v>
      </c>
      <c r="AE885" s="7" t="s">
        <v>1177</v>
      </c>
      <c r="AF885" s="7" t="s">
        <v>1177</v>
      </c>
      <c r="AG885" s="7" t="s">
        <v>1177</v>
      </c>
      <c r="AH885" s="38"/>
      <c r="AI885" s="36">
        <v>0</v>
      </c>
      <c r="AJ885" s="7" t="s">
        <v>1193</v>
      </c>
      <c r="AK885" s="7" t="s">
        <v>1177</v>
      </c>
      <c r="AL885" s="7" t="s">
        <v>1177</v>
      </c>
      <c r="AM885" s="7" t="s">
        <v>1177</v>
      </c>
      <c r="AN885" s="7" t="s">
        <v>3212</v>
      </c>
      <c r="AO885" s="7" t="s">
        <v>1177</v>
      </c>
      <c r="AP885" s="7" t="s">
        <v>1177</v>
      </c>
      <c r="AQ885" s="7" t="s">
        <v>1177</v>
      </c>
      <c r="AR885" s="29">
        <v>0</v>
      </c>
      <c r="AS885" s="7" t="s">
        <v>1177</v>
      </c>
      <c r="AT885" s="7" t="s">
        <v>1363</v>
      </c>
      <c r="AU885" s="38">
        <v>46275</v>
      </c>
      <c r="AV885" s="39">
        <v>0.62497685185185003</v>
      </c>
    </row>
    <row r="886" spans="1:48" x14ac:dyDescent="0.35">
      <c r="A886" t="str">
        <f t="shared" si="13"/>
        <v>GP189308B825</v>
      </c>
      <c r="B886" s="7" t="s">
        <v>183</v>
      </c>
      <c r="C886" s="7" t="s">
        <v>511</v>
      </c>
      <c r="D886" s="7" t="s">
        <v>16</v>
      </c>
      <c r="E886" s="7" t="s">
        <v>1177</v>
      </c>
      <c r="F886" s="7" t="s">
        <v>128</v>
      </c>
      <c r="G886" s="7" t="s">
        <v>130</v>
      </c>
      <c r="H886" s="7" t="s">
        <v>129</v>
      </c>
      <c r="I886" s="30">
        <v>2</v>
      </c>
      <c r="J886" s="7" t="s">
        <v>1177</v>
      </c>
      <c r="K886" s="7" t="s">
        <v>1178</v>
      </c>
      <c r="L886" s="7" t="s">
        <v>132</v>
      </c>
      <c r="M886" s="7" t="s">
        <v>133</v>
      </c>
      <c r="N886" s="30">
        <v>0</v>
      </c>
      <c r="O886" s="30">
        <v>0</v>
      </c>
      <c r="P886" s="30">
        <v>0</v>
      </c>
      <c r="Q886" s="30">
        <v>0</v>
      </c>
      <c r="R886" s="29">
        <v>0</v>
      </c>
      <c r="S886" s="36">
        <v>0</v>
      </c>
      <c r="T886" s="7" t="s">
        <v>131</v>
      </c>
      <c r="U886" s="7" t="s">
        <v>512</v>
      </c>
      <c r="V886" s="7" t="s">
        <v>512</v>
      </c>
      <c r="W886" s="7" t="s">
        <v>1177</v>
      </c>
      <c r="X886" s="30">
        <v>1</v>
      </c>
      <c r="Y886" s="7" t="s">
        <v>1177</v>
      </c>
      <c r="Z886" s="7" t="s">
        <v>1178</v>
      </c>
      <c r="AA886" s="30">
        <v>0</v>
      </c>
      <c r="AB886" s="36">
        <v>0</v>
      </c>
      <c r="AC886" s="7" t="s">
        <v>1177</v>
      </c>
      <c r="AD886" s="37">
        <v>0</v>
      </c>
      <c r="AE886" s="7" t="s">
        <v>1177</v>
      </c>
      <c r="AF886" s="7" t="s">
        <v>1177</v>
      </c>
      <c r="AG886" s="7" t="s">
        <v>1177</v>
      </c>
      <c r="AH886" s="38"/>
      <c r="AI886" s="36">
        <v>0</v>
      </c>
      <c r="AJ886" s="7" t="s">
        <v>1193</v>
      </c>
      <c r="AK886" s="7" t="s">
        <v>1177</v>
      </c>
      <c r="AL886" s="7" t="s">
        <v>1177</v>
      </c>
      <c r="AM886" s="7" t="s">
        <v>1177</v>
      </c>
      <c r="AN886" s="7" t="s">
        <v>3212</v>
      </c>
      <c r="AO886" s="7" t="s">
        <v>1177</v>
      </c>
      <c r="AP886" s="7" t="s">
        <v>1177</v>
      </c>
      <c r="AQ886" s="7" t="s">
        <v>1177</v>
      </c>
      <c r="AR886" s="29">
        <v>0</v>
      </c>
      <c r="AS886" s="7" t="s">
        <v>1177</v>
      </c>
      <c r="AT886" s="7" t="s">
        <v>1363</v>
      </c>
      <c r="AU886" s="38">
        <v>46275</v>
      </c>
      <c r="AV886" s="39">
        <v>0.60349537037037004</v>
      </c>
    </row>
    <row r="887" spans="1:48" x14ac:dyDescent="0.35">
      <c r="A887" t="str">
        <f t="shared" si="13"/>
        <v>GP189308B832</v>
      </c>
      <c r="B887" s="7" t="s">
        <v>183</v>
      </c>
      <c r="C887" s="7" t="s">
        <v>653</v>
      </c>
      <c r="D887" s="7" t="s">
        <v>19</v>
      </c>
      <c r="E887" s="7" t="s">
        <v>1177</v>
      </c>
      <c r="F887" s="7" t="s">
        <v>128</v>
      </c>
      <c r="G887" s="7" t="s">
        <v>130</v>
      </c>
      <c r="H887" s="7" t="s">
        <v>129</v>
      </c>
      <c r="I887" s="30">
        <v>2</v>
      </c>
      <c r="J887" s="7" t="s">
        <v>1177</v>
      </c>
      <c r="K887" s="7" t="s">
        <v>1178</v>
      </c>
      <c r="L887" s="7" t="s">
        <v>132</v>
      </c>
      <c r="M887" s="7" t="s">
        <v>133</v>
      </c>
      <c r="N887" s="30">
        <v>0</v>
      </c>
      <c r="O887" s="30">
        <v>0</v>
      </c>
      <c r="P887" s="30">
        <v>0</v>
      </c>
      <c r="Q887" s="30">
        <v>0</v>
      </c>
      <c r="R887" s="29">
        <v>0</v>
      </c>
      <c r="S887" s="36">
        <v>0</v>
      </c>
      <c r="T887" s="7" t="s">
        <v>131</v>
      </c>
      <c r="U887" s="7" t="s">
        <v>654</v>
      </c>
      <c r="V887" s="7" t="s">
        <v>654</v>
      </c>
      <c r="W887" s="7" t="s">
        <v>1177</v>
      </c>
      <c r="X887" s="30">
        <v>1</v>
      </c>
      <c r="Y887" s="7" t="s">
        <v>1177</v>
      </c>
      <c r="Z887" s="7" t="s">
        <v>1178</v>
      </c>
      <c r="AA887" s="30">
        <v>0</v>
      </c>
      <c r="AB887" s="36">
        <v>0</v>
      </c>
      <c r="AC887" s="7" t="s">
        <v>1177</v>
      </c>
      <c r="AD887" s="37">
        <v>0</v>
      </c>
      <c r="AE887" s="7" t="s">
        <v>1177</v>
      </c>
      <c r="AF887" s="7" t="s">
        <v>1177</v>
      </c>
      <c r="AG887" s="7" t="s">
        <v>1177</v>
      </c>
      <c r="AH887" s="38"/>
      <c r="AI887" s="36">
        <v>0</v>
      </c>
      <c r="AJ887" s="7" t="s">
        <v>1193</v>
      </c>
      <c r="AK887" s="7" t="s">
        <v>1177</v>
      </c>
      <c r="AL887" s="7" t="s">
        <v>1177</v>
      </c>
      <c r="AM887" s="7" t="s">
        <v>1177</v>
      </c>
      <c r="AN887" s="7" t="s">
        <v>3212</v>
      </c>
      <c r="AO887" s="7" t="s">
        <v>1177</v>
      </c>
      <c r="AP887" s="7" t="s">
        <v>1177</v>
      </c>
      <c r="AQ887" s="7" t="s">
        <v>1177</v>
      </c>
      <c r="AR887" s="29">
        <v>0</v>
      </c>
      <c r="AS887" s="7" t="s">
        <v>1177</v>
      </c>
      <c r="AT887" s="7" t="s">
        <v>1363</v>
      </c>
      <c r="AU887" s="38">
        <v>46275</v>
      </c>
      <c r="AV887" s="39">
        <v>0.60393518518518996</v>
      </c>
    </row>
    <row r="888" spans="1:48" x14ac:dyDescent="0.35">
      <c r="A888" t="str">
        <f t="shared" si="13"/>
        <v>GP189308B833</v>
      </c>
      <c r="B888" s="7" t="s">
        <v>183</v>
      </c>
      <c r="C888" s="7" t="s">
        <v>698</v>
      </c>
      <c r="D888" s="7" t="s">
        <v>697</v>
      </c>
      <c r="E888" s="7" t="s">
        <v>1177</v>
      </c>
      <c r="F888" s="7" t="s">
        <v>128</v>
      </c>
      <c r="G888" s="7" t="s">
        <v>130</v>
      </c>
      <c r="H888" s="7" t="s">
        <v>129</v>
      </c>
      <c r="I888" s="30">
        <v>2</v>
      </c>
      <c r="J888" s="7" t="s">
        <v>1177</v>
      </c>
      <c r="K888" s="7" t="s">
        <v>1178</v>
      </c>
      <c r="L888" s="7" t="s">
        <v>132</v>
      </c>
      <c r="M888" s="7" t="s">
        <v>133</v>
      </c>
      <c r="N888" s="30">
        <v>0</v>
      </c>
      <c r="O888" s="30">
        <v>0</v>
      </c>
      <c r="P888" s="30">
        <v>0</v>
      </c>
      <c r="Q888" s="30">
        <v>0</v>
      </c>
      <c r="R888" s="29">
        <v>0</v>
      </c>
      <c r="S888" s="36">
        <v>0</v>
      </c>
      <c r="T888" s="7" t="s">
        <v>131</v>
      </c>
      <c r="U888" s="7" t="s">
        <v>699</v>
      </c>
      <c r="V888" s="7" t="s">
        <v>699</v>
      </c>
      <c r="W888" s="7" t="s">
        <v>1177</v>
      </c>
      <c r="X888" s="30">
        <v>1</v>
      </c>
      <c r="Y888" s="7" t="s">
        <v>1177</v>
      </c>
      <c r="Z888" s="7" t="s">
        <v>1178</v>
      </c>
      <c r="AA888" s="30">
        <v>0</v>
      </c>
      <c r="AB888" s="36">
        <v>0</v>
      </c>
      <c r="AC888" s="7" t="s">
        <v>1177</v>
      </c>
      <c r="AD888" s="37">
        <v>0</v>
      </c>
      <c r="AE888" s="7" t="s">
        <v>1177</v>
      </c>
      <c r="AF888" s="7" t="s">
        <v>1177</v>
      </c>
      <c r="AG888" s="7" t="s">
        <v>1177</v>
      </c>
      <c r="AH888" s="38"/>
      <c r="AI888" s="36">
        <v>0</v>
      </c>
      <c r="AJ888" s="7" t="s">
        <v>1193</v>
      </c>
      <c r="AK888" s="7" t="s">
        <v>1177</v>
      </c>
      <c r="AL888" s="7" t="s">
        <v>1177</v>
      </c>
      <c r="AM888" s="7" t="s">
        <v>1177</v>
      </c>
      <c r="AN888" s="7" t="s">
        <v>3212</v>
      </c>
      <c r="AO888" s="7" t="s">
        <v>1177</v>
      </c>
      <c r="AP888" s="7" t="s">
        <v>1177</v>
      </c>
      <c r="AQ888" s="7" t="s">
        <v>1177</v>
      </c>
      <c r="AR888" s="29">
        <v>0</v>
      </c>
      <c r="AS888" s="7" t="s">
        <v>1177</v>
      </c>
      <c r="AT888" s="7" t="s">
        <v>1363</v>
      </c>
      <c r="AU888" s="38">
        <v>46275</v>
      </c>
      <c r="AV888" s="39">
        <v>0.60395833333333004</v>
      </c>
    </row>
    <row r="889" spans="1:48" x14ac:dyDescent="0.35">
      <c r="A889" t="str">
        <f t="shared" si="13"/>
        <v>GP189308B838</v>
      </c>
      <c r="B889" s="7" t="s">
        <v>183</v>
      </c>
      <c r="C889" s="7" t="s">
        <v>744</v>
      </c>
      <c r="D889" s="7" t="s">
        <v>48</v>
      </c>
      <c r="E889" s="7" t="s">
        <v>1177</v>
      </c>
      <c r="F889" s="7" t="s">
        <v>128</v>
      </c>
      <c r="G889" s="7" t="s">
        <v>130</v>
      </c>
      <c r="H889" s="7" t="s">
        <v>129</v>
      </c>
      <c r="I889" s="30">
        <v>2</v>
      </c>
      <c r="J889" s="7" t="s">
        <v>1177</v>
      </c>
      <c r="K889" s="7" t="s">
        <v>1178</v>
      </c>
      <c r="L889" s="7" t="s">
        <v>132</v>
      </c>
      <c r="M889" s="7" t="s">
        <v>133</v>
      </c>
      <c r="N889" s="30">
        <v>0</v>
      </c>
      <c r="O889" s="30">
        <v>0</v>
      </c>
      <c r="P889" s="30">
        <v>0</v>
      </c>
      <c r="Q889" s="30">
        <v>0</v>
      </c>
      <c r="R889" s="29">
        <v>0</v>
      </c>
      <c r="S889" s="36">
        <v>0</v>
      </c>
      <c r="T889" s="7" t="s">
        <v>131</v>
      </c>
      <c r="U889" s="7" t="s">
        <v>745</v>
      </c>
      <c r="V889" s="7" t="s">
        <v>745</v>
      </c>
      <c r="W889" s="7" t="s">
        <v>1177</v>
      </c>
      <c r="X889" s="30">
        <v>1</v>
      </c>
      <c r="Y889" s="7" t="s">
        <v>1177</v>
      </c>
      <c r="Z889" s="7" t="s">
        <v>1178</v>
      </c>
      <c r="AA889" s="30">
        <v>0</v>
      </c>
      <c r="AB889" s="36">
        <v>0</v>
      </c>
      <c r="AC889" s="7" t="s">
        <v>1177</v>
      </c>
      <c r="AD889" s="37">
        <v>0</v>
      </c>
      <c r="AE889" s="7" t="s">
        <v>1177</v>
      </c>
      <c r="AF889" s="7" t="s">
        <v>1177</v>
      </c>
      <c r="AG889" s="7" t="s">
        <v>1177</v>
      </c>
      <c r="AH889" s="38"/>
      <c r="AI889" s="36">
        <v>0</v>
      </c>
      <c r="AJ889" s="7" t="s">
        <v>1193</v>
      </c>
      <c r="AK889" s="7" t="s">
        <v>1177</v>
      </c>
      <c r="AL889" s="7" t="s">
        <v>1177</v>
      </c>
      <c r="AM889" s="7" t="s">
        <v>1177</v>
      </c>
      <c r="AN889" s="7" t="s">
        <v>3212</v>
      </c>
      <c r="AO889" s="7" t="s">
        <v>1177</v>
      </c>
      <c r="AP889" s="7" t="s">
        <v>1177</v>
      </c>
      <c r="AQ889" s="7" t="s">
        <v>1177</v>
      </c>
      <c r="AR889" s="29">
        <v>0</v>
      </c>
      <c r="AS889" s="7" t="s">
        <v>1177</v>
      </c>
      <c r="AT889" s="7" t="s">
        <v>1363</v>
      </c>
      <c r="AU889" s="38">
        <v>46275</v>
      </c>
      <c r="AV889" s="39">
        <v>0.60446759259258998</v>
      </c>
    </row>
    <row r="890" spans="1:48" x14ac:dyDescent="0.35">
      <c r="A890" t="str">
        <f t="shared" si="13"/>
        <v>GP189308B856</v>
      </c>
      <c r="B890" s="7" t="s">
        <v>183</v>
      </c>
      <c r="C890" s="7" t="s">
        <v>852</v>
      </c>
      <c r="D890" s="7" t="s">
        <v>21</v>
      </c>
      <c r="E890" s="7" t="s">
        <v>1177</v>
      </c>
      <c r="F890" s="7" t="s">
        <v>128</v>
      </c>
      <c r="G890" s="7" t="s">
        <v>130</v>
      </c>
      <c r="H890" s="7" t="s">
        <v>129</v>
      </c>
      <c r="I890" s="30">
        <v>2</v>
      </c>
      <c r="J890" s="7" t="s">
        <v>1177</v>
      </c>
      <c r="K890" s="7" t="s">
        <v>1178</v>
      </c>
      <c r="L890" s="7" t="s">
        <v>132</v>
      </c>
      <c r="M890" s="7" t="s">
        <v>133</v>
      </c>
      <c r="N890" s="30">
        <v>0</v>
      </c>
      <c r="O890" s="30">
        <v>0</v>
      </c>
      <c r="P890" s="30">
        <v>0</v>
      </c>
      <c r="Q890" s="30">
        <v>0</v>
      </c>
      <c r="R890" s="29">
        <v>0</v>
      </c>
      <c r="S890" s="36">
        <v>0</v>
      </c>
      <c r="T890" s="7" t="s">
        <v>131</v>
      </c>
      <c r="U890" s="7" t="s">
        <v>853</v>
      </c>
      <c r="V890" s="7" t="s">
        <v>853</v>
      </c>
      <c r="W890" s="7" t="s">
        <v>1177</v>
      </c>
      <c r="X890" s="30">
        <v>1</v>
      </c>
      <c r="Y890" s="7" t="s">
        <v>1177</v>
      </c>
      <c r="Z890" s="7" t="s">
        <v>1178</v>
      </c>
      <c r="AA890" s="30">
        <v>0</v>
      </c>
      <c r="AB890" s="36">
        <v>0</v>
      </c>
      <c r="AC890" s="7" t="s">
        <v>1177</v>
      </c>
      <c r="AD890" s="37">
        <v>0</v>
      </c>
      <c r="AE890" s="7" t="s">
        <v>1177</v>
      </c>
      <c r="AF890" s="7" t="s">
        <v>1177</v>
      </c>
      <c r="AG890" s="7" t="s">
        <v>1177</v>
      </c>
      <c r="AH890" s="38"/>
      <c r="AI890" s="36">
        <v>0</v>
      </c>
      <c r="AJ890" s="7" t="s">
        <v>1193</v>
      </c>
      <c r="AK890" s="7" t="s">
        <v>1177</v>
      </c>
      <c r="AL890" s="7" t="s">
        <v>1177</v>
      </c>
      <c r="AM890" s="7" t="s">
        <v>1177</v>
      </c>
      <c r="AN890" s="7" t="s">
        <v>3212</v>
      </c>
      <c r="AO890" s="7" t="s">
        <v>1177</v>
      </c>
      <c r="AP890" s="7" t="s">
        <v>1177</v>
      </c>
      <c r="AQ890" s="7" t="s">
        <v>1177</v>
      </c>
      <c r="AR890" s="29">
        <v>0</v>
      </c>
      <c r="AS890" s="7" t="s">
        <v>1177</v>
      </c>
      <c r="AT890" s="7" t="s">
        <v>1363</v>
      </c>
      <c r="AU890" s="38">
        <v>46275</v>
      </c>
      <c r="AV890" s="39">
        <v>0.60521990740741005</v>
      </c>
    </row>
    <row r="891" spans="1:48" x14ac:dyDescent="0.35">
      <c r="A891" t="str">
        <f t="shared" si="13"/>
        <v>GP189308B857</v>
      </c>
      <c r="B891" s="7" t="s">
        <v>183</v>
      </c>
      <c r="C891" s="7" t="s">
        <v>958</v>
      </c>
      <c r="D891" s="7" t="s">
        <v>23</v>
      </c>
      <c r="E891" s="7" t="s">
        <v>1177</v>
      </c>
      <c r="F891" s="7" t="s">
        <v>128</v>
      </c>
      <c r="G891" s="7" t="s">
        <v>130</v>
      </c>
      <c r="H891" s="7" t="s">
        <v>129</v>
      </c>
      <c r="I891" s="30">
        <v>2</v>
      </c>
      <c r="J891" s="7" t="s">
        <v>1177</v>
      </c>
      <c r="K891" s="7" t="s">
        <v>1178</v>
      </c>
      <c r="L891" s="7" t="s">
        <v>132</v>
      </c>
      <c r="M891" s="7" t="s">
        <v>133</v>
      </c>
      <c r="N891" s="30">
        <v>0</v>
      </c>
      <c r="O891" s="30">
        <v>0</v>
      </c>
      <c r="P891" s="30">
        <v>0</v>
      </c>
      <c r="Q891" s="30">
        <v>0</v>
      </c>
      <c r="R891" s="29">
        <v>0</v>
      </c>
      <c r="S891" s="36">
        <v>0</v>
      </c>
      <c r="T891" s="7" t="s">
        <v>131</v>
      </c>
      <c r="U891" s="7" t="s">
        <v>959</v>
      </c>
      <c r="V891" s="7" t="s">
        <v>959</v>
      </c>
      <c r="W891" s="7" t="s">
        <v>1177</v>
      </c>
      <c r="X891" s="30">
        <v>1</v>
      </c>
      <c r="Y891" s="7" t="s">
        <v>1177</v>
      </c>
      <c r="Z891" s="7" t="s">
        <v>1178</v>
      </c>
      <c r="AA891" s="30">
        <v>0</v>
      </c>
      <c r="AB891" s="36">
        <v>0</v>
      </c>
      <c r="AC891" s="7" t="s">
        <v>1177</v>
      </c>
      <c r="AD891" s="37">
        <v>0</v>
      </c>
      <c r="AE891" s="7" t="s">
        <v>1177</v>
      </c>
      <c r="AF891" s="7" t="s">
        <v>1177</v>
      </c>
      <c r="AG891" s="7" t="s">
        <v>1177</v>
      </c>
      <c r="AH891" s="38"/>
      <c r="AI891" s="36">
        <v>0</v>
      </c>
      <c r="AJ891" s="7" t="s">
        <v>1193</v>
      </c>
      <c r="AK891" s="7" t="s">
        <v>1177</v>
      </c>
      <c r="AL891" s="7" t="s">
        <v>1177</v>
      </c>
      <c r="AM891" s="7" t="s">
        <v>1177</v>
      </c>
      <c r="AN891" s="7" t="s">
        <v>3212</v>
      </c>
      <c r="AO891" s="7" t="s">
        <v>1177</v>
      </c>
      <c r="AP891" s="7" t="s">
        <v>1177</v>
      </c>
      <c r="AQ891" s="7" t="s">
        <v>1177</v>
      </c>
      <c r="AR891" s="29">
        <v>0</v>
      </c>
      <c r="AS891" s="7" t="s">
        <v>1177</v>
      </c>
      <c r="AT891" s="7" t="s">
        <v>1363</v>
      </c>
      <c r="AU891" s="38">
        <v>46275</v>
      </c>
      <c r="AV891" s="39">
        <v>0.60526620370369999</v>
      </c>
    </row>
    <row r="892" spans="1:48" x14ac:dyDescent="0.35">
      <c r="A892" t="str">
        <f t="shared" si="13"/>
        <v>GP189308B865</v>
      </c>
      <c r="B892" s="7" t="s">
        <v>183</v>
      </c>
      <c r="C892" s="7" t="s">
        <v>1039</v>
      </c>
      <c r="D892" s="7" t="s">
        <v>7</v>
      </c>
      <c r="E892" s="7" t="s">
        <v>1177</v>
      </c>
      <c r="F892" s="7" t="s">
        <v>128</v>
      </c>
      <c r="G892" s="7" t="s">
        <v>130</v>
      </c>
      <c r="H892" s="7" t="s">
        <v>129</v>
      </c>
      <c r="I892" s="30">
        <v>2</v>
      </c>
      <c r="J892" s="7" t="s">
        <v>1177</v>
      </c>
      <c r="K892" s="7" t="s">
        <v>1178</v>
      </c>
      <c r="L892" s="7" t="s">
        <v>132</v>
      </c>
      <c r="M892" s="7" t="s">
        <v>133</v>
      </c>
      <c r="N892" s="30">
        <v>0</v>
      </c>
      <c r="O892" s="30">
        <v>0</v>
      </c>
      <c r="P892" s="30">
        <v>0</v>
      </c>
      <c r="Q892" s="30">
        <v>0</v>
      </c>
      <c r="R892" s="29">
        <v>0</v>
      </c>
      <c r="S892" s="36">
        <v>0</v>
      </c>
      <c r="T892" s="7" t="s">
        <v>131</v>
      </c>
      <c r="U892" s="7" t="s">
        <v>1040</v>
      </c>
      <c r="V892" s="7" t="s">
        <v>1040</v>
      </c>
      <c r="W892" s="7" t="s">
        <v>1177</v>
      </c>
      <c r="X892" s="30">
        <v>1</v>
      </c>
      <c r="Y892" s="7" t="s">
        <v>1177</v>
      </c>
      <c r="Z892" s="7" t="s">
        <v>1178</v>
      </c>
      <c r="AA892" s="30">
        <v>0</v>
      </c>
      <c r="AB892" s="36">
        <v>0</v>
      </c>
      <c r="AC892" s="7" t="s">
        <v>1177</v>
      </c>
      <c r="AD892" s="37">
        <v>0</v>
      </c>
      <c r="AE892" s="7" t="s">
        <v>1177</v>
      </c>
      <c r="AF892" s="7" t="s">
        <v>1177</v>
      </c>
      <c r="AG892" s="7" t="s">
        <v>1177</v>
      </c>
      <c r="AH892" s="38"/>
      <c r="AI892" s="36">
        <v>0</v>
      </c>
      <c r="AJ892" s="7" t="s">
        <v>1193</v>
      </c>
      <c r="AK892" s="7" t="s">
        <v>1177</v>
      </c>
      <c r="AL892" s="7" t="s">
        <v>1177</v>
      </c>
      <c r="AM892" s="7" t="s">
        <v>1177</v>
      </c>
      <c r="AN892" s="7" t="s">
        <v>3212</v>
      </c>
      <c r="AO892" s="7" t="s">
        <v>1177</v>
      </c>
      <c r="AP892" s="7" t="s">
        <v>1177</v>
      </c>
      <c r="AQ892" s="7" t="s">
        <v>1177</v>
      </c>
      <c r="AR892" s="29">
        <v>0</v>
      </c>
      <c r="AS892" s="7" t="s">
        <v>1177</v>
      </c>
      <c r="AT892" s="7" t="s">
        <v>1363</v>
      </c>
      <c r="AU892" s="38">
        <v>46275</v>
      </c>
      <c r="AV892" s="39">
        <v>0.60549768518518998</v>
      </c>
    </row>
    <row r="893" spans="1:48" x14ac:dyDescent="0.35">
      <c r="A893" t="str">
        <f t="shared" si="13"/>
        <v>GP190332B825</v>
      </c>
      <c r="B893" s="7" t="s">
        <v>274</v>
      </c>
      <c r="C893" s="7" t="s">
        <v>511</v>
      </c>
      <c r="D893" s="7" t="s">
        <v>16</v>
      </c>
      <c r="E893" s="7" t="s">
        <v>1177</v>
      </c>
      <c r="F893" s="7" t="s">
        <v>128</v>
      </c>
      <c r="G893" s="7" t="s">
        <v>130</v>
      </c>
      <c r="H893" s="7" t="s">
        <v>129</v>
      </c>
      <c r="I893" s="30">
        <v>1</v>
      </c>
      <c r="J893" s="7" t="s">
        <v>1177</v>
      </c>
      <c r="K893" s="7" t="s">
        <v>1178</v>
      </c>
      <c r="L893" s="7" t="s">
        <v>132</v>
      </c>
      <c r="M893" s="7" t="s">
        <v>133</v>
      </c>
      <c r="N893" s="30">
        <v>0</v>
      </c>
      <c r="O893" s="30">
        <v>0</v>
      </c>
      <c r="P893" s="30">
        <v>0</v>
      </c>
      <c r="Q893" s="30">
        <v>0</v>
      </c>
      <c r="R893" s="29">
        <v>0</v>
      </c>
      <c r="S893" s="36">
        <v>0</v>
      </c>
      <c r="T893" s="7" t="s">
        <v>131</v>
      </c>
      <c r="U893" s="7" t="s">
        <v>512</v>
      </c>
      <c r="V893" s="7" t="s">
        <v>512</v>
      </c>
      <c r="W893" s="7" t="s">
        <v>1177</v>
      </c>
      <c r="X893" s="30">
        <v>1</v>
      </c>
      <c r="Y893" s="7" t="s">
        <v>1177</v>
      </c>
      <c r="Z893" s="7" t="s">
        <v>1178</v>
      </c>
      <c r="AA893" s="30">
        <v>0</v>
      </c>
      <c r="AB893" s="36">
        <v>0</v>
      </c>
      <c r="AC893" s="7" t="s">
        <v>1177</v>
      </c>
      <c r="AD893" s="37">
        <v>0</v>
      </c>
      <c r="AE893" s="7" t="s">
        <v>1177</v>
      </c>
      <c r="AF893" s="7" t="s">
        <v>1177</v>
      </c>
      <c r="AG893" s="7" t="s">
        <v>1177</v>
      </c>
      <c r="AH893" s="38"/>
      <c r="AI893" s="36">
        <v>0</v>
      </c>
      <c r="AJ893" s="7" t="s">
        <v>1193</v>
      </c>
      <c r="AK893" s="7" t="s">
        <v>1177</v>
      </c>
      <c r="AL893" s="7" t="s">
        <v>1177</v>
      </c>
      <c r="AM893" s="7" t="s">
        <v>1177</v>
      </c>
      <c r="AN893" s="7" t="s">
        <v>3212</v>
      </c>
      <c r="AO893" s="7" t="s">
        <v>1177</v>
      </c>
      <c r="AP893" s="7" t="s">
        <v>1177</v>
      </c>
      <c r="AQ893" s="7" t="s">
        <v>1177</v>
      </c>
      <c r="AR893" s="29">
        <v>0</v>
      </c>
      <c r="AS893" s="7" t="s">
        <v>1177</v>
      </c>
      <c r="AT893" s="7" t="s">
        <v>1363</v>
      </c>
      <c r="AU893" s="38">
        <v>46275</v>
      </c>
      <c r="AV893" s="39">
        <v>0.6034837962963</v>
      </c>
    </row>
    <row r="894" spans="1:48" x14ac:dyDescent="0.35">
      <c r="A894" t="str">
        <f t="shared" si="13"/>
        <v>GP190332B832</v>
      </c>
      <c r="B894" s="7" t="s">
        <v>274</v>
      </c>
      <c r="C894" s="7" t="s">
        <v>653</v>
      </c>
      <c r="D894" s="7" t="s">
        <v>19</v>
      </c>
      <c r="E894" s="7" t="s">
        <v>1177</v>
      </c>
      <c r="F894" s="7" t="s">
        <v>128</v>
      </c>
      <c r="G894" s="7" t="s">
        <v>130</v>
      </c>
      <c r="H894" s="7" t="s">
        <v>129</v>
      </c>
      <c r="I894" s="30">
        <v>2</v>
      </c>
      <c r="J894" s="7" t="s">
        <v>1177</v>
      </c>
      <c r="K894" s="7" t="s">
        <v>1178</v>
      </c>
      <c r="L894" s="7" t="s">
        <v>132</v>
      </c>
      <c r="M894" s="7" t="s">
        <v>133</v>
      </c>
      <c r="N894" s="30">
        <v>0</v>
      </c>
      <c r="O894" s="30">
        <v>0</v>
      </c>
      <c r="P894" s="30">
        <v>0</v>
      </c>
      <c r="Q894" s="30">
        <v>0</v>
      </c>
      <c r="R894" s="29">
        <v>0</v>
      </c>
      <c r="S894" s="36">
        <v>0</v>
      </c>
      <c r="T894" s="7" t="s">
        <v>131</v>
      </c>
      <c r="U894" s="7" t="s">
        <v>654</v>
      </c>
      <c r="V894" s="7" t="s">
        <v>654</v>
      </c>
      <c r="W894" s="7" t="s">
        <v>1177</v>
      </c>
      <c r="X894" s="30">
        <v>1</v>
      </c>
      <c r="Y894" s="7" t="s">
        <v>1177</v>
      </c>
      <c r="Z894" s="7" t="s">
        <v>1178</v>
      </c>
      <c r="AA894" s="30">
        <v>0</v>
      </c>
      <c r="AB894" s="36">
        <v>0</v>
      </c>
      <c r="AC894" s="7" t="s">
        <v>1177</v>
      </c>
      <c r="AD894" s="37">
        <v>0</v>
      </c>
      <c r="AE894" s="7" t="s">
        <v>1177</v>
      </c>
      <c r="AF894" s="7" t="s">
        <v>1177</v>
      </c>
      <c r="AG894" s="7" t="s">
        <v>1177</v>
      </c>
      <c r="AH894" s="38"/>
      <c r="AI894" s="36">
        <v>0</v>
      </c>
      <c r="AJ894" s="7" t="s">
        <v>1193</v>
      </c>
      <c r="AK894" s="7" t="s">
        <v>1177</v>
      </c>
      <c r="AL894" s="7" t="s">
        <v>1177</v>
      </c>
      <c r="AM894" s="7" t="s">
        <v>1177</v>
      </c>
      <c r="AN894" s="7" t="s">
        <v>3212</v>
      </c>
      <c r="AO894" s="7" t="s">
        <v>1177</v>
      </c>
      <c r="AP894" s="7" t="s">
        <v>1177</v>
      </c>
      <c r="AQ894" s="7" t="s">
        <v>1177</v>
      </c>
      <c r="AR894" s="29">
        <v>0</v>
      </c>
      <c r="AS894" s="7" t="s">
        <v>1177</v>
      </c>
      <c r="AT894" s="7" t="s">
        <v>1363</v>
      </c>
      <c r="AU894" s="38">
        <v>46275</v>
      </c>
      <c r="AV894" s="39">
        <v>0.60392361111111004</v>
      </c>
    </row>
    <row r="895" spans="1:48" x14ac:dyDescent="0.35">
      <c r="A895" t="str">
        <f t="shared" si="13"/>
        <v>GP193010B864</v>
      </c>
      <c r="B895" s="7" t="s">
        <v>1019</v>
      </c>
      <c r="C895" s="7" t="s">
        <v>1010</v>
      </c>
      <c r="D895" s="7" t="s">
        <v>10</v>
      </c>
      <c r="E895" s="7" t="s">
        <v>1177</v>
      </c>
      <c r="F895" s="7" t="s">
        <v>128</v>
      </c>
      <c r="G895" s="7" t="s">
        <v>130</v>
      </c>
      <c r="H895" s="7" t="s">
        <v>129</v>
      </c>
      <c r="I895" s="30">
        <v>2</v>
      </c>
      <c r="J895" s="7" t="s">
        <v>1177</v>
      </c>
      <c r="K895" s="7" t="s">
        <v>1178</v>
      </c>
      <c r="L895" s="7" t="s">
        <v>132</v>
      </c>
      <c r="M895" s="7" t="s">
        <v>133</v>
      </c>
      <c r="N895" s="30">
        <v>0</v>
      </c>
      <c r="O895" s="30">
        <v>0</v>
      </c>
      <c r="P895" s="30">
        <v>0</v>
      </c>
      <c r="Q895" s="30">
        <v>0</v>
      </c>
      <c r="R895" s="29">
        <v>0</v>
      </c>
      <c r="S895" s="36">
        <v>0</v>
      </c>
      <c r="T895" s="7" t="s">
        <v>131</v>
      </c>
      <c r="U895" s="7" t="s">
        <v>1011</v>
      </c>
      <c r="V895" s="7" t="s">
        <v>1011</v>
      </c>
      <c r="W895" s="7" t="s">
        <v>1177</v>
      </c>
      <c r="X895" s="30">
        <v>1</v>
      </c>
      <c r="Y895" s="7" t="s">
        <v>1177</v>
      </c>
      <c r="Z895" s="7" t="s">
        <v>1178</v>
      </c>
      <c r="AA895" s="30">
        <v>0</v>
      </c>
      <c r="AB895" s="36">
        <v>0</v>
      </c>
      <c r="AC895" s="7" t="s">
        <v>1177</v>
      </c>
      <c r="AD895" s="37">
        <v>0</v>
      </c>
      <c r="AE895" s="7" t="s">
        <v>1177</v>
      </c>
      <c r="AF895" s="7" t="s">
        <v>1177</v>
      </c>
      <c r="AG895" s="7" t="s">
        <v>1177</v>
      </c>
      <c r="AH895" s="38"/>
      <c r="AI895" s="36">
        <v>0</v>
      </c>
      <c r="AJ895" s="7" t="s">
        <v>1193</v>
      </c>
      <c r="AK895" s="7" t="s">
        <v>1177</v>
      </c>
      <c r="AL895" s="7" t="s">
        <v>1177</v>
      </c>
      <c r="AM895" s="7" t="s">
        <v>1177</v>
      </c>
      <c r="AN895" s="7" t="s">
        <v>3212</v>
      </c>
      <c r="AO895" s="7" t="s">
        <v>1177</v>
      </c>
      <c r="AP895" s="7" t="s">
        <v>1177</v>
      </c>
      <c r="AQ895" s="7" t="s">
        <v>1177</v>
      </c>
      <c r="AR895" s="29">
        <v>0</v>
      </c>
      <c r="AS895" s="7" t="s">
        <v>1177</v>
      </c>
      <c r="AT895" s="7" t="s">
        <v>1363</v>
      </c>
      <c r="AU895" s="38">
        <v>46275</v>
      </c>
      <c r="AV895" s="39">
        <v>0.62644675925925997</v>
      </c>
    </row>
    <row r="896" spans="1:48" x14ac:dyDescent="0.35">
      <c r="A896" t="str">
        <f t="shared" si="13"/>
        <v>GP194540B856</v>
      </c>
      <c r="B896" s="7" t="s">
        <v>864</v>
      </c>
      <c r="C896" s="7" t="s">
        <v>852</v>
      </c>
      <c r="D896" s="7" t="s">
        <v>21</v>
      </c>
      <c r="E896" s="7" t="s">
        <v>1177</v>
      </c>
      <c r="F896" s="7" t="s">
        <v>128</v>
      </c>
      <c r="G896" s="7" t="s">
        <v>130</v>
      </c>
      <c r="H896" s="7" t="s">
        <v>129</v>
      </c>
      <c r="I896" s="30">
        <v>1</v>
      </c>
      <c r="J896" s="7" t="s">
        <v>1177</v>
      </c>
      <c r="K896" s="7" t="s">
        <v>1178</v>
      </c>
      <c r="L896" s="7" t="s">
        <v>132</v>
      </c>
      <c r="M896" s="7" t="s">
        <v>133</v>
      </c>
      <c r="N896" s="30">
        <v>0</v>
      </c>
      <c r="O896" s="30">
        <v>0</v>
      </c>
      <c r="P896" s="30">
        <v>0</v>
      </c>
      <c r="Q896" s="30">
        <v>0</v>
      </c>
      <c r="R896" s="29">
        <v>0</v>
      </c>
      <c r="S896" s="36">
        <v>0</v>
      </c>
      <c r="T896" s="7" t="s">
        <v>131</v>
      </c>
      <c r="U896" s="7" t="s">
        <v>853</v>
      </c>
      <c r="V896" s="7" t="s">
        <v>853</v>
      </c>
      <c r="W896" s="7" t="s">
        <v>1177</v>
      </c>
      <c r="X896" s="30">
        <v>1</v>
      </c>
      <c r="Y896" s="7" t="s">
        <v>1177</v>
      </c>
      <c r="Z896" s="7" t="s">
        <v>1178</v>
      </c>
      <c r="AA896" s="30">
        <v>0</v>
      </c>
      <c r="AB896" s="36">
        <v>0</v>
      </c>
      <c r="AC896" s="7" t="s">
        <v>1177</v>
      </c>
      <c r="AD896" s="37">
        <v>0</v>
      </c>
      <c r="AE896" s="7" t="s">
        <v>1177</v>
      </c>
      <c r="AF896" s="7" t="s">
        <v>1177</v>
      </c>
      <c r="AG896" s="7" t="s">
        <v>1177</v>
      </c>
      <c r="AH896" s="38"/>
      <c r="AI896" s="36">
        <v>0</v>
      </c>
      <c r="AJ896" s="7" t="s">
        <v>1193</v>
      </c>
      <c r="AK896" s="7" t="s">
        <v>1177</v>
      </c>
      <c r="AL896" s="7" t="s">
        <v>1177</v>
      </c>
      <c r="AM896" s="7" t="s">
        <v>1177</v>
      </c>
      <c r="AN896" s="7" t="s">
        <v>3212</v>
      </c>
      <c r="AO896" s="7" t="s">
        <v>1177</v>
      </c>
      <c r="AP896" s="7" t="s">
        <v>1177</v>
      </c>
      <c r="AQ896" s="7" t="s">
        <v>1177</v>
      </c>
      <c r="AR896" s="29">
        <v>0</v>
      </c>
      <c r="AS896" s="7" t="s">
        <v>1177</v>
      </c>
      <c r="AT896" s="7" t="s">
        <v>1363</v>
      </c>
      <c r="AU896" s="38">
        <v>46275</v>
      </c>
      <c r="AV896" s="39">
        <v>0.62486111111110998</v>
      </c>
    </row>
    <row r="897" spans="1:48" x14ac:dyDescent="0.35">
      <c r="A897" t="str">
        <f t="shared" si="13"/>
        <v>GP199428B825</v>
      </c>
      <c r="B897" s="7" t="s">
        <v>322</v>
      </c>
      <c r="C897" s="7" t="s">
        <v>511</v>
      </c>
      <c r="D897" s="7" t="s">
        <v>16</v>
      </c>
      <c r="E897" s="7" t="s">
        <v>1177</v>
      </c>
      <c r="F897" s="7" t="s">
        <v>128</v>
      </c>
      <c r="G897" s="7" t="s">
        <v>130</v>
      </c>
      <c r="H897" s="7" t="s">
        <v>129</v>
      </c>
      <c r="I897" s="30">
        <v>1</v>
      </c>
      <c r="J897" s="7" t="s">
        <v>1177</v>
      </c>
      <c r="K897" s="7" t="s">
        <v>1178</v>
      </c>
      <c r="L897" s="7" t="s">
        <v>132</v>
      </c>
      <c r="M897" s="7" t="s">
        <v>133</v>
      </c>
      <c r="N897" s="30">
        <v>0</v>
      </c>
      <c r="O897" s="30">
        <v>0</v>
      </c>
      <c r="P897" s="30">
        <v>0</v>
      </c>
      <c r="Q897" s="30">
        <v>0</v>
      </c>
      <c r="R897" s="29">
        <v>0</v>
      </c>
      <c r="S897" s="36">
        <v>0</v>
      </c>
      <c r="T897" s="7" t="s">
        <v>131</v>
      </c>
      <c r="U897" s="7" t="s">
        <v>512</v>
      </c>
      <c r="V897" s="7" t="s">
        <v>512</v>
      </c>
      <c r="W897" s="7" t="s">
        <v>1177</v>
      </c>
      <c r="X897" s="30">
        <v>1</v>
      </c>
      <c r="Y897" s="7" t="s">
        <v>1177</v>
      </c>
      <c r="Z897" s="7" t="s">
        <v>1178</v>
      </c>
      <c r="AA897" s="30">
        <v>0</v>
      </c>
      <c r="AB897" s="36">
        <v>0</v>
      </c>
      <c r="AC897" s="7" t="s">
        <v>1177</v>
      </c>
      <c r="AD897" s="37">
        <v>0</v>
      </c>
      <c r="AE897" s="7" t="s">
        <v>1177</v>
      </c>
      <c r="AF897" s="7" t="s">
        <v>1177</v>
      </c>
      <c r="AG897" s="7" t="s">
        <v>1177</v>
      </c>
      <c r="AH897" s="38"/>
      <c r="AI897" s="36">
        <v>0</v>
      </c>
      <c r="AJ897" s="7" t="s">
        <v>1193</v>
      </c>
      <c r="AK897" s="7" t="s">
        <v>1177</v>
      </c>
      <c r="AL897" s="7" t="s">
        <v>1177</v>
      </c>
      <c r="AM897" s="7" t="s">
        <v>1177</v>
      </c>
      <c r="AN897" s="7" t="s">
        <v>3212</v>
      </c>
      <c r="AO897" s="7" t="s">
        <v>1177</v>
      </c>
      <c r="AP897" s="7" t="s">
        <v>1177</v>
      </c>
      <c r="AQ897" s="7" t="s">
        <v>1177</v>
      </c>
      <c r="AR897" s="29">
        <v>0</v>
      </c>
      <c r="AS897" s="7" t="s">
        <v>1177</v>
      </c>
      <c r="AT897" s="7" t="s">
        <v>1363</v>
      </c>
      <c r="AU897" s="38">
        <v>46275</v>
      </c>
      <c r="AV897" s="39">
        <v>0.62304398148147999</v>
      </c>
    </row>
    <row r="898" spans="1:48" x14ac:dyDescent="0.35">
      <c r="A898" t="str">
        <f t="shared" si="13"/>
        <v>GP199428B838</v>
      </c>
      <c r="B898" s="7" t="s">
        <v>322</v>
      </c>
      <c r="C898" s="7" t="s">
        <v>744</v>
      </c>
      <c r="D898" s="7" t="s">
        <v>48</v>
      </c>
      <c r="E898" s="7" t="s">
        <v>1177</v>
      </c>
      <c r="F898" s="7" t="s">
        <v>128</v>
      </c>
      <c r="G898" s="7" t="s">
        <v>130</v>
      </c>
      <c r="H898" s="7" t="s">
        <v>129</v>
      </c>
      <c r="I898" s="30">
        <v>2</v>
      </c>
      <c r="J898" s="7" t="s">
        <v>1177</v>
      </c>
      <c r="K898" s="7" t="s">
        <v>1178</v>
      </c>
      <c r="L898" s="7" t="s">
        <v>132</v>
      </c>
      <c r="M898" s="7" t="s">
        <v>133</v>
      </c>
      <c r="N898" s="30">
        <v>0</v>
      </c>
      <c r="O898" s="30">
        <v>0</v>
      </c>
      <c r="P898" s="30">
        <v>0</v>
      </c>
      <c r="Q898" s="30">
        <v>0</v>
      </c>
      <c r="R898" s="29">
        <v>0</v>
      </c>
      <c r="S898" s="36">
        <v>0</v>
      </c>
      <c r="T898" s="7" t="s">
        <v>131</v>
      </c>
      <c r="U898" s="7" t="s">
        <v>745</v>
      </c>
      <c r="V898" s="7" t="s">
        <v>745</v>
      </c>
      <c r="W898" s="7" t="s">
        <v>1177</v>
      </c>
      <c r="X898" s="30">
        <v>1</v>
      </c>
      <c r="Y898" s="7" t="s">
        <v>1177</v>
      </c>
      <c r="Z898" s="7" t="s">
        <v>1178</v>
      </c>
      <c r="AA898" s="30">
        <v>0</v>
      </c>
      <c r="AB898" s="36">
        <v>0</v>
      </c>
      <c r="AC898" s="7" t="s">
        <v>1177</v>
      </c>
      <c r="AD898" s="37">
        <v>0</v>
      </c>
      <c r="AE898" s="7" t="s">
        <v>1177</v>
      </c>
      <c r="AF898" s="7" t="s">
        <v>1177</v>
      </c>
      <c r="AG898" s="7" t="s">
        <v>1177</v>
      </c>
      <c r="AH898" s="38"/>
      <c r="AI898" s="36">
        <v>0</v>
      </c>
      <c r="AJ898" s="7" t="s">
        <v>1193</v>
      </c>
      <c r="AK898" s="7" t="s">
        <v>1177</v>
      </c>
      <c r="AL898" s="7" t="s">
        <v>1177</v>
      </c>
      <c r="AM898" s="7" t="s">
        <v>1177</v>
      </c>
      <c r="AN898" s="7" t="s">
        <v>3212</v>
      </c>
      <c r="AO898" s="7" t="s">
        <v>1177</v>
      </c>
      <c r="AP898" s="7" t="s">
        <v>1177</v>
      </c>
      <c r="AQ898" s="7" t="s">
        <v>1177</v>
      </c>
      <c r="AR898" s="29">
        <v>0</v>
      </c>
      <c r="AS898" s="7" t="s">
        <v>1177</v>
      </c>
      <c r="AT898" s="7" t="s">
        <v>1363</v>
      </c>
      <c r="AU898" s="38">
        <v>46275</v>
      </c>
      <c r="AV898" s="39">
        <v>0.62412037037037005</v>
      </c>
    </row>
    <row r="899" spans="1:48" x14ac:dyDescent="0.35">
      <c r="A899" t="str">
        <f t="shared" ref="A899:A962" si="14">_xlfn.CONCAT(B899,D899)</f>
        <v>GP201330B825</v>
      </c>
      <c r="B899" s="7" t="s">
        <v>275</v>
      </c>
      <c r="C899" s="7" t="s">
        <v>511</v>
      </c>
      <c r="D899" s="7" t="s">
        <v>16</v>
      </c>
      <c r="E899" s="7" t="s">
        <v>1177</v>
      </c>
      <c r="F899" s="7" t="s">
        <v>128</v>
      </c>
      <c r="G899" s="7" t="s">
        <v>130</v>
      </c>
      <c r="H899" s="7" t="s">
        <v>129</v>
      </c>
      <c r="I899" s="30">
        <v>2</v>
      </c>
      <c r="J899" s="7" t="s">
        <v>1177</v>
      </c>
      <c r="K899" s="7" t="s">
        <v>1178</v>
      </c>
      <c r="L899" s="7" t="s">
        <v>132</v>
      </c>
      <c r="M899" s="7" t="s">
        <v>133</v>
      </c>
      <c r="N899" s="30">
        <v>0</v>
      </c>
      <c r="O899" s="30">
        <v>0</v>
      </c>
      <c r="P899" s="30">
        <v>0</v>
      </c>
      <c r="Q899" s="30">
        <v>0</v>
      </c>
      <c r="R899" s="29">
        <v>0</v>
      </c>
      <c r="S899" s="36">
        <v>0</v>
      </c>
      <c r="T899" s="7" t="s">
        <v>131</v>
      </c>
      <c r="U899" s="7" t="s">
        <v>512</v>
      </c>
      <c r="V899" s="7" t="s">
        <v>512</v>
      </c>
      <c r="W899" s="7" t="s">
        <v>1177</v>
      </c>
      <c r="X899" s="30">
        <v>1</v>
      </c>
      <c r="Y899" s="7" t="s">
        <v>1177</v>
      </c>
      <c r="Z899" s="7" t="s">
        <v>1178</v>
      </c>
      <c r="AA899" s="30">
        <v>0</v>
      </c>
      <c r="AB899" s="36">
        <v>0</v>
      </c>
      <c r="AC899" s="7" t="s">
        <v>1177</v>
      </c>
      <c r="AD899" s="37">
        <v>0</v>
      </c>
      <c r="AE899" s="7" t="s">
        <v>1177</v>
      </c>
      <c r="AF899" s="7" t="s">
        <v>1177</v>
      </c>
      <c r="AG899" s="7" t="s">
        <v>1177</v>
      </c>
      <c r="AH899" s="38"/>
      <c r="AI899" s="36">
        <v>0</v>
      </c>
      <c r="AJ899" s="7" t="s">
        <v>1193</v>
      </c>
      <c r="AK899" s="7" t="s">
        <v>1177</v>
      </c>
      <c r="AL899" s="7" t="s">
        <v>1177</v>
      </c>
      <c r="AM899" s="7" t="s">
        <v>1177</v>
      </c>
      <c r="AN899" s="7" t="s">
        <v>3212</v>
      </c>
      <c r="AO899" s="7" t="s">
        <v>1177</v>
      </c>
      <c r="AP899" s="7" t="s">
        <v>1177</v>
      </c>
      <c r="AQ899" s="7" t="s">
        <v>1177</v>
      </c>
      <c r="AR899" s="29">
        <v>0</v>
      </c>
      <c r="AS899" s="7" t="s">
        <v>1177</v>
      </c>
      <c r="AT899" s="7" t="s">
        <v>1363</v>
      </c>
      <c r="AU899" s="38">
        <v>46275</v>
      </c>
      <c r="AV899" s="39">
        <v>0.6034837962963</v>
      </c>
    </row>
    <row r="900" spans="1:48" x14ac:dyDescent="0.35">
      <c r="A900" t="str">
        <f t="shared" si="14"/>
        <v>GP202343B825</v>
      </c>
      <c r="B900" s="7" t="s">
        <v>184</v>
      </c>
      <c r="C900" s="7" t="s">
        <v>511</v>
      </c>
      <c r="D900" s="7" t="s">
        <v>16</v>
      </c>
      <c r="E900" s="7" t="s">
        <v>1177</v>
      </c>
      <c r="F900" s="7" t="s">
        <v>134</v>
      </c>
      <c r="G900" s="7" t="s">
        <v>130</v>
      </c>
      <c r="H900" s="7" t="s">
        <v>129</v>
      </c>
      <c r="I900" s="30">
        <v>40</v>
      </c>
      <c r="J900" s="7" t="s">
        <v>1177</v>
      </c>
      <c r="K900" s="7" t="s">
        <v>1178</v>
      </c>
      <c r="L900" s="7" t="s">
        <v>132</v>
      </c>
      <c r="M900" s="7" t="s">
        <v>137</v>
      </c>
      <c r="N900" s="30">
        <v>0</v>
      </c>
      <c r="O900" s="30">
        <v>0</v>
      </c>
      <c r="P900" s="30">
        <v>0</v>
      </c>
      <c r="Q900" s="30">
        <v>0</v>
      </c>
      <c r="R900" s="29">
        <v>0</v>
      </c>
      <c r="S900" s="36">
        <v>0</v>
      </c>
      <c r="T900" s="7" t="s">
        <v>131</v>
      </c>
      <c r="U900" s="7" t="s">
        <v>512</v>
      </c>
      <c r="V900" s="7" t="s">
        <v>512</v>
      </c>
      <c r="W900" s="7" t="s">
        <v>1177</v>
      </c>
      <c r="X900" s="30">
        <v>40</v>
      </c>
      <c r="Y900" s="7" t="s">
        <v>1177</v>
      </c>
      <c r="Z900" s="7" t="s">
        <v>1178</v>
      </c>
      <c r="AA900" s="30">
        <v>0</v>
      </c>
      <c r="AB900" s="36">
        <v>0</v>
      </c>
      <c r="AC900" s="7" t="s">
        <v>1177</v>
      </c>
      <c r="AD900" s="37">
        <v>0</v>
      </c>
      <c r="AE900" s="7" t="s">
        <v>1177</v>
      </c>
      <c r="AF900" s="7" t="s">
        <v>1177</v>
      </c>
      <c r="AG900" s="7" t="s">
        <v>1177</v>
      </c>
      <c r="AH900" s="38"/>
      <c r="AI900" s="36">
        <v>0</v>
      </c>
      <c r="AJ900" s="7" t="s">
        <v>1193</v>
      </c>
      <c r="AK900" s="7" t="s">
        <v>1177</v>
      </c>
      <c r="AL900" s="7" t="s">
        <v>1177</v>
      </c>
      <c r="AM900" s="7" t="s">
        <v>1177</v>
      </c>
      <c r="AN900" s="7" t="s">
        <v>3212</v>
      </c>
      <c r="AO900" s="7" t="s">
        <v>1177</v>
      </c>
      <c r="AP900" s="7" t="s">
        <v>1177</v>
      </c>
      <c r="AQ900" s="7" t="s">
        <v>1177</v>
      </c>
      <c r="AR900" s="29">
        <v>0</v>
      </c>
      <c r="AS900" s="7" t="s">
        <v>1177</v>
      </c>
      <c r="AT900" s="7" t="s">
        <v>1363</v>
      </c>
      <c r="AU900" s="38">
        <v>46275</v>
      </c>
      <c r="AV900" s="39">
        <v>0.60351851851852001</v>
      </c>
    </row>
    <row r="901" spans="1:48" x14ac:dyDescent="0.35">
      <c r="A901" t="str">
        <f t="shared" si="14"/>
        <v>GP202343B832</v>
      </c>
      <c r="B901" s="7" t="s">
        <v>184</v>
      </c>
      <c r="C901" s="7" t="s">
        <v>653</v>
      </c>
      <c r="D901" s="7" t="s">
        <v>19</v>
      </c>
      <c r="E901" s="7" t="s">
        <v>1177</v>
      </c>
      <c r="F901" s="7" t="s">
        <v>134</v>
      </c>
      <c r="G901" s="7" t="s">
        <v>130</v>
      </c>
      <c r="H901" s="7" t="s">
        <v>129</v>
      </c>
      <c r="I901" s="30">
        <v>20</v>
      </c>
      <c r="J901" s="7" t="s">
        <v>1177</v>
      </c>
      <c r="K901" s="7" t="s">
        <v>1178</v>
      </c>
      <c r="L901" s="7" t="s">
        <v>132</v>
      </c>
      <c r="M901" s="7" t="s">
        <v>137</v>
      </c>
      <c r="N901" s="30">
        <v>0</v>
      </c>
      <c r="O901" s="30">
        <v>0</v>
      </c>
      <c r="P901" s="30">
        <v>0</v>
      </c>
      <c r="Q901" s="30">
        <v>0</v>
      </c>
      <c r="R901" s="29">
        <v>0</v>
      </c>
      <c r="S901" s="36">
        <v>0</v>
      </c>
      <c r="T901" s="7" t="s">
        <v>131</v>
      </c>
      <c r="U901" s="7" t="s">
        <v>654</v>
      </c>
      <c r="V901" s="7" t="s">
        <v>654</v>
      </c>
      <c r="W901" s="7" t="s">
        <v>1177</v>
      </c>
      <c r="X901" s="30">
        <v>20</v>
      </c>
      <c r="Y901" s="7" t="s">
        <v>1177</v>
      </c>
      <c r="Z901" s="7" t="s">
        <v>1178</v>
      </c>
      <c r="AA901" s="30">
        <v>0</v>
      </c>
      <c r="AB901" s="36">
        <v>0</v>
      </c>
      <c r="AC901" s="7" t="s">
        <v>1177</v>
      </c>
      <c r="AD901" s="37">
        <v>0</v>
      </c>
      <c r="AE901" s="7" t="s">
        <v>1177</v>
      </c>
      <c r="AF901" s="7" t="s">
        <v>1177</v>
      </c>
      <c r="AG901" s="7" t="s">
        <v>1177</v>
      </c>
      <c r="AH901" s="38"/>
      <c r="AI901" s="36">
        <v>0</v>
      </c>
      <c r="AJ901" s="7" t="s">
        <v>1193</v>
      </c>
      <c r="AK901" s="7" t="s">
        <v>1177</v>
      </c>
      <c r="AL901" s="7" t="s">
        <v>1177</v>
      </c>
      <c r="AM901" s="7" t="s">
        <v>1177</v>
      </c>
      <c r="AN901" s="7" t="s">
        <v>3212</v>
      </c>
      <c r="AO901" s="7" t="s">
        <v>1177</v>
      </c>
      <c r="AP901" s="7" t="s">
        <v>1177</v>
      </c>
      <c r="AQ901" s="7" t="s">
        <v>1177</v>
      </c>
      <c r="AR901" s="29">
        <v>0</v>
      </c>
      <c r="AS901" s="7" t="s">
        <v>1177</v>
      </c>
      <c r="AT901" s="7" t="s">
        <v>1363</v>
      </c>
      <c r="AU901" s="38">
        <v>46275</v>
      </c>
      <c r="AV901" s="39">
        <v>0.60388888888889003</v>
      </c>
    </row>
    <row r="902" spans="1:48" x14ac:dyDescent="0.35">
      <c r="A902" t="str">
        <f t="shared" si="14"/>
        <v>GP202343B833</v>
      </c>
      <c r="B902" s="7" t="s">
        <v>184</v>
      </c>
      <c r="C902" s="7" t="s">
        <v>698</v>
      </c>
      <c r="D902" s="7" t="s">
        <v>697</v>
      </c>
      <c r="E902" s="7" t="s">
        <v>1177</v>
      </c>
      <c r="F902" s="7" t="s">
        <v>134</v>
      </c>
      <c r="G902" s="7" t="s">
        <v>130</v>
      </c>
      <c r="H902" s="7" t="s">
        <v>129</v>
      </c>
      <c r="I902" s="30">
        <v>20</v>
      </c>
      <c r="J902" s="7" t="s">
        <v>1177</v>
      </c>
      <c r="K902" s="7" t="s">
        <v>1178</v>
      </c>
      <c r="L902" s="7" t="s">
        <v>132</v>
      </c>
      <c r="M902" s="7" t="s">
        <v>137</v>
      </c>
      <c r="N902" s="30">
        <v>0</v>
      </c>
      <c r="O902" s="30">
        <v>0</v>
      </c>
      <c r="P902" s="30">
        <v>0</v>
      </c>
      <c r="Q902" s="30">
        <v>0</v>
      </c>
      <c r="R902" s="29">
        <v>0</v>
      </c>
      <c r="S902" s="36">
        <v>0</v>
      </c>
      <c r="T902" s="7" t="s">
        <v>131</v>
      </c>
      <c r="U902" s="7" t="s">
        <v>699</v>
      </c>
      <c r="V902" s="7" t="s">
        <v>699</v>
      </c>
      <c r="W902" s="7" t="s">
        <v>1177</v>
      </c>
      <c r="X902" s="30">
        <v>20</v>
      </c>
      <c r="Y902" s="7" t="s">
        <v>1177</v>
      </c>
      <c r="Z902" s="7" t="s">
        <v>1178</v>
      </c>
      <c r="AA902" s="30">
        <v>0</v>
      </c>
      <c r="AB902" s="36">
        <v>0</v>
      </c>
      <c r="AC902" s="7" t="s">
        <v>1177</v>
      </c>
      <c r="AD902" s="37">
        <v>0</v>
      </c>
      <c r="AE902" s="7" t="s">
        <v>1177</v>
      </c>
      <c r="AF902" s="7" t="s">
        <v>1177</v>
      </c>
      <c r="AG902" s="7" t="s">
        <v>1177</v>
      </c>
      <c r="AH902" s="38"/>
      <c r="AI902" s="36">
        <v>0</v>
      </c>
      <c r="AJ902" s="7" t="s">
        <v>1193</v>
      </c>
      <c r="AK902" s="7" t="s">
        <v>1177</v>
      </c>
      <c r="AL902" s="7" t="s">
        <v>1177</v>
      </c>
      <c r="AM902" s="7" t="s">
        <v>1177</v>
      </c>
      <c r="AN902" s="7" t="s">
        <v>3212</v>
      </c>
      <c r="AO902" s="7" t="s">
        <v>1177</v>
      </c>
      <c r="AP902" s="7" t="s">
        <v>1177</v>
      </c>
      <c r="AQ902" s="7" t="s">
        <v>1177</v>
      </c>
      <c r="AR902" s="29">
        <v>0</v>
      </c>
      <c r="AS902" s="7" t="s">
        <v>1177</v>
      </c>
      <c r="AT902" s="7" t="s">
        <v>1363</v>
      </c>
      <c r="AU902" s="38">
        <v>46275</v>
      </c>
      <c r="AV902" s="39">
        <v>0.60395833333333004</v>
      </c>
    </row>
    <row r="903" spans="1:48" x14ac:dyDescent="0.35">
      <c r="A903" t="str">
        <f t="shared" si="14"/>
        <v>GP202343B838</v>
      </c>
      <c r="B903" s="7" t="s">
        <v>184</v>
      </c>
      <c r="C903" s="7" t="s">
        <v>744</v>
      </c>
      <c r="D903" s="7" t="s">
        <v>48</v>
      </c>
      <c r="E903" s="7" t="s">
        <v>1177</v>
      </c>
      <c r="F903" s="7" t="s">
        <v>134</v>
      </c>
      <c r="G903" s="7" t="s">
        <v>130</v>
      </c>
      <c r="H903" s="7" t="s">
        <v>129</v>
      </c>
      <c r="I903" s="30">
        <v>20</v>
      </c>
      <c r="J903" s="7" t="s">
        <v>1177</v>
      </c>
      <c r="K903" s="7" t="s">
        <v>1178</v>
      </c>
      <c r="L903" s="7" t="s">
        <v>132</v>
      </c>
      <c r="M903" s="7" t="s">
        <v>137</v>
      </c>
      <c r="N903" s="30">
        <v>0</v>
      </c>
      <c r="O903" s="30">
        <v>0</v>
      </c>
      <c r="P903" s="30">
        <v>0</v>
      </c>
      <c r="Q903" s="30">
        <v>0</v>
      </c>
      <c r="R903" s="29">
        <v>0</v>
      </c>
      <c r="S903" s="36">
        <v>0</v>
      </c>
      <c r="T903" s="7" t="s">
        <v>131</v>
      </c>
      <c r="U903" s="7" t="s">
        <v>745</v>
      </c>
      <c r="V903" s="7" t="s">
        <v>745</v>
      </c>
      <c r="W903" s="7" t="s">
        <v>1177</v>
      </c>
      <c r="X903" s="30">
        <v>20</v>
      </c>
      <c r="Y903" s="7" t="s">
        <v>1177</v>
      </c>
      <c r="Z903" s="7" t="s">
        <v>1178</v>
      </c>
      <c r="AA903" s="30">
        <v>0</v>
      </c>
      <c r="AB903" s="36">
        <v>0</v>
      </c>
      <c r="AC903" s="7" t="s">
        <v>1177</v>
      </c>
      <c r="AD903" s="37">
        <v>0</v>
      </c>
      <c r="AE903" s="7" t="s">
        <v>1177</v>
      </c>
      <c r="AF903" s="7" t="s">
        <v>1177</v>
      </c>
      <c r="AG903" s="7" t="s">
        <v>1177</v>
      </c>
      <c r="AH903" s="38"/>
      <c r="AI903" s="36">
        <v>0</v>
      </c>
      <c r="AJ903" s="7" t="s">
        <v>1193</v>
      </c>
      <c r="AK903" s="7" t="s">
        <v>1177</v>
      </c>
      <c r="AL903" s="7" t="s">
        <v>1177</v>
      </c>
      <c r="AM903" s="7" t="s">
        <v>1177</v>
      </c>
      <c r="AN903" s="7" t="s">
        <v>3212</v>
      </c>
      <c r="AO903" s="7" t="s">
        <v>1177</v>
      </c>
      <c r="AP903" s="7" t="s">
        <v>1177</v>
      </c>
      <c r="AQ903" s="7" t="s">
        <v>1177</v>
      </c>
      <c r="AR903" s="29">
        <v>0</v>
      </c>
      <c r="AS903" s="7" t="s">
        <v>1177</v>
      </c>
      <c r="AT903" s="7" t="s">
        <v>1363</v>
      </c>
      <c r="AU903" s="38">
        <v>46275</v>
      </c>
      <c r="AV903" s="39">
        <v>0.60447916666667001</v>
      </c>
    </row>
    <row r="904" spans="1:48" x14ac:dyDescent="0.35">
      <c r="A904" t="str">
        <f t="shared" si="14"/>
        <v>GP202343B856</v>
      </c>
      <c r="B904" s="7" t="s">
        <v>184</v>
      </c>
      <c r="C904" s="7" t="s">
        <v>852</v>
      </c>
      <c r="D904" s="7" t="s">
        <v>21</v>
      </c>
      <c r="E904" s="7" t="s">
        <v>1177</v>
      </c>
      <c r="F904" s="7" t="s">
        <v>134</v>
      </c>
      <c r="G904" s="7" t="s">
        <v>130</v>
      </c>
      <c r="H904" s="7" t="s">
        <v>129</v>
      </c>
      <c r="I904" s="30">
        <v>20</v>
      </c>
      <c r="J904" s="7" t="s">
        <v>1177</v>
      </c>
      <c r="K904" s="7" t="s">
        <v>1178</v>
      </c>
      <c r="L904" s="7" t="s">
        <v>132</v>
      </c>
      <c r="M904" s="7" t="s">
        <v>137</v>
      </c>
      <c r="N904" s="30">
        <v>0</v>
      </c>
      <c r="O904" s="30">
        <v>0</v>
      </c>
      <c r="P904" s="30">
        <v>0</v>
      </c>
      <c r="Q904" s="30">
        <v>0</v>
      </c>
      <c r="R904" s="29">
        <v>0</v>
      </c>
      <c r="S904" s="36">
        <v>0</v>
      </c>
      <c r="T904" s="7" t="s">
        <v>131</v>
      </c>
      <c r="U904" s="7" t="s">
        <v>853</v>
      </c>
      <c r="V904" s="7" t="s">
        <v>853</v>
      </c>
      <c r="W904" s="7" t="s">
        <v>1177</v>
      </c>
      <c r="X904" s="30">
        <v>20</v>
      </c>
      <c r="Y904" s="7" t="s">
        <v>1177</v>
      </c>
      <c r="Z904" s="7" t="s">
        <v>1178</v>
      </c>
      <c r="AA904" s="30">
        <v>0</v>
      </c>
      <c r="AB904" s="36">
        <v>0</v>
      </c>
      <c r="AC904" s="7" t="s">
        <v>1177</v>
      </c>
      <c r="AD904" s="37">
        <v>0</v>
      </c>
      <c r="AE904" s="7" t="s">
        <v>1177</v>
      </c>
      <c r="AF904" s="7" t="s">
        <v>1177</v>
      </c>
      <c r="AG904" s="7" t="s">
        <v>1177</v>
      </c>
      <c r="AH904" s="38"/>
      <c r="AI904" s="36">
        <v>0</v>
      </c>
      <c r="AJ904" s="7" t="s">
        <v>1193</v>
      </c>
      <c r="AK904" s="7" t="s">
        <v>1177</v>
      </c>
      <c r="AL904" s="7" t="s">
        <v>1177</v>
      </c>
      <c r="AM904" s="7" t="s">
        <v>1177</v>
      </c>
      <c r="AN904" s="7" t="s">
        <v>3212</v>
      </c>
      <c r="AO904" s="7" t="s">
        <v>1177</v>
      </c>
      <c r="AP904" s="7" t="s">
        <v>1177</v>
      </c>
      <c r="AQ904" s="7" t="s">
        <v>1177</v>
      </c>
      <c r="AR904" s="29">
        <v>0</v>
      </c>
      <c r="AS904" s="7" t="s">
        <v>1177</v>
      </c>
      <c r="AT904" s="7" t="s">
        <v>1363</v>
      </c>
      <c r="AU904" s="38">
        <v>46275</v>
      </c>
      <c r="AV904" s="39">
        <v>0.60524305555556002</v>
      </c>
    </row>
    <row r="905" spans="1:48" x14ac:dyDescent="0.35">
      <c r="A905" t="str">
        <f t="shared" si="14"/>
        <v>GP202343B857</v>
      </c>
      <c r="B905" s="7" t="s">
        <v>184</v>
      </c>
      <c r="C905" s="7" t="s">
        <v>958</v>
      </c>
      <c r="D905" s="7" t="s">
        <v>23</v>
      </c>
      <c r="E905" s="7" t="s">
        <v>1177</v>
      </c>
      <c r="F905" s="7" t="s">
        <v>134</v>
      </c>
      <c r="G905" s="7" t="s">
        <v>130</v>
      </c>
      <c r="H905" s="7" t="s">
        <v>129</v>
      </c>
      <c r="I905" s="30">
        <v>1</v>
      </c>
      <c r="J905" s="7" t="s">
        <v>1177</v>
      </c>
      <c r="K905" s="7" t="s">
        <v>1178</v>
      </c>
      <c r="L905" s="7" t="s">
        <v>132</v>
      </c>
      <c r="M905" s="7" t="s">
        <v>137</v>
      </c>
      <c r="N905" s="30">
        <v>0</v>
      </c>
      <c r="O905" s="30">
        <v>0</v>
      </c>
      <c r="P905" s="30">
        <v>0</v>
      </c>
      <c r="Q905" s="30">
        <v>0</v>
      </c>
      <c r="R905" s="29">
        <v>0</v>
      </c>
      <c r="S905" s="36">
        <v>0</v>
      </c>
      <c r="T905" s="7" t="s">
        <v>131</v>
      </c>
      <c r="U905" s="7" t="s">
        <v>959</v>
      </c>
      <c r="V905" s="7" t="s">
        <v>959</v>
      </c>
      <c r="W905" s="7" t="s">
        <v>1177</v>
      </c>
      <c r="X905" s="30">
        <v>1</v>
      </c>
      <c r="Y905" s="7" t="s">
        <v>1177</v>
      </c>
      <c r="Z905" s="7" t="s">
        <v>1178</v>
      </c>
      <c r="AA905" s="30">
        <v>0</v>
      </c>
      <c r="AB905" s="36">
        <v>0</v>
      </c>
      <c r="AC905" s="7" t="s">
        <v>1177</v>
      </c>
      <c r="AD905" s="37">
        <v>0</v>
      </c>
      <c r="AE905" s="7" t="s">
        <v>1177</v>
      </c>
      <c r="AF905" s="7" t="s">
        <v>1177</v>
      </c>
      <c r="AG905" s="7" t="s">
        <v>1177</v>
      </c>
      <c r="AH905" s="38"/>
      <c r="AI905" s="36">
        <v>0</v>
      </c>
      <c r="AJ905" s="7" t="s">
        <v>1193</v>
      </c>
      <c r="AK905" s="7" t="s">
        <v>1177</v>
      </c>
      <c r="AL905" s="7" t="s">
        <v>1177</v>
      </c>
      <c r="AM905" s="7" t="s">
        <v>1177</v>
      </c>
      <c r="AN905" s="7" t="s">
        <v>3212</v>
      </c>
      <c r="AO905" s="7" t="s">
        <v>1177</v>
      </c>
      <c r="AP905" s="7" t="s">
        <v>1177</v>
      </c>
      <c r="AQ905" s="7" t="s">
        <v>1177</v>
      </c>
      <c r="AR905" s="29">
        <v>0</v>
      </c>
      <c r="AS905" s="7" t="s">
        <v>1177</v>
      </c>
      <c r="AT905" s="7" t="s">
        <v>1363</v>
      </c>
      <c r="AU905" s="38">
        <v>46275</v>
      </c>
      <c r="AV905" s="39">
        <v>0.60528935185184995</v>
      </c>
    </row>
    <row r="906" spans="1:48" x14ac:dyDescent="0.35">
      <c r="A906" t="str">
        <f t="shared" si="14"/>
        <v>GP202343B864</v>
      </c>
      <c r="B906" s="7" t="s">
        <v>184</v>
      </c>
      <c r="C906" s="7" t="s">
        <v>1010</v>
      </c>
      <c r="D906" s="7" t="s">
        <v>10</v>
      </c>
      <c r="E906" s="7" t="s">
        <v>1177</v>
      </c>
      <c r="F906" s="7" t="s">
        <v>134</v>
      </c>
      <c r="G906" s="7" t="s">
        <v>130</v>
      </c>
      <c r="H906" s="7" t="s">
        <v>129</v>
      </c>
      <c r="I906" s="30">
        <v>20</v>
      </c>
      <c r="J906" s="7" t="s">
        <v>1177</v>
      </c>
      <c r="K906" s="7" t="s">
        <v>1178</v>
      </c>
      <c r="L906" s="7" t="s">
        <v>132</v>
      </c>
      <c r="M906" s="7" t="s">
        <v>137</v>
      </c>
      <c r="N906" s="30">
        <v>0</v>
      </c>
      <c r="O906" s="30">
        <v>0</v>
      </c>
      <c r="P906" s="30">
        <v>0</v>
      </c>
      <c r="Q906" s="30">
        <v>0</v>
      </c>
      <c r="R906" s="29">
        <v>0</v>
      </c>
      <c r="S906" s="36">
        <v>0</v>
      </c>
      <c r="T906" s="7" t="s">
        <v>131</v>
      </c>
      <c r="U906" s="7" t="s">
        <v>1011</v>
      </c>
      <c r="V906" s="7" t="s">
        <v>1011</v>
      </c>
      <c r="W906" s="7" t="s">
        <v>1177</v>
      </c>
      <c r="X906" s="30">
        <v>20</v>
      </c>
      <c r="Y906" s="7" t="s">
        <v>1177</v>
      </c>
      <c r="Z906" s="7" t="s">
        <v>1178</v>
      </c>
      <c r="AA906" s="30">
        <v>0</v>
      </c>
      <c r="AB906" s="36">
        <v>0</v>
      </c>
      <c r="AC906" s="7" t="s">
        <v>1177</v>
      </c>
      <c r="AD906" s="37">
        <v>0</v>
      </c>
      <c r="AE906" s="7" t="s">
        <v>1177</v>
      </c>
      <c r="AF906" s="7" t="s">
        <v>1177</v>
      </c>
      <c r="AG906" s="7" t="s">
        <v>1177</v>
      </c>
      <c r="AH906" s="38"/>
      <c r="AI906" s="36">
        <v>0</v>
      </c>
      <c r="AJ906" s="7" t="s">
        <v>1193</v>
      </c>
      <c r="AK906" s="7" t="s">
        <v>1177</v>
      </c>
      <c r="AL906" s="7" t="s">
        <v>1177</v>
      </c>
      <c r="AM906" s="7" t="s">
        <v>1177</v>
      </c>
      <c r="AN906" s="7" t="s">
        <v>3212</v>
      </c>
      <c r="AO906" s="7" t="s">
        <v>1177</v>
      </c>
      <c r="AP906" s="7" t="s">
        <v>1177</v>
      </c>
      <c r="AQ906" s="7" t="s">
        <v>1177</v>
      </c>
      <c r="AR906" s="29">
        <v>0</v>
      </c>
      <c r="AS906" s="7" t="s">
        <v>1177</v>
      </c>
      <c r="AT906" s="7" t="s">
        <v>1363</v>
      </c>
      <c r="AU906" s="38">
        <v>46275</v>
      </c>
      <c r="AV906" s="39">
        <v>0.60543981481481002</v>
      </c>
    </row>
    <row r="907" spans="1:48" x14ac:dyDescent="0.35">
      <c r="A907" t="str">
        <f t="shared" si="14"/>
        <v>GP202343B865</v>
      </c>
      <c r="B907" s="7" t="s">
        <v>184</v>
      </c>
      <c r="C907" s="7" t="s">
        <v>1039</v>
      </c>
      <c r="D907" s="7" t="s">
        <v>7</v>
      </c>
      <c r="E907" s="7" t="s">
        <v>1177</v>
      </c>
      <c r="F907" s="7" t="s">
        <v>134</v>
      </c>
      <c r="G907" s="7" t="s">
        <v>130</v>
      </c>
      <c r="H907" s="7" t="s">
        <v>129</v>
      </c>
      <c r="I907" s="30">
        <v>20</v>
      </c>
      <c r="J907" s="7" t="s">
        <v>1177</v>
      </c>
      <c r="K907" s="7" t="s">
        <v>1178</v>
      </c>
      <c r="L907" s="7" t="s">
        <v>132</v>
      </c>
      <c r="M907" s="7" t="s">
        <v>137</v>
      </c>
      <c r="N907" s="30">
        <v>0</v>
      </c>
      <c r="O907" s="30">
        <v>0</v>
      </c>
      <c r="P907" s="30">
        <v>0</v>
      </c>
      <c r="Q907" s="30">
        <v>0</v>
      </c>
      <c r="R907" s="29">
        <v>0</v>
      </c>
      <c r="S907" s="36">
        <v>0</v>
      </c>
      <c r="T907" s="7" t="s">
        <v>131</v>
      </c>
      <c r="U907" s="7" t="s">
        <v>1040</v>
      </c>
      <c r="V907" s="7" t="s">
        <v>1040</v>
      </c>
      <c r="W907" s="7" t="s">
        <v>1177</v>
      </c>
      <c r="X907" s="30">
        <v>20</v>
      </c>
      <c r="Y907" s="7" t="s">
        <v>1177</v>
      </c>
      <c r="Z907" s="7" t="s">
        <v>1178</v>
      </c>
      <c r="AA907" s="30">
        <v>0</v>
      </c>
      <c r="AB907" s="36">
        <v>0</v>
      </c>
      <c r="AC907" s="7" t="s">
        <v>1177</v>
      </c>
      <c r="AD907" s="37">
        <v>0</v>
      </c>
      <c r="AE907" s="7" t="s">
        <v>1177</v>
      </c>
      <c r="AF907" s="7" t="s">
        <v>1177</v>
      </c>
      <c r="AG907" s="7" t="s">
        <v>1177</v>
      </c>
      <c r="AH907" s="38"/>
      <c r="AI907" s="36">
        <v>0</v>
      </c>
      <c r="AJ907" s="7" t="s">
        <v>1193</v>
      </c>
      <c r="AK907" s="7" t="s">
        <v>1177</v>
      </c>
      <c r="AL907" s="7" t="s">
        <v>1177</v>
      </c>
      <c r="AM907" s="7" t="s">
        <v>1177</v>
      </c>
      <c r="AN907" s="7" t="s">
        <v>3212</v>
      </c>
      <c r="AO907" s="7" t="s">
        <v>1177</v>
      </c>
      <c r="AP907" s="7" t="s">
        <v>1177</v>
      </c>
      <c r="AQ907" s="7" t="s">
        <v>1177</v>
      </c>
      <c r="AR907" s="29">
        <v>0</v>
      </c>
      <c r="AS907" s="7" t="s">
        <v>1177</v>
      </c>
      <c r="AT907" s="7" t="s">
        <v>1363</v>
      </c>
      <c r="AU907" s="38">
        <v>46275</v>
      </c>
      <c r="AV907" s="39">
        <v>0.60555555555555995</v>
      </c>
    </row>
    <row r="908" spans="1:48" x14ac:dyDescent="0.35">
      <c r="A908" t="str">
        <f t="shared" si="14"/>
        <v>GP202343B867</v>
      </c>
      <c r="B908" s="7" t="s">
        <v>184</v>
      </c>
      <c r="C908" s="7" t="s">
        <v>1059</v>
      </c>
      <c r="D908" s="7" t="s">
        <v>25</v>
      </c>
      <c r="E908" s="7" t="s">
        <v>1177</v>
      </c>
      <c r="F908" s="7" t="s">
        <v>134</v>
      </c>
      <c r="G908" s="7" t="s">
        <v>130</v>
      </c>
      <c r="H908" s="7" t="s">
        <v>129</v>
      </c>
      <c r="I908" s="30">
        <v>20</v>
      </c>
      <c r="J908" s="7" t="s">
        <v>1177</v>
      </c>
      <c r="K908" s="7" t="s">
        <v>1178</v>
      </c>
      <c r="L908" s="7" t="s">
        <v>132</v>
      </c>
      <c r="M908" s="7" t="s">
        <v>137</v>
      </c>
      <c r="N908" s="30">
        <v>0</v>
      </c>
      <c r="O908" s="30">
        <v>0</v>
      </c>
      <c r="P908" s="30">
        <v>0</v>
      </c>
      <c r="Q908" s="30">
        <v>0</v>
      </c>
      <c r="R908" s="29">
        <v>0</v>
      </c>
      <c r="S908" s="36">
        <v>0</v>
      </c>
      <c r="T908" s="7" t="s">
        <v>131</v>
      </c>
      <c r="U908" s="7" t="s">
        <v>1060</v>
      </c>
      <c r="V908" s="7" t="s">
        <v>1060</v>
      </c>
      <c r="W908" s="7" t="s">
        <v>1177</v>
      </c>
      <c r="X908" s="30">
        <v>20</v>
      </c>
      <c r="Y908" s="7" t="s">
        <v>1177</v>
      </c>
      <c r="Z908" s="7" t="s">
        <v>1178</v>
      </c>
      <c r="AA908" s="30">
        <v>0</v>
      </c>
      <c r="AB908" s="36">
        <v>0</v>
      </c>
      <c r="AC908" s="7" t="s">
        <v>1177</v>
      </c>
      <c r="AD908" s="37">
        <v>0</v>
      </c>
      <c r="AE908" s="7" t="s">
        <v>1177</v>
      </c>
      <c r="AF908" s="7" t="s">
        <v>1177</v>
      </c>
      <c r="AG908" s="7" t="s">
        <v>1177</v>
      </c>
      <c r="AH908" s="38"/>
      <c r="AI908" s="36">
        <v>0</v>
      </c>
      <c r="AJ908" s="7" t="s">
        <v>1193</v>
      </c>
      <c r="AK908" s="7" t="s">
        <v>1177</v>
      </c>
      <c r="AL908" s="7" t="s">
        <v>1177</v>
      </c>
      <c r="AM908" s="7" t="s">
        <v>1177</v>
      </c>
      <c r="AN908" s="7" t="s">
        <v>3212</v>
      </c>
      <c r="AO908" s="7" t="s">
        <v>1177</v>
      </c>
      <c r="AP908" s="7" t="s">
        <v>1177</v>
      </c>
      <c r="AQ908" s="7" t="s">
        <v>1177</v>
      </c>
      <c r="AR908" s="29">
        <v>0</v>
      </c>
      <c r="AS908" s="7" t="s">
        <v>1177</v>
      </c>
      <c r="AT908" s="7" t="s">
        <v>1363</v>
      </c>
      <c r="AU908" s="38">
        <v>46275</v>
      </c>
      <c r="AV908" s="39">
        <v>0.60565972222221998</v>
      </c>
    </row>
    <row r="909" spans="1:48" x14ac:dyDescent="0.35">
      <c r="A909" t="str">
        <f t="shared" si="14"/>
        <v>GP206196B825</v>
      </c>
      <c r="B909" s="7" t="s">
        <v>323</v>
      </c>
      <c r="C909" s="7" t="s">
        <v>511</v>
      </c>
      <c r="D909" s="7" t="s">
        <v>16</v>
      </c>
      <c r="E909" s="7" t="s">
        <v>1177</v>
      </c>
      <c r="F909" s="7" t="s">
        <v>128</v>
      </c>
      <c r="G909" s="7" t="s">
        <v>130</v>
      </c>
      <c r="H909" s="7" t="s">
        <v>129</v>
      </c>
      <c r="I909" s="30">
        <v>1</v>
      </c>
      <c r="J909" s="7" t="s">
        <v>1177</v>
      </c>
      <c r="K909" s="7" t="s">
        <v>1178</v>
      </c>
      <c r="L909" s="7" t="s">
        <v>132</v>
      </c>
      <c r="M909" s="7" t="s">
        <v>133</v>
      </c>
      <c r="N909" s="30">
        <v>0</v>
      </c>
      <c r="O909" s="30">
        <v>0</v>
      </c>
      <c r="P909" s="30">
        <v>0</v>
      </c>
      <c r="Q909" s="30">
        <v>0</v>
      </c>
      <c r="R909" s="29">
        <v>0</v>
      </c>
      <c r="S909" s="36">
        <v>0</v>
      </c>
      <c r="T909" s="7" t="s">
        <v>131</v>
      </c>
      <c r="U909" s="7" t="s">
        <v>512</v>
      </c>
      <c r="V909" s="7" t="s">
        <v>512</v>
      </c>
      <c r="W909" s="7" t="s">
        <v>1177</v>
      </c>
      <c r="X909" s="30">
        <v>1</v>
      </c>
      <c r="Y909" s="7" t="s">
        <v>1177</v>
      </c>
      <c r="Z909" s="7" t="s">
        <v>1178</v>
      </c>
      <c r="AA909" s="30">
        <v>0</v>
      </c>
      <c r="AB909" s="36">
        <v>0</v>
      </c>
      <c r="AC909" s="7" t="s">
        <v>1177</v>
      </c>
      <c r="AD909" s="37">
        <v>0</v>
      </c>
      <c r="AE909" s="7" t="s">
        <v>1177</v>
      </c>
      <c r="AF909" s="7" t="s">
        <v>1177</v>
      </c>
      <c r="AG909" s="7" t="s">
        <v>1177</v>
      </c>
      <c r="AH909" s="38"/>
      <c r="AI909" s="36">
        <v>0</v>
      </c>
      <c r="AJ909" s="7" t="s">
        <v>1193</v>
      </c>
      <c r="AK909" s="7" t="s">
        <v>1177</v>
      </c>
      <c r="AL909" s="7" t="s">
        <v>1177</v>
      </c>
      <c r="AM909" s="7" t="s">
        <v>1177</v>
      </c>
      <c r="AN909" s="7" t="s">
        <v>3212</v>
      </c>
      <c r="AO909" s="7" t="s">
        <v>1177</v>
      </c>
      <c r="AP909" s="7" t="s">
        <v>1177</v>
      </c>
      <c r="AQ909" s="7" t="s">
        <v>1177</v>
      </c>
      <c r="AR909" s="29">
        <v>0</v>
      </c>
      <c r="AS909" s="7" t="s">
        <v>1177</v>
      </c>
      <c r="AT909" s="7" t="s">
        <v>1363</v>
      </c>
      <c r="AU909" s="38">
        <v>46275</v>
      </c>
      <c r="AV909" s="39">
        <v>0.6034837962963</v>
      </c>
    </row>
    <row r="910" spans="1:48" x14ac:dyDescent="0.35">
      <c r="A910" t="str">
        <f t="shared" si="14"/>
        <v>GP206196B832</v>
      </c>
      <c r="B910" s="7" t="s">
        <v>323</v>
      </c>
      <c r="C910" s="7" t="s">
        <v>653</v>
      </c>
      <c r="D910" s="7" t="s">
        <v>19</v>
      </c>
      <c r="E910" s="7" t="s">
        <v>1177</v>
      </c>
      <c r="F910" s="7" t="s">
        <v>128</v>
      </c>
      <c r="G910" s="7" t="s">
        <v>130</v>
      </c>
      <c r="H910" s="7" t="s">
        <v>129</v>
      </c>
      <c r="I910" s="30">
        <v>2</v>
      </c>
      <c r="J910" s="7" t="s">
        <v>1177</v>
      </c>
      <c r="K910" s="7" t="s">
        <v>1178</v>
      </c>
      <c r="L910" s="7" t="s">
        <v>132</v>
      </c>
      <c r="M910" s="7" t="s">
        <v>133</v>
      </c>
      <c r="N910" s="30">
        <v>0</v>
      </c>
      <c r="O910" s="30">
        <v>0</v>
      </c>
      <c r="P910" s="30">
        <v>0</v>
      </c>
      <c r="Q910" s="30">
        <v>0</v>
      </c>
      <c r="R910" s="29">
        <v>0</v>
      </c>
      <c r="S910" s="36">
        <v>0</v>
      </c>
      <c r="T910" s="7" t="s">
        <v>131</v>
      </c>
      <c r="U910" s="7" t="s">
        <v>654</v>
      </c>
      <c r="V910" s="7" t="s">
        <v>654</v>
      </c>
      <c r="W910" s="7" t="s">
        <v>1177</v>
      </c>
      <c r="X910" s="30">
        <v>1</v>
      </c>
      <c r="Y910" s="7" t="s">
        <v>1177</v>
      </c>
      <c r="Z910" s="7" t="s">
        <v>1178</v>
      </c>
      <c r="AA910" s="30">
        <v>0</v>
      </c>
      <c r="AB910" s="36">
        <v>0</v>
      </c>
      <c r="AC910" s="7" t="s">
        <v>1177</v>
      </c>
      <c r="AD910" s="37">
        <v>0</v>
      </c>
      <c r="AE910" s="7" t="s">
        <v>1177</v>
      </c>
      <c r="AF910" s="7" t="s">
        <v>1177</v>
      </c>
      <c r="AG910" s="7" t="s">
        <v>1177</v>
      </c>
      <c r="AH910" s="38"/>
      <c r="AI910" s="36">
        <v>0</v>
      </c>
      <c r="AJ910" s="7" t="s">
        <v>1193</v>
      </c>
      <c r="AK910" s="7" t="s">
        <v>1177</v>
      </c>
      <c r="AL910" s="7" t="s">
        <v>1177</v>
      </c>
      <c r="AM910" s="7" t="s">
        <v>1177</v>
      </c>
      <c r="AN910" s="7" t="s">
        <v>3212</v>
      </c>
      <c r="AO910" s="7" t="s">
        <v>1177</v>
      </c>
      <c r="AP910" s="7" t="s">
        <v>1177</v>
      </c>
      <c r="AQ910" s="7" t="s">
        <v>1177</v>
      </c>
      <c r="AR910" s="29">
        <v>0</v>
      </c>
      <c r="AS910" s="7" t="s">
        <v>1177</v>
      </c>
      <c r="AT910" s="7" t="s">
        <v>1363</v>
      </c>
      <c r="AU910" s="38">
        <v>46275</v>
      </c>
      <c r="AV910" s="39">
        <v>0.60395833333333004</v>
      </c>
    </row>
    <row r="911" spans="1:48" x14ac:dyDescent="0.35">
      <c r="A911" t="str">
        <f t="shared" si="14"/>
        <v>GP206196B833</v>
      </c>
      <c r="B911" s="7" t="s">
        <v>323</v>
      </c>
      <c r="C911" s="7" t="s">
        <v>698</v>
      </c>
      <c r="D911" s="7" t="s">
        <v>697</v>
      </c>
      <c r="E911" s="7" t="s">
        <v>1177</v>
      </c>
      <c r="F911" s="7" t="s">
        <v>128</v>
      </c>
      <c r="G911" s="7" t="s">
        <v>130</v>
      </c>
      <c r="H911" s="7" t="s">
        <v>129</v>
      </c>
      <c r="I911" s="30">
        <v>1</v>
      </c>
      <c r="J911" s="7" t="s">
        <v>1177</v>
      </c>
      <c r="K911" s="7" t="s">
        <v>1178</v>
      </c>
      <c r="L911" s="7" t="s">
        <v>132</v>
      </c>
      <c r="M911" s="7" t="s">
        <v>133</v>
      </c>
      <c r="N911" s="30">
        <v>0</v>
      </c>
      <c r="O911" s="30">
        <v>0</v>
      </c>
      <c r="P911" s="30">
        <v>0</v>
      </c>
      <c r="Q911" s="30">
        <v>0</v>
      </c>
      <c r="R911" s="29">
        <v>0</v>
      </c>
      <c r="S911" s="36">
        <v>0</v>
      </c>
      <c r="T911" s="7" t="s">
        <v>131</v>
      </c>
      <c r="U911" s="7" t="s">
        <v>699</v>
      </c>
      <c r="V911" s="7" t="s">
        <v>699</v>
      </c>
      <c r="W911" s="7" t="s">
        <v>1177</v>
      </c>
      <c r="X911" s="30">
        <v>1</v>
      </c>
      <c r="Y911" s="7" t="s">
        <v>1177</v>
      </c>
      <c r="Z911" s="7" t="s">
        <v>1178</v>
      </c>
      <c r="AA911" s="30">
        <v>0</v>
      </c>
      <c r="AB911" s="36">
        <v>0</v>
      </c>
      <c r="AC911" s="7" t="s">
        <v>1177</v>
      </c>
      <c r="AD911" s="37">
        <v>0</v>
      </c>
      <c r="AE911" s="7" t="s">
        <v>1177</v>
      </c>
      <c r="AF911" s="7" t="s">
        <v>1177</v>
      </c>
      <c r="AG911" s="7" t="s">
        <v>1177</v>
      </c>
      <c r="AH911" s="38"/>
      <c r="AI911" s="36">
        <v>0</v>
      </c>
      <c r="AJ911" s="7" t="s">
        <v>1193</v>
      </c>
      <c r="AK911" s="7" t="s">
        <v>1177</v>
      </c>
      <c r="AL911" s="7" t="s">
        <v>1177</v>
      </c>
      <c r="AM911" s="7" t="s">
        <v>1177</v>
      </c>
      <c r="AN911" s="7" t="s">
        <v>3212</v>
      </c>
      <c r="AO911" s="7" t="s">
        <v>1177</v>
      </c>
      <c r="AP911" s="7" t="s">
        <v>1177</v>
      </c>
      <c r="AQ911" s="7" t="s">
        <v>1177</v>
      </c>
      <c r="AR911" s="29">
        <v>0</v>
      </c>
      <c r="AS911" s="7" t="s">
        <v>1177</v>
      </c>
      <c r="AT911" s="7" t="s">
        <v>1363</v>
      </c>
      <c r="AU911" s="38">
        <v>46275</v>
      </c>
      <c r="AV911" s="39">
        <v>0.60395833333333004</v>
      </c>
    </row>
    <row r="912" spans="1:48" x14ac:dyDescent="0.35">
      <c r="A912" t="str">
        <f t="shared" si="14"/>
        <v>GP206196B856</v>
      </c>
      <c r="B912" s="7" t="s">
        <v>323</v>
      </c>
      <c r="C912" s="7" t="s">
        <v>852</v>
      </c>
      <c r="D912" s="7" t="s">
        <v>21</v>
      </c>
      <c r="E912" s="7" t="s">
        <v>1177</v>
      </c>
      <c r="F912" s="7" t="s">
        <v>128</v>
      </c>
      <c r="G912" s="7" t="s">
        <v>130</v>
      </c>
      <c r="H912" s="7" t="s">
        <v>129</v>
      </c>
      <c r="I912" s="30">
        <v>2</v>
      </c>
      <c r="J912" s="7" t="s">
        <v>1177</v>
      </c>
      <c r="K912" s="7" t="s">
        <v>1178</v>
      </c>
      <c r="L912" s="7" t="s">
        <v>132</v>
      </c>
      <c r="M912" s="7" t="s">
        <v>133</v>
      </c>
      <c r="N912" s="30">
        <v>0</v>
      </c>
      <c r="O912" s="30">
        <v>0</v>
      </c>
      <c r="P912" s="30">
        <v>0</v>
      </c>
      <c r="Q912" s="30">
        <v>0</v>
      </c>
      <c r="R912" s="29">
        <v>0</v>
      </c>
      <c r="S912" s="36">
        <v>0</v>
      </c>
      <c r="T912" s="7" t="s">
        <v>131</v>
      </c>
      <c r="U912" s="7" t="s">
        <v>853</v>
      </c>
      <c r="V912" s="7" t="s">
        <v>853</v>
      </c>
      <c r="W912" s="7" t="s">
        <v>1177</v>
      </c>
      <c r="X912" s="30">
        <v>1</v>
      </c>
      <c r="Y912" s="7" t="s">
        <v>1177</v>
      </c>
      <c r="Z912" s="7" t="s">
        <v>1178</v>
      </c>
      <c r="AA912" s="30">
        <v>0</v>
      </c>
      <c r="AB912" s="36">
        <v>0</v>
      </c>
      <c r="AC912" s="7" t="s">
        <v>1177</v>
      </c>
      <c r="AD912" s="37">
        <v>0</v>
      </c>
      <c r="AE912" s="7" t="s">
        <v>1177</v>
      </c>
      <c r="AF912" s="7" t="s">
        <v>1177</v>
      </c>
      <c r="AG912" s="7" t="s">
        <v>1177</v>
      </c>
      <c r="AH912" s="38"/>
      <c r="AI912" s="36">
        <v>0</v>
      </c>
      <c r="AJ912" s="7" t="s">
        <v>1193</v>
      </c>
      <c r="AK912" s="7" t="s">
        <v>1177</v>
      </c>
      <c r="AL912" s="7" t="s">
        <v>1177</v>
      </c>
      <c r="AM912" s="7" t="s">
        <v>1177</v>
      </c>
      <c r="AN912" s="7" t="s">
        <v>3212</v>
      </c>
      <c r="AO912" s="7" t="s">
        <v>1177</v>
      </c>
      <c r="AP912" s="7" t="s">
        <v>1177</v>
      </c>
      <c r="AQ912" s="7" t="s">
        <v>1177</v>
      </c>
      <c r="AR912" s="29">
        <v>0</v>
      </c>
      <c r="AS912" s="7" t="s">
        <v>1177</v>
      </c>
      <c r="AT912" s="7" t="s">
        <v>1363</v>
      </c>
      <c r="AU912" s="38">
        <v>46275</v>
      </c>
      <c r="AV912" s="39">
        <v>0.60521990740741005</v>
      </c>
    </row>
    <row r="913" spans="1:48" x14ac:dyDescent="0.35">
      <c r="A913" t="str">
        <f t="shared" si="14"/>
        <v>GP206196B857</v>
      </c>
      <c r="B913" s="7" t="s">
        <v>323</v>
      </c>
      <c r="C913" s="7" t="s">
        <v>958</v>
      </c>
      <c r="D913" s="7" t="s">
        <v>23</v>
      </c>
      <c r="E913" s="7" t="s">
        <v>1177</v>
      </c>
      <c r="F913" s="7" t="s">
        <v>128</v>
      </c>
      <c r="G913" s="7" t="s">
        <v>130</v>
      </c>
      <c r="H913" s="7" t="s">
        <v>129</v>
      </c>
      <c r="I913" s="30">
        <v>1</v>
      </c>
      <c r="J913" s="7" t="s">
        <v>1177</v>
      </c>
      <c r="K913" s="7" t="s">
        <v>1178</v>
      </c>
      <c r="L913" s="7" t="s">
        <v>132</v>
      </c>
      <c r="M913" s="7" t="s">
        <v>133</v>
      </c>
      <c r="N913" s="30">
        <v>0</v>
      </c>
      <c r="O913" s="30">
        <v>0</v>
      </c>
      <c r="P913" s="30">
        <v>0</v>
      </c>
      <c r="Q913" s="30">
        <v>0</v>
      </c>
      <c r="R913" s="29">
        <v>0</v>
      </c>
      <c r="S913" s="36">
        <v>0</v>
      </c>
      <c r="T913" s="7" t="s">
        <v>131</v>
      </c>
      <c r="U913" s="7" t="s">
        <v>959</v>
      </c>
      <c r="V913" s="7" t="s">
        <v>959</v>
      </c>
      <c r="W913" s="7" t="s">
        <v>1177</v>
      </c>
      <c r="X913" s="30">
        <v>1</v>
      </c>
      <c r="Y913" s="7" t="s">
        <v>1177</v>
      </c>
      <c r="Z913" s="7" t="s">
        <v>1178</v>
      </c>
      <c r="AA913" s="30">
        <v>0</v>
      </c>
      <c r="AB913" s="36">
        <v>0</v>
      </c>
      <c r="AC913" s="7" t="s">
        <v>1177</v>
      </c>
      <c r="AD913" s="37">
        <v>0</v>
      </c>
      <c r="AE913" s="7" t="s">
        <v>1177</v>
      </c>
      <c r="AF913" s="7" t="s">
        <v>1177</v>
      </c>
      <c r="AG913" s="7" t="s">
        <v>1177</v>
      </c>
      <c r="AH913" s="38"/>
      <c r="AI913" s="36">
        <v>0</v>
      </c>
      <c r="AJ913" s="7" t="s">
        <v>1193</v>
      </c>
      <c r="AK913" s="7" t="s">
        <v>1177</v>
      </c>
      <c r="AL913" s="7" t="s">
        <v>1177</v>
      </c>
      <c r="AM913" s="7" t="s">
        <v>1177</v>
      </c>
      <c r="AN913" s="7" t="s">
        <v>3212</v>
      </c>
      <c r="AO913" s="7" t="s">
        <v>1177</v>
      </c>
      <c r="AP913" s="7" t="s">
        <v>1177</v>
      </c>
      <c r="AQ913" s="7" t="s">
        <v>1177</v>
      </c>
      <c r="AR913" s="29">
        <v>0</v>
      </c>
      <c r="AS913" s="7" t="s">
        <v>1177</v>
      </c>
      <c r="AT913" s="7" t="s">
        <v>1363</v>
      </c>
      <c r="AU913" s="38">
        <v>46275</v>
      </c>
      <c r="AV913" s="39">
        <v>0.60526620370369999</v>
      </c>
    </row>
    <row r="914" spans="1:48" x14ac:dyDescent="0.35">
      <c r="A914" t="str">
        <f t="shared" si="14"/>
        <v>GP206196B864</v>
      </c>
      <c r="B914" s="7" t="s">
        <v>323</v>
      </c>
      <c r="C914" s="7" t="s">
        <v>1010</v>
      </c>
      <c r="D914" s="7" t="s">
        <v>10</v>
      </c>
      <c r="E914" s="7" t="s">
        <v>1177</v>
      </c>
      <c r="F914" s="7" t="s">
        <v>128</v>
      </c>
      <c r="G914" s="7" t="s">
        <v>130</v>
      </c>
      <c r="H914" s="7" t="s">
        <v>129</v>
      </c>
      <c r="I914" s="30">
        <v>1</v>
      </c>
      <c r="J914" s="7" t="s">
        <v>1177</v>
      </c>
      <c r="K914" s="7" t="s">
        <v>1178</v>
      </c>
      <c r="L914" s="7" t="s">
        <v>132</v>
      </c>
      <c r="M914" s="7" t="s">
        <v>133</v>
      </c>
      <c r="N914" s="30">
        <v>0</v>
      </c>
      <c r="O914" s="30">
        <v>0</v>
      </c>
      <c r="P914" s="30">
        <v>0</v>
      </c>
      <c r="Q914" s="30">
        <v>0</v>
      </c>
      <c r="R914" s="29">
        <v>0</v>
      </c>
      <c r="S914" s="36">
        <v>0</v>
      </c>
      <c r="T914" s="7" t="s">
        <v>131</v>
      </c>
      <c r="U914" s="7" t="s">
        <v>1011</v>
      </c>
      <c r="V914" s="7" t="s">
        <v>1011</v>
      </c>
      <c r="W914" s="7" t="s">
        <v>1177</v>
      </c>
      <c r="X914" s="30">
        <v>1</v>
      </c>
      <c r="Y914" s="7" t="s">
        <v>1177</v>
      </c>
      <c r="Z914" s="7" t="s">
        <v>1178</v>
      </c>
      <c r="AA914" s="30">
        <v>0</v>
      </c>
      <c r="AB914" s="36">
        <v>0</v>
      </c>
      <c r="AC914" s="7" t="s">
        <v>1177</v>
      </c>
      <c r="AD914" s="37">
        <v>0</v>
      </c>
      <c r="AE914" s="7" t="s">
        <v>1177</v>
      </c>
      <c r="AF914" s="7" t="s">
        <v>1177</v>
      </c>
      <c r="AG914" s="7" t="s">
        <v>1177</v>
      </c>
      <c r="AH914" s="38"/>
      <c r="AI914" s="36">
        <v>0</v>
      </c>
      <c r="AJ914" s="7" t="s">
        <v>1193</v>
      </c>
      <c r="AK914" s="7" t="s">
        <v>1177</v>
      </c>
      <c r="AL914" s="7" t="s">
        <v>1177</v>
      </c>
      <c r="AM914" s="7" t="s">
        <v>1177</v>
      </c>
      <c r="AN914" s="7" t="s">
        <v>3212</v>
      </c>
      <c r="AO914" s="7" t="s">
        <v>1177</v>
      </c>
      <c r="AP914" s="7" t="s">
        <v>1177</v>
      </c>
      <c r="AQ914" s="7" t="s">
        <v>1177</v>
      </c>
      <c r="AR914" s="29">
        <v>0</v>
      </c>
      <c r="AS914" s="7" t="s">
        <v>1177</v>
      </c>
      <c r="AT914" s="7" t="s">
        <v>1363</v>
      </c>
      <c r="AU914" s="38">
        <v>46275</v>
      </c>
      <c r="AV914" s="39">
        <v>0.60541666666667004</v>
      </c>
    </row>
    <row r="915" spans="1:48" x14ac:dyDescent="0.35">
      <c r="A915" t="str">
        <f t="shared" si="14"/>
        <v>GP207357B867</v>
      </c>
      <c r="B915" s="7" t="s">
        <v>276</v>
      </c>
      <c r="C915" s="7" t="s">
        <v>1059</v>
      </c>
      <c r="D915" s="7" t="s">
        <v>25</v>
      </c>
      <c r="E915" s="7" t="s">
        <v>1177</v>
      </c>
      <c r="F915" s="7" t="s">
        <v>128</v>
      </c>
      <c r="G915" s="7" t="s">
        <v>130</v>
      </c>
      <c r="H915" s="7" t="s">
        <v>129</v>
      </c>
      <c r="I915" s="30">
        <v>2</v>
      </c>
      <c r="J915" s="7" t="s">
        <v>1177</v>
      </c>
      <c r="K915" s="7" t="s">
        <v>1178</v>
      </c>
      <c r="L915" s="7" t="s">
        <v>132</v>
      </c>
      <c r="M915" s="7" t="s">
        <v>133</v>
      </c>
      <c r="N915" s="30">
        <v>0</v>
      </c>
      <c r="O915" s="30">
        <v>0</v>
      </c>
      <c r="P915" s="30">
        <v>0</v>
      </c>
      <c r="Q915" s="30">
        <v>0</v>
      </c>
      <c r="R915" s="29">
        <v>0</v>
      </c>
      <c r="S915" s="36">
        <v>0</v>
      </c>
      <c r="T915" s="7" t="s">
        <v>131</v>
      </c>
      <c r="U915" s="7" t="s">
        <v>1060</v>
      </c>
      <c r="V915" s="7" t="s">
        <v>1060</v>
      </c>
      <c r="W915" s="7" t="s">
        <v>1177</v>
      </c>
      <c r="X915" s="30">
        <v>1</v>
      </c>
      <c r="Y915" s="7" t="s">
        <v>1177</v>
      </c>
      <c r="Z915" s="7" t="s">
        <v>1178</v>
      </c>
      <c r="AA915" s="30">
        <v>0</v>
      </c>
      <c r="AB915" s="36">
        <v>0</v>
      </c>
      <c r="AC915" s="7" t="s">
        <v>1177</v>
      </c>
      <c r="AD915" s="37">
        <v>0</v>
      </c>
      <c r="AE915" s="7" t="s">
        <v>1177</v>
      </c>
      <c r="AF915" s="7" t="s">
        <v>1177</v>
      </c>
      <c r="AG915" s="7" t="s">
        <v>1177</v>
      </c>
      <c r="AH915" s="38"/>
      <c r="AI915" s="36">
        <v>0</v>
      </c>
      <c r="AJ915" s="7" t="s">
        <v>1193</v>
      </c>
      <c r="AK915" s="7" t="s">
        <v>1177</v>
      </c>
      <c r="AL915" s="7" t="s">
        <v>1177</v>
      </c>
      <c r="AM915" s="7" t="s">
        <v>1177</v>
      </c>
      <c r="AN915" s="7" t="s">
        <v>3212</v>
      </c>
      <c r="AO915" s="7" t="s">
        <v>1177</v>
      </c>
      <c r="AP915" s="7" t="s">
        <v>1177</v>
      </c>
      <c r="AQ915" s="7" t="s">
        <v>1177</v>
      </c>
      <c r="AR915" s="29">
        <v>0</v>
      </c>
      <c r="AS915" s="7" t="s">
        <v>1177</v>
      </c>
      <c r="AT915" s="7" t="s">
        <v>1363</v>
      </c>
      <c r="AU915" s="38">
        <v>46275</v>
      </c>
      <c r="AV915" s="39">
        <v>0.62738425925926</v>
      </c>
    </row>
    <row r="916" spans="1:48" x14ac:dyDescent="0.35">
      <c r="A916" t="str">
        <f t="shared" si="14"/>
        <v>GP207359B864</v>
      </c>
      <c r="B916" s="7" t="s">
        <v>793</v>
      </c>
      <c r="C916" s="7" t="s">
        <v>1010</v>
      </c>
      <c r="D916" s="7" t="s">
        <v>10</v>
      </c>
      <c r="E916" s="7" t="s">
        <v>1177</v>
      </c>
      <c r="F916" s="7" t="s">
        <v>128</v>
      </c>
      <c r="G916" s="7" t="s">
        <v>130</v>
      </c>
      <c r="H916" s="7" t="s">
        <v>129</v>
      </c>
      <c r="I916" s="30">
        <v>2</v>
      </c>
      <c r="J916" s="7" t="s">
        <v>1177</v>
      </c>
      <c r="K916" s="7" t="s">
        <v>1178</v>
      </c>
      <c r="L916" s="7" t="s">
        <v>132</v>
      </c>
      <c r="M916" s="7" t="s">
        <v>133</v>
      </c>
      <c r="N916" s="30">
        <v>0</v>
      </c>
      <c r="O916" s="30">
        <v>0</v>
      </c>
      <c r="P916" s="30">
        <v>0</v>
      </c>
      <c r="Q916" s="30">
        <v>0</v>
      </c>
      <c r="R916" s="29">
        <v>0</v>
      </c>
      <c r="S916" s="36">
        <v>0</v>
      </c>
      <c r="T916" s="7" t="s">
        <v>131</v>
      </c>
      <c r="U916" s="7" t="s">
        <v>1011</v>
      </c>
      <c r="V916" s="7" t="s">
        <v>1011</v>
      </c>
      <c r="W916" s="7" t="s">
        <v>1177</v>
      </c>
      <c r="X916" s="30">
        <v>1</v>
      </c>
      <c r="Y916" s="7" t="s">
        <v>1177</v>
      </c>
      <c r="Z916" s="7" t="s">
        <v>1178</v>
      </c>
      <c r="AA916" s="30">
        <v>0</v>
      </c>
      <c r="AB916" s="36">
        <v>0</v>
      </c>
      <c r="AC916" s="7" t="s">
        <v>1177</v>
      </c>
      <c r="AD916" s="37">
        <v>0</v>
      </c>
      <c r="AE916" s="7" t="s">
        <v>1177</v>
      </c>
      <c r="AF916" s="7" t="s">
        <v>1177</v>
      </c>
      <c r="AG916" s="7" t="s">
        <v>1177</v>
      </c>
      <c r="AH916" s="38"/>
      <c r="AI916" s="36">
        <v>0</v>
      </c>
      <c r="AJ916" s="7" t="s">
        <v>1193</v>
      </c>
      <c r="AK916" s="7" t="s">
        <v>1177</v>
      </c>
      <c r="AL916" s="7" t="s">
        <v>1177</v>
      </c>
      <c r="AM916" s="7" t="s">
        <v>1177</v>
      </c>
      <c r="AN916" s="7" t="s">
        <v>3212</v>
      </c>
      <c r="AO916" s="7" t="s">
        <v>1177</v>
      </c>
      <c r="AP916" s="7" t="s">
        <v>1177</v>
      </c>
      <c r="AQ916" s="7" t="s">
        <v>1177</v>
      </c>
      <c r="AR916" s="29">
        <v>0</v>
      </c>
      <c r="AS916" s="7" t="s">
        <v>1177</v>
      </c>
      <c r="AT916" s="7" t="s">
        <v>1363</v>
      </c>
      <c r="AU916" s="38">
        <v>46275</v>
      </c>
      <c r="AV916" s="39">
        <v>0.62644675925925997</v>
      </c>
    </row>
    <row r="917" spans="1:48" x14ac:dyDescent="0.35">
      <c r="A917" t="str">
        <f t="shared" si="14"/>
        <v>GP207359B865</v>
      </c>
      <c r="B917" s="7" t="s">
        <v>793</v>
      </c>
      <c r="C917" s="7" t="s">
        <v>1039</v>
      </c>
      <c r="D917" s="7" t="s">
        <v>7</v>
      </c>
      <c r="E917" s="7" t="s">
        <v>1177</v>
      </c>
      <c r="F917" s="7" t="s">
        <v>128</v>
      </c>
      <c r="G917" s="7" t="s">
        <v>130</v>
      </c>
      <c r="H917" s="7" t="s">
        <v>129</v>
      </c>
      <c r="I917" s="30">
        <v>2</v>
      </c>
      <c r="J917" s="7" t="s">
        <v>1177</v>
      </c>
      <c r="K917" s="7" t="s">
        <v>1178</v>
      </c>
      <c r="L917" s="7" t="s">
        <v>132</v>
      </c>
      <c r="M917" s="7" t="s">
        <v>133</v>
      </c>
      <c r="N917" s="30">
        <v>0</v>
      </c>
      <c r="O917" s="30">
        <v>0</v>
      </c>
      <c r="P917" s="30">
        <v>0</v>
      </c>
      <c r="Q917" s="30">
        <v>0</v>
      </c>
      <c r="R917" s="29">
        <v>0</v>
      </c>
      <c r="S917" s="36">
        <v>0</v>
      </c>
      <c r="T917" s="7" t="s">
        <v>131</v>
      </c>
      <c r="U917" s="7" t="s">
        <v>1040</v>
      </c>
      <c r="V917" s="7" t="s">
        <v>1040</v>
      </c>
      <c r="W917" s="7" t="s">
        <v>1177</v>
      </c>
      <c r="X917" s="30">
        <v>1</v>
      </c>
      <c r="Y917" s="7" t="s">
        <v>1177</v>
      </c>
      <c r="Z917" s="7" t="s">
        <v>1178</v>
      </c>
      <c r="AA917" s="30">
        <v>0</v>
      </c>
      <c r="AB917" s="36">
        <v>0</v>
      </c>
      <c r="AC917" s="7" t="s">
        <v>1177</v>
      </c>
      <c r="AD917" s="37">
        <v>0</v>
      </c>
      <c r="AE917" s="7" t="s">
        <v>1177</v>
      </c>
      <c r="AF917" s="7" t="s">
        <v>1177</v>
      </c>
      <c r="AG917" s="7" t="s">
        <v>1177</v>
      </c>
      <c r="AH917" s="38"/>
      <c r="AI917" s="36">
        <v>0</v>
      </c>
      <c r="AJ917" s="7" t="s">
        <v>1193</v>
      </c>
      <c r="AK917" s="7" t="s">
        <v>1177</v>
      </c>
      <c r="AL917" s="7" t="s">
        <v>1177</v>
      </c>
      <c r="AM917" s="7" t="s">
        <v>1177</v>
      </c>
      <c r="AN917" s="7" t="s">
        <v>3212</v>
      </c>
      <c r="AO917" s="7" t="s">
        <v>1177</v>
      </c>
      <c r="AP917" s="7" t="s">
        <v>1177</v>
      </c>
      <c r="AQ917" s="7" t="s">
        <v>1177</v>
      </c>
      <c r="AR917" s="29">
        <v>0</v>
      </c>
      <c r="AS917" s="7" t="s">
        <v>1177</v>
      </c>
      <c r="AT917" s="7" t="s">
        <v>1363</v>
      </c>
      <c r="AU917" s="38">
        <v>46275</v>
      </c>
      <c r="AV917" s="39">
        <v>0.62665509259259</v>
      </c>
    </row>
    <row r="918" spans="1:48" x14ac:dyDescent="0.35">
      <c r="A918" t="str">
        <f t="shared" si="14"/>
        <v>GP207514B838</v>
      </c>
      <c r="B918" s="7" t="s">
        <v>752</v>
      </c>
      <c r="C918" s="7" t="s">
        <v>744</v>
      </c>
      <c r="D918" s="7" t="s">
        <v>48</v>
      </c>
      <c r="E918" s="7" t="s">
        <v>1177</v>
      </c>
      <c r="F918" s="7" t="s">
        <v>128</v>
      </c>
      <c r="G918" s="7" t="s">
        <v>130</v>
      </c>
      <c r="H918" s="7" t="s">
        <v>129</v>
      </c>
      <c r="I918" s="30">
        <v>2</v>
      </c>
      <c r="J918" s="7" t="s">
        <v>1177</v>
      </c>
      <c r="K918" s="7" t="s">
        <v>1178</v>
      </c>
      <c r="L918" s="7" t="s">
        <v>132</v>
      </c>
      <c r="M918" s="7" t="s">
        <v>133</v>
      </c>
      <c r="N918" s="30">
        <v>0</v>
      </c>
      <c r="O918" s="30">
        <v>0</v>
      </c>
      <c r="P918" s="30">
        <v>0</v>
      </c>
      <c r="Q918" s="30">
        <v>0</v>
      </c>
      <c r="R918" s="29">
        <v>0</v>
      </c>
      <c r="S918" s="36">
        <v>0</v>
      </c>
      <c r="T918" s="7" t="s">
        <v>131</v>
      </c>
      <c r="U918" s="7" t="s">
        <v>745</v>
      </c>
      <c r="V918" s="7" t="s">
        <v>745</v>
      </c>
      <c r="W918" s="7" t="s">
        <v>1177</v>
      </c>
      <c r="X918" s="30">
        <v>1</v>
      </c>
      <c r="Y918" s="7" t="s">
        <v>1177</v>
      </c>
      <c r="Z918" s="7" t="s">
        <v>1178</v>
      </c>
      <c r="AA918" s="30">
        <v>0</v>
      </c>
      <c r="AB918" s="36">
        <v>0</v>
      </c>
      <c r="AC918" s="7" t="s">
        <v>1177</v>
      </c>
      <c r="AD918" s="37">
        <v>0</v>
      </c>
      <c r="AE918" s="7" t="s">
        <v>1177</v>
      </c>
      <c r="AF918" s="7" t="s">
        <v>1177</v>
      </c>
      <c r="AG918" s="7" t="s">
        <v>1177</v>
      </c>
      <c r="AH918" s="38"/>
      <c r="AI918" s="36">
        <v>0</v>
      </c>
      <c r="AJ918" s="7" t="s">
        <v>1193</v>
      </c>
      <c r="AK918" s="7" t="s">
        <v>1177</v>
      </c>
      <c r="AL918" s="7" t="s">
        <v>1177</v>
      </c>
      <c r="AM918" s="7" t="s">
        <v>1177</v>
      </c>
      <c r="AN918" s="7" t="s">
        <v>3212</v>
      </c>
      <c r="AO918" s="7" t="s">
        <v>1177</v>
      </c>
      <c r="AP918" s="7" t="s">
        <v>1177</v>
      </c>
      <c r="AQ918" s="7" t="s">
        <v>1177</v>
      </c>
      <c r="AR918" s="29">
        <v>0</v>
      </c>
      <c r="AS918" s="7" t="s">
        <v>1177</v>
      </c>
      <c r="AT918" s="7" t="s">
        <v>1363</v>
      </c>
      <c r="AU918" s="38">
        <v>46275</v>
      </c>
      <c r="AV918" s="39">
        <v>0.62412037037037005</v>
      </c>
    </row>
    <row r="919" spans="1:48" x14ac:dyDescent="0.35">
      <c r="A919" t="str">
        <f t="shared" si="14"/>
        <v>GP207514B856</v>
      </c>
      <c r="B919" s="7" t="s">
        <v>752</v>
      </c>
      <c r="C919" s="7" t="s">
        <v>852</v>
      </c>
      <c r="D919" s="7" t="s">
        <v>21</v>
      </c>
      <c r="E919" s="7" t="s">
        <v>1177</v>
      </c>
      <c r="F919" s="7" t="s">
        <v>128</v>
      </c>
      <c r="G919" s="7" t="s">
        <v>130</v>
      </c>
      <c r="H919" s="7" t="s">
        <v>129</v>
      </c>
      <c r="I919" s="30">
        <v>2</v>
      </c>
      <c r="J919" s="7" t="s">
        <v>1177</v>
      </c>
      <c r="K919" s="7" t="s">
        <v>1178</v>
      </c>
      <c r="L919" s="7" t="s">
        <v>132</v>
      </c>
      <c r="M919" s="7" t="s">
        <v>133</v>
      </c>
      <c r="N919" s="30">
        <v>0</v>
      </c>
      <c r="O919" s="30">
        <v>0</v>
      </c>
      <c r="P919" s="30">
        <v>0</v>
      </c>
      <c r="Q919" s="30">
        <v>0</v>
      </c>
      <c r="R919" s="29">
        <v>0</v>
      </c>
      <c r="S919" s="36">
        <v>0</v>
      </c>
      <c r="T919" s="7" t="s">
        <v>131</v>
      </c>
      <c r="U919" s="7" t="s">
        <v>853</v>
      </c>
      <c r="V919" s="7" t="s">
        <v>853</v>
      </c>
      <c r="W919" s="7" t="s">
        <v>1177</v>
      </c>
      <c r="X919" s="30">
        <v>1</v>
      </c>
      <c r="Y919" s="7" t="s">
        <v>1177</v>
      </c>
      <c r="Z919" s="7" t="s">
        <v>1178</v>
      </c>
      <c r="AA919" s="30">
        <v>0</v>
      </c>
      <c r="AB919" s="36">
        <v>0</v>
      </c>
      <c r="AC919" s="7" t="s">
        <v>1177</v>
      </c>
      <c r="AD919" s="37">
        <v>0</v>
      </c>
      <c r="AE919" s="7" t="s">
        <v>1177</v>
      </c>
      <c r="AF919" s="7" t="s">
        <v>1177</v>
      </c>
      <c r="AG919" s="7" t="s">
        <v>1177</v>
      </c>
      <c r="AH919" s="38"/>
      <c r="AI919" s="36">
        <v>0</v>
      </c>
      <c r="AJ919" s="7" t="s">
        <v>1193</v>
      </c>
      <c r="AK919" s="7" t="s">
        <v>1177</v>
      </c>
      <c r="AL919" s="7" t="s">
        <v>1177</v>
      </c>
      <c r="AM919" s="7" t="s">
        <v>1177</v>
      </c>
      <c r="AN919" s="7" t="s">
        <v>3212</v>
      </c>
      <c r="AO919" s="7" t="s">
        <v>1177</v>
      </c>
      <c r="AP919" s="7" t="s">
        <v>1177</v>
      </c>
      <c r="AQ919" s="7" t="s">
        <v>1177</v>
      </c>
      <c r="AR919" s="29">
        <v>0</v>
      </c>
      <c r="AS919" s="7" t="s">
        <v>1177</v>
      </c>
      <c r="AT919" s="7" t="s">
        <v>1363</v>
      </c>
      <c r="AU919" s="38">
        <v>46275</v>
      </c>
      <c r="AV919" s="39">
        <v>0.62486111111110998</v>
      </c>
    </row>
    <row r="920" spans="1:48" x14ac:dyDescent="0.35">
      <c r="A920" t="str">
        <f t="shared" si="14"/>
        <v>GP207514B865</v>
      </c>
      <c r="B920" s="7" t="s">
        <v>752</v>
      </c>
      <c r="C920" s="7" t="s">
        <v>1039</v>
      </c>
      <c r="D920" s="7" t="s">
        <v>7</v>
      </c>
      <c r="E920" s="7" t="s">
        <v>1177</v>
      </c>
      <c r="F920" s="7" t="s">
        <v>128</v>
      </c>
      <c r="G920" s="7" t="s">
        <v>130</v>
      </c>
      <c r="H920" s="7" t="s">
        <v>129</v>
      </c>
      <c r="I920" s="30">
        <v>2</v>
      </c>
      <c r="J920" s="7" t="s">
        <v>1177</v>
      </c>
      <c r="K920" s="7" t="s">
        <v>1178</v>
      </c>
      <c r="L920" s="7" t="s">
        <v>132</v>
      </c>
      <c r="M920" s="7" t="s">
        <v>133</v>
      </c>
      <c r="N920" s="30">
        <v>0</v>
      </c>
      <c r="O920" s="30">
        <v>0</v>
      </c>
      <c r="P920" s="30">
        <v>0</v>
      </c>
      <c r="Q920" s="30">
        <v>0</v>
      </c>
      <c r="R920" s="29">
        <v>0</v>
      </c>
      <c r="S920" s="36">
        <v>0</v>
      </c>
      <c r="T920" s="7" t="s">
        <v>131</v>
      </c>
      <c r="U920" s="7" t="s">
        <v>1040</v>
      </c>
      <c r="V920" s="7" t="s">
        <v>1040</v>
      </c>
      <c r="W920" s="7" t="s">
        <v>1177</v>
      </c>
      <c r="X920" s="30">
        <v>1</v>
      </c>
      <c r="Y920" s="7" t="s">
        <v>1177</v>
      </c>
      <c r="Z920" s="7" t="s">
        <v>1178</v>
      </c>
      <c r="AA920" s="30">
        <v>0</v>
      </c>
      <c r="AB920" s="36">
        <v>0</v>
      </c>
      <c r="AC920" s="7" t="s">
        <v>1177</v>
      </c>
      <c r="AD920" s="37">
        <v>0</v>
      </c>
      <c r="AE920" s="7" t="s">
        <v>1177</v>
      </c>
      <c r="AF920" s="7" t="s">
        <v>1177</v>
      </c>
      <c r="AG920" s="7" t="s">
        <v>1177</v>
      </c>
      <c r="AH920" s="38"/>
      <c r="AI920" s="36">
        <v>0</v>
      </c>
      <c r="AJ920" s="7" t="s">
        <v>1193</v>
      </c>
      <c r="AK920" s="7" t="s">
        <v>1177</v>
      </c>
      <c r="AL920" s="7" t="s">
        <v>1177</v>
      </c>
      <c r="AM920" s="7" t="s">
        <v>1177</v>
      </c>
      <c r="AN920" s="7" t="s">
        <v>3212</v>
      </c>
      <c r="AO920" s="7" t="s">
        <v>1177</v>
      </c>
      <c r="AP920" s="7" t="s">
        <v>1177</v>
      </c>
      <c r="AQ920" s="7" t="s">
        <v>1177</v>
      </c>
      <c r="AR920" s="29">
        <v>0</v>
      </c>
      <c r="AS920" s="7" t="s">
        <v>1177</v>
      </c>
      <c r="AT920" s="7" t="s">
        <v>1363</v>
      </c>
      <c r="AU920" s="38">
        <v>46275</v>
      </c>
      <c r="AV920" s="39">
        <v>0.62666666666667004</v>
      </c>
    </row>
    <row r="921" spans="1:48" x14ac:dyDescent="0.35">
      <c r="A921" t="str">
        <f t="shared" si="14"/>
        <v>GP207515B825</v>
      </c>
      <c r="B921" s="7" t="s">
        <v>555</v>
      </c>
      <c r="C921" s="7" t="s">
        <v>511</v>
      </c>
      <c r="D921" s="7" t="s">
        <v>16</v>
      </c>
      <c r="E921" s="7" t="s">
        <v>1177</v>
      </c>
      <c r="F921" s="7" t="s">
        <v>128</v>
      </c>
      <c r="G921" s="7" t="s">
        <v>130</v>
      </c>
      <c r="H921" s="7" t="s">
        <v>129</v>
      </c>
      <c r="I921" s="30">
        <v>2</v>
      </c>
      <c r="J921" s="7" t="s">
        <v>1177</v>
      </c>
      <c r="K921" s="7" t="s">
        <v>1178</v>
      </c>
      <c r="L921" s="7" t="s">
        <v>132</v>
      </c>
      <c r="M921" s="7" t="s">
        <v>133</v>
      </c>
      <c r="N921" s="30">
        <v>0</v>
      </c>
      <c r="O921" s="30">
        <v>0</v>
      </c>
      <c r="P921" s="30">
        <v>0</v>
      </c>
      <c r="Q921" s="30">
        <v>0</v>
      </c>
      <c r="R921" s="29">
        <v>0</v>
      </c>
      <c r="S921" s="36">
        <v>0</v>
      </c>
      <c r="T921" s="7" t="s">
        <v>131</v>
      </c>
      <c r="U921" s="7" t="s">
        <v>512</v>
      </c>
      <c r="V921" s="7" t="s">
        <v>512</v>
      </c>
      <c r="W921" s="7" t="s">
        <v>1177</v>
      </c>
      <c r="X921" s="30">
        <v>1</v>
      </c>
      <c r="Y921" s="7" t="s">
        <v>1177</v>
      </c>
      <c r="Z921" s="7" t="s">
        <v>1178</v>
      </c>
      <c r="AA921" s="30">
        <v>0</v>
      </c>
      <c r="AB921" s="36">
        <v>0</v>
      </c>
      <c r="AC921" s="7" t="s">
        <v>1177</v>
      </c>
      <c r="AD921" s="37">
        <v>0</v>
      </c>
      <c r="AE921" s="7" t="s">
        <v>1177</v>
      </c>
      <c r="AF921" s="7" t="s">
        <v>1177</v>
      </c>
      <c r="AG921" s="7" t="s">
        <v>1177</v>
      </c>
      <c r="AH921" s="38"/>
      <c r="AI921" s="36">
        <v>0</v>
      </c>
      <c r="AJ921" s="7" t="s">
        <v>1193</v>
      </c>
      <c r="AK921" s="7" t="s">
        <v>1177</v>
      </c>
      <c r="AL921" s="7" t="s">
        <v>1177</v>
      </c>
      <c r="AM921" s="7" t="s">
        <v>1177</v>
      </c>
      <c r="AN921" s="7" t="s">
        <v>3212</v>
      </c>
      <c r="AO921" s="7" t="s">
        <v>1177</v>
      </c>
      <c r="AP921" s="7" t="s">
        <v>1177</v>
      </c>
      <c r="AQ921" s="7" t="s">
        <v>1177</v>
      </c>
      <c r="AR921" s="29">
        <v>0</v>
      </c>
      <c r="AS921" s="7" t="s">
        <v>1177</v>
      </c>
      <c r="AT921" s="7" t="s">
        <v>1363</v>
      </c>
      <c r="AU921" s="38">
        <v>46275</v>
      </c>
      <c r="AV921" s="39">
        <v>0.62304398148147999</v>
      </c>
    </row>
    <row r="922" spans="1:48" x14ac:dyDescent="0.35">
      <c r="A922" t="str">
        <f t="shared" si="14"/>
        <v>GP207515B857</v>
      </c>
      <c r="B922" s="7" t="s">
        <v>555</v>
      </c>
      <c r="C922" s="7" t="s">
        <v>958</v>
      </c>
      <c r="D922" s="7" t="s">
        <v>23</v>
      </c>
      <c r="E922" s="7" t="s">
        <v>1177</v>
      </c>
      <c r="F922" s="7" t="s">
        <v>128</v>
      </c>
      <c r="G922" s="7" t="s">
        <v>130</v>
      </c>
      <c r="H922" s="7" t="s">
        <v>129</v>
      </c>
      <c r="I922" s="30">
        <v>1</v>
      </c>
      <c r="J922" s="7" t="s">
        <v>1177</v>
      </c>
      <c r="K922" s="7" t="s">
        <v>1178</v>
      </c>
      <c r="L922" s="7" t="s">
        <v>132</v>
      </c>
      <c r="M922" s="7" t="s">
        <v>133</v>
      </c>
      <c r="N922" s="30">
        <v>0</v>
      </c>
      <c r="O922" s="30">
        <v>0</v>
      </c>
      <c r="P922" s="30">
        <v>0</v>
      </c>
      <c r="Q922" s="30">
        <v>0</v>
      </c>
      <c r="R922" s="29">
        <v>0</v>
      </c>
      <c r="S922" s="36">
        <v>0</v>
      </c>
      <c r="T922" s="7" t="s">
        <v>131</v>
      </c>
      <c r="U922" s="7" t="s">
        <v>959</v>
      </c>
      <c r="V922" s="7" t="s">
        <v>959</v>
      </c>
      <c r="W922" s="7" t="s">
        <v>1177</v>
      </c>
      <c r="X922" s="30">
        <v>1</v>
      </c>
      <c r="Y922" s="7" t="s">
        <v>1177</v>
      </c>
      <c r="Z922" s="7" t="s">
        <v>1178</v>
      </c>
      <c r="AA922" s="30">
        <v>0</v>
      </c>
      <c r="AB922" s="36">
        <v>0</v>
      </c>
      <c r="AC922" s="7" t="s">
        <v>1177</v>
      </c>
      <c r="AD922" s="37">
        <v>0</v>
      </c>
      <c r="AE922" s="7" t="s">
        <v>1177</v>
      </c>
      <c r="AF922" s="7" t="s">
        <v>1177</v>
      </c>
      <c r="AG922" s="7" t="s">
        <v>1177</v>
      </c>
      <c r="AH922" s="38"/>
      <c r="AI922" s="36">
        <v>0</v>
      </c>
      <c r="AJ922" s="7" t="s">
        <v>1193</v>
      </c>
      <c r="AK922" s="7" t="s">
        <v>1177</v>
      </c>
      <c r="AL922" s="7" t="s">
        <v>1177</v>
      </c>
      <c r="AM922" s="7" t="s">
        <v>1177</v>
      </c>
      <c r="AN922" s="7" t="s">
        <v>3212</v>
      </c>
      <c r="AO922" s="7" t="s">
        <v>1177</v>
      </c>
      <c r="AP922" s="7" t="s">
        <v>1177</v>
      </c>
      <c r="AQ922" s="7" t="s">
        <v>1177</v>
      </c>
      <c r="AR922" s="29">
        <v>0</v>
      </c>
      <c r="AS922" s="7" t="s">
        <v>1177</v>
      </c>
      <c r="AT922" s="7" t="s">
        <v>1363</v>
      </c>
      <c r="AU922" s="38">
        <v>46275</v>
      </c>
      <c r="AV922" s="39">
        <v>0.62497685185185003</v>
      </c>
    </row>
    <row r="923" spans="1:48" x14ac:dyDescent="0.35">
      <c r="A923" t="str">
        <f t="shared" si="14"/>
        <v>GP218789B825</v>
      </c>
      <c r="B923" s="7" t="s">
        <v>185</v>
      </c>
      <c r="C923" s="7" t="s">
        <v>511</v>
      </c>
      <c r="D923" s="7" t="s">
        <v>16</v>
      </c>
      <c r="E923" s="7" t="s">
        <v>1177</v>
      </c>
      <c r="F923" s="7" t="s">
        <v>128</v>
      </c>
      <c r="G923" s="7" t="s">
        <v>130</v>
      </c>
      <c r="H923" s="7" t="s">
        <v>129</v>
      </c>
      <c r="I923" s="30">
        <v>2</v>
      </c>
      <c r="J923" s="7" t="s">
        <v>1177</v>
      </c>
      <c r="K923" s="7" t="s">
        <v>1178</v>
      </c>
      <c r="L923" s="7" t="s">
        <v>132</v>
      </c>
      <c r="M923" s="7" t="s">
        <v>133</v>
      </c>
      <c r="N923" s="30">
        <v>0</v>
      </c>
      <c r="O923" s="30">
        <v>0</v>
      </c>
      <c r="P923" s="30">
        <v>0</v>
      </c>
      <c r="Q923" s="30">
        <v>0</v>
      </c>
      <c r="R923" s="29">
        <v>0</v>
      </c>
      <c r="S923" s="36">
        <v>0</v>
      </c>
      <c r="T923" s="7" t="s">
        <v>131</v>
      </c>
      <c r="U923" s="7" t="s">
        <v>512</v>
      </c>
      <c r="V923" s="7" t="s">
        <v>512</v>
      </c>
      <c r="W923" s="7" t="s">
        <v>1177</v>
      </c>
      <c r="X923" s="30">
        <v>1</v>
      </c>
      <c r="Y923" s="7" t="s">
        <v>1177</v>
      </c>
      <c r="Z923" s="7" t="s">
        <v>1178</v>
      </c>
      <c r="AA923" s="30">
        <v>0</v>
      </c>
      <c r="AB923" s="36">
        <v>0</v>
      </c>
      <c r="AC923" s="7" t="s">
        <v>1177</v>
      </c>
      <c r="AD923" s="37">
        <v>0</v>
      </c>
      <c r="AE923" s="7" t="s">
        <v>1177</v>
      </c>
      <c r="AF923" s="7" t="s">
        <v>1177</v>
      </c>
      <c r="AG923" s="7" t="s">
        <v>1177</v>
      </c>
      <c r="AH923" s="38"/>
      <c r="AI923" s="36">
        <v>0</v>
      </c>
      <c r="AJ923" s="7" t="s">
        <v>1193</v>
      </c>
      <c r="AK923" s="7" t="s">
        <v>1177</v>
      </c>
      <c r="AL923" s="7" t="s">
        <v>1177</v>
      </c>
      <c r="AM923" s="7" t="s">
        <v>1177</v>
      </c>
      <c r="AN923" s="7" t="s">
        <v>3212</v>
      </c>
      <c r="AO923" s="7" t="s">
        <v>1177</v>
      </c>
      <c r="AP923" s="7" t="s">
        <v>1177</v>
      </c>
      <c r="AQ923" s="7" t="s">
        <v>1177</v>
      </c>
      <c r="AR923" s="29">
        <v>0</v>
      </c>
      <c r="AS923" s="7" t="s">
        <v>1177</v>
      </c>
      <c r="AT923" s="7" t="s">
        <v>1363</v>
      </c>
      <c r="AU923" s="38">
        <v>46275</v>
      </c>
      <c r="AV923" s="39">
        <v>0.6034837962963</v>
      </c>
    </row>
    <row r="924" spans="1:48" x14ac:dyDescent="0.35">
      <c r="A924" t="str">
        <f t="shared" si="14"/>
        <v>GP218789B832</v>
      </c>
      <c r="B924" s="7" t="s">
        <v>185</v>
      </c>
      <c r="C924" s="7" t="s">
        <v>653</v>
      </c>
      <c r="D924" s="7" t="s">
        <v>19</v>
      </c>
      <c r="E924" s="7" t="s">
        <v>1177</v>
      </c>
      <c r="F924" s="7" t="s">
        <v>128</v>
      </c>
      <c r="G924" s="7" t="s">
        <v>130</v>
      </c>
      <c r="H924" s="7" t="s">
        <v>129</v>
      </c>
      <c r="I924" s="30">
        <v>2</v>
      </c>
      <c r="J924" s="7" t="s">
        <v>1177</v>
      </c>
      <c r="K924" s="7" t="s">
        <v>1178</v>
      </c>
      <c r="L924" s="7" t="s">
        <v>132</v>
      </c>
      <c r="M924" s="7" t="s">
        <v>133</v>
      </c>
      <c r="N924" s="30">
        <v>0</v>
      </c>
      <c r="O924" s="30">
        <v>0</v>
      </c>
      <c r="P924" s="30">
        <v>0</v>
      </c>
      <c r="Q924" s="30">
        <v>0</v>
      </c>
      <c r="R924" s="29">
        <v>0</v>
      </c>
      <c r="S924" s="36">
        <v>0</v>
      </c>
      <c r="T924" s="7" t="s">
        <v>131</v>
      </c>
      <c r="U924" s="7" t="s">
        <v>654</v>
      </c>
      <c r="V924" s="7" t="s">
        <v>654</v>
      </c>
      <c r="W924" s="7" t="s">
        <v>1177</v>
      </c>
      <c r="X924" s="30">
        <v>1</v>
      </c>
      <c r="Y924" s="7" t="s">
        <v>1177</v>
      </c>
      <c r="Z924" s="7" t="s">
        <v>1178</v>
      </c>
      <c r="AA924" s="30">
        <v>0</v>
      </c>
      <c r="AB924" s="36">
        <v>0</v>
      </c>
      <c r="AC924" s="7" t="s">
        <v>1177</v>
      </c>
      <c r="AD924" s="37">
        <v>0</v>
      </c>
      <c r="AE924" s="7" t="s">
        <v>1177</v>
      </c>
      <c r="AF924" s="7" t="s">
        <v>1177</v>
      </c>
      <c r="AG924" s="7" t="s">
        <v>1177</v>
      </c>
      <c r="AH924" s="38"/>
      <c r="AI924" s="36">
        <v>0</v>
      </c>
      <c r="AJ924" s="7" t="s">
        <v>1193</v>
      </c>
      <c r="AK924" s="7" t="s">
        <v>1177</v>
      </c>
      <c r="AL924" s="7" t="s">
        <v>1177</v>
      </c>
      <c r="AM924" s="7" t="s">
        <v>1177</v>
      </c>
      <c r="AN924" s="7" t="s">
        <v>3212</v>
      </c>
      <c r="AO924" s="7" t="s">
        <v>1177</v>
      </c>
      <c r="AP924" s="7" t="s">
        <v>1177</v>
      </c>
      <c r="AQ924" s="7" t="s">
        <v>1177</v>
      </c>
      <c r="AR924" s="29">
        <v>0</v>
      </c>
      <c r="AS924" s="7" t="s">
        <v>1177</v>
      </c>
      <c r="AT924" s="7" t="s">
        <v>1363</v>
      </c>
      <c r="AU924" s="38">
        <v>46275</v>
      </c>
      <c r="AV924" s="39">
        <v>0.60395833333333004</v>
      </c>
    </row>
    <row r="925" spans="1:48" x14ac:dyDescent="0.35">
      <c r="A925" t="str">
        <f t="shared" si="14"/>
        <v>GP218789B867</v>
      </c>
      <c r="B925" s="7" t="s">
        <v>185</v>
      </c>
      <c r="C925" s="7" t="s">
        <v>1059</v>
      </c>
      <c r="D925" s="7" t="s">
        <v>25</v>
      </c>
      <c r="E925" s="7" t="s">
        <v>1177</v>
      </c>
      <c r="F925" s="7" t="s">
        <v>128</v>
      </c>
      <c r="G925" s="7" t="s">
        <v>130</v>
      </c>
      <c r="H925" s="7" t="s">
        <v>129</v>
      </c>
      <c r="I925" s="30">
        <v>2</v>
      </c>
      <c r="J925" s="7" t="s">
        <v>1177</v>
      </c>
      <c r="K925" s="7" t="s">
        <v>1178</v>
      </c>
      <c r="L925" s="7" t="s">
        <v>132</v>
      </c>
      <c r="M925" s="7" t="s">
        <v>133</v>
      </c>
      <c r="N925" s="30">
        <v>0</v>
      </c>
      <c r="O925" s="30">
        <v>0</v>
      </c>
      <c r="P925" s="30">
        <v>0</v>
      </c>
      <c r="Q925" s="30">
        <v>0</v>
      </c>
      <c r="R925" s="29">
        <v>0</v>
      </c>
      <c r="S925" s="36">
        <v>0</v>
      </c>
      <c r="T925" s="7" t="s">
        <v>131</v>
      </c>
      <c r="U925" s="7" t="s">
        <v>1060</v>
      </c>
      <c r="V925" s="7" t="s">
        <v>1060</v>
      </c>
      <c r="W925" s="7" t="s">
        <v>1177</v>
      </c>
      <c r="X925" s="30">
        <v>1</v>
      </c>
      <c r="Y925" s="7" t="s">
        <v>1177</v>
      </c>
      <c r="Z925" s="7" t="s">
        <v>1178</v>
      </c>
      <c r="AA925" s="30">
        <v>0</v>
      </c>
      <c r="AB925" s="36">
        <v>0</v>
      </c>
      <c r="AC925" s="7" t="s">
        <v>1177</v>
      </c>
      <c r="AD925" s="37">
        <v>0</v>
      </c>
      <c r="AE925" s="7" t="s">
        <v>1177</v>
      </c>
      <c r="AF925" s="7" t="s">
        <v>1177</v>
      </c>
      <c r="AG925" s="7" t="s">
        <v>1177</v>
      </c>
      <c r="AH925" s="38"/>
      <c r="AI925" s="36">
        <v>0</v>
      </c>
      <c r="AJ925" s="7" t="s">
        <v>1193</v>
      </c>
      <c r="AK925" s="7" t="s">
        <v>1177</v>
      </c>
      <c r="AL925" s="7" t="s">
        <v>1177</v>
      </c>
      <c r="AM925" s="7" t="s">
        <v>1177</v>
      </c>
      <c r="AN925" s="7" t="s">
        <v>3212</v>
      </c>
      <c r="AO925" s="7" t="s">
        <v>1177</v>
      </c>
      <c r="AP925" s="7" t="s">
        <v>1177</v>
      </c>
      <c r="AQ925" s="7" t="s">
        <v>1177</v>
      </c>
      <c r="AR925" s="29">
        <v>0</v>
      </c>
      <c r="AS925" s="7" t="s">
        <v>1177</v>
      </c>
      <c r="AT925" s="7" t="s">
        <v>1363</v>
      </c>
      <c r="AU925" s="38">
        <v>46275</v>
      </c>
      <c r="AV925" s="39">
        <v>0.60569444444443998</v>
      </c>
    </row>
    <row r="926" spans="1:48" x14ac:dyDescent="0.35">
      <c r="A926" t="str">
        <f t="shared" si="14"/>
        <v>GP218944B825</v>
      </c>
      <c r="B926" s="7" t="s">
        <v>408</v>
      </c>
      <c r="C926" s="7" t="s">
        <v>511</v>
      </c>
      <c r="D926" s="7" t="s">
        <v>16</v>
      </c>
      <c r="E926" s="7" t="s">
        <v>1177</v>
      </c>
      <c r="F926" s="7" t="s">
        <v>128</v>
      </c>
      <c r="G926" s="7" t="s">
        <v>130</v>
      </c>
      <c r="H926" s="7" t="s">
        <v>129</v>
      </c>
      <c r="I926" s="30">
        <v>2</v>
      </c>
      <c r="J926" s="7" t="s">
        <v>1177</v>
      </c>
      <c r="K926" s="7" t="s">
        <v>1178</v>
      </c>
      <c r="L926" s="7" t="s">
        <v>132</v>
      </c>
      <c r="M926" s="7" t="s">
        <v>133</v>
      </c>
      <c r="N926" s="30">
        <v>0</v>
      </c>
      <c r="O926" s="30">
        <v>0</v>
      </c>
      <c r="P926" s="30">
        <v>0</v>
      </c>
      <c r="Q926" s="30">
        <v>0</v>
      </c>
      <c r="R926" s="29">
        <v>0</v>
      </c>
      <c r="S926" s="36">
        <v>0</v>
      </c>
      <c r="T926" s="7" t="s">
        <v>131</v>
      </c>
      <c r="U926" s="7" t="s">
        <v>512</v>
      </c>
      <c r="V926" s="7" t="s">
        <v>512</v>
      </c>
      <c r="W926" s="7" t="s">
        <v>1177</v>
      </c>
      <c r="X926" s="30">
        <v>1</v>
      </c>
      <c r="Y926" s="7" t="s">
        <v>1177</v>
      </c>
      <c r="Z926" s="7" t="s">
        <v>1178</v>
      </c>
      <c r="AA926" s="30">
        <v>0</v>
      </c>
      <c r="AB926" s="36">
        <v>0</v>
      </c>
      <c r="AC926" s="7" t="s">
        <v>1177</v>
      </c>
      <c r="AD926" s="37">
        <v>0</v>
      </c>
      <c r="AE926" s="7" t="s">
        <v>1177</v>
      </c>
      <c r="AF926" s="7" t="s">
        <v>1177</v>
      </c>
      <c r="AG926" s="7" t="s">
        <v>1177</v>
      </c>
      <c r="AH926" s="38"/>
      <c r="AI926" s="36">
        <v>0</v>
      </c>
      <c r="AJ926" s="7" t="s">
        <v>1193</v>
      </c>
      <c r="AK926" s="7" t="s">
        <v>1177</v>
      </c>
      <c r="AL926" s="7" t="s">
        <v>1177</v>
      </c>
      <c r="AM926" s="7" t="s">
        <v>1177</v>
      </c>
      <c r="AN926" s="7" t="s">
        <v>3212</v>
      </c>
      <c r="AO926" s="7" t="s">
        <v>1177</v>
      </c>
      <c r="AP926" s="7" t="s">
        <v>1177</v>
      </c>
      <c r="AQ926" s="7" t="s">
        <v>1177</v>
      </c>
      <c r="AR926" s="29">
        <v>0</v>
      </c>
      <c r="AS926" s="7" t="s">
        <v>1177</v>
      </c>
      <c r="AT926" s="7" t="s">
        <v>1363</v>
      </c>
      <c r="AU926" s="38">
        <v>46275</v>
      </c>
      <c r="AV926" s="39">
        <v>0.62304398148147999</v>
      </c>
    </row>
    <row r="927" spans="1:48" x14ac:dyDescent="0.35">
      <c r="A927" t="str">
        <f t="shared" si="14"/>
        <v>GP219352B856</v>
      </c>
      <c r="B927" s="7" t="s">
        <v>781</v>
      </c>
      <c r="C927" s="7" t="s">
        <v>852</v>
      </c>
      <c r="D927" s="7" t="s">
        <v>21</v>
      </c>
      <c r="E927" s="7" t="s">
        <v>1177</v>
      </c>
      <c r="F927" s="7" t="s">
        <v>128</v>
      </c>
      <c r="G927" s="7" t="s">
        <v>130</v>
      </c>
      <c r="H927" s="7" t="s">
        <v>129</v>
      </c>
      <c r="I927" s="30">
        <v>2</v>
      </c>
      <c r="J927" s="7" t="s">
        <v>1177</v>
      </c>
      <c r="K927" s="7" t="s">
        <v>1178</v>
      </c>
      <c r="L927" s="7" t="s">
        <v>132</v>
      </c>
      <c r="M927" s="7" t="s">
        <v>133</v>
      </c>
      <c r="N927" s="30">
        <v>0</v>
      </c>
      <c r="O927" s="30">
        <v>0</v>
      </c>
      <c r="P927" s="30">
        <v>0</v>
      </c>
      <c r="Q927" s="30">
        <v>0</v>
      </c>
      <c r="R927" s="29">
        <v>0</v>
      </c>
      <c r="S927" s="36">
        <v>0</v>
      </c>
      <c r="T927" s="7" t="s">
        <v>131</v>
      </c>
      <c r="U927" s="7" t="s">
        <v>853</v>
      </c>
      <c r="V927" s="7" t="s">
        <v>853</v>
      </c>
      <c r="W927" s="7" t="s">
        <v>1177</v>
      </c>
      <c r="X927" s="30">
        <v>1</v>
      </c>
      <c r="Y927" s="7" t="s">
        <v>1177</v>
      </c>
      <c r="Z927" s="7" t="s">
        <v>1178</v>
      </c>
      <c r="AA927" s="30">
        <v>0</v>
      </c>
      <c r="AB927" s="36">
        <v>0</v>
      </c>
      <c r="AC927" s="7" t="s">
        <v>1177</v>
      </c>
      <c r="AD927" s="37">
        <v>0</v>
      </c>
      <c r="AE927" s="7" t="s">
        <v>1177</v>
      </c>
      <c r="AF927" s="7" t="s">
        <v>1177</v>
      </c>
      <c r="AG927" s="7" t="s">
        <v>1177</v>
      </c>
      <c r="AH927" s="38"/>
      <c r="AI927" s="36">
        <v>0</v>
      </c>
      <c r="AJ927" s="7" t="s">
        <v>1193</v>
      </c>
      <c r="AK927" s="7" t="s">
        <v>1177</v>
      </c>
      <c r="AL927" s="7" t="s">
        <v>1177</v>
      </c>
      <c r="AM927" s="7" t="s">
        <v>1177</v>
      </c>
      <c r="AN927" s="7" t="s">
        <v>3212</v>
      </c>
      <c r="AO927" s="7" t="s">
        <v>1177</v>
      </c>
      <c r="AP927" s="7" t="s">
        <v>1177</v>
      </c>
      <c r="AQ927" s="7" t="s">
        <v>1177</v>
      </c>
      <c r="AR927" s="29">
        <v>0</v>
      </c>
      <c r="AS927" s="7" t="s">
        <v>1177</v>
      </c>
      <c r="AT927" s="7" t="s">
        <v>1363</v>
      </c>
      <c r="AU927" s="38">
        <v>46275</v>
      </c>
      <c r="AV927" s="39">
        <v>0.62486111111110998</v>
      </c>
    </row>
    <row r="928" spans="1:48" x14ac:dyDescent="0.35">
      <c r="A928" t="str">
        <f t="shared" si="14"/>
        <v>GP219352B857</v>
      </c>
      <c r="B928" s="7" t="s">
        <v>781</v>
      </c>
      <c r="C928" s="7" t="s">
        <v>958</v>
      </c>
      <c r="D928" s="7" t="s">
        <v>23</v>
      </c>
      <c r="E928" s="7" t="s">
        <v>1177</v>
      </c>
      <c r="F928" s="7" t="s">
        <v>128</v>
      </c>
      <c r="G928" s="7" t="s">
        <v>130</v>
      </c>
      <c r="H928" s="7" t="s">
        <v>129</v>
      </c>
      <c r="I928" s="30">
        <v>2</v>
      </c>
      <c r="J928" s="7" t="s">
        <v>1177</v>
      </c>
      <c r="K928" s="7" t="s">
        <v>1178</v>
      </c>
      <c r="L928" s="7" t="s">
        <v>132</v>
      </c>
      <c r="M928" s="7" t="s">
        <v>133</v>
      </c>
      <c r="N928" s="30">
        <v>0</v>
      </c>
      <c r="O928" s="30">
        <v>0</v>
      </c>
      <c r="P928" s="30">
        <v>0</v>
      </c>
      <c r="Q928" s="30">
        <v>0</v>
      </c>
      <c r="R928" s="29">
        <v>0</v>
      </c>
      <c r="S928" s="36">
        <v>0</v>
      </c>
      <c r="T928" s="7" t="s">
        <v>131</v>
      </c>
      <c r="U928" s="7" t="s">
        <v>959</v>
      </c>
      <c r="V928" s="7" t="s">
        <v>959</v>
      </c>
      <c r="W928" s="7" t="s">
        <v>1177</v>
      </c>
      <c r="X928" s="30">
        <v>1</v>
      </c>
      <c r="Y928" s="7" t="s">
        <v>1177</v>
      </c>
      <c r="Z928" s="7" t="s">
        <v>1178</v>
      </c>
      <c r="AA928" s="30">
        <v>0</v>
      </c>
      <c r="AB928" s="36">
        <v>0</v>
      </c>
      <c r="AC928" s="7" t="s">
        <v>1177</v>
      </c>
      <c r="AD928" s="37">
        <v>0</v>
      </c>
      <c r="AE928" s="7" t="s">
        <v>1177</v>
      </c>
      <c r="AF928" s="7" t="s">
        <v>1177</v>
      </c>
      <c r="AG928" s="7" t="s">
        <v>1177</v>
      </c>
      <c r="AH928" s="38"/>
      <c r="AI928" s="36">
        <v>0</v>
      </c>
      <c r="AJ928" s="7" t="s">
        <v>1193</v>
      </c>
      <c r="AK928" s="7" t="s">
        <v>1177</v>
      </c>
      <c r="AL928" s="7" t="s">
        <v>1177</v>
      </c>
      <c r="AM928" s="7" t="s">
        <v>1177</v>
      </c>
      <c r="AN928" s="7" t="s">
        <v>3212</v>
      </c>
      <c r="AO928" s="7" t="s">
        <v>1177</v>
      </c>
      <c r="AP928" s="7" t="s">
        <v>1177</v>
      </c>
      <c r="AQ928" s="7" t="s">
        <v>1177</v>
      </c>
      <c r="AR928" s="29">
        <v>0</v>
      </c>
      <c r="AS928" s="7" t="s">
        <v>1177</v>
      </c>
      <c r="AT928" s="7" t="s">
        <v>1363</v>
      </c>
      <c r="AU928" s="38">
        <v>46275</v>
      </c>
      <c r="AV928" s="39">
        <v>0.62496527777777999</v>
      </c>
    </row>
    <row r="929" spans="1:48" x14ac:dyDescent="0.35">
      <c r="A929" t="str">
        <f t="shared" si="14"/>
        <v>GP219352B865</v>
      </c>
      <c r="B929" s="7" t="s">
        <v>781</v>
      </c>
      <c r="C929" s="7" t="s">
        <v>1039</v>
      </c>
      <c r="D929" s="7" t="s">
        <v>7</v>
      </c>
      <c r="E929" s="7" t="s">
        <v>1177</v>
      </c>
      <c r="F929" s="7" t="s">
        <v>128</v>
      </c>
      <c r="G929" s="7" t="s">
        <v>130</v>
      </c>
      <c r="H929" s="7" t="s">
        <v>129</v>
      </c>
      <c r="I929" s="30">
        <v>2</v>
      </c>
      <c r="J929" s="7" t="s">
        <v>1177</v>
      </c>
      <c r="K929" s="7" t="s">
        <v>1178</v>
      </c>
      <c r="L929" s="7" t="s">
        <v>132</v>
      </c>
      <c r="M929" s="7" t="s">
        <v>133</v>
      </c>
      <c r="N929" s="30">
        <v>0</v>
      </c>
      <c r="O929" s="30">
        <v>0</v>
      </c>
      <c r="P929" s="30">
        <v>0</v>
      </c>
      <c r="Q929" s="30">
        <v>0</v>
      </c>
      <c r="R929" s="29">
        <v>0</v>
      </c>
      <c r="S929" s="36">
        <v>0</v>
      </c>
      <c r="T929" s="7" t="s">
        <v>131</v>
      </c>
      <c r="U929" s="7" t="s">
        <v>1040</v>
      </c>
      <c r="V929" s="7" t="s">
        <v>1040</v>
      </c>
      <c r="W929" s="7" t="s">
        <v>1177</v>
      </c>
      <c r="X929" s="30">
        <v>1</v>
      </c>
      <c r="Y929" s="7" t="s">
        <v>1177</v>
      </c>
      <c r="Z929" s="7" t="s">
        <v>1178</v>
      </c>
      <c r="AA929" s="30">
        <v>0</v>
      </c>
      <c r="AB929" s="36">
        <v>0</v>
      </c>
      <c r="AC929" s="7" t="s">
        <v>1177</v>
      </c>
      <c r="AD929" s="37">
        <v>0</v>
      </c>
      <c r="AE929" s="7" t="s">
        <v>1177</v>
      </c>
      <c r="AF929" s="7" t="s">
        <v>1177</v>
      </c>
      <c r="AG929" s="7" t="s">
        <v>1177</v>
      </c>
      <c r="AH929" s="38"/>
      <c r="AI929" s="36">
        <v>0</v>
      </c>
      <c r="AJ929" s="7" t="s">
        <v>1193</v>
      </c>
      <c r="AK929" s="7" t="s">
        <v>1177</v>
      </c>
      <c r="AL929" s="7" t="s">
        <v>1177</v>
      </c>
      <c r="AM929" s="7" t="s">
        <v>1177</v>
      </c>
      <c r="AN929" s="7" t="s">
        <v>3212</v>
      </c>
      <c r="AO929" s="7" t="s">
        <v>1177</v>
      </c>
      <c r="AP929" s="7" t="s">
        <v>1177</v>
      </c>
      <c r="AQ929" s="7" t="s">
        <v>1177</v>
      </c>
      <c r="AR929" s="29">
        <v>0</v>
      </c>
      <c r="AS929" s="7" t="s">
        <v>1177</v>
      </c>
      <c r="AT929" s="7" t="s">
        <v>1363</v>
      </c>
      <c r="AU929" s="38">
        <v>46275</v>
      </c>
      <c r="AV929" s="39">
        <v>0.62666666666667004</v>
      </c>
    </row>
    <row r="930" spans="1:48" x14ac:dyDescent="0.35">
      <c r="A930" t="str">
        <f t="shared" si="14"/>
        <v>GP219353B857</v>
      </c>
      <c r="B930" s="7" t="s">
        <v>640</v>
      </c>
      <c r="C930" s="7" t="s">
        <v>958</v>
      </c>
      <c r="D930" s="7" t="s">
        <v>23</v>
      </c>
      <c r="E930" s="7" t="s">
        <v>1177</v>
      </c>
      <c r="F930" s="7" t="s">
        <v>128</v>
      </c>
      <c r="G930" s="7" t="s">
        <v>130</v>
      </c>
      <c r="H930" s="7" t="s">
        <v>129</v>
      </c>
      <c r="I930" s="30">
        <v>2</v>
      </c>
      <c r="J930" s="7" t="s">
        <v>1177</v>
      </c>
      <c r="K930" s="7" t="s">
        <v>1178</v>
      </c>
      <c r="L930" s="7" t="s">
        <v>132</v>
      </c>
      <c r="M930" s="7" t="s">
        <v>133</v>
      </c>
      <c r="N930" s="30">
        <v>0</v>
      </c>
      <c r="O930" s="30">
        <v>0</v>
      </c>
      <c r="P930" s="30">
        <v>0</v>
      </c>
      <c r="Q930" s="30">
        <v>0</v>
      </c>
      <c r="R930" s="29">
        <v>0</v>
      </c>
      <c r="S930" s="36">
        <v>0</v>
      </c>
      <c r="T930" s="7" t="s">
        <v>131</v>
      </c>
      <c r="U930" s="7" t="s">
        <v>959</v>
      </c>
      <c r="V930" s="7" t="s">
        <v>959</v>
      </c>
      <c r="W930" s="7" t="s">
        <v>1177</v>
      </c>
      <c r="X930" s="30">
        <v>1</v>
      </c>
      <c r="Y930" s="7" t="s">
        <v>1177</v>
      </c>
      <c r="Z930" s="7" t="s">
        <v>1178</v>
      </c>
      <c r="AA930" s="30">
        <v>0</v>
      </c>
      <c r="AB930" s="36">
        <v>0</v>
      </c>
      <c r="AC930" s="7" t="s">
        <v>1177</v>
      </c>
      <c r="AD930" s="37">
        <v>0</v>
      </c>
      <c r="AE930" s="7" t="s">
        <v>1177</v>
      </c>
      <c r="AF930" s="7" t="s">
        <v>1177</v>
      </c>
      <c r="AG930" s="7" t="s">
        <v>1177</v>
      </c>
      <c r="AH930" s="38"/>
      <c r="AI930" s="36">
        <v>0</v>
      </c>
      <c r="AJ930" s="7" t="s">
        <v>1193</v>
      </c>
      <c r="AK930" s="7" t="s">
        <v>1177</v>
      </c>
      <c r="AL930" s="7" t="s">
        <v>1177</v>
      </c>
      <c r="AM930" s="7" t="s">
        <v>1177</v>
      </c>
      <c r="AN930" s="7" t="s">
        <v>3212</v>
      </c>
      <c r="AO930" s="7" t="s">
        <v>1177</v>
      </c>
      <c r="AP930" s="7" t="s">
        <v>1177</v>
      </c>
      <c r="AQ930" s="7" t="s">
        <v>1177</v>
      </c>
      <c r="AR930" s="29">
        <v>0</v>
      </c>
      <c r="AS930" s="7" t="s">
        <v>1177</v>
      </c>
      <c r="AT930" s="7" t="s">
        <v>1363</v>
      </c>
      <c r="AU930" s="38">
        <v>46275</v>
      </c>
      <c r="AV930" s="39">
        <v>0.62496527777777999</v>
      </c>
    </row>
    <row r="931" spans="1:48" x14ac:dyDescent="0.35">
      <c r="A931" t="str">
        <f t="shared" si="14"/>
        <v>GP219358B856</v>
      </c>
      <c r="B931" s="7" t="s">
        <v>865</v>
      </c>
      <c r="C931" s="7" t="s">
        <v>852</v>
      </c>
      <c r="D931" s="7" t="s">
        <v>21</v>
      </c>
      <c r="E931" s="7" t="s">
        <v>1177</v>
      </c>
      <c r="F931" s="7" t="s">
        <v>128</v>
      </c>
      <c r="G931" s="7" t="s">
        <v>130</v>
      </c>
      <c r="H931" s="7" t="s">
        <v>129</v>
      </c>
      <c r="I931" s="30">
        <v>1</v>
      </c>
      <c r="J931" s="7" t="s">
        <v>1177</v>
      </c>
      <c r="K931" s="7" t="s">
        <v>1178</v>
      </c>
      <c r="L931" s="7" t="s">
        <v>132</v>
      </c>
      <c r="M931" s="7" t="s">
        <v>133</v>
      </c>
      <c r="N931" s="30">
        <v>0</v>
      </c>
      <c r="O931" s="30">
        <v>0</v>
      </c>
      <c r="P931" s="30">
        <v>0</v>
      </c>
      <c r="Q931" s="30">
        <v>0</v>
      </c>
      <c r="R931" s="29">
        <v>0</v>
      </c>
      <c r="S931" s="36">
        <v>0</v>
      </c>
      <c r="T931" s="7" t="s">
        <v>131</v>
      </c>
      <c r="U931" s="7" t="s">
        <v>853</v>
      </c>
      <c r="V931" s="7" t="s">
        <v>853</v>
      </c>
      <c r="W931" s="7" t="s">
        <v>1177</v>
      </c>
      <c r="X931" s="30">
        <v>1</v>
      </c>
      <c r="Y931" s="7" t="s">
        <v>1177</v>
      </c>
      <c r="Z931" s="7" t="s">
        <v>1178</v>
      </c>
      <c r="AA931" s="30">
        <v>0</v>
      </c>
      <c r="AB931" s="36">
        <v>0</v>
      </c>
      <c r="AC931" s="7" t="s">
        <v>1177</v>
      </c>
      <c r="AD931" s="37">
        <v>0</v>
      </c>
      <c r="AE931" s="7" t="s">
        <v>1177</v>
      </c>
      <c r="AF931" s="7" t="s">
        <v>1177</v>
      </c>
      <c r="AG931" s="7" t="s">
        <v>1177</v>
      </c>
      <c r="AH931" s="38"/>
      <c r="AI931" s="36">
        <v>0</v>
      </c>
      <c r="AJ931" s="7" t="s">
        <v>1193</v>
      </c>
      <c r="AK931" s="7" t="s">
        <v>1177</v>
      </c>
      <c r="AL931" s="7" t="s">
        <v>1177</v>
      </c>
      <c r="AM931" s="7" t="s">
        <v>1177</v>
      </c>
      <c r="AN931" s="7" t="s">
        <v>3212</v>
      </c>
      <c r="AO931" s="7" t="s">
        <v>1177</v>
      </c>
      <c r="AP931" s="7" t="s">
        <v>1177</v>
      </c>
      <c r="AQ931" s="7" t="s">
        <v>1177</v>
      </c>
      <c r="AR931" s="29">
        <v>0</v>
      </c>
      <c r="AS931" s="7" t="s">
        <v>1177</v>
      </c>
      <c r="AT931" s="7" t="s">
        <v>1363</v>
      </c>
      <c r="AU931" s="38">
        <v>46275</v>
      </c>
      <c r="AV931" s="39">
        <v>0.62486111111110998</v>
      </c>
    </row>
    <row r="932" spans="1:48" x14ac:dyDescent="0.35">
      <c r="A932" t="str">
        <f t="shared" si="14"/>
        <v>GP220304B825</v>
      </c>
      <c r="B932" s="7" t="s">
        <v>556</v>
      </c>
      <c r="C932" s="7" t="s">
        <v>511</v>
      </c>
      <c r="D932" s="7" t="s">
        <v>16</v>
      </c>
      <c r="E932" s="7" t="s">
        <v>1177</v>
      </c>
      <c r="F932" s="7" t="s">
        <v>128</v>
      </c>
      <c r="G932" s="7" t="s">
        <v>130</v>
      </c>
      <c r="H932" s="7" t="s">
        <v>129</v>
      </c>
      <c r="I932" s="30">
        <v>2</v>
      </c>
      <c r="J932" s="7" t="s">
        <v>1177</v>
      </c>
      <c r="K932" s="7" t="s">
        <v>1178</v>
      </c>
      <c r="L932" s="7" t="s">
        <v>132</v>
      </c>
      <c r="M932" s="7" t="s">
        <v>133</v>
      </c>
      <c r="N932" s="30">
        <v>0</v>
      </c>
      <c r="O932" s="30">
        <v>0</v>
      </c>
      <c r="P932" s="30">
        <v>0</v>
      </c>
      <c r="Q932" s="30">
        <v>0</v>
      </c>
      <c r="R932" s="29">
        <v>0</v>
      </c>
      <c r="S932" s="36">
        <v>0</v>
      </c>
      <c r="T932" s="7" t="s">
        <v>131</v>
      </c>
      <c r="U932" s="7" t="s">
        <v>512</v>
      </c>
      <c r="V932" s="7" t="s">
        <v>512</v>
      </c>
      <c r="W932" s="7" t="s">
        <v>1177</v>
      </c>
      <c r="X932" s="30">
        <v>1</v>
      </c>
      <c r="Y932" s="7" t="s">
        <v>1177</v>
      </c>
      <c r="Z932" s="7" t="s">
        <v>1178</v>
      </c>
      <c r="AA932" s="30">
        <v>0</v>
      </c>
      <c r="AB932" s="36">
        <v>0</v>
      </c>
      <c r="AC932" s="7" t="s">
        <v>1177</v>
      </c>
      <c r="AD932" s="37">
        <v>0</v>
      </c>
      <c r="AE932" s="7" t="s">
        <v>1177</v>
      </c>
      <c r="AF932" s="7" t="s">
        <v>1177</v>
      </c>
      <c r="AG932" s="7" t="s">
        <v>1177</v>
      </c>
      <c r="AH932" s="38"/>
      <c r="AI932" s="36">
        <v>0</v>
      </c>
      <c r="AJ932" s="7" t="s">
        <v>1193</v>
      </c>
      <c r="AK932" s="7" t="s">
        <v>1177</v>
      </c>
      <c r="AL932" s="7" t="s">
        <v>1177</v>
      </c>
      <c r="AM932" s="7" t="s">
        <v>1177</v>
      </c>
      <c r="AN932" s="7" t="s">
        <v>3212</v>
      </c>
      <c r="AO932" s="7" t="s">
        <v>1177</v>
      </c>
      <c r="AP932" s="7" t="s">
        <v>1177</v>
      </c>
      <c r="AQ932" s="7" t="s">
        <v>1177</v>
      </c>
      <c r="AR932" s="29">
        <v>0</v>
      </c>
      <c r="AS932" s="7" t="s">
        <v>1177</v>
      </c>
      <c r="AT932" s="7" t="s">
        <v>1363</v>
      </c>
      <c r="AU932" s="38">
        <v>46275</v>
      </c>
      <c r="AV932" s="39">
        <v>0.62304398148147999</v>
      </c>
    </row>
    <row r="933" spans="1:48" x14ac:dyDescent="0.35">
      <c r="A933" t="str">
        <f t="shared" si="14"/>
        <v>GP222785B857</v>
      </c>
      <c r="B933" s="7" t="s">
        <v>971</v>
      </c>
      <c r="C933" s="7" t="s">
        <v>958</v>
      </c>
      <c r="D933" s="7" t="s">
        <v>23</v>
      </c>
      <c r="E933" s="7" t="s">
        <v>1177</v>
      </c>
      <c r="F933" s="7" t="s">
        <v>128</v>
      </c>
      <c r="G933" s="7" t="s">
        <v>130</v>
      </c>
      <c r="H933" s="7" t="s">
        <v>129</v>
      </c>
      <c r="I933" s="30">
        <v>33</v>
      </c>
      <c r="J933" s="7" t="s">
        <v>1177</v>
      </c>
      <c r="K933" s="7" t="s">
        <v>1178</v>
      </c>
      <c r="L933" s="7" t="s">
        <v>132</v>
      </c>
      <c r="M933" s="7" t="s">
        <v>482</v>
      </c>
      <c r="N933" s="30">
        <v>0</v>
      </c>
      <c r="O933" s="30">
        <v>0</v>
      </c>
      <c r="P933" s="30">
        <v>0</v>
      </c>
      <c r="Q933" s="30">
        <v>0</v>
      </c>
      <c r="R933" s="29">
        <v>0</v>
      </c>
      <c r="S933" s="36">
        <v>0</v>
      </c>
      <c r="T933" s="7" t="s">
        <v>131</v>
      </c>
      <c r="U933" s="7" t="s">
        <v>959</v>
      </c>
      <c r="V933" s="7" t="s">
        <v>959</v>
      </c>
      <c r="W933" s="7" t="s">
        <v>1177</v>
      </c>
      <c r="X933" s="30">
        <v>1</v>
      </c>
      <c r="Y933" s="7" t="s">
        <v>1177</v>
      </c>
      <c r="Z933" s="7" t="s">
        <v>1178</v>
      </c>
      <c r="AA933" s="30">
        <v>0</v>
      </c>
      <c r="AB933" s="36">
        <v>0</v>
      </c>
      <c r="AC933" s="7" t="s">
        <v>1177</v>
      </c>
      <c r="AD933" s="37">
        <v>0</v>
      </c>
      <c r="AE933" s="7" t="s">
        <v>1177</v>
      </c>
      <c r="AF933" s="7" t="s">
        <v>1177</v>
      </c>
      <c r="AG933" s="7" t="s">
        <v>1177</v>
      </c>
      <c r="AH933" s="38"/>
      <c r="AI933" s="36">
        <v>0</v>
      </c>
      <c r="AJ933" s="7" t="s">
        <v>1193</v>
      </c>
      <c r="AK933" s="7" t="s">
        <v>1177</v>
      </c>
      <c r="AL933" s="7" t="s">
        <v>1177</v>
      </c>
      <c r="AM933" s="7" t="s">
        <v>1177</v>
      </c>
      <c r="AN933" s="7" t="s">
        <v>3212</v>
      </c>
      <c r="AO933" s="7" t="s">
        <v>1177</v>
      </c>
      <c r="AP933" s="7" t="s">
        <v>1177</v>
      </c>
      <c r="AQ933" s="7" t="s">
        <v>1177</v>
      </c>
      <c r="AR933" s="29">
        <v>0</v>
      </c>
      <c r="AS933" s="7" t="s">
        <v>1177</v>
      </c>
      <c r="AT933" s="7" t="s">
        <v>1363</v>
      </c>
      <c r="AU933" s="38">
        <v>46275</v>
      </c>
      <c r="AV933" s="39">
        <v>0.62504629629630004</v>
      </c>
    </row>
    <row r="934" spans="1:48" x14ac:dyDescent="0.35">
      <c r="A934" t="str">
        <f t="shared" si="14"/>
        <v>GP224705B825</v>
      </c>
      <c r="B934" s="7" t="s">
        <v>68</v>
      </c>
      <c r="C934" s="7" t="s">
        <v>511</v>
      </c>
      <c r="D934" s="7" t="s">
        <v>16</v>
      </c>
      <c r="E934" s="7" t="s">
        <v>1177</v>
      </c>
      <c r="F934" s="7" t="s">
        <v>128</v>
      </c>
      <c r="G934" s="7" t="s">
        <v>130</v>
      </c>
      <c r="H934" s="7" t="s">
        <v>129</v>
      </c>
      <c r="I934" s="30">
        <v>2</v>
      </c>
      <c r="J934" s="7" t="s">
        <v>1177</v>
      </c>
      <c r="K934" s="7" t="s">
        <v>1178</v>
      </c>
      <c r="L934" s="7" t="s">
        <v>132</v>
      </c>
      <c r="M934" s="7" t="s">
        <v>133</v>
      </c>
      <c r="N934" s="30">
        <v>0</v>
      </c>
      <c r="O934" s="30">
        <v>0</v>
      </c>
      <c r="P934" s="30">
        <v>0</v>
      </c>
      <c r="Q934" s="30">
        <v>0</v>
      </c>
      <c r="R934" s="29">
        <v>0</v>
      </c>
      <c r="S934" s="36">
        <v>0</v>
      </c>
      <c r="T934" s="7" t="s">
        <v>131</v>
      </c>
      <c r="U934" s="7" t="s">
        <v>512</v>
      </c>
      <c r="V934" s="7" t="s">
        <v>512</v>
      </c>
      <c r="W934" s="7" t="s">
        <v>1177</v>
      </c>
      <c r="X934" s="30">
        <v>1</v>
      </c>
      <c r="Y934" s="7" t="s">
        <v>1177</v>
      </c>
      <c r="Z934" s="7" t="s">
        <v>1178</v>
      </c>
      <c r="AA934" s="30">
        <v>0</v>
      </c>
      <c r="AB934" s="36">
        <v>0</v>
      </c>
      <c r="AC934" s="7" t="s">
        <v>1177</v>
      </c>
      <c r="AD934" s="37">
        <v>0</v>
      </c>
      <c r="AE934" s="7" t="s">
        <v>1177</v>
      </c>
      <c r="AF934" s="7" t="s">
        <v>1177</v>
      </c>
      <c r="AG934" s="7" t="s">
        <v>1177</v>
      </c>
      <c r="AH934" s="38"/>
      <c r="AI934" s="36">
        <v>0</v>
      </c>
      <c r="AJ934" s="7" t="s">
        <v>1193</v>
      </c>
      <c r="AK934" s="7" t="s">
        <v>1177</v>
      </c>
      <c r="AL934" s="7" t="s">
        <v>1177</v>
      </c>
      <c r="AM934" s="7" t="s">
        <v>1177</v>
      </c>
      <c r="AN934" s="7" t="s">
        <v>3212</v>
      </c>
      <c r="AO934" s="7" t="s">
        <v>1177</v>
      </c>
      <c r="AP934" s="7" t="s">
        <v>1177</v>
      </c>
      <c r="AQ934" s="7" t="s">
        <v>1177</v>
      </c>
      <c r="AR934" s="29">
        <v>0</v>
      </c>
      <c r="AS934" s="7" t="s">
        <v>1177</v>
      </c>
      <c r="AT934" s="7" t="s">
        <v>1363</v>
      </c>
      <c r="AU934" s="38">
        <v>46275</v>
      </c>
      <c r="AV934" s="39">
        <v>0.62304398148147999</v>
      </c>
    </row>
    <row r="935" spans="1:48" x14ac:dyDescent="0.35">
      <c r="A935" t="str">
        <f t="shared" si="14"/>
        <v>GP224705B838</v>
      </c>
      <c r="B935" s="7" t="s">
        <v>68</v>
      </c>
      <c r="C935" s="7" t="s">
        <v>744</v>
      </c>
      <c r="D935" s="7" t="s">
        <v>48</v>
      </c>
      <c r="E935" s="7" t="s">
        <v>1177</v>
      </c>
      <c r="F935" s="7" t="s">
        <v>128</v>
      </c>
      <c r="G935" s="7" t="s">
        <v>130</v>
      </c>
      <c r="H935" s="7" t="s">
        <v>129</v>
      </c>
      <c r="I935" s="30">
        <v>2</v>
      </c>
      <c r="J935" s="7" t="s">
        <v>1177</v>
      </c>
      <c r="K935" s="7" t="s">
        <v>1178</v>
      </c>
      <c r="L935" s="7" t="s">
        <v>132</v>
      </c>
      <c r="M935" s="7" t="s">
        <v>133</v>
      </c>
      <c r="N935" s="30">
        <v>0</v>
      </c>
      <c r="O935" s="30">
        <v>0</v>
      </c>
      <c r="P935" s="30">
        <v>0</v>
      </c>
      <c r="Q935" s="30">
        <v>0</v>
      </c>
      <c r="R935" s="29">
        <v>0</v>
      </c>
      <c r="S935" s="36">
        <v>0</v>
      </c>
      <c r="T935" s="7" t="s">
        <v>131</v>
      </c>
      <c r="U935" s="7" t="s">
        <v>745</v>
      </c>
      <c r="V935" s="7" t="s">
        <v>745</v>
      </c>
      <c r="W935" s="7" t="s">
        <v>1177</v>
      </c>
      <c r="X935" s="30">
        <v>1</v>
      </c>
      <c r="Y935" s="7" t="s">
        <v>1177</v>
      </c>
      <c r="Z935" s="7" t="s">
        <v>1178</v>
      </c>
      <c r="AA935" s="30">
        <v>0</v>
      </c>
      <c r="AB935" s="36">
        <v>0</v>
      </c>
      <c r="AC935" s="7" t="s">
        <v>1177</v>
      </c>
      <c r="AD935" s="37">
        <v>0</v>
      </c>
      <c r="AE935" s="7" t="s">
        <v>1177</v>
      </c>
      <c r="AF935" s="7" t="s">
        <v>1177</v>
      </c>
      <c r="AG935" s="7" t="s">
        <v>1177</v>
      </c>
      <c r="AH935" s="38"/>
      <c r="AI935" s="36">
        <v>0</v>
      </c>
      <c r="AJ935" s="7" t="s">
        <v>1193</v>
      </c>
      <c r="AK935" s="7" t="s">
        <v>1177</v>
      </c>
      <c r="AL935" s="7" t="s">
        <v>1177</v>
      </c>
      <c r="AM935" s="7" t="s">
        <v>1177</v>
      </c>
      <c r="AN935" s="7" t="s">
        <v>3212</v>
      </c>
      <c r="AO935" s="7" t="s">
        <v>1177</v>
      </c>
      <c r="AP935" s="7" t="s">
        <v>1177</v>
      </c>
      <c r="AQ935" s="7" t="s">
        <v>1177</v>
      </c>
      <c r="AR935" s="29">
        <v>0</v>
      </c>
      <c r="AS935" s="7" t="s">
        <v>1177</v>
      </c>
      <c r="AT935" s="7" t="s">
        <v>1363</v>
      </c>
      <c r="AU935" s="38">
        <v>46275</v>
      </c>
      <c r="AV935" s="39">
        <v>0.62412037037037005</v>
      </c>
    </row>
    <row r="936" spans="1:48" x14ac:dyDescent="0.35">
      <c r="A936" t="str">
        <f t="shared" si="14"/>
        <v>GP224705B857</v>
      </c>
      <c r="B936" s="7" t="s">
        <v>68</v>
      </c>
      <c r="C936" s="7" t="s">
        <v>958</v>
      </c>
      <c r="D936" s="7" t="s">
        <v>23</v>
      </c>
      <c r="E936" s="7" t="s">
        <v>1177</v>
      </c>
      <c r="F936" s="7" t="s">
        <v>128</v>
      </c>
      <c r="G936" s="7" t="s">
        <v>130</v>
      </c>
      <c r="H936" s="7" t="s">
        <v>129</v>
      </c>
      <c r="I936" s="30">
        <v>3</v>
      </c>
      <c r="J936" s="7" t="s">
        <v>1177</v>
      </c>
      <c r="K936" s="7" t="s">
        <v>1178</v>
      </c>
      <c r="L936" s="7" t="s">
        <v>132</v>
      </c>
      <c r="M936" s="7" t="s">
        <v>133</v>
      </c>
      <c r="N936" s="30">
        <v>0</v>
      </c>
      <c r="O936" s="30">
        <v>0</v>
      </c>
      <c r="P936" s="30">
        <v>0</v>
      </c>
      <c r="Q936" s="30">
        <v>0</v>
      </c>
      <c r="R936" s="29">
        <v>0</v>
      </c>
      <c r="S936" s="36">
        <v>0</v>
      </c>
      <c r="T936" s="7" t="s">
        <v>131</v>
      </c>
      <c r="U936" s="7" t="s">
        <v>959</v>
      </c>
      <c r="V936" s="7" t="s">
        <v>959</v>
      </c>
      <c r="W936" s="7" t="s">
        <v>1177</v>
      </c>
      <c r="X936" s="30">
        <v>1</v>
      </c>
      <c r="Y936" s="7" t="s">
        <v>1177</v>
      </c>
      <c r="Z936" s="7" t="s">
        <v>1178</v>
      </c>
      <c r="AA936" s="30">
        <v>0</v>
      </c>
      <c r="AB936" s="36">
        <v>0</v>
      </c>
      <c r="AC936" s="7" t="s">
        <v>1177</v>
      </c>
      <c r="AD936" s="37">
        <v>0</v>
      </c>
      <c r="AE936" s="7" t="s">
        <v>1177</v>
      </c>
      <c r="AF936" s="7" t="s">
        <v>1177</v>
      </c>
      <c r="AG936" s="7" t="s">
        <v>1177</v>
      </c>
      <c r="AH936" s="38"/>
      <c r="AI936" s="36">
        <v>0</v>
      </c>
      <c r="AJ936" s="7" t="s">
        <v>1193</v>
      </c>
      <c r="AK936" s="7" t="s">
        <v>1177</v>
      </c>
      <c r="AL936" s="7" t="s">
        <v>1177</v>
      </c>
      <c r="AM936" s="7" t="s">
        <v>1177</v>
      </c>
      <c r="AN936" s="7" t="s">
        <v>3212</v>
      </c>
      <c r="AO936" s="7" t="s">
        <v>1177</v>
      </c>
      <c r="AP936" s="7" t="s">
        <v>1177</v>
      </c>
      <c r="AQ936" s="7" t="s">
        <v>1177</v>
      </c>
      <c r="AR936" s="29">
        <v>0</v>
      </c>
      <c r="AS936" s="7" t="s">
        <v>1177</v>
      </c>
      <c r="AT936" s="7" t="s">
        <v>1363</v>
      </c>
      <c r="AU936" s="38">
        <v>46275</v>
      </c>
      <c r="AV936" s="39">
        <v>0.62496527777777999</v>
      </c>
    </row>
    <row r="937" spans="1:48" x14ac:dyDescent="0.35">
      <c r="A937" t="str">
        <f t="shared" si="14"/>
        <v>GP224705B867</v>
      </c>
      <c r="B937" s="7" t="s">
        <v>68</v>
      </c>
      <c r="C937" s="7" t="s">
        <v>1059</v>
      </c>
      <c r="D937" s="7" t="s">
        <v>25</v>
      </c>
      <c r="E937" s="7" t="s">
        <v>1177</v>
      </c>
      <c r="F937" s="7" t="s">
        <v>128</v>
      </c>
      <c r="G937" s="7" t="s">
        <v>130</v>
      </c>
      <c r="H937" s="7" t="s">
        <v>129</v>
      </c>
      <c r="I937" s="30">
        <v>4</v>
      </c>
      <c r="J937" s="7" t="s">
        <v>1177</v>
      </c>
      <c r="K937" s="7" t="s">
        <v>1178</v>
      </c>
      <c r="L937" s="7" t="s">
        <v>132</v>
      </c>
      <c r="M937" s="7" t="s">
        <v>133</v>
      </c>
      <c r="N937" s="30">
        <v>0</v>
      </c>
      <c r="O937" s="30">
        <v>0</v>
      </c>
      <c r="P937" s="30">
        <v>0</v>
      </c>
      <c r="Q937" s="30">
        <v>0</v>
      </c>
      <c r="R937" s="29">
        <v>0</v>
      </c>
      <c r="S937" s="36">
        <v>0</v>
      </c>
      <c r="T937" s="7" t="s">
        <v>131</v>
      </c>
      <c r="U937" s="7" t="s">
        <v>1060</v>
      </c>
      <c r="V937" s="7" t="s">
        <v>1060</v>
      </c>
      <c r="W937" s="7" t="s">
        <v>1177</v>
      </c>
      <c r="X937" s="30">
        <v>1</v>
      </c>
      <c r="Y937" s="7" t="s">
        <v>1177</v>
      </c>
      <c r="Z937" s="7" t="s">
        <v>1178</v>
      </c>
      <c r="AA937" s="30">
        <v>0</v>
      </c>
      <c r="AB937" s="36">
        <v>0</v>
      </c>
      <c r="AC937" s="7" t="s">
        <v>1177</v>
      </c>
      <c r="AD937" s="37">
        <v>0</v>
      </c>
      <c r="AE937" s="7" t="s">
        <v>1177</v>
      </c>
      <c r="AF937" s="7" t="s">
        <v>1177</v>
      </c>
      <c r="AG937" s="7" t="s">
        <v>1177</v>
      </c>
      <c r="AH937" s="38"/>
      <c r="AI937" s="36">
        <v>0</v>
      </c>
      <c r="AJ937" s="7" t="s">
        <v>1193</v>
      </c>
      <c r="AK937" s="7" t="s">
        <v>1177</v>
      </c>
      <c r="AL937" s="7" t="s">
        <v>1177</v>
      </c>
      <c r="AM937" s="7" t="s">
        <v>1177</v>
      </c>
      <c r="AN937" s="7" t="s">
        <v>3212</v>
      </c>
      <c r="AO937" s="7" t="s">
        <v>1177</v>
      </c>
      <c r="AP937" s="7" t="s">
        <v>1177</v>
      </c>
      <c r="AQ937" s="7" t="s">
        <v>1177</v>
      </c>
      <c r="AR937" s="29">
        <v>0</v>
      </c>
      <c r="AS937" s="7" t="s">
        <v>1177</v>
      </c>
      <c r="AT937" s="7" t="s">
        <v>1363</v>
      </c>
      <c r="AU937" s="38">
        <v>46275</v>
      </c>
      <c r="AV937" s="39">
        <v>0.62738425925926</v>
      </c>
    </row>
    <row r="938" spans="1:48" x14ac:dyDescent="0.35">
      <c r="A938" t="str">
        <f t="shared" si="14"/>
        <v>GP225748B825</v>
      </c>
      <c r="B938" s="7" t="s">
        <v>557</v>
      </c>
      <c r="C938" s="7" t="s">
        <v>511</v>
      </c>
      <c r="D938" s="7" t="s">
        <v>16</v>
      </c>
      <c r="E938" s="7" t="s">
        <v>1177</v>
      </c>
      <c r="F938" s="7" t="s">
        <v>128</v>
      </c>
      <c r="G938" s="7" t="s">
        <v>130</v>
      </c>
      <c r="H938" s="7" t="s">
        <v>129</v>
      </c>
      <c r="I938" s="30">
        <v>2</v>
      </c>
      <c r="J938" s="7" t="s">
        <v>1177</v>
      </c>
      <c r="K938" s="7" t="s">
        <v>1178</v>
      </c>
      <c r="L938" s="7" t="s">
        <v>132</v>
      </c>
      <c r="M938" s="7" t="s">
        <v>133</v>
      </c>
      <c r="N938" s="30">
        <v>0</v>
      </c>
      <c r="O938" s="30">
        <v>0</v>
      </c>
      <c r="P938" s="30">
        <v>0</v>
      </c>
      <c r="Q938" s="30">
        <v>0</v>
      </c>
      <c r="R938" s="29">
        <v>0</v>
      </c>
      <c r="S938" s="36">
        <v>0</v>
      </c>
      <c r="T938" s="7" t="s">
        <v>131</v>
      </c>
      <c r="U938" s="7" t="s">
        <v>512</v>
      </c>
      <c r="V938" s="7" t="s">
        <v>512</v>
      </c>
      <c r="W938" s="7" t="s">
        <v>1177</v>
      </c>
      <c r="X938" s="30">
        <v>1</v>
      </c>
      <c r="Y938" s="7" t="s">
        <v>1177</v>
      </c>
      <c r="Z938" s="7" t="s">
        <v>1178</v>
      </c>
      <c r="AA938" s="30">
        <v>0</v>
      </c>
      <c r="AB938" s="36">
        <v>0</v>
      </c>
      <c r="AC938" s="7" t="s">
        <v>1177</v>
      </c>
      <c r="AD938" s="37">
        <v>0</v>
      </c>
      <c r="AE938" s="7" t="s">
        <v>1177</v>
      </c>
      <c r="AF938" s="7" t="s">
        <v>1177</v>
      </c>
      <c r="AG938" s="7" t="s">
        <v>1177</v>
      </c>
      <c r="AH938" s="38"/>
      <c r="AI938" s="36">
        <v>0</v>
      </c>
      <c r="AJ938" s="7" t="s">
        <v>1193</v>
      </c>
      <c r="AK938" s="7" t="s">
        <v>1177</v>
      </c>
      <c r="AL938" s="7" t="s">
        <v>1177</v>
      </c>
      <c r="AM938" s="7" t="s">
        <v>1177</v>
      </c>
      <c r="AN938" s="7" t="s">
        <v>3212</v>
      </c>
      <c r="AO938" s="7" t="s">
        <v>1177</v>
      </c>
      <c r="AP938" s="7" t="s">
        <v>1177</v>
      </c>
      <c r="AQ938" s="7" t="s">
        <v>1177</v>
      </c>
      <c r="AR938" s="29">
        <v>0</v>
      </c>
      <c r="AS938" s="7" t="s">
        <v>1177</v>
      </c>
      <c r="AT938" s="7" t="s">
        <v>1363</v>
      </c>
      <c r="AU938" s="38">
        <v>46275</v>
      </c>
      <c r="AV938" s="39">
        <v>0.62304398148147999</v>
      </c>
    </row>
    <row r="939" spans="1:48" x14ac:dyDescent="0.35">
      <c r="A939" t="str">
        <f t="shared" si="14"/>
        <v>GP225755B832</v>
      </c>
      <c r="B939" s="7" t="s">
        <v>641</v>
      </c>
      <c r="C939" s="7" t="s">
        <v>653</v>
      </c>
      <c r="D939" s="7" t="s">
        <v>19</v>
      </c>
      <c r="E939" s="7" t="s">
        <v>1177</v>
      </c>
      <c r="F939" s="7" t="s">
        <v>128</v>
      </c>
      <c r="G939" s="7" t="s">
        <v>130</v>
      </c>
      <c r="H939" s="7" t="s">
        <v>129</v>
      </c>
      <c r="I939" s="30">
        <v>2</v>
      </c>
      <c r="J939" s="7" t="s">
        <v>1177</v>
      </c>
      <c r="K939" s="7" t="s">
        <v>1178</v>
      </c>
      <c r="L939" s="7" t="s">
        <v>132</v>
      </c>
      <c r="M939" s="7" t="s">
        <v>133</v>
      </c>
      <c r="N939" s="30">
        <v>0</v>
      </c>
      <c r="O939" s="30">
        <v>0</v>
      </c>
      <c r="P939" s="30">
        <v>0</v>
      </c>
      <c r="Q939" s="30">
        <v>0</v>
      </c>
      <c r="R939" s="29">
        <v>0</v>
      </c>
      <c r="S939" s="36">
        <v>0</v>
      </c>
      <c r="T939" s="7" t="s">
        <v>131</v>
      </c>
      <c r="U939" s="7" t="s">
        <v>654</v>
      </c>
      <c r="V939" s="7" t="s">
        <v>654</v>
      </c>
      <c r="W939" s="7" t="s">
        <v>1177</v>
      </c>
      <c r="X939" s="30">
        <v>1</v>
      </c>
      <c r="Y939" s="7" t="s">
        <v>1177</v>
      </c>
      <c r="Z939" s="7" t="s">
        <v>1178</v>
      </c>
      <c r="AA939" s="30">
        <v>0</v>
      </c>
      <c r="AB939" s="36">
        <v>0</v>
      </c>
      <c r="AC939" s="7" t="s">
        <v>1177</v>
      </c>
      <c r="AD939" s="37">
        <v>0</v>
      </c>
      <c r="AE939" s="7" t="s">
        <v>1177</v>
      </c>
      <c r="AF939" s="7" t="s">
        <v>1177</v>
      </c>
      <c r="AG939" s="7" t="s">
        <v>1177</v>
      </c>
      <c r="AH939" s="38"/>
      <c r="AI939" s="36">
        <v>0</v>
      </c>
      <c r="AJ939" s="7" t="s">
        <v>1193</v>
      </c>
      <c r="AK939" s="7" t="s">
        <v>1177</v>
      </c>
      <c r="AL939" s="7" t="s">
        <v>1177</v>
      </c>
      <c r="AM939" s="7" t="s">
        <v>1177</v>
      </c>
      <c r="AN939" s="7" t="s">
        <v>3212</v>
      </c>
      <c r="AO939" s="7" t="s">
        <v>1177</v>
      </c>
      <c r="AP939" s="7" t="s">
        <v>1177</v>
      </c>
      <c r="AQ939" s="7" t="s">
        <v>1177</v>
      </c>
      <c r="AR939" s="29">
        <v>0</v>
      </c>
      <c r="AS939" s="7" t="s">
        <v>1177</v>
      </c>
      <c r="AT939" s="7" t="s">
        <v>1363</v>
      </c>
      <c r="AU939" s="38">
        <v>46275</v>
      </c>
      <c r="AV939" s="39">
        <v>0.62336805555555996</v>
      </c>
    </row>
    <row r="940" spans="1:48" x14ac:dyDescent="0.35">
      <c r="A940" t="str">
        <f t="shared" si="14"/>
        <v>GP226236B856</v>
      </c>
      <c r="B940" s="7" t="s">
        <v>866</v>
      </c>
      <c r="C940" s="7" t="s">
        <v>852</v>
      </c>
      <c r="D940" s="7" t="s">
        <v>21</v>
      </c>
      <c r="E940" s="7" t="s">
        <v>1177</v>
      </c>
      <c r="F940" s="7" t="s">
        <v>134</v>
      </c>
      <c r="G940" s="7" t="s">
        <v>130</v>
      </c>
      <c r="H940" s="7" t="s">
        <v>129</v>
      </c>
      <c r="I940" s="30">
        <v>2</v>
      </c>
      <c r="J940" s="7" t="s">
        <v>1177</v>
      </c>
      <c r="K940" s="7" t="s">
        <v>1178</v>
      </c>
      <c r="L940" s="7" t="s">
        <v>132</v>
      </c>
      <c r="M940" s="7" t="s">
        <v>133</v>
      </c>
      <c r="N940" s="30">
        <v>0</v>
      </c>
      <c r="O940" s="30">
        <v>0</v>
      </c>
      <c r="P940" s="30">
        <v>0</v>
      </c>
      <c r="Q940" s="30">
        <v>0</v>
      </c>
      <c r="R940" s="29">
        <v>0</v>
      </c>
      <c r="S940" s="36">
        <v>0</v>
      </c>
      <c r="T940" s="7" t="s">
        <v>131</v>
      </c>
      <c r="U940" s="7" t="s">
        <v>853</v>
      </c>
      <c r="V940" s="7" t="s">
        <v>853</v>
      </c>
      <c r="W940" s="7" t="s">
        <v>1177</v>
      </c>
      <c r="X940" s="30">
        <v>2</v>
      </c>
      <c r="Y940" s="7" t="s">
        <v>1177</v>
      </c>
      <c r="Z940" s="7" t="s">
        <v>1178</v>
      </c>
      <c r="AA940" s="30">
        <v>0</v>
      </c>
      <c r="AB940" s="36">
        <v>0</v>
      </c>
      <c r="AC940" s="7" t="s">
        <v>1177</v>
      </c>
      <c r="AD940" s="37">
        <v>0</v>
      </c>
      <c r="AE940" s="7" t="s">
        <v>1177</v>
      </c>
      <c r="AF940" s="7" t="s">
        <v>1177</v>
      </c>
      <c r="AG940" s="7" t="s">
        <v>1177</v>
      </c>
      <c r="AH940" s="38"/>
      <c r="AI940" s="36">
        <v>0</v>
      </c>
      <c r="AJ940" s="7" t="s">
        <v>1193</v>
      </c>
      <c r="AK940" s="7" t="s">
        <v>1177</v>
      </c>
      <c r="AL940" s="7" t="s">
        <v>1177</v>
      </c>
      <c r="AM940" s="7" t="s">
        <v>1177</v>
      </c>
      <c r="AN940" s="7" t="s">
        <v>3212</v>
      </c>
      <c r="AO940" s="7" t="s">
        <v>1177</v>
      </c>
      <c r="AP940" s="7" t="s">
        <v>1177</v>
      </c>
      <c r="AQ940" s="7" t="s">
        <v>1177</v>
      </c>
      <c r="AR940" s="29">
        <v>0</v>
      </c>
      <c r="AS940" s="7" t="s">
        <v>1177</v>
      </c>
      <c r="AT940" s="7" t="s">
        <v>1363</v>
      </c>
      <c r="AU940" s="38">
        <v>46275</v>
      </c>
      <c r="AV940" s="39">
        <v>0.62484953703704005</v>
      </c>
    </row>
    <row r="941" spans="1:48" x14ac:dyDescent="0.35">
      <c r="A941" t="str">
        <f t="shared" si="14"/>
        <v>GP226236B857</v>
      </c>
      <c r="B941" s="7" t="s">
        <v>866</v>
      </c>
      <c r="C941" s="7" t="s">
        <v>958</v>
      </c>
      <c r="D941" s="7" t="s">
        <v>23</v>
      </c>
      <c r="E941" s="7" t="s">
        <v>1177</v>
      </c>
      <c r="F941" s="7" t="s">
        <v>134</v>
      </c>
      <c r="G941" s="7" t="s">
        <v>130</v>
      </c>
      <c r="H941" s="7" t="s">
        <v>129</v>
      </c>
      <c r="I941" s="30">
        <v>6</v>
      </c>
      <c r="J941" s="7" t="s">
        <v>1177</v>
      </c>
      <c r="K941" s="7" t="s">
        <v>1178</v>
      </c>
      <c r="L941" s="7" t="s">
        <v>132</v>
      </c>
      <c r="M941" s="7" t="s">
        <v>133</v>
      </c>
      <c r="N941" s="30">
        <v>0</v>
      </c>
      <c r="O941" s="30">
        <v>0</v>
      </c>
      <c r="P941" s="30">
        <v>0</v>
      </c>
      <c r="Q941" s="30">
        <v>0</v>
      </c>
      <c r="R941" s="29">
        <v>0</v>
      </c>
      <c r="S941" s="36">
        <v>0</v>
      </c>
      <c r="T941" s="7" t="s">
        <v>131</v>
      </c>
      <c r="U941" s="7" t="s">
        <v>959</v>
      </c>
      <c r="V941" s="7" t="s">
        <v>959</v>
      </c>
      <c r="W941" s="7" t="s">
        <v>1177</v>
      </c>
      <c r="X941" s="30">
        <v>6</v>
      </c>
      <c r="Y941" s="7" t="s">
        <v>1177</v>
      </c>
      <c r="Z941" s="7" t="s">
        <v>1178</v>
      </c>
      <c r="AA941" s="30">
        <v>0</v>
      </c>
      <c r="AB941" s="36">
        <v>0</v>
      </c>
      <c r="AC941" s="7" t="s">
        <v>1177</v>
      </c>
      <c r="AD941" s="37">
        <v>0</v>
      </c>
      <c r="AE941" s="7" t="s">
        <v>1177</v>
      </c>
      <c r="AF941" s="7" t="s">
        <v>1177</v>
      </c>
      <c r="AG941" s="7" t="s">
        <v>1177</v>
      </c>
      <c r="AH941" s="38"/>
      <c r="AI941" s="36">
        <v>0</v>
      </c>
      <c r="AJ941" s="7" t="s">
        <v>1193</v>
      </c>
      <c r="AK941" s="7" t="s">
        <v>1177</v>
      </c>
      <c r="AL941" s="7" t="s">
        <v>1177</v>
      </c>
      <c r="AM941" s="7" t="s">
        <v>1177</v>
      </c>
      <c r="AN941" s="7" t="s">
        <v>3212</v>
      </c>
      <c r="AO941" s="7" t="s">
        <v>1177</v>
      </c>
      <c r="AP941" s="7" t="s">
        <v>1177</v>
      </c>
      <c r="AQ941" s="7" t="s">
        <v>1177</v>
      </c>
      <c r="AR941" s="29">
        <v>0</v>
      </c>
      <c r="AS941" s="7" t="s">
        <v>1177</v>
      </c>
      <c r="AT941" s="7" t="s">
        <v>1363</v>
      </c>
      <c r="AU941" s="38">
        <v>46275</v>
      </c>
      <c r="AV941" s="39">
        <v>0.62504629629630004</v>
      </c>
    </row>
    <row r="942" spans="1:48" x14ac:dyDescent="0.35">
      <c r="A942" t="str">
        <f t="shared" si="14"/>
        <v>GP226236B867</v>
      </c>
      <c r="B942" s="7" t="s">
        <v>866</v>
      </c>
      <c r="C942" s="7" t="s">
        <v>1059</v>
      </c>
      <c r="D942" s="7" t="s">
        <v>25</v>
      </c>
      <c r="E942" s="7" t="s">
        <v>1177</v>
      </c>
      <c r="F942" s="7" t="s">
        <v>134</v>
      </c>
      <c r="G942" s="7" t="s">
        <v>130</v>
      </c>
      <c r="H942" s="7" t="s">
        <v>129</v>
      </c>
      <c r="I942" s="30">
        <v>4</v>
      </c>
      <c r="J942" s="7" t="s">
        <v>1177</v>
      </c>
      <c r="K942" s="7" t="s">
        <v>1178</v>
      </c>
      <c r="L942" s="7" t="s">
        <v>132</v>
      </c>
      <c r="M942" s="7" t="s">
        <v>133</v>
      </c>
      <c r="N942" s="30">
        <v>0</v>
      </c>
      <c r="O942" s="30">
        <v>0</v>
      </c>
      <c r="P942" s="30">
        <v>0</v>
      </c>
      <c r="Q942" s="30">
        <v>0</v>
      </c>
      <c r="R942" s="29">
        <v>0</v>
      </c>
      <c r="S942" s="36">
        <v>0</v>
      </c>
      <c r="T942" s="7" t="s">
        <v>131</v>
      </c>
      <c r="U942" s="7" t="s">
        <v>1060</v>
      </c>
      <c r="V942" s="7" t="s">
        <v>1060</v>
      </c>
      <c r="W942" s="7" t="s">
        <v>1177</v>
      </c>
      <c r="X942" s="30">
        <v>4</v>
      </c>
      <c r="Y942" s="7" t="s">
        <v>1177</v>
      </c>
      <c r="Z942" s="7" t="s">
        <v>1178</v>
      </c>
      <c r="AA942" s="30">
        <v>0</v>
      </c>
      <c r="AB942" s="36">
        <v>0</v>
      </c>
      <c r="AC942" s="7" t="s">
        <v>1177</v>
      </c>
      <c r="AD942" s="37">
        <v>0</v>
      </c>
      <c r="AE942" s="7" t="s">
        <v>1177</v>
      </c>
      <c r="AF942" s="7" t="s">
        <v>1177</v>
      </c>
      <c r="AG942" s="7" t="s">
        <v>1177</v>
      </c>
      <c r="AH942" s="38"/>
      <c r="AI942" s="36">
        <v>0</v>
      </c>
      <c r="AJ942" s="7" t="s">
        <v>1193</v>
      </c>
      <c r="AK942" s="7" t="s">
        <v>1177</v>
      </c>
      <c r="AL942" s="7" t="s">
        <v>1177</v>
      </c>
      <c r="AM942" s="7" t="s">
        <v>1177</v>
      </c>
      <c r="AN942" s="7" t="s">
        <v>3212</v>
      </c>
      <c r="AO942" s="7" t="s">
        <v>1177</v>
      </c>
      <c r="AP942" s="7" t="s">
        <v>1177</v>
      </c>
      <c r="AQ942" s="7" t="s">
        <v>1177</v>
      </c>
      <c r="AR942" s="29">
        <v>0</v>
      </c>
      <c r="AS942" s="7" t="s">
        <v>1177</v>
      </c>
      <c r="AT942" s="7" t="s">
        <v>1363</v>
      </c>
      <c r="AU942" s="38">
        <v>46275</v>
      </c>
      <c r="AV942" s="39">
        <v>0.62730324074073995</v>
      </c>
    </row>
    <row r="943" spans="1:48" x14ac:dyDescent="0.35">
      <c r="A943" t="str">
        <f t="shared" si="14"/>
        <v>GP226936B867</v>
      </c>
      <c r="B943" s="7" t="s">
        <v>795</v>
      </c>
      <c r="C943" s="7" t="s">
        <v>1059</v>
      </c>
      <c r="D943" s="7" t="s">
        <v>25</v>
      </c>
      <c r="E943" s="7" t="s">
        <v>1177</v>
      </c>
      <c r="F943" s="7" t="s">
        <v>128</v>
      </c>
      <c r="G943" s="7" t="s">
        <v>130</v>
      </c>
      <c r="H943" s="7" t="s">
        <v>129</v>
      </c>
      <c r="I943" s="30">
        <v>2</v>
      </c>
      <c r="J943" s="7" t="s">
        <v>1177</v>
      </c>
      <c r="K943" s="7" t="s">
        <v>1178</v>
      </c>
      <c r="L943" s="7" t="s">
        <v>132</v>
      </c>
      <c r="M943" s="7" t="s">
        <v>133</v>
      </c>
      <c r="N943" s="30">
        <v>0</v>
      </c>
      <c r="O943" s="30">
        <v>0</v>
      </c>
      <c r="P943" s="30">
        <v>0</v>
      </c>
      <c r="Q943" s="30">
        <v>0</v>
      </c>
      <c r="R943" s="29">
        <v>0</v>
      </c>
      <c r="S943" s="36">
        <v>0</v>
      </c>
      <c r="T943" s="7" t="s">
        <v>131</v>
      </c>
      <c r="U943" s="7" t="s">
        <v>1060</v>
      </c>
      <c r="V943" s="7" t="s">
        <v>1060</v>
      </c>
      <c r="W943" s="7" t="s">
        <v>1177</v>
      </c>
      <c r="X943" s="30">
        <v>1</v>
      </c>
      <c r="Y943" s="7" t="s">
        <v>1177</v>
      </c>
      <c r="Z943" s="7" t="s">
        <v>1178</v>
      </c>
      <c r="AA943" s="30">
        <v>0</v>
      </c>
      <c r="AB943" s="36">
        <v>0</v>
      </c>
      <c r="AC943" s="7" t="s">
        <v>1177</v>
      </c>
      <c r="AD943" s="37">
        <v>0</v>
      </c>
      <c r="AE943" s="7" t="s">
        <v>1177</v>
      </c>
      <c r="AF943" s="7" t="s">
        <v>1177</v>
      </c>
      <c r="AG943" s="7" t="s">
        <v>1177</v>
      </c>
      <c r="AH943" s="38"/>
      <c r="AI943" s="36">
        <v>0</v>
      </c>
      <c r="AJ943" s="7" t="s">
        <v>1193</v>
      </c>
      <c r="AK943" s="7" t="s">
        <v>1177</v>
      </c>
      <c r="AL943" s="7" t="s">
        <v>1177</v>
      </c>
      <c r="AM943" s="7" t="s">
        <v>1177</v>
      </c>
      <c r="AN943" s="7" t="s">
        <v>3212</v>
      </c>
      <c r="AO943" s="7" t="s">
        <v>1177</v>
      </c>
      <c r="AP943" s="7" t="s">
        <v>1177</v>
      </c>
      <c r="AQ943" s="7" t="s">
        <v>1177</v>
      </c>
      <c r="AR943" s="29">
        <v>0</v>
      </c>
      <c r="AS943" s="7" t="s">
        <v>1177</v>
      </c>
      <c r="AT943" s="7" t="s">
        <v>1363</v>
      </c>
      <c r="AU943" s="38">
        <v>46275</v>
      </c>
      <c r="AV943" s="39">
        <v>0.62737268518518996</v>
      </c>
    </row>
    <row r="944" spans="1:48" x14ac:dyDescent="0.35">
      <c r="A944" t="str">
        <f t="shared" si="14"/>
        <v>GP230441B825</v>
      </c>
      <c r="B944" s="7" t="s">
        <v>493</v>
      </c>
      <c r="C944" s="7" t="s">
        <v>511</v>
      </c>
      <c r="D944" s="7" t="s">
        <v>16</v>
      </c>
      <c r="E944" s="7" t="s">
        <v>1177</v>
      </c>
      <c r="F944" s="7" t="s">
        <v>128</v>
      </c>
      <c r="G944" s="7" t="s">
        <v>130</v>
      </c>
      <c r="H944" s="7" t="s">
        <v>129</v>
      </c>
      <c r="I944" s="30">
        <v>2</v>
      </c>
      <c r="J944" s="7" t="s">
        <v>1177</v>
      </c>
      <c r="K944" s="7" t="s">
        <v>1178</v>
      </c>
      <c r="L944" s="7" t="s">
        <v>132</v>
      </c>
      <c r="M944" s="7" t="s">
        <v>133</v>
      </c>
      <c r="N944" s="30">
        <v>0</v>
      </c>
      <c r="O944" s="30">
        <v>0</v>
      </c>
      <c r="P944" s="30">
        <v>0</v>
      </c>
      <c r="Q944" s="30">
        <v>0</v>
      </c>
      <c r="R944" s="29">
        <v>0</v>
      </c>
      <c r="S944" s="36">
        <v>0</v>
      </c>
      <c r="T944" s="7" t="s">
        <v>131</v>
      </c>
      <c r="U944" s="7" t="s">
        <v>512</v>
      </c>
      <c r="V944" s="7" t="s">
        <v>512</v>
      </c>
      <c r="W944" s="7" t="s">
        <v>1177</v>
      </c>
      <c r="X944" s="30">
        <v>1</v>
      </c>
      <c r="Y944" s="7" t="s">
        <v>1177</v>
      </c>
      <c r="Z944" s="7" t="s">
        <v>1178</v>
      </c>
      <c r="AA944" s="30">
        <v>0</v>
      </c>
      <c r="AB944" s="36">
        <v>0</v>
      </c>
      <c r="AC944" s="7" t="s">
        <v>1177</v>
      </c>
      <c r="AD944" s="37">
        <v>0</v>
      </c>
      <c r="AE944" s="7" t="s">
        <v>1177</v>
      </c>
      <c r="AF944" s="7" t="s">
        <v>1177</v>
      </c>
      <c r="AG944" s="7" t="s">
        <v>1177</v>
      </c>
      <c r="AH944" s="38"/>
      <c r="AI944" s="36">
        <v>0</v>
      </c>
      <c r="AJ944" s="7" t="s">
        <v>1193</v>
      </c>
      <c r="AK944" s="7" t="s">
        <v>1177</v>
      </c>
      <c r="AL944" s="7" t="s">
        <v>1177</v>
      </c>
      <c r="AM944" s="7" t="s">
        <v>1177</v>
      </c>
      <c r="AN944" s="7" t="s">
        <v>3212</v>
      </c>
      <c r="AO944" s="7" t="s">
        <v>1177</v>
      </c>
      <c r="AP944" s="7" t="s">
        <v>1177</v>
      </c>
      <c r="AQ944" s="7" t="s">
        <v>1177</v>
      </c>
      <c r="AR944" s="29">
        <v>0</v>
      </c>
      <c r="AS944" s="7" t="s">
        <v>1177</v>
      </c>
      <c r="AT944" s="7" t="s">
        <v>1363</v>
      </c>
      <c r="AU944" s="38">
        <v>46275</v>
      </c>
      <c r="AV944" s="39">
        <v>0.62304398148147999</v>
      </c>
    </row>
    <row r="945" spans="1:48" x14ac:dyDescent="0.35">
      <c r="A945" t="str">
        <f t="shared" si="14"/>
        <v>GP231032B825</v>
      </c>
      <c r="B945" s="7" t="s">
        <v>558</v>
      </c>
      <c r="C945" s="7" t="s">
        <v>511</v>
      </c>
      <c r="D945" s="7" t="s">
        <v>16</v>
      </c>
      <c r="E945" s="7" t="s">
        <v>1177</v>
      </c>
      <c r="F945" s="7" t="s">
        <v>128</v>
      </c>
      <c r="G945" s="7" t="s">
        <v>130</v>
      </c>
      <c r="H945" s="7" t="s">
        <v>129</v>
      </c>
      <c r="I945" s="30">
        <v>2</v>
      </c>
      <c r="J945" s="7" t="s">
        <v>1177</v>
      </c>
      <c r="K945" s="7" t="s">
        <v>1178</v>
      </c>
      <c r="L945" s="7" t="s">
        <v>132</v>
      </c>
      <c r="M945" s="7" t="s">
        <v>133</v>
      </c>
      <c r="N945" s="30">
        <v>0</v>
      </c>
      <c r="O945" s="30">
        <v>0</v>
      </c>
      <c r="P945" s="30">
        <v>0</v>
      </c>
      <c r="Q945" s="30">
        <v>0</v>
      </c>
      <c r="R945" s="29">
        <v>0</v>
      </c>
      <c r="S945" s="36">
        <v>0</v>
      </c>
      <c r="T945" s="7" t="s">
        <v>131</v>
      </c>
      <c r="U945" s="7" t="s">
        <v>512</v>
      </c>
      <c r="V945" s="7" t="s">
        <v>512</v>
      </c>
      <c r="W945" s="7" t="s">
        <v>1177</v>
      </c>
      <c r="X945" s="30">
        <v>1</v>
      </c>
      <c r="Y945" s="7" t="s">
        <v>1177</v>
      </c>
      <c r="Z945" s="7" t="s">
        <v>1178</v>
      </c>
      <c r="AA945" s="30">
        <v>0</v>
      </c>
      <c r="AB945" s="36">
        <v>0</v>
      </c>
      <c r="AC945" s="7" t="s">
        <v>1177</v>
      </c>
      <c r="AD945" s="37">
        <v>0</v>
      </c>
      <c r="AE945" s="7" t="s">
        <v>1177</v>
      </c>
      <c r="AF945" s="7" t="s">
        <v>1177</v>
      </c>
      <c r="AG945" s="7" t="s">
        <v>1177</v>
      </c>
      <c r="AH945" s="38"/>
      <c r="AI945" s="36">
        <v>0</v>
      </c>
      <c r="AJ945" s="7" t="s">
        <v>1193</v>
      </c>
      <c r="AK945" s="7" t="s">
        <v>1177</v>
      </c>
      <c r="AL945" s="7" t="s">
        <v>1177</v>
      </c>
      <c r="AM945" s="7" t="s">
        <v>1177</v>
      </c>
      <c r="AN945" s="7" t="s">
        <v>3212</v>
      </c>
      <c r="AO945" s="7" t="s">
        <v>1177</v>
      </c>
      <c r="AP945" s="7" t="s">
        <v>1177</v>
      </c>
      <c r="AQ945" s="7" t="s">
        <v>1177</v>
      </c>
      <c r="AR945" s="29">
        <v>0</v>
      </c>
      <c r="AS945" s="7" t="s">
        <v>1177</v>
      </c>
      <c r="AT945" s="7" t="s">
        <v>1363</v>
      </c>
      <c r="AU945" s="38">
        <v>46275</v>
      </c>
      <c r="AV945" s="39">
        <v>0.62304398148147999</v>
      </c>
    </row>
    <row r="946" spans="1:48" x14ac:dyDescent="0.35">
      <c r="A946" t="str">
        <f t="shared" si="14"/>
        <v>GP231111B825</v>
      </c>
      <c r="B946" s="7" t="s">
        <v>559</v>
      </c>
      <c r="C946" s="7" t="s">
        <v>511</v>
      </c>
      <c r="D946" s="7" t="s">
        <v>16</v>
      </c>
      <c r="E946" s="7" t="s">
        <v>1177</v>
      </c>
      <c r="F946" s="7" t="s">
        <v>128</v>
      </c>
      <c r="G946" s="7" t="s">
        <v>130</v>
      </c>
      <c r="H946" s="7" t="s">
        <v>129</v>
      </c>
      <c r="I946" s="30">
        <v>8</v>
      </c>
      <c r="J946" s="7" t="s">
        <v>1177</v>
      </c>
      <c r="K946" s="7" t="s">
        <v>1178</v>
      </c>
      <c r="L946" s="7" t="s">
        <v>132</v>
      </c>
      <c r="M946" s="7" t="s">
        <v>133</v>
      </c>
      <c r="N946" s="30">
        <v>0</v>
      </c>
      <c r="O946" s="30">
        <v>0</v>
      </c>
      <c r="P946" s="30">
        <v>0</v>
      </c>
      <c r="Q946" s="30">
        <v>0</v>
      </c>
      <c r="R946" s="29">
        <v>0</v>
      </c>
      <c r="S946" s="36">
        <v>0</v>
      </c>
      <c r="T946" s="7" t="s">
        <v>131</v>
      </c>
      <c r="U946" s="7" t="s">
        <v>512</v>
      </c>
      <c r="V946" s="7" t="s">
        <v>512</v>
      </c>
      <c r="W946" s="7" t="s">
        <v>1177</v>
      </c>
      <c r="X946" s="30">
        <v>2</v>
      </c>
      <c r="Y946" s="7" t="s">
        <v>1177</v>
      </c>
      <c r="Z946" s="7" t="s">
        <v>1178</v>
      </c>
      <c r="AA946" s="30">
        <v>0</v>
      </c>
      <c r="AB946" s="36">
        <v>0</v>
      </c>
      <c r="AC946" s="7" t="s">
        <v>1177</v>
      </c>
      <c r="AD946" s="37">
        <v>0</v>
      </c>
      <c r="AE946" s="7" t="s">
        <v>1177</v>
      </c>
      <c r="AF946" s="7" t="s">
        <v>1177</v>
      </c>
      <c r="AG946" s="7" t="s">
        <v>1177</v>
      </c>
      <c r="AH946" s="38"/>
      <c r="AI946" s="36">
        <v>0</v>
      </c>
      <c r="AJ946" s="7" t="s">
        <v>1193</v>
      </c>
      <c r="AK946" s="7" t="s">
        <v>1177</v>
      </c>
      <c r="AL946" s="7" t="s">
        <v>1177</v>
      </c>
      <c r="AM946" s="7" t="s">
        <v>1177</v>
      </c>
      <c r="AN946" s="7" t="s">
        <v>3212</v>
      </c>
      <c r="AO946" s="7" t="s">
        <v>1177</v>
      </c>
      <c r="AP946" s="7" t="s">
        <v>1177</v>
      </c>
      <c r="AQ946" s="7" t="s">
        <v>1177</v>
      </c>
      <c r="AR946" s="29">
        <v>0</v>
      </c>
      <c r="AS946" s="7" t="s">
        <v>1177</v>
      </c>
      <c r="AT946" s="7" t="s">
        <v>1363</v>
      </c>
      <c r="AU946" s="38">
        <v>46275</v>
      </c>
      <c r="AV946" s="39">
        <v>0.62304398148147999</v>
      </c>
    </row>
    <row r="947" spans="1:48" x14ac:dyDescent="0.35">
      <c r="A947" t="str">
        <f t="shared" si="14"/>
        <v>GP231111B832</v>
      </c>
      <c r="B947" s="7" t="s">
        <v>559</v>
      </c>
      <c r="C947" s="7" t="s">
        <v>653</v>
      </c>
      <c r="D947" s="7" t="s">
        <v>19</v>
      </c>
      <c r="E947" s="7" t="s">
        <v>1177</v>
      </c>
      <c r="F947" s="7" t="s">
        <v>128</v>
      </c>
      <c r="G947" s="7" t="s">
        <v>130</v>
      </c>
      <c r="H947" s="7" t="s">
        <v>129</v>
      </c>
      <c r="I947" s="30">
        <v>12</v>
      </c>
      <c r="J947" s="7" t="s">
        <v>1177</v>
      </c>
      <c r="K947" s="7" t="s">
        <v>1178</v>
      </c>
      <c r="L947" s="7" t="s">
        <v>132</v>
      </c>
      <c r="M947" s="7" t="s">
        <v>133</v>
      </c>
      <c r="N947" s="30">
        <v>0</v>
      </c>
      <c r="O947" s="30">
        <v>0</v>
      </c>
      <c r="P947" s="30">
        <v>0</v>
      </c>
      <c r="Q947" s="30">
        <v>0</v>
      </c>
      <c r="R947" s="29">
        <v>0</v>
      </c>
      <c r="S947" s="36">
        <v>0</v>
      </c>
      <c r="T947" s="7" t="s">
        <v>131</v>
      </c>
      <c r="U947" s="7" t="s">
        <v>654</v>
      </c>
      <c r="V947" s="7" t="s">
        <v>654</v>
      </c>
      <c r="W947" s="7" t="s">
        <v>1177</v>
      </c>
      <c r="X947" s="30">
        <v>3</v>
      </c>
      <c r="Y947" s="7" t="s">
        <v>1177</v>
      </c>
      <c r="Z947" s="7" t="s">
        <v>1178</v>
      </c>
      <c r="AA947" s="30">
        <v>0</v>
      </c>
      <c r="AB947" s="36">
        <v>0</v>
      </c>
      <c r="AC947" s="7" t="s">
        <v>1177</v>
      </c>
      <c r="AD947" s="37">
        <v>0</v>
      </c>
      <c r="AE947" s="7" t="s">
        <v>1177</v>
      </c>
      <c r="AF947" s="7" t="s">
        <v>1177</v>
      </c>
      <c r="AG947" s="7" t="s">
        <v>1177</v>
      </c>
      <c r="AH947" s="38"/>
      <c r="AI947" s="36">
        <v>0</v>
      </c>
      <c r="AJ947" s="7" t="s">
        <v>1193</v>
      </c>
      <c r="AK947" s="7" t="s">
        <v>1177</v>
      </c>
      <c r="AL947" s="7" t="s">
        <v>1177</v>
      </c>
      <c r="AM947" s="7" t="s">
        <v>1177</v>
      </c>
      <c r="AN947" s="7" t="s">
        <v>3212</v>
      </c>
      <c r="AO947" s="7" t="s">
        <v>1177</v>
      </c>
      <c r="AP947" s="7" t="s">
        <v>1177</v>
      </c>
      <c r="AQ947" s="7" t="s">
        <v>1177</v>
      </c>
      <c r="AR947" s="29">
        <v>0</v>
      </c>
      <c r="AS947" s="7" t="s">
        <v>1177</v>
      </c>
      <c r="AT947" s="7" t="s">
        <v>1363</v>
      </c>
      <c r="AU947" s="38">
        <v>46275</v>
      </c>
      <c r="AV947" s="39">
        <v>0.62335648148148004</v>
      </c>
    </row>
    <row r="948" spans="1:48" x14ac:dyDescent="0.35">
      <c r="A948" t="str">
        <f t="shared" si="14"/>
        <v>GP231111B838</v>
      </c>
      <c r="B948" s="7" t="s">
        <v>559</v>
      </c>
      <c r="C948" s="7" t="s">
        <v>744</v>
      </c>
      <c r="D948" s="7" t="s">
        <v>48</v>
      </c>
      <c r="E948" s="7" t="s">
        <v>1177</v>
      </c>
      <c r="F948" s="7" t="s">
        <v>128</v>
      </c>
      <c r="G948" s="7" t="s">
        <v>130</v>
      </c>
      <c r="H948" s="7" t="s">
        <v>129</v>
      </c>
      <c r="I948" s="30">
        <v>4</v>
      </c>
      <c r="J948" s="7" t="s">
        <v>1177</v>
      </c>
      <c r="K948" s="7" t="s">
        <v>1178</v>
      </c>
      <c r="L948" s="7" t="s">
        <v>132</v>
      </c>
      <c r="M948" s="7" t="s">
        <v>133</v>
      </c>
      <c r="N948" s="30">
        <v>0</v>
      </c>
      <c r="O948" s="30">
        <v>0</v>
      </c>
      <c r="P948" s="30">
        <v>0</v>
      </c>
      <c r="Q948" s="30">
        <v>0</v>
      </c>
      <c r="R948" s="29">
        <v>0</v>
      </c>
      <c r="S948" s="36">
        <v>0</v>
      </c>
      <c r="T948" s="7" t="s">
        <v>131</v>
      </c>
      <c r="U948" s="7" t="s">
        <v>745</v>
      </c>
      <c r="V948" s="7" t="s">
        <v>745</v>
      </c>
      <c r="W948" s="7" t="s">
        <v>1177</v>
      </c>
      <c r="X948" s="30">
        <v>1</v>
      </c>
      <c r="Y948" s="7" t="s">
        <v>1177</v>
      </c>
      <c r="Z948" s="7" t="s">
        <v>1178</v>
      </c>
      <c r="AA948" s="30">
        <v>0</v>
      </c>
      <c r="AB948" s="36">
        <v>0</v>
      </c>
      <c r="AC948" s="7" t="s">
        <v>1177</v>
      </c>
      <c r="AD948" s="37">
        <v>0</v>
      </c>
      <c r="AE948" s="7" t="s">
        <v>1177</v>
      </c>
      <c r="AF948" s="7" t="s">
        <v>1177</v>
      </c>
      <c r="AG948" s="7" t="s">
        <v>1177</v>
      </c>
      <c r="AH948" s="38"/>
      <c r="AI948" s="36">
        <v>0</v>
      </c>
      <c r="AJ948" s="7" t="s">
        <v>1193</v>
      </c>
      <c r="AK948" s="7" t="s">
        <v>1177</v>
      </c>
      <c r="AL948" s="7" t="s">
        <v>1177</v>
      </c>
      <c r="AM948" s="7" t="s">
        <v>1177</v>
      </c>
      <c r="AN948" s="7" t="s">
        <v>3212</v>
      </c>
      <c r="AO948" s="7" t="s">
        <v>1177</v>
      </c>
      <c r="AP948" s="7" t="s">
        <v>1177</v>
      </c>
      <c r="AQ948" s="7" t="s">
        <v>1177</v>
      </c>
      <c r="AR948" s="29">
        <v>0</v>
      </c>
      <c r="AS948" s="7" t="s">
        <v>1177</v>
      </c>
      <c r="AT948" s="7" t="s">
        <v>1363</v>
      </c>
      <c r="AU948" s="38">
        <v>46275</v>
      </c>
      <c r="AV948" s="39">
        <v>0.62417824074074002</v>
      </c>
    </row>
    <row r="949" spans="1:48" x14ac:dyDescent="0.35">
      <c r="A949" t="str">
        <f t="shared" si="14"/>
        <v>GP231112B832</v>
      </c>
      <c r="B949" s="7" t="s">
        <v>642</v>
      </c>
      <c r="C949" s="7" t="s">
        <v>653</v>
      </c>
      <c r="D949" s="7" t="s">
        <v>19</v>
      </c>
      <c r="E949" s="7" t="s">
        <v>1177</v>
      </c>
      <c r="F949" s="7" t="s">
        <v>128</v>
      </c>
      <c r="G949" s="7" t="s">
        <v>130</v>
      </c>
      <c r="H949" s="7" t="s">
        <v>129</v>
      </c>
      <c r="I949" s="30">
        <v>11</v>
      </c>
      <c r="J949" s="7" t="s">
        <v>1177</v>
      </c>
      <c r="K949" s="7" t="s">
        <v>1178</v>
      </c>
      <c r="L949" s="7" t="s">
        <v>132</v>
      </c>
      <c r="M949" s="7" t="s">
        <v>133</v>
      </c>
      <c r="N949" s="30">
        <v>0</v>
      </c>
      <c r="O949" s="30">
        <v>0</v>
      </c>
      <c r="P949" s="30">
        <v>0</v>
      </c>
      <c r="Q949" s="30">
        <v>0</v>
      </c>
      <c r="R949" s="29">
        <v>0</v>
      </c>
      <c r="S949" s="36">
        <v>0</v>
      </c>
      <c r="T949" s="7" t="s">
        <v>131</v>
      </c>
      <c r="U949" s="7" t="s">
        <v>654</v>
      </c>
      <c r="V949" s="7" t="s">
        <v>654</v>
      </c>
      <c r="W949" s="7" t="s">
        <v>1177</v>
      </c>
      <c r="X949" s="30">
        <v>3</v>
      </c>
      <c r="Y949" s="7" t="s">
        <v>1177</v>
      </c>
      <c r="Z949" s="7" t="s">
        <v>1178</v>
      </c>
      <c r="AA949" s="30">
        <v>0</v>
      </c>
      <c r="AB949" s="36">
        <v>0</v>
      </c>
      <c r="AC949" s="7" t="s">
        <v>1177</v>
      </c>
      <c r="AD949" s="37">
        <v>0</v>
      </c>
      <c r="AE949" s="7" t="s">
        <v>1177</v>
      </c>
      <c r="AF949" s="7" t="s">
        <v>1177</v>
      </c>
      <c r="AG949" s="7" t="s">
        <v>1177</v>
      </c>
      <c r="AH949" s="38"/>
      <c r="AI949" s="36">
        <v>0</v>
      </c>
      <c r="AJ949" s="7" t="s">
        <v>1193</v>
      </c>
      <c r="AK949" s="7" t="s">
        <v>1177</v>
      </c>
      <c r="AL949" s="7" t="s">
        <v>1177</v>
      </c>
      <c r="AM949" s="7" t="s">
        <v>1177</v>
      </c>
      <c r="AN949" s="7" t="s">
        <v>3212</v>
      </c>
      <c r="AO949" s="7" t="s">
        <v>1177</v>
      </c>
      <c r="AP949" s="7" t="s">
        <v>1177</v>
      </c>
      <c r="AQ949" s="7" t="s">
        <v>1177</v>
      </c>
      <c r="AR949" s="29">
        <v>0</v>
      </c>
      <c r="AS949" s="7" t="s">
        <v>1177</v>
      </c>
      <c r="AT949" s="7" t="s">
        <v>1363</v>
      </c>
      <c r="AU949" s="38">
        <v>46275</v>
      </c>
      <c r="AV949" s="39">
        <v>0.62335648148148004</v>
      </c>
    </row>
    <row r="950" spans="1:48" x14ac:dyDescent="0.35">
      <c r="A950" t="str">
        <f t="shared" si="14"/>
        <v>GP231112B838</v>
      </c>
      <c r="B950" s="7" t="s">
        <v>642</v>
      </c>
      <c r="C950" s="7" t="s">
        <v>744</v>
      </c>
      <c r="D950" s="7" t="s">
        <v>48</v>
      </c>
      <c r="E950" s="7" t="s">
        <v>1177</v>
      </c>
      <c r="F950" s="7" t="s">
        <v>128</v>
      </c>
      <c r="G950" s="7" t="s">
        <v>130</v>
      </c>
      <c r="H950" s="7" t="s">
        <v>129</v>
      </c>
      <c r="I950" s="30">
        <v>4</v>
      </c>
      <c r="J950" s="7" t="s">
        <v>1177</v>
      </c>
      <c r="K950" s="7" t="s">
        <v>1178</v>
      </c>
      <c r="L950" s="7" t="s">
        <v>132</v>
      </c>
      <c r="M950" s="7" t="s">
        <v>133</v>
      </c>
      <c r="N950" s="30">
        <v>0</v>
      </c>
      <c r="O950" s="30">
        <v>0</v>
      </c>
      <c r="P950" s="30">
        <v>0</v>
      </c>
      <c r="Q950" s="30">
        <v>0</v>
      </c>
      <c r="R950" s="29">
        <v>0</v>
      </c>
      <c r="S950" s="36">
        <v>0</v>
      </c>
      <c r="T950" s="7" t="s">
        <v>131</v>
      </c>
      <c r="U950" s="7" t="s">
        <v>745</v>
      </c>
      <c r="V950" s="7" t="s">
        <v>745</v>
      </c>
      <c r="W950" s="7" t="s">
        <v>1177</v>
      </c>
      <c r="X950" s="30">
        <v>1</v>
      </c>
      <c r="Y950" s="7" t="s">
        <v>1177</v>
      </c>
      <c r="Z950" s="7" t="s">
        <v>1178</v>
      </c>
      <c r="AA950" s="30">
        <v>0</v>
      </c>
      <c r="AB950" s="36">
        <v>0</v>
      </c>
      <c r="AC950" s="7" t="s">
        <v>1177</v>
      </c>
      <c r="AD950" s="37">
        <v>0</v>
      </c>
      <c r="AE950" s="7" t="s">
        <v>1177</v>
      </c>
      <c r="AF950" s="7" t="s">
        <v>1177</v>
      </c>
      <c r="AG950" s="7" t="s">
        <v>1177</v>
      </c>
      <c r="AH950" s="38"/>
      <c r="AI950" s="36">
        <v>0</v>
      </c>
      <c r="AJ950" s="7" t="s">
        <v>1193</v>
      </c>
      <c r="AK950" s="7" t="s">
        <v>1177</v>
      </c>
      <c r="AL950" s="7" t="s">
        <v>1177</v>
      </c>
      <c r="AM950" s="7" t="s">
        <v>1177</v>
      </c>
      <c r="AN950" s="7" t="s">
        <v>3212</v>
      </c>
      <c r="AO950" s="7" t="s">
        <v>1177</v>
      </c>
      <c r="AP950" s="7" t="s">
        <v>1177</v>
      </c>
      <c r="AQ950" s="7" t="s">
        <v>1177</v>
      </c>
      <c r="AR950" s="29">
        <v>0</v>
      </c>
      <c r="AS950" s="7" t="s">
        <v>1177</v>
      </c>
      <c r="AT950" s="7" t="s">
        <v>1363</v>
      </c>
      <c r="AU950" s="38">
        <v>46275</v>
      </c>
      <c r="AV950" s="39">
        <v>0.62417824074074002</v>
      </c>
    </row>
    <row r="951" spans="1:48" x14ac:dyDescent="0.35">
      <c r="A951" t="str">
        <f t="shared" si="14"/>
        <v>GP231113B832</v>
      </c>
      <c r="B951" s="7" t="s">
        <v>643</v>
      </c>
      <c r="C951" s="7" t="s">
        <v>653</v>
      </c>
      <c r="D951" s="7" t="s">
        <v>19</v>
      </c>
      <c r="E951" s="7" t="s">
        <v>1177</v>
      </c>
      <c r="F951" s="7" t="s">
        <v>128</v>
      </c>
      <c r="G951" s="7" t="s">
        <v>130</v>
      </c>
      <c r="H951" s="7" t="s">
        <v>129</v>
      </c>
      <c r="I951" s="30">
        <v>12</v>
      </c>
      <c r="J951" s="7" t="s">
        <v>1177</v>
      </c>
      <c r="K951" s="7" t="s">
        <v>1178</v>
      </c>
      <c r="L951" s="7" t="s">
        <v>132</v>
      </c>
      <c r="M951" s="7" t="s">
        <v>133</v>
      </c>
      <c r="N951" s="30">
        <v>0</v>
      </c>
      <c r="O951" s="30">
        <v>0</v>
      </c>
      <c r="P951" s="30">
        <v>0</v>
      </c>
      <c r="Q951" s="30">
        <v>0</v>
      </c>
      <c r="R951" s="29">
        <v>0</v>
      </c>
      <c r="S951" s="36">
        <v>0</v>
      </c>
      <c r="T951" s="7" t="s">
        <v>131</v>
      </c>
      <c r="U951" s="7" t="s">
        <v>654</v>
      </c>
      <c r="V951" s="7" t="s">
        <v>654</v>
      </c>
      <c r="W951" s="7" t="s">
        <v>1177</v>
      </c>
      <c r="X951" s="30">
        <v>3</v>
      </c>
      <c r="Y951" s="7" t="s">
        <v>1177</v>
      </c>
      <c r="Z951" s="7" t="s">
        <v>1178</v>
      </c>
      <c r="AA951" s="30">
        <v>0</v>
      </c>
      <c r="AB951" s="36">
        <v>0</v>
      </c>
      <c r="AC951" s="7" t="s">
        <v>1177</v>
      </c>
      <c r="AD951" s="37">
        <v>0</v>
      </c>
      <c r="AE951" s="7" t="s">
        <v>1177</v>
      </c>
      <c r="AF951" s="7" t="s">
        <v>1177</v>
      </c>
      <c r="AG951" s="7" t="s">
        <v>1177</v>
      </c>
      <c r="AH951" s="38"/>
      <c r="AI951" s="36">
        <v>0</v>
      </c>
      <c r="AJ951" s="7" t="s">
        <v>1193</v>
      </c>
      <c r="AK951" s="7" t="s">
        <v>1177</v>
      </c>
      <c r="AL951" s="7" t="s">
        <v>1177</v>
      </c>
      <c r="AM951" s="7" t="s">
        <v>1177</v>
      </c>
      <c r="AN951" s="7" t="s">
        <v>3212</v>
      </c>
      <c r="AO951" s="7" t="s">
        <v>1177</v>
      </c>
      <c r="AP951" s="7" t="s">
        <v>1177</v>
      </c>
      <c r="AQ951" s="7" t="s">
        <v>1177</v>
      </c>
      <c r="AR951" s="29">
        <v>0</v>
      </c>
      <c r="AS951" s="7" t="s">
        <v>1177</v>
      </c>
      <c r="AT951" s="7" t="s">
        <v>1363</v>
      </c>
      <c r="AU951" s="38">
        <v>46275</v>
      </c>
      <c r="AV951" s="39">
        <v>0.62335648148148004</v>
      </c>
    </row>
    <row r="952" spans="1:48" x14ac:dyDescent="0.35">
      <c r="A952" t="str">
        <f t="shared" si="14"/>
        <v>GP231113B838</v>
      </c>
      <c r="B952" s="7" t="s">
        <v>643</v>
      </c>
      <c r="C952" s="7" t="s">
        <v>744</v>
      </c>
      <c r="D952" s="7" t="s">
        <v>48</v>
      </c>
      <c r="E952" s="7" t="s">
        <v>1177</v>
      </c>
      <c r="F952" s="7" t="s">
        <v>128</v>
      </c>
      <c r="G952" s="7" t="s">
        <v>130</v>
      </c>
      <c r="H952" s="7" t="s">
        <v>129</v>
      </c>
      <c r="I952" s="30">
        <v>3</v>
      </c>
      <c r="J952" s="7" t="s">
        <v>1177</v>
      </c>
      <c r="K952" s="7" t="s">
        <v>1178</v>
      </c>
      <c r="L952" s="7" t="s">
        <v>132</v>
      </c>
      <c r="M952" s="7" t="s">
        <v>133</v>
      </c>
      <c r="N952" s="30">
        <v>0</v>
      </c>
      <c r="O952" s="30">
        <v>0</v>
      </c>
      <c r="P952" s="30">
        <v>0</v>
      </c>
      <c r="Q952" s="30">
        <v>0</v>
      </c>
      <c r="R952" s="29">
        <v>0</v>
      </c>
      <c r="S952" s="36">
        <v>0</v>
      </c>
      <c r="T952" s="7" t="s">
        <v>131</v>
      </c>
      <c r="U952" s="7" t="s">
        <v>745</v>
      </c>
      <c r="V952" s="7" t="s">
        <v>745</v>
      </c>
      <c r="W952" s="7" t="s">
        <v>1177</v>
      </c>
      <c r="X952" s="30">
        <v>1</v>
      </c>
      <c r="Y952" s="7" t="s">
        <v>1177</v>
      </c>
      <c r="Z952" s="7" t="s">
        <v>1178</v>
      </c>
      <c r="AA952" s="30">
        <v>0</v>
      </c>
      <c r="AB952" s="36">
        <v>0</v>
      </c>
      <c r="AC952" s="7" t="s">
        <v>1177</v>
      </c>
      <c r="AD952" s="37">
        <v>0</v>
      </c>
      <c r="AE952" s="7" t="s">
        <v>1177</v>
      </c>
      <c r="AF952" s="7" t="s">
        <v>1177</v>
      </c>
      <c r="AG952" s="7" t="s">
        <v>1177</v>
      </c>
      <c r="AH952" s="38"/>
      <c r="AI952" s="36">
        <v>0</v>
      </c>
      <c r="AJ952" s="7" t="s">
        <v>1193</v>
      </c>
      <c r="AK952" s="7" t="s">
        <v>1177</v>
      </c>
      <c r="AL952" s="7" t="s">
        <v>1177</v>
      </c>
      <c r="AM952" s="7" t="s">
        <v>1177</v>
      </c>
      <c r="AN952" s="7" t="s">
        <v>3212</v>
      </c>
      <c r="AO952" s="7" t="s">
        <v>1177</v>
      </c>
      <c r="AP952" s="7" t="s">
        <v>1177</v>
      </c>
      <c r="AQ952" s="7" t="s">
        <v>1177</v>
      </c>
      <c r="AR952" s="29">
        <v>0</v>
      </c>
      <c r="AS952" s="7" t="s">
        <v>1177</v>
      </c>
      <c r="AT952" s="7" t="s">
        <v>1363</v>
      </c>
      <c r="AU952" s="38">
        <v>46275</v>
      </c>
      <c r="AV952" s="39">
        <v>0.62417824074074002</v>
      </c>
    </row>
    <row r="953" spans="1:48" x14ac:dyDescent="0.35">
      <c r="A953" t="str">
        <f t="shared" si="14"/>
        <v>GP231114B825</v>
      </c>
      <c r="B953" s="7" t="s">
        <v>561</v>
      </c>
      <c r="C953" s="7" t="s">
        <v>511</v>
      </c>
      <c r="D953" s="7" t="s">
        <v>16</v>
      </c>
      <c r="E953" s="7" t="s">
        <v>1177</v>
      </c>
      <c r="F953" s="7" t="s">
        <v>128</v>
      </c>
      <c r="G953" s="7" t="s">
        <v>130</v>
      </c>
      <c r="H953" s="7" t="s">
        <v>129</v>
      </c>
      <c r="I953" s="30">
        <v>2</v>
      </c>
      <c r="J953" s="7" t="s">
        <v>1177</v>
      </c>
      <c r="K953" s="7" t="s">
        <v>1178</v>
      </c>
      <c r="L953" s="7" t="s">
        <v>132</v>
      </c>
      <c r="M953" s="7" t="s">
        <v>133</v>
      </c>
      <c r="N953" s="30">
        <v>0</v>
      </c>
      <c r="O953" s="30">
        <v>0</v>
      </c>
      <c r="P953" s="30">
        <v>0</v>
      </c>
      <c r="Q953" s="30">
        <v>0</v>
      </c>
      <c r="R953" s="29">
        <v>0</v>
      </c>
      <c r="S953" s="36">
        <v>0</v>
      </c>
      <c r="T953" s="7" t="s">
        <v>131</v>
      </c>
      <c r="U953" s="7" t="s">
        <v>512</v>
      </c>
      <c r="V953" s="7" t="s">
        <v>512</v>
      </c>
      <c r="W953" s="7" t="s">
        <v>1177</v>
      </c>
      <c r="X953" s="30">
        <v>1</v>
      </c>
      <c r="Y953" s="7" t="s">
        <v>1177</v>
      </c>
      <c r="Z953" s="7" t="s">
        <v>1178</v>
      </c>
      <c r="AA953" s="30">
        <v>0</v>
      </c>
      <c r="AB953" s="36">
        <v>0</v>
      </c>
      <c r="AC953" s="7" t="s">
        <v>1177</v>
      </c>
      <c r="AD953" s="37">
        <v>0</v>
      </c>
      <c r="AE953" s="7" t="s">
        <v>1177</v>
      </c>
      <c r="AF953" s="7" t="s">
        <v>1177</v>
      </c>
      <c r="AG953" s="7" t="s">
        <v>1177</v>
      </c>
      <c r="AH953" s="38"/>
      <c r="AI953" s="36">
        <v>0</v>
      </c>
      <c r="AJ953" s="7" t="s">
        <v>1193</v>
      </c>
      <c r="AK953" s="7" t="s">
        <v>1177</v>
      </c>
      <c r="AL953" s="7" t="s">
        <v>1177</v>
      </c>
      <c r="AM953" s="7" t="s">
        <v>1177</v>
      </c>
      <c r="AN953" s="7" t="s">
        <v>3212</v>
      </c>
      <c r="AO953" s="7" t="s">
        <v>1177</v>
      </c>
      <c r="AP953" s="7" t="s">
        <v>1177</v>
      </c>
      <c r="AQ953" s="7" t="s">
        <v>1177</v>
      </c>
      <c r="AR953" s="29">
        <v>0</v>
      </c>
      <c r="AS953" s="7" t="s">
        <v>1177</v>
      </c>
      <c r="AT953" s="7" t="s">
        <v>1363</v>
      </c>
      <c r="AU953" s="38">
        <v>46275</v>
      </c>
      <c r="AV953" s="39">
        <v>0.62305555555556003</v>
      </c>
    </row>
    <row r="954" spans="1:48" x14ac:dyDescent="0.35">
      <c r="A954" t="str">
        <f t="shared" si="14"/>
        <v>GP231114B832</v>
      </c>
      <c r="B954" s="7" t="s">
        <v>561</v>
      </c>
      <c r="C954" s="7" t="s">
        <v>653</v>
      </c>
      <c r="D954" s="7" t="s">
        <v>19</v>
      </c>
      <c r="E954" s="7" t="s">
        <v>1177</v>
      </c>
      <c r="F954" s="7" t="s">
        <v>128</v>
      </c>
      <c r="G954" s="7" t="s">
        <v>130</v>
      </c>
      <c r="H954" s="7" t="s">
        <v>129</v>
      </c>
      <c r="I954" s="30">
        <v>10</v>
      </c>
      <c r="J954" s="7" t="s">
        <v>1177</v>
      </c>
      <c r="K954" s="7" t="s">
        <v>1178</v>
      </c>
      <c r="L954" s="7" t="s">
        <v>132</v>
      </c>
      <c r="M954" s="7" t="s">
        <v>133</v>
      </c>
      <c r="N954" s="30">
        <v>0</v>
      </c>
      <c r="O954" s="30">
        <v>0</v>
      </c>
      <c r="P954" s="30">
        <v>0</v>
      </c>
      <c r="Q954" s="30">
        <v>0</v>
      </c>
      <c r="R954" s="29">
        <v>0</v>
      </c>
      <c r="S954" s="36">
        <v>0</v>
      </c>
      <c r="T954" s="7" t="s">
        <v>131</v>
      </c>
      <c r="U954" s="7" t="s">
        <v>654</v>
      </c>
      <c r="V954" s="7" t="s">
        <v>654</v>
      </c>
      <c r="W954" s="7" t="s">
        <v>1177</v>
      </c>
      <c r="X954" s="30">
        <v>3</v>
      </c>
      <c r="Y954" s="7" t="s">
        <v>1177</v>
      </c>
      <c r="Z954" s="7" t="s">
        <v>1178</v>
      </c>
      <c r="AA954" s="30">
        <v>0</v>
      </c>
      <c r="AB954" s="36">
        <v>0</v>
      </c>
      <c r="AC954" s="7" t="s">
        <v>1177</v>
      </c>
      <c r="AD954" s="37">
        <v>0</v>
      </c>
      <c r="AE954" s="7" t="s">
        <v>1177</v>
      </c>
      <c r="AF954" s="7" t="s">
        <v>1177</v>
      </c>
      <c r="AG954" s="7" t="s">
        <v>1177</v>
      </c>
      <c r="AH954" s="38"/>
      <c r="AI954" s="36">
        <v>0</v>
      </c>
      <c r="AJ954" s="7" t="s">
        <v>1193</v>
      </c>
      <c r="AK954" s="7" t="s">
        <v>1177</v>
      </c>
      <c r="AL954" s="7" t="s">
        <v>1177</v>
      </c>
      <c r="AM954" s="7" t="s">
        <v>1177</v>
      </c>
      <c r="AN954" s="7" t="s">
        <v>3212</v>
      </c>
      <c r="AO954" s="7" t="s">
        <v>1177</v>
      </c>
      <c r="AP954" s="7" t="s">
        <v>1177</v>
      </c>
      <c r="AQ954" s="7" t="s">
        <v>1177</v>
      </c>
      <c r="AR954" s="29">
        <v>0</v>
      </c>
      <c r="AS954" s="7" t="s">
        <v>1177</v>
      </c>
      <c r="AT954" s="7" t="s">
        <v>1363</v>
      </c>
      <c r="AU954" s="38">
        <v>46275</v>
      </c>
      <c r="AV954" s="39">
        <v>0.62335648148148004</v>
      </c>
    </row>
    <row r="955" spans="1:48" x14ac:dyDescent="0.35">
      <c r="A955" t="str">
        <f t="shared" si="14"/>
        <v>GP231114B838</v>
      </c>
      <c r="B955" s="7" t="s">
        <v>561</v>
      </c>
      <c r="C955" s="7" t="s">
        <v>744</v>
      </c>
      <c r="D955" s="7" t="s">
        <v>48</v>
      </c>
      <c r="E955" s="7" t="s">
        <v>1177</v>
      </c>
      <c r="F955" s="7" t="s">
        <v>128</v>
      </c>
      <c r="G955" s="7" t="s">
        <v>130</v>
      </c>
      <c r="H955" s="7" t="s">
        <v>129</v>
      </c>
      <c r="I955" s="30">
        <v>2</v>
      </c>
      <c r="J955" s="7" t="s">
        <v>1177</v>
      </c>
      <c r="K955" s="7" t="s">
        <v>1178</v>
      </c>
      <c r="L955" s="7" t="s">
        <v>132</v>
      </c>
      <c r="M955" s="7" t="s">
        <v>133</v>
      </c>
      <c r="N955" s="30">
        <v>0</v>
      </c>
      <c r="O955" s="30">
        <v>0</v>
      </c>
      <c r="P955" s="30">
        <v>0</v>
      </c>
      <c r="Q955" s="30">
        <v>0</v>
      </c>
      <c r="R955" s="29">
        <v>0</v>
      </c>
      <c r="S955" s="36">
        <v>0</v>
      </c>
      <c r="T955" s="7" t="s">
        <v>131</v>
      </c>
      <c r="U955" s="7" t="s">
        <v>745</v>
      </c>
      <c r="V955" s="7" t="s">
        <v>745</v>
      </c>
      <c r="W955" s="7" t="s">
        <v>1177</v>
      </c>
      <c r="X955" s="30">
        <v>1</v>
      </c>
      <c r="Y955" s="7" t="s">
        <v>1177</v>
      </c>
      <c r="Z955" s="7" t="s">
        <v>1178</v>
      </c>
      <c r="AA955" s="30">
        <v>0</v>
      </c>
      <c r="AB955" s="36">
        <v>0</v>
      </c>
      <c r="AC955" s="7" t="s">
        <v>1177</v>
      </c>
      <c r="AD955" s="37">
        <v>0</v>
      </c>
      <c r="AE955" s="7" t="s">
        <v>1177</v>
      </c>
      <c r="AF955" s="7" t="s">
        <v>1177</v>
      </c>
      <c r="AG955" s="7" t="s">
        <v>1177</v>
      </c>
      <c r="AH955" s="38"/>
      <c r="AI955" s="36">
        <v>0</v>
      </c>
      <c r="AJ955" s="7" t="s">
        <v>1193</v>
      </c>
      <c r="AK955" s="7" t="s">
        <v>1177</v>
      </c>
      <c r="AL955" s="7" t="s">
        <v>1177</v>
      </c>
      <c r="AM955" s="7" t="s">
        <v>1177</v>
      </c>
      <c r="AN955" s="7" t="s">
        <v>3212</v>
      </c>
      <c r="AO955" s="7" t="s">
        <v>1177</v>
      </c>
      <c r="AP955" s="7" t="s">
        <v>1177</v>
      </c>
      <c r="AQ955" s="7" t="s">
        <v>1177</v>
      </c>
      <c r="AR955" s="29">
        <v>0</v>
      </c>
      <c r="AS955" s="7" t="s">
        <v>1177</v>
      </c>
      <c r="AT955" s="7" t="s">
        <v>1363</v>
      </c>
      <c r="AU955" s="38">
        <v>46275</v>
      </c>
      <c r="AV955" s="39">
        <v>0.62417824074074002</v>
      </c>
    </row>
    <row r="956" spans="1:48" x14ac:dyDescent="0.35">
      <c r="A956" t="str">
        <f t="shared" si="14"/>
        <v>GP231270B825</v>
      </c>
      <c r="B956" s="7" t="s">
        <v>409</v>
      </c>
      <c r="C956" s="7" t="s">
        <v>511</v>
      </c>
      <c r="D956" s="7" t="s">
        <v>16</v>
      </c>
      <c r="E956" s="7" t="s">
        <v>1177</v>
      </c>
      <c r="F956" s="7" t="s">
        <v>128</v>
      </c>
      <c r="G956" s="7" t="s">
        <v>130</v>
      </c>
      <c r="H956" s="7" t="s">
        <v>129</v>
      </c>
      <c r="I956" s="30">
        <v>2</v>
      </c>
      <c r="J956" s="7" t="s">
        <v>1177</v>
      </c>
      <c r="K956" s="7" t="s">
        <v>1178</v>
      </c>
      <c r="L956" s="7" t="s">
        <v>132</v>
      </c>
      <c r="M956" s="7" t="s">
        <v>133</v>
      </c>
      <c r="N956" s="30">
        <v>0</v>
      </c>
      <c r="O956" s="30">
        <v>0</v>
      </c>
      <c r="P956" s="30">
        <v>0</v>
      </c>
      <c r="Q956" s="30">
        <v>0</v>
      </c>
      <c r="R956" s="29">
        <v>0</v>
      </c>
      <c r="S956" s="36">
        <v>0</v>
      </c>
      <c r="T956" s="7" t="s">
        <v>131</v>
      </c>
      <c r="U956" s="7" t="s">
        <v>512</v>
      </c>
      <c r="V956" s="7" t="s">
        <v>512</v>
      </c>
      <c r="W956" s="7" t="s">
        <v>1177</v>
      </c>
      <c r="X956" s="30">
        <v>1</v>
      </c>
      <c r="Y956" s="7" t="s">
        <v>1177</v>
      </c>
      <c r="Z956" s="7" t="s">
        <v>1178</v>
      </c>
      <c r="AA956" s="30">
        <v>0</v>
      </c>
      <c r="AB956" s="36">
        <v>0</v>
      </c>
      <c r="AC956" s="7" t="s">
        <v>1177</v>
      </c>
      <c r="AD956" s="37">
        <v>0</v>
      </c>
      <c r="AE956" s="7" t="s">
        <v>1177</v>
      </c>
      <c r="AF956" s="7" t="s">
        <v>1177</v>
      </c>
      <c r="AG956" s="7" t="s">
        <v>1177</v>
      </c>
      <c r="AH956" s="38"/>
      <c r="AI956" s="36">
        <v>0</v>
      </c>
      <c r="AJ956" s="7" t="s">
        <v>1193</v>
      </c>
      <c r="AK956" s="7" t="s">
        <v>1177</v>
      </c>
      <c r="AL956" s="7" t="s">
        <v>1177</v>
      </c>
      <c r="AM956" s="7" t="s">
        <v>1177</v>
      </c>
      <c r="AN956" s="7" t="s">
        <v>3212</v>
      </c>
      <c r="AO956" s="7" t="s">
        <v>1177</v>
      </c>
      <c r="AP956" s="7" t="s">
        <v>1177</v>
      </c>
      <c r="AQ956" s="7" t="s">
        <v>1177</v>
      </c>
      <c r="AR956" s="29">
        <v>0</v>
      </c>
      <c r="AS956" s="7" t="s">
        <v>1177</v>
      </c>
      <c r="AT956" s="7" t="s">
        <v>1363</v>
      </c>
      <c r="AU956" s="38">
        <v>46275</v>
      </c>
      <c r="AV956" s="39">
        <v>0.62305555555556003</v>
      </c>
    </row>
    <row r="957" spans="1:48" x14ac:dyDescent="0.35">
      <c r="A957" t="str">
        <f t="shared" si="14"/>
        <v>GP231270B832</v>
      </c>
      <c r="B957" s="7" t="s">
        <v>409</v>
      </c>
      <c r="C957" s="7" t="s">
        <v>653</v>
      </c>
      <c r="D957" s="7" t="s">
        <v>19</v>
      </c>
      <c r="E957" s="7" t="s">
        <v>1177</v>
      </c>
      <c r="F957" s="7" t="s">
        <v>128</v>
      </c>
      <c r="G957" s="7" t="s">
        <v>130</v>
      </c>
      <c r="H957" s="7" t="s">
        <v>129</v>
      </c>
      <c r="I957" s="30">
        <v>2</v>
      </c>
      <c r="J957" s="7" t="s">
        <v>1177</v>
      </c>
      <c r="K957" s="7" t="s">
        <v>1178</v>
      </c>
      <c r="L957" s="7" t="s">
        <v>132</v>
      </c>
      <c r="M957" s="7" t="s">
        <v>133</v>
      </c>
      <c r="N957" s="30">
        <v>0</v>
      </c>
      <c r="O957" s="30">
        <v>0</v>
      </c>
      <c r="P957" s="30">
        <v>0</v>
      </c>
      <c r="Q957" s="30">
        <v>0</v>
      </c>
      <c r="R957" s="29">
        <v>0</v>
      </c>
      <c r="S957" s="36">
        <v>0</v>
      </c>
      <c r="T957" s="7" t="s">
        <v>131</v>
      </c>
      <c r="U957" s="7" t="s">
        <v>654</v>
      </c>
      <c r="V957" s="7" t="s">
        <v>654</v>
      </c>
      <c r="W957" s="7" t="s">
        <v>1177</v>
      </c>
      <c r="X957" s="30">
        <v>1</v>
      </c>
      <c r="Y957" s="7" t="s">
        <v>1177</v>
      </c>
      <c r="Z957" s="7" t="s">
        <v>1178</v>
      </c>
      <c r="AA957" s="30">
        <v>0</v>
      </c>
      <c r="AB957" s="36">
        <v>0</v>
      </c>
      <c r="AC957" s="7" t="s">
        <v>1177</v>
      </c>
      <c r="AD957" s="37">
        <v>0</v>
      </c>
      <c r="AE957" s="7" t="s">
        <v>1177</v>
      </c>
      <c r="AF957" s="7" t="s">
        <v>1177</v>
      </c>
      <c r="AG957" s="7" t="s">
        <v>1177</v>
      </c>
      <c r="AH957" s="38"/>
      <c r="AI957" s="36">
        <v>0</v>
      </c>
      <c r="AJ957" s="7" t="s">
        <v>1193</v>
      </c>
      <c r="AK957" s="7" t="s">
        <v>1177</v>
      </c>
      <c r="AL957" s="7" t="s">
        <v>1177</v>
      </c>
      <c r="AM957" s="7" t="s">
        <v>1177</v>
      </c>
      <c r="AN957" s="7" t="s">
        <v>3212</v>
      </c>
      <c r="AO957" s="7" t="s">
        <v>1177</v>
      </c>
      <c r="AP957" s="7" t="s">
        <v>1177</v>
      </c>
      <c r="AQ957" s="7" t="s">
        <v>1177</v>
      </c>
      <c r="AR957" s="29">
        <v>0</v>
      </c>
      <c r="AS957" s="7" t="s">
        <v>1177</v>
      </c>
      <c r="AT957" s="7" t="s">
        <v>1363</v>
      </c>
      <c r="AU957" s="38">
        <v>46275</v>
      </c>
      <c r="AV957" s="39">
        <v>0.62335648148148004</v>
      </c>
    </row>
    <row r="958" spans="1:48" x14ac:dyDescent="0.35">
      <c r="A958" t="str">
        <f t="shared" si="14"/>
        <v>GP231575B825</v>
      </c>
      <c r="B958" s="7" t="s">
        <v>451</v>
      </c>
      <c r="C958" s="7" t="s">
        <v>511</v>
      </c>
      <c r="D958" s="7" t="s">
        <v>16</v>
      </c>
      <c r="E958" s="7" t="s">
        <v>1177</v>
      </c>
      <c r="F958" s="7" t="s">
        <v>128</v>
      </c>
      <c r="G958" s="7" t="s">
        <v>130</v>
      </c>
      <c r="H958" s="7" t="s">
        <v>129</v>
      </c>
      <c r="I958" s="30">
        <v>2</v>
      </c>
      <c r="J958" s="7" t="s">
        <v>1177</v>
      </c>
      <c r="K958" s="7" t="s">
        <v>1178</v>
      </c>
      <c r="L958" s="7" t="s">
        <v>132</v>
      </c>
      <c r="M958" s="7" t="s">
        <v>133</v>
      </c>
      <c r="N958" s="30">
        <v>0</v>
      </c>
      <c r="O958" s="30">
        <v>0</v>
      </c>
      <c r="P958" s="30">
        <v>0</v>
      </c>
      <c r="Q958" s="30">
        <v>0</v>
      </c>
      <c r="R958" s="29">
        <v>0</v>
      </c>
      <c r="S958" s="36">
        <v>0</v>
      </c>
      <c r="T958" s="7" t="s">
        <v>131</v>
      </c>
      <c r="U958" s="7" t="s">
        <v>512</v>
      </c>
      <c r="V958" s="7" t="s">
        <v>512</v>
      </c>
      <c r="W958" s="7" t="s">
        <v>1177</v>
      </c>
      <c r="X958" s="30">
        <v>1</v>
      </c>
      <c r="Y958" s="7" t="s">
        <v>1177</v>
      </c>
      <c r="Z958" s="7" t="s">
        <v>1178</v>
      </c>
      <c r="AA958" s="30">
        <v>0</v>
      </c>
      <c r="AB958" s="36">
        <v>0</v>
      </c>
      <c r="AC958" s="7" t="s">
        <v>1177</v>
      </c>
      <c r="AD958" s="37">
        <v>0</v>
      </c>
      <c r="AE958" s="7" t="s">
        <v>1177</v>
      </c>
      <c r="AF958" s="7" t="s">
        <v>1177</v>
      </c>
      <c r="AG958" s="7" t="s">
        <v>1177</v>
      </c>
      <c r="AH958" s="38"/>
      <c r="AI958" s="36">
        <v>0</v>
      </c>
      <c r="AJ958" s="7" t="s">
        <v>1193</v>
      </c>
      <c r="AK958" s="7" t="s">
        <v>1177</v>
      </c>
      <c r="AL958" s="7" t="s">
        <v>1177</v>
      </c>
      <c r="AM958" s="7" t="s">
        <v>1177</v>
      </c>
      <c r="AN958" s="7" t="s">
        <v>3212</v>
      </c>
      <c r="AO958" s="7" t="s">
        <v>1177</v>
      </c>
      <c r="AP958" s="7" t="s">
        <v>1177</v>
      </c>
      <c r="AQ958" s="7" t="s">
        <v>1177</v>
      </c>
      <c r="AR958" s="29">
        <v>0</v>
      </c>
      <c r="AS958" s="7" t="s">
        <v>1177</v>
      </c>
      <c r="AT958" s="7" t="s">
        <v>1363</v>
      </c>
      <c r="AU958" s="38">
        <v>46275</v>
      </c>
      <c r="AV958" s="39">
        <v>0.6034837962963</v>
      </c>
    </row>
    <row r="959" spans="1:48" x14ac:dyDescent="0.35">
      <c r="A959" t="str">
        <f t="shared" si="14"/>
        <v>GP231593B825</v>
      </c>
      <c r="B959" s="7" t="s">
        <v>562</v>
      </c>
      <c r="C959" s="7" t="s">
        <v>511</v>
      </c>
      <c r="D959" s="7" t="s">
        <v>16</v>
      </c>
      <c r="E959" s="7" t="s">
        <v>1177</v>
      </c>
      <c r="F959" s="7" t="s">
        <v>128</v>
      </c>
      <c r="G959" s="7" t="s">
        <v>130</v>
      </c>
      <c r="H959" s="7" t="s">
        <v>129</v>
      </c>
      <c r="I959" s="30">
        <v>2</v>
      </c>
      <c r="J959" s="7" t="s">
        <v>1177</v>
      </c>
      <c r="K959" s="7" t="s">
        <v>1178</v>
      </c>
      <c r="L959" s="7" t="s">
        <v>132</v>
      </c>
      <c r="M959" s="7" t="s">
        <v>133</v>
      </c>
      <c r="N959" s="30">
        <v>0</v>
      </c>
      <c r="O959" s="30">
        <v>0</v>
      </c>
      <c r="P959" s="30">
        <v>0</v>
      </c>
      <c r="Q959" s="30">
        <v>0</v>
      </c>
      <c r="R959" s="29">
        <v>0</v>
      </c>
      <c r="S959" s="36">
        <v>0</v>
      </c>
      <c r="T959" s="7" t="s">
        <v>131</v>
      </c>
      <c r="U959" s="7" t="s">
        <v>512</v>
      </c>
      <c r="V959" s="7" t="s">
        <v>512</v>
      </c>
      <c r="W959" s="7" t="s">
        <v>1177</v>
      </c>
      <c r="X959" s="30">
        <v>1</v>
      </c>
      <c r="Y959" s="7" t="s">
        <v>1177</v>
      </c>
      <c r="Z959" s="7" t="s">
        <v>1178</v>
      </c>
      <c r="AA959" s="30">
        <v>0</v>
      </c>
      <c r="AB959" s="36">
        <v>0</v>
      </c>
      <c r="AC959" s="7" t="s">
        <v>1177</v>
      </c>
      <c r="AD959" s="37">
        <v>0</v>
      </c>
      <c r="AE959" s="7" t="s">
        <v>1177</v>
      </c>
      <c r="AF959" s="7" t="s">
        <v>1177</v>
      </c>
      <c r="AG959" s="7" t="s">
        <v>1177</v>
      </c>
      <c r="AH959" s="38"/>
      <c r="AI959" s="36">
        <v>0</v>
      </c>
      <c r="AJ959" s="7" t="s">
        <v>1193</v>
      </c>
      <c r="AK959" s="7" t="s">
        <v>1177</v>
      </c>
      <c r="AL959" s="7" t="s">
        <v>1177</v>
      </c>
      <c r="AM959" s="7" t="s">
        <v>1177</v>
      </c>
      <c r="AN959" s="7" t="s">
        <v>3212</v>
      </c>
      <c r="AO959" s="7" t="s">
        <v>1177</v>
      </c>
      <c r="AP959" s="7" t="s">
        <v>1177</v>
      </c>
      <c r="AQ959" s="7" t="s">
        <v>1177</v>
      </c>
      <c r="AR959" s="29">
        <v>0</v>
      </c>
      <c r="AS959" s="7" t="s">
        <v>1177</v>
      </c>
      <c r="AT959" s="7" t="s">
        <v>1363</v>
      </c>
      <c r="AU959" s="38">
        <v>46275</v>
      </c>
      <c r="AV959" s="39">
        <v>0.62305555555556003</v>
      </c>
    </row>
    <row r="960" spans="1:48" x14ac:dyDescent="0.35">
      <c r="A960" t="str">
        <f t="shared" si="14"/>
        <v>GP231593B832</v>
      </c>
      <c r="B960" s="7" t="s">
        <v>562</v>
      </c>
      <c r="C960" s="7" t="s">
        <v>653</v>
      </c>
      <c r="D960" s="7" t="s">
        <v>19</v>
      </c>
      <c r="E960" s="7" t="s">
        <v>1177</v>
      </c>
      <c r="F960" s="7" t="s">
        <v>128</v>
      </c>
      <c r="G960" s="7" t="s">
        <v>130</v>
      </c>
      <c r="H960" s="7" t="s">
        <v>129</v>
      </c>
      <c r="I960" s="30">
        <v>2</v>
      </c>
      <c r="J960" s="7" t="s">
        <v>1177</v>
      </c>
      <c r="K960" s="7" t="s">
        <v>1178</v>
      </c>
      <c r="L960" s="7" t="s">
        <v>132</v>
      </c>
      <c r="M960" s="7" t="s">
        <v>133</v>
      </c>
      <c r="N960" s="30">
        <v>0</v>
      </c>
      <c r="O960" s="30">
        <v>0</v>
      </c>
      <c r="P960" s="30">
        <v>0</v>
      </c>
      <c r="Q960" s="30">
        <v>0</v>
      </c>
      <c r="R960" s="29">
        <v>0</v>
      </c>
      <c r="S960" s="36">
        <v>0</v>
      </c>
      <c r="T960" s="7" t="s">
        <v>131</v>
      </c>
      <c r="U960" s="7" t="s">
        <v>654</v>
      </c>
      <c r="V960" s="7" t="s">
        <v>654</v>
      </c>
      <c r="W960" s="7" t="s">
        <v>1177</v>
      </c>
      <c r="X960" s="30">
        <v>1</v>
      </c>
      <c r="Y960" s="7" t="s">
        <v>1177</v>
      </c>
      <c r="Z960" s="7" t="s">
        <v>1178</v>
      </c>
      <c r="AA960" s="30">
        <v>0</v>
      </c>
      <c r="AB960" s="36">
        <v>0</v>
      </c>
      <c r="AC960" s="7" t="s">
        <v>1177</v>
      </c>
      <c r="AD960" s="37">
        <v>0</v>
      </c>
      <c r="AE960" s="7" t="s">
        <v>1177</v>
      </c>
      <c r="AF960" s="7" t="s">
        <v>1177</v>
      </c>
      <c r="AG960" s="7" t="s">
        <v>1177</v>
      </c>
      <c r="AH960" s="38"/>
      <c r="AI960" s="36">
        <v>0</v>
      </c>
      <c r="AJ960" s="7" t="s">
        <v>1193</v>
      </c>
      <c r="AK960" s="7" t="s">
        <v>1177</v>
      </c>
      <c r="AL960" s="7" t="s">
        <v>1177</v>
      </c>
      <c r="AM960" s="7" t="s">
        <v>1177</v>
      </c>
      <c r="AN960" s="7" t="s">
        <v>3212</v>
      </c>
      <c r="AO960" s="7" t="s">
        <v>1177</v>
      </c>
      <c r="AP960" s="7" t="s">
        <v>1177</v>
      </c>
      <c r="AQ960" s="7" t="s">
        <v>1177</v>
      </c>
      <c r="AR960" s="29">
        <v>0</v>
      </c>
      <c r="AS960" s="7" t="s">
        <v>1177</v>
      </c>
      <c r="AT960" s="7" t="s">
        <v>1363</v>
      </c>
      <c r="AU960" s="38">
        <v>46275</v>
      </c>
      <c r="AV960" s="39">
        <v>0.62335648148148004</v>
      </c>
    </row>
    <row r="961" spans="1:48" x14ac:dyDescent="0.35">
      <c r="A961" t="str">
        <f t="shared" si="14"/>
        <v>GP231593B838</v>
      </c>
      <c r="B961" s="7" t="s">
        <v>562</v>
      </c>
      <c r="C961" s="7" t="s">
        <v>744</v>
      </c>
      <c r="D961" s="7" t="s">
        <v>48</v>
      </c>
      <c r="E961" s="7" t="s">
        <v>1177</v>
      </c>
      <c r="F961" s="7" t="s">
        <v>128</v>
      </c>
      <c r="G961" s="7" t="s">
        <v>130</v>
      </c>
      <c r="H961" s="7" t="s">
        <v>129</v>
      </c>
      <c r="I961" s="30">
        <v>2</v>
      </c>
      <c r="J961" s="7" t="s">
        <v>1177</v>
      </c>
      <c r="K961" s="7" t="s">
        <v>1178</v>
      </c>
      <c r="L961" s="7" t="s">
        <v>132</v>
      </c>
      <c r="M961" s="7" t="s">
        <v>133</v>
      </c>
      <c r="N961" s="30">
        <v>0</v>
      </c>
      <c r="O961" s="30">
        <v>0</v>
      </c>
      <c r="P961" s="30">
        <v>0</v>
      </c>
      <c r="Q961" s="30">
        <v>0</v>
      </c>
      <c r="R961" s="29">
        <v>0</v>
      </c>
      <c r="S961" s="36">
        <v>0</v>
      </c>
      <c r="T961" s="7" t="s">
        <v>131</v>
      </c>
      <c r="U961" s="7" t="s">
        <v>745</v>
      </c>
      <c r="V961" s="7" t="s">
        <v>745</v>
      </c>
      <c r="W961" s="7" t="s">
        <v>1177</v>
      </c>
      <c r="X961" s="30">
        <v>1</v>
      </c>
      <c r="Y961" s="7" t="s">
        <v>1177</v>
      </c>
      <c r="Z961" s="7" t="s">
        <v>1178</v>
      </c>
      <c r="AA961" s="30">
        <v>0</v>
      </c>
      <c r="AB961" s="36">
        <v>0</v>
      </c>
      <c r="AC961" s="7" t="s">
        <v>1177</v>
      </c>
      <c r="AD961" s="37">
        <v>0</v>
      </c>
      <c r="AE961" s="7" t="s">
        <v>1177</v>
      </c>
      <c r="AF961" s="7" t="s">
        <v>1177</v>
      </c>
      <c r="AG961" s="7" t="s">
        <v>1177</v>
      </c>
      <c r="AH961" s="38"/>
      <c r="AI961" s="36">
        <v>0</v>
      </c>
      <c r="AJ961" s="7" t="s">
        <v>1193</v>
      </c>
      <c r="AK961" s="7" t="s">
        <v>1177</v>
      </c>
      <c r="AL961" s="7" t="s">
        <v>1177</v>
      </c>
      <c r="AM961" s="7" t="s">
        <v>1177</v>
      </c>
      <c r="AN961" s="7" t="s">
        <v>3212</v>
      </c>
      <c r="AO961" s="7" t="s">
        <v>1177</v>
      </c>
      <c r="AP961" s="7" t="s">
        <v>1177</v>
      </c>
      <c r="AQ961" s="7" t="s">
        <v>1177</v>
      </c>
      <c r="AR961" s="29">
        <v>0</v>
      </c>
      <c r="AS961" s="7" t="s">
        <v>1177</v>
      </c>
      <c r="AT961" s="7" t="s">
        <v>1363</v>
      </c>
      <c r="AU961" s="38">
        <v>46275</v>
      </c>
      <c r="AV961" s="39">
        <v>0.62417824074074002</v>
      </c>
    </row>
    <row r="962" spans="1:48" x14ac:dyDescent="0.35">
      <c r="A962" t="str">
        <f t="shared" si="14"/>
        <v>GP233556B825</v>
      </c>
      <c r="B962" s="7" t="s">
        <v>563</v>
      </c>
      <c r="C962" s="7" t="s">
        <v>511</v>
      </c>
      <c r="D962" s="7" t="s">
        <v>16</v>
      </c>
      <c r="E962" s="7" t="s">
        <v>1177</v>
      </c>
      <c r="F962" s="7" t="s">
        <v>128</v>
      </c>
      <c r="G962" s="7" t="s">
        <v>130</v>
      </c>
      <c r="H962" s="7" t="s">
        <v>129</v>
      </c>
      <c r="I962" s="30">
        <v>2</v>
      </c>
      <c r="J962" s="7" t="s">
        <v>1177</v>
      </c>
      <c r="K962" s="7" t="s">
        <v>1178</v>
      </c>
      <c r="L962" s="7" t="s">
        <v>132</v>
      </c>
      <c r="M962" s="7" t="s">
        <v>133</v>
      </c>
      <c r="N962" s="30">
        <v>0</v>
      </c>
      <c r="O962" s="30">
        <v>0</v>
      </c>
      <c r="P962" s="30">
        <v>0</v>
      </c>
      <c r="Q962" s="30">
        <v>0</v>
      </c>
      <c r="R962" s="29">
        <v>0</v>
      </c>
      <c r="S962" s="36">
        <v>0</v>
      </c>
      <c r="T962" s="7" t="s">
        <v>131</v>
      </c>
      <c r="U962" s="7" t="s">
        <v>512</v>
      </c>
      <c r="V962" s="7" t="s">
        <v>512</v>
      </c>
      <c r="W962" s="7" t="s">
        <v>1177</v>
      </c>
      <c r="X962" s="30">
        <v>1</v>
      </c>
      <c r="Y962" s="7" t="s">
        <v>1177</v>
      </c>
      <c r="Z962" s="7" t="s">
        <v>1178</v>
      </c>
      <c r="AA962" s="30">
        <v>0</v>
      </c>
      <c r="AB962" s="36">
        <v>0</v>
      </c>
      <c r="AC962" s="7" t="s">
        <v>1177</v>
      </c>
      <c r="AD962" s="37">
        <v>0</v>
      </c>
      <c r="AE962" s="7" t="s">
        <v>1177</v>
      </c>
      <c r="AF962" s="7" t="s">
        <v>1177</v>
      </c>
      <c r="AG962" s="7" t="s">
        <v>1177</v>
      </c>
      <c r="AH962" s="38"/>
      <c r="AI962" s="36">
        <v>0</v>
      </c>
      <c r="AJ962" s="7" t="s">
        <v>1193</v>
      </c>
      <c r="AK962" s="7" t="s">
        <v>1177</v>
      </c>
      <c r="AL962" s="7" t="s">
        <v>1177</v>
      </c>
      <c r="AM962" s="7" t="s">
        <v>1177</v>
      </c>
      <c r="AN962" s="7" t="s">
        <v>3212</v>
      </c>
      <c r="AO962" s="7" t="s">
        <v>1177</v>
      </c>
      <c r="AP962" s="7" t="s">
        <v>1177</v>
      </c>
      <c r="AQ962" s="7" t="s">
        <v>1177</v>
      </c>
      <c r="AR962" s="29">
        <v>0</v>
      </c>
      <c r="AS962" s="7" t="s">
        <v>1177</v>
      </c>
      <c r="AT962" s="7" t="s">
        <v>1363</v>
      </c>
      <c r="AU962" s="38">
        <v>46275</v>
      </c>
      <c r="AV962" s="39">
        <v>0.62305555555556003</v>
      </c>
    </row>
    <row r="963" spans="1:48" x14ac:dyDescent="0.35">
      <c r="A963" t="str">
        <f t="shared" ref="A963:A1026" si="15">_xlfn.CONCAT(B963,D963)</f>
        <v>GP233669B825</v>
      </c>
      <c r="B963" s="7" t="s">
        <v>473</v>
      </c>
      <c r="C963" s="7" t="s">
        <v>511</v>
      </c>
      <c r="D963" s="7" t="s">
        <v>16</v>
      </c>
      <c r="E963" s="7" t="s">
        <v>1177</v>
      </c>
      <c r="F963" s="7" t="s">
        <v>128</v>
      </c>
      <c r="G963" s="7" t="s">
        <v>130</v>
      </c>
      <c r="H963" s="7" t="s">
        <v>129</v>
      </c>
      <c r="I963" s="30">
        <v>2</v>
      </c>
      <c r="J963" s="7" t="s">
        <v>1177</v>
      </c>
      <c r="K963" s="7" t="s">
        <v>1178</v>
      </c>
      <c r="L963" s="7" t="s">
        <v>132</v>
      </c>
      <c r="M963" s="7" t="s">
        <v>133</v>
      </c>
      <c r="N963" s="30">
        <v>0</v>
      </c>
      <c r="O963" s="30">
        <v>0</v>
      </c>
      <c r="P963" s="30">
        <v>0</v>
      </c>
      <c r="Q963" s="30">
        <v>0</v>
      </c>
      <c r="R963" s="29">
        <v>0</v>
      </c>
      <c r="S963" s="36">
        <v>0</v>
      </c>
      <c r="T963" s="7" t="s">
        <v>131</v>
      </c>
      <c r="U963" s="7" t="s">
        <v>512</v>
      </c>
      <c r="V963" s="7" t="s">
        <v>512</v>
      </c>
      <c r="W963" s="7" t="s">
        <v>1177</v>
      </c>
      <c r="X963" s="30">
        <v>1</v>
      </c>
      <c r="Y963" s="7" t="s">
        <v>1177</v>
      </c>
      <c r="Z963" s="7" t="s">
        <v>1178</v>
      </c>
      <c r="AA963" s="30">
        <v>0</v>
      </c>
      <c r="AB963" s="36">
        <v>0</v>
      </c>
      <c r="AC963" s="7" t="s">
        <v>1177</v>
      </c>
      <c r="AD963" s="37">
        <v>0</v>
      </c>
      <c r="AE963" s="7" t="s">
        <v>1177</v>
      </c>
      <c r="AF963" s="7" t="s">
        <v>1177</v>
      </c>
      <c r="AG963" s="7" t="s">
        <v>1177</v>
      </c>
      <c r="AH963" s="38"/>
      <c r="AI963" s="36">
        <v>0</v>
      </c>
      <c r="AJ963" s="7" t="s">
        <v>1193</v>
      </c>
      <c r="AK963" s="7" t="s">
        <v>1177</v>
      </c>
      <c r="AL963" s="7" t="s">
        <v>1177</v>
      </c>
      <c r="AM963" s="7" t="s">
        <v>1177</v>
      </c>
      <c r="AN963" s="7" t="s">
        <v>3212</v>
      </c>
      <c r="AO963" s="7" t="s">
        <v>1177</v>
      </c>
      <c r="AP963" s="7" t="s">
        <v>1177</v>
      </c>
      <c r="AQ963" s="7" t="s">
        <v>1177</v>
      </c>
      <c r="AR963" s="29">
        <v>0</v>
      </c>
      <c r="AS963" s="7" t="s">
        <v>1177</v>
      </c>
      <c r="AT963" s="7" t="s">
        <v>1363</v>
      </c>
      <c r="AU963" s="38">
        <v>46275</v>
      </c>
      <c r="AV963" s="39">
        <v>0.62305555555556003</v>
      </c>
    </row>
    <row r="964" spans="1:48" x14ac:dyDescent="0.35">
      <c r="A964" t="str">
        <f t="shared" si="15"/>
        <v>GP233669B832</v>
      </c>
      <c r="B964" s="7" t="s">
        <v>473</v>
      </c>
      <c r="C964" s="7" t="s">
        <v>653</v>
      </c>
      <c r="D964" s="7" t="s">
        <v>19</v>
      </c>
      <c r="E964" s="7" t="s">
        <v>1177</v>
      </c>
      <c r="F964" s="7" t="s">
        <v>128</v>
      </c>
      <c r="G964" s="7" t="s">
        <v>130</v>
      </c>
      <c r="H964" s="7" t="s">
        <v>129</v>
      </c>
      <c r="I964" s="30">
        <v>2</v>
      </c>
      <c r="J964" s="7" t="s">
        <v>1177</v>
      </c>
      <c r="K964" s="7" t="s">
        <v>1178</v>
      </c>
      <c r="L964" s="7" t="s">
        <v>132</v>
      </c>
      <c r="M964" s="7" t="s">
        <v>133</v>
      </c>
      <c r="N964" s="30">
        <v>0</v>
      </c>
      <c r="O964" s="30">
        <v>0</v>
      </c>
      <c r="P964" s="30">
        <v>0</v>
      </c>
      <c r="Q964" s="30">
        <v>0</v>
      </c>
      <c r="R964" s="29">
        <v>0</v>
      </c>
      <c r="S964" s="36">
        <v>0</v>
      </c>
      <c r="T964" s="7" t="s">
        <v>131</v>
      </c>
      <c r="U964" s="7" t="s">
        <v>654</v>
      </c>
      <c r="V964" s="7" t="s">
        <v>654</v>
      </c>
      <c r="W964" s="7" t="s">
        <v>1177</v>
      </c>
      <c r="X964" s="30">
        <v>1</v>
      </c>
      <c r="Y964" s="7" t="s">
        <v>1177</v>
      </c>
      <c r="Z964" s="7" t="s">
        <v>1178</v>
      </c>
      <c r="AA964" s="30">
        <v>0</v>
      </c>
      <c r="AB964" s="36">
        <v>0</v>
      </c>
      <c r="AC964" s="7" t="s">
        <v>1177</v>
      </c>
      <c r="AD964" s="37">
        <v>0</v>
      </c>
      <c r="AE964" s="7" t="s">
        <v>1177</v>
      </c>
      <c r="AF964" s="7" t="s">
        <v>1177</v>
      </c>
      <c r="AG964" s="7" t="s">
        <v>1177</v>
      </c>
      <c r="AH964" s="38"/>
      <c r="AI964" s="36">
        <v>0</v>
      </c>
      <c r="AJ964" s="7" t="s">
        <v>1193</v>
      </c>
      <c r="AK964" s="7" t="s">
        <v>1177</v>
      </c>
      <c r="AL964" s="7" t="s">
        <v>1177</v>
      </c>
      <c r="AM964" s="7" t="s">
        <v>1177</v>
      </c>
      <c r="AN964" s="7" t="s">
        <v>3212</v>
      </c>
      <c r="AO964" s="7" t="s">
        <v>1177</v>
      </c>
      <c r="AP964" s="7" t="s">
        <v>1177</v>
      </c>
      <c r="AQ964" s="7" t="s">
        <v>1177</v>
      </c>
      <c r="AR964" s="29">
        <v>0</v>
      </c>
      <c r="AS964" s="7" t="s">
        <v>1177</v>
      </c>
      <c r="AT964" s="7" t="s">
        <v>1363</v>
      </c>
      <c r="AU964" s="38">
        <v>46275</v>
      </c>
      <c r="AV964" s="39">
        <v>0.62335648148148004</v>
      </c>
    </row>
    <row r="965" spans="1:48" x14ac:dyDescent="0.35">
      <c r="A965" t="str">
        <f t="shared" si="15"/>
        <v>GP234869B825</v>
      </c>
      <c r="B965" s="7" t="s">
        <v>564</v>
      </c>
      <c r="C965" s="7" t="s">
        <v>511</v>
      </c>
      <c r="D965" s="7" t="s">
        <v>16</v>
      </c>
      <c r="E965" s="7" t="s">
        <v>1177</v>
      </c>
      <c r="F965" s="7" t="s">
        <v>128</v>
      </c>
      <c r="G965" s="7" t="s">
        <v>130</v>
      </c>
      <c r="H965" s="7" t="s">
        <v>129</v>
      </c>
      <c r="I965" s="30">
        <v>2</v>
      </c>
      <c r="J965" s="7" t="s">
        <v>1177</v>
      </c>
      <c r="K965" s="7" t="s">
        <v>1178</v>
      </c>
      <c r="L965" s="7" t="s">
        <v>132</v>
      </c>
      <c r="M965" s="7" t="s">
        <v>133</v>
      </c>
      <c r="N965" s="30">
        <v>0</v>
      </c>
      <c r="O965" s="30">
        <v>0</v>
      </c>
      <c r="P965" s="30">
        <v>0</v>
      </c>
      <c r="Q965" s="30">
        <v>0</v>
      </c>
      <c r="R965" s="29">
        <v>0</v>
      </c>
      <c r="S965" s="36">
        <v>0</v>
      </c>
      <c r="T965" s="7" t="s">
        <v>131</v>
      </c>
      <c r="U965" s="7" t="s">
        <v>512</v>
      </c>
      <c r="V965" s="7" t="s">
        <v>512</v>
      </c>
      <c r="W965" s="7" t="s">
        <v>1177</v>
      </c>
      <c r="X965" s="30">
        <v>1</v>
      </c>
      <c r="Y965" s="7" t="s">
        <v>1177</v>
      </c>
      <c r="Z965" s="7" t="s">
        <v>1178</v>
      </c>
      <c r="AA965" s="30">
        <v>0</v>
      </c>
      <c r="AB965" s="36">
        <v>0</v>
      </c>
      <c r="AC965" s="7" t="s">
        <v>1177</v>
      </c>
      <c r="AD965" s="37">
        <v>0</v>
      </c>
      <c r="AE965" s="7" t="s">
        <v>1177</v>
      </c>
      <c r="AF965" s="7" t="s">
        <v>1177</v>
      </c>
      <c r="AG965" s="7" t="s">
        <v>1177</v>
      </c>
      <c r="AH965" s="38"/>
      <c r="AI965" s="36">
        <v>0</v>
      </c>
      <c r="AJ965" s="7" t="s">
        <v>1193</v>
      </c>
      <c r="AK965" s="7" t="s">
        <v>1177</v>
      </c>
      <c r="AL965" s="7" t="s">
        <v>1177</v>
      </c>
      <c r="AM965" s="7" t="s">
        <v>1177</v>
      </c>
      <c r="AN965" s="7" t="s">
        <v>3212</v>
      </c>
      <c r="AO965" s="7" t="s">
        <v>1177</v>
      </c>
      <c r="AP965" s="7" t="s">
        <v>1177</v>
      </c>
      <c r="AQ965" s="7" t="s">
        <v>1177</v>
      </c>
      <c r="AR965" s="29">
        <v>0</v>
      </c>
      <c r="AS965" s="7" t="s">
        <v>1177</v>
      </c>
      <c r="AT965" s="7" t="s">
        <v>1363</v>
      </c>
      <c r="AU965" s="38">
        <v>46275</v>
      </c>
      <c r="AV965" s="39">
        <v>0.62305555555556003</v>
      </c>
    </row>
    <row r="966" spans="1:48" x14ac:dyDescent="0.35">
      <c r="A966" t="str">
        <f t="shared" si="15"/>
        <v>GP234956B825</v>
      </c>
      <c r="B966" s="7" t="s">
        <v>410</v>
      </c>
      <c r="C966" s="7" t="s">
        <v>511</v>
      </c>
      <c r="D966" s="7" t="s">
        <v>16</v>
      </c>
      <c r="E966" s="7" t="s">
        <v>1177</v>
      </c>
      <c r="F966" s="7" t="s">
        <v>128</v>
      </c>
      <c r="G966" s="7" t="s">
        <v>130</v>
      </c>
      <c r="H966" s="7" t="s">
        <v>129</v>
      </c>
      <c r="I966" s="30">
        <v>5</v>
      </c>
      <c r="J966" s="7" t="s">
        <v>1177</v>
      </c>
      <c r="K966" s="7" t="s">
        <v>1178</v>
      </c>
      <c r="L966" s="7" t="s">
        <v>132</v>
      </c>
      <c r="M966" s="7" t="s">
        <v>133</v>
      </c>
      <c r="N966" s="30">
        <v>0</v>
      </c>
      <c r="O966" s="30">
        <v>0</v>
      </c>
      <c r="P966" s="30">
        <v>0</v>
      </c>
      <c r="Q966" s="30">
        <v>0</v>
      </c>
      <c r="R966" s="29">
        <v>0</v>
      </c>
      <c r="S966" s="36">
        <v>0</v>
      </c>
      <c r="T966" s="7" t="s">
        <v>131</v>
      </c>
      <c r="U966" s="7" t="s">
        <v>512</v>
      </c>
      <c r="V966" s="7" t="s">
        <v>512</v>
      </c>
      <c r="W966" s="7" t="s">
        <v>1177</v>
      </c>
      <c r="X966" s="30">
        <v>1</v>
      </c>
      <c r="Y966" s="7" t="s">
        <v>1177</v>
      </c>
      <c r="Z966" s="7" t="s">
        <v>1178</v>
      </c>
      <c r="AA966" s="30">
        <v>0</v>
      </c>
      <c r="AB966" s="36">
        <v>0</v>
      </c>
      <c r="AC966" s="7" t="s">
        <v>1177</v>
      </c>
      <c r="AD966" s="37">
        <v>0</v>
      </c>
      <c r="AE966" s="7" t="s">
        <v>1177</v>
      </c>
      <c r="AF966" s="7" t="s">
        <v>1177</v>
      </c>
      <c r="AG966" s="7" t="s">
        <v>1177</v>
      </c>
      <c r="AH966" s="38"/>
      <c r="AI966" s="36">
        <v>0</v>
      </c>
      <c r="AJ966" s="7" t="s">
        <v>1193</v>
      </c>
      <c r="AK966" s="7" t="s">
        <v>1177</v>
      </c>
      <c r="AL966" s="7" t="s">
        <v>1177</v>
      </c>
      <c r="AM966" s="7" t="s">
        <v>1177</v>
      </c>
      <c r="AN966" s="7" t="s">
        <v>3212</v>
      </c>
      <c r="AO966" s="7" t="s">
        <v>1177</v>
      </c>
      <c r="AP966" s="7" t="s">
        <v>1177</v>
      </c>
      <c r="AQ966" s="7" t="s">
        <v>1177</v>
      </c>
      <c r="AR966" s="29">
        <v>0</v>
      </c>
      <c r="AS966" s="7" t="s">
        <v>1177</v>
      </c>
      <c r="AT966" s="7" t="s">
        <v>1363</v>
      </c>
      <c r="AU966" s="38">
        <v>46275</v>
      </c>
      <c r="AV966" s="39">
        <v>0.62305555555556003</v>
      </c>
    </row>
    <row r="967" spans="1:48" x14ac:dyDescent="0.35">
      <c r="A967" t="str">
        <f t="shared" si="15"/>
        <v>GP234956B832</v>
      </c>
      <c r="B967" s="7" t="s">
        <v>410</v>
      </c>
      <c r="C967" s="7" t="s">
        <v>653</v>
      </c>
      <c r="D967" s="7" t="s">
        <v>19</v>
      </c>
      <c r="E967" s="7" t="s">
        <v>1177</v>
      </c>
      <c r="F967" s="7" t="s">
        <v>128</v>
      </c>
      <c r="G967" s="7" t="s">
        <v>130</v>
      </c>
      <c r="H967" s="7" t="s">
        <v>129</v>
      </c>
      <c r="I967" s="30">
        <v>120</v>
      </c>
      <c r="J967" s="7" t="s">
        <v>1177</v>
      </c>
      <c r="K967" s="7" t="s">
        <v>1178</v>
      </c>
      <c r="L967" s="7" t="s">
        <v>132</v>
      </c>
      <c r="M967" s="7" t="s">
        <v>133</v>
      </c>
      <c r="N967" s="30">
        <v>0</v>
      </c>
      <c r="O967" s="30">
        <v>0</v>
      </c>
      <c r="P967" s="30">
        <v>0</v>
      </c>
      <c r="Q967" s="30">
        <v>0</v>
      </c>
      <c r="R967" s="29">
        <v>0</v>
      </c>
      <c r="S967" s="36">
        <v>0</v>
      </c>
      <c r="T967" s="7" t="s">
        <v>131</v>
      </c>
      <c r="U967" s="7" t="s">
        <v>654</v>
      </c>
      <c r="V967" s="7" t="s">
        <v>654</v>
      </c>
      <c r="W967" s="7" t="s">
        <v>1177</v>
      </c>
      <c r="X967" s="30">
        <v>30</v>
      </c>
      <c r="Y967" s="7" t="s">
        <v>1177</v>
      </c>
      <c r="Z967" s="7" t="s">
        <v>1178</v>
      </c>
      <c r="AA967" s="30">
        <v>0</v>
      </c>
      <c r="AB967" s="36">
        <v>0</v>
      </c>
      <c r="AC967" s="7" t="s">
        <v>1177</v>
      </c>
      <c r="AD967" s="37">
        <v>0</v>
      </c>
      <c r="AE967" s="7" t="s">
        <v>1177</v>
      </c>
      <c r="AF967" s="7" t="s">
        <v>1177</v>
      </c>
      <c r="AG967" s="7" t="s">
        <v>1177</v>
      </c>
      <c r="AH967" s="38"/>
      <c r="AI967" s="36">
        <v>0</v>
      </c>
      <c r="AJ967" s="7" t="s">
        <v>1193</v>
      </c>
      <c r="AK967" s="7" t="s">
        <v>1177</v>
      </c>
      <c r="AL967" s="7" t="s">
        <v>1177</v>
      </c>
      <c r="AM967" s="7" t="s">
        <v>1177</v>
      </c>
      <c r="AN967" s="7" t="s">
        <v>3212</v>
      </c>
      <c r="AO967" s="7" t="s">
        <v>1177</v>
      </c>
      <c r="AP967" s="7" t="s">
        <v>1177</v>
      </c>
      <c r="AQ967" s="7" t="s">
        <v>1177</v>
      </c>
      <c r="AR967" s="29">
        <v>0</v>
      </c>
      <c r="AS967" s="7" t="s">
        <v>1177</v>
      </c>
      <c r="AT967" s="7" t="s">
        <v>1363</v>
      </c>
      <c r="AU967" s="38">
        <v>46275</v>
      </c>
      <c r="AV967" s="39">
        <v>0.62335648148148004</v>
      </c>
    </row>
    <row r="968" spans="1:48" x14ac:dyDescent="0.35">
      <c r="A968" t="str">
        <f t="shared" si="15"/>
        <v>GP235307B825</v>
      </c>
      <c r="B968" s="7" t="s">
        <v>411</v>
      </c>
      <c r="C968" s="7" t="s">
        <v>511</v>
      </c>
      <c r="D968" s="7" t="s">
        <v>16</v>
      </c>
      <c r="E968" s="7" t="s">
        <v>1177</v>
      </c>
      <c r="F968" s="7" t="s">
        <v>128</v>
      </c>
      <c r="G968" s="7" t="s">
        <v>130</v>
      </c>
      <c r="H968" s="7" t="s">
        <v>129</v>
      </c>
      <c r="I968" s="30">
        <v>5</v>
      </c>
      <c r="J968" s="7" t="s">
        <v>1177</v>
      </c>
      <c r="K968" s="7" t="s">
        <v>1178</v>
      </c>
      <c r="L968" s="7" t="s">
        <v>132</v>
      </c>
      <c r="M968" s="7" t="s">
        <v>133</v>
      </c>
      <c r="N968" s="30">
        <v>0</v>
      </c>
      <c r="O968" s="30">
        <v>0</v>
      </c>
      <c r="P968" s="30">
        <v>0</v>
      </c>
      <c r="Q968" s="30">
        <v>0</v>
      </c>
      <c r="R968" s="29">
        <v>0</v>
      </c>
      <c r="S968" s="36">
        <v>0</v>
      </c>
      <c r="T968" s="7" t="s">
        <v>131</v>
      </c>
      <c r="U968" s="7" t="s">
        <v>512</v>
      </c>
      <c r="V968" s="7" t="s">
        <v>512</v>
      </c>
      <c r="W968" s="7" t="s">
        <v>1177</v>
      </c>
      <c r="X968" s="30">
        <v>1</v>
      </c>
      <c r="Y968" s="7" t="s">
        <v>1177</v>
      </c>
      <c r="Z968" s="7" t="s">
        <v>1178</v>
      </c>
      <c r="AA968" s="30">
        <v>0</v>
      </c>
      <c r="AB968" s="36">
        <v>0</v>
      </c>
      <c r="AC968" s="7" t="s">
        <v>1177</v>
      </c>
      <c r="AD968" s="37">
        <v>0</v>
      </c>
      <c r="AE968" s="7" t="s">
        <v>1177</v>
      </c>
      <c r="AF968" s="7" t="s">
        <v>1177</v>
      </c>
      <c r="AG968" s="7" t="s">
        <v>1177</v>
      </c>
      <c r="AH968" s="38"/>
      <c r="AI968" s="36">
        <v>0</v>
      </c>
      <c r="AJ968" s="7" t="s">
        <v>1193</v>
      </c>
      <c r="AK968" s="7" t="s">
        <v>1177</v>
      </c>
      <c r="AL968" s="7" t="s">
        <v>1177</v>
      </c>
      <c r="AM968" s="7" t="s">
        <v>1177</v>
      </c>
      <c r="AN968" s="7" t="s">
        <v>3212</v>
      </c>
      <c r="AO968" s="7" t="s">
        <v>1177</v>
      </c>
      <c r="AP968" s="7" t="s">
        <v>1177</v>
      </c>
      <c r="AQ968" s="7" t="s">
        <v>1177</v>
      </c>
      <c r="AR968" s="29">
        <v>0</v>
      </c>
      <c r="AS968" s="7" t="s">
        <v>1177</v>
      </c>
      <c r="AT968" s="7" t="s">
        <v>1363</v>
      </c>
      <c r="AU968" s="38">
        <v>46275</v>
      </c>
      <c r="AV968" s="39">
        <v>0.62305555555556003</v>
      </c>
    </row>
    <row r="969" spans="1:48" x14ac:dyDescent="0.35">
      <c r="A969" t="str">
        <f t="shared" si="15"/>
        <v>GP235307B832</v>
      </c>
      <c r="B969" s="7" t="s">
        <v>411</v>
      </c>
      <c r="C969" s="7" t="s">
        <v>653</v>
      </c>
      <c r="D969" s="7" t="s">
        <v>19</v>
      </c>
      <c r="E969" s="7" t="s">
        <v>1177</v>
      </c>
      <c r="F969" s="7" t="s">
        <v>128</v>
      </c>
      <c r="G969" s="7" t="s">
        <v>130</v>
      </c>
      <c r="H969" s="7" t="s">
        <v>129</v>
      </c>
      <c r="I969" s="30">
        <v>120</v>
      </c>
      <c r="J969" s="7" t="s">
        <v>1177</v>
      </c>
      <c r="K969" s="7" t="s">
        <v>1178</v>
      </c>
      <c r="L969" s="7" t="s">
        <v>132</v>
      </c>
      <c r="M969" s="7" t="s">
        <v>133</v>
      </c>
      <c r="N969" s="30">
        <v>0</v>
      </c>
      <c r="O969" s="30">
        <v>0</v>
      </c>
      <c r="P969" s="30">
        <v>0</v>
      </c>
      <c r="Q969" s="30">
        <v>0</v>
      </c>
      <c r="R969" s="29">
        <v>0</v>
      </c>
      <c r="S969" s="36">
        <v>0</v>
      </c>
      <c r="T969" s="7" t="s">
        <v>131</v>
      </c>
      <c r="U969" s="7" t="s">
        <v>654</v>
      </c>
      <c r="V969" s="7" t="s">
        <v>654</v>
      </c>
      <c r="W969" s="7" t="s">
        <v>1177</v>
      </c>
      <c r="X969" s="30">
        <v>30</v>
      </c>
      <c r="Y969" s="7" t="s">
        <v>1177</v>
      </c>
      <c r="Z969" s="7" t="s">
        <v>1178</v>
      </c>
      <c r="AA969" s="30">
        <v>0</v>
      </c>
      <c r="AB969" s="36">
        <v>0</v>
      </c>
      <c r="AC969" s="7" t="s">
        <v>1177</v>
      </c>
      <c r="AD969" s="37">
        <v>0</v>
      </c>
      <c r="AE969" s="7" t="s">
        <v>1177</v>
      </c>
      <c r="AF969" s="7" t="s">
        <v>1177</v>
      </c>
      <c r="AG969" s="7" t="s">
        <v>1177</v>
      </c>
      <c r="AH969" s="38"/>
      <c r="AI969" s="36">
        <v>0</v>
      </c>
      <c r="AJ969" s="7" t="s">
        <v>1193</v>
      </c>
      <c r="AK969" s="7" t="s">
        <v>1177</v>
      </c>
      <c r="AL969" s="7" t="s">
        <v>1177</v>
      </c>
      <c r="AM969" s="7" t="s">
        <v>1177</v>
      </c>
      <c r="AN969" s="7" t="s">
        <v>3212</v>
      </c>
      <c r="AO969" s="7" t="s">
        <v>1177</v>
      </c>
      <c r="AP969" s="7" t="s">
        <v>1177</v>
      </c>
      <c r="AQ969" s="7" t="s">
        <v>1177</v>
      </c>
      <c r="AR969" s="29">
        <v>0</v>
      </c>
      <c r="AS969" s="7" t="s">
        <v>1177</v>
      </c>
      <c r="AT969" s="7" t="s">
        <v>1363</v>
      </c>
      <c r="AU969" s="38">
        <v>46275</v>
      </c>
      <c r="AV969" s="39">
        <v>0.62337962962963001</v>
      </c>
    </row>
    <row r="970" spans="1:48" x14ac:dyDescent="0.35">
      <c r="A970" t="str">
        <f t="shared" si="15"/>
        <v>GP235459B825</v>
      </c>
      <c r="B970" s="7" t="s">
        <v>565</v>
      </c>
      <c r="C970" s="7" t="s">
        <v>511</v>
      </c>
      <c r="D970" s="7" t="s">
        <v>16</v>
      </c>
      <c r="E970" s="7" t="s">
        <v>1177</v>
      </c>
      <c r="F970" s="7" t="s">
        <v>128</v>
      </c>
      <c r="G970" s="7" t="s">
        <v>130</v>
      </c>
      <c r="H970" s="7" t="s">
        <v>129</v>
      </c>
      <c r="I970" s="30">
        <v>1</v>
      </c>
      <c r="J970" s="7" t="s">
        <v>1177</v>
      </c>
      <c r="K970" s="7" t="s">
        <v>1178</v>
      </c>
      <c r="L970" s="7" t="s">
        <v>132</v>
      </c>
      <c r="M970" s="7" t="s">
        <v>133</v>
      </c>
      <c r="N970" s="30">
        <v>0</v>
      </c>
      <c r="O970" s="30">
        <v>0</v>
      </c>
      <c r="P970" s="30">
        <v>0</v>
      </c>
      <c r="Q970" s="30">
        <v>0</v>
      </c>
      <c r="R970" s="29">
        <v>0</v>
      </c>
      <c r="S970" s="36">
        <v>0</v>
      </c>
      <c r="T970" s="7" t="s">
        <v>131</v>
      </c>
      <c r="U970" s="7" t="s">
        <v>512</v>
      </c>
      <c r="V970" s="7" t="s">
        <v>512</v>
      </c>
      <c r="W970" s="7" t="s">
        <v>1177</v>
      </c>
      <c r="X970" s="30">
        <v>1</v>
      </c>
      <c r="Y970" s="7" t="s">
        <v>1177</v>
      </c>
      <c r="Z970" s="7" t="s">
        <v>1178</v>
      </c>
      <c r="AA970" s="30">
        <v>0</v>
      </c>
      <c r="AB970" s="36">
        <v>0</v>
      </c>
      <c r="AC970" s="7" t="s">
        <v>1177</v>
      </c>
      <c r="AD970" s="37">
        <v>0</v>
      </c>
      <c r="AE970" s="7" t="s">
        <v>1177</v>
      </c>
      <c r="AF970" s="7" t="s">
        <v>1177</v>
      </c>
      <c r="AG970" s="7" t="s">
        <v>1177</v>
      </c>
      <c r="AH970" s="38"/>
      <c r="AI970" s="36">
        <v>0</v>
      </c>
      <c r="AJ970" s="7" t="s">
        <v>1193</v>
      </c>
      <c r="AK970" s="7" t="s">
        <v>1177</v>
      </c>
      <c r="AL970" s="7" t="s">
        <v>1177</v>
      </c>
      <c r="AM970" s="7" t="s">
        <v>1177</v>
      </c>
      <c r="AN970" s="7" t="s">
        <v>3212</v>
      </c>
      <c r="AO970" s="7" t="s">
        <v>1177</v>
      </c>
      <c r="AP970" s="7" t="s">
        <v>1177</v>
      </c>
      <c r="AQ970" s="7" t="s">
        <v>1177</v>
      </c>
      <c r="AR970" s="29">
        <v>0</v>
      </c>
      <c r="AS970" s="7" t="s">
        <v>1177</v>
      </c>
      <c r="AT970" s="7" t="s">
        <v>1363</v>
      </c>
      <c r="AU970" s="38">
        <v>46275</v>
      </c>
      <c r="AV970" s="39">
        <v>0.62303240740740995</v>
      </c>
    </row>
    <row r="971" spans="1:48" x14ac:dyDescent="0.35">
      <c r="A971" t="str">
        <f t="shared" si="15"/>
        <v>GP235618B825</v>
      </c>
      <c r="B971" s="7" t="s">
        <v>566</v>
      </c>
      <c r="C971" s="7" t="s">
        <v>511</v>
      </c>
      <c r="D971" s="7" t="s">
        <v>16</v>
      </c>
      <c r="E971" s="7" t="s">
        <v>1177</v>
      </c>
      <c r="F971" s="7" t="s">
        <v>128</v>
      </c>
      <c r="G971" s="7" t="s">
        <v>130</v>
      </c>
      <c r="H971" s="7" t="s">
        <v>129</v>
      </c>
      <c r="I971" s="30">
        <v>2</v>
      </c>
      <c r="J971" s="7" t="s">
        <v>1177</v>
      </c>
      <c r="K971" s="7" t="s">
        <v>1178</v>
      </c>
      <c r="L971" s="7" t="s">
        <v>132</v>
      </c>
      <c r="M971" s="7" t="s">
        <v>133</v>
      </c>
      <c r="N971" s="30">
        <v>0</v>
      </c>
      <c r="O971" s="30">
        <v>0</v>
      </c>
      <c r="P971" s="30">
        <v>0</v>
      </c>
      <c r="Q971" s="30">
        <v>0</v>
      </c>
      <c r="R971" s="29">
        <v>0</v>
      </c>
      <c r="S971" s="36">
        <v>0</v>
      </c>
      <c r="T971" s="7" t="s">
        <v>131</v>
      </c>
      <c r="U971" s="7" t="s">
        <v>512</v>
      </c>
      <c r="V971" s="7" t="s">
        <v>512</v>
      </c>
      <c r="W971" s="7" t="s">
        <v>1177</v>
      </c>
      <c r="X971" s="30">
        <v>1</v>
      </c>
      <c r="Y971" s="7" t="s">
        <v>1177</v>
      </c>
      <c r="Z971" s="7" t="s">
        <v>1178</v>
      </c>
      <c r="AA971" s="30">
        <v>0</v>
      </c>
      <c r="AB971" s="36">
        <v>0</v>
      </c>
      <c r="AC971" s="7" t="s">
        <v>1177</v>
      </c>
      <c r="AD971" s="37">
        <v>0</v>
      </c>
      <c r="AE971" s="7" t="s">
        <v>1177</v>
      </c>
      <c r="AF971" s="7" t="s">
        <v>1177</v>
      </c>
      <c r="AG971" s="7" t="s">
        <v>1177</v>
      </c>
      <c r="AH971" s="38"/>
      <c r="AI971" s="36">
        <v>0</v>
      </c>
      <c r="AJ971" s="7" t="s">
        <v>1193</v>
      </c>
      <c r="AK971" s="7" t="s">
        <v>1177</v>
      </c>
      <c r="AL971" s="7" t="s">
        <v>1177</v>
      </c>
      <c r="AM971" s="7" t="s">
        <v>1177</v>
      </c>
      <c r="AN971" s="7" t="s">
        <v>3212</v>
      </c>
      <c r="AO971" s="7" t="s">
        <v>1177</v>
      </c>
      <c r="AP971" s="7" t="s">
        <v>1177</v>
      </c>
      <c r="AQ971" s="7" t="s">
        <v>1177</v>
      </c>
      <c r="AR971" s="29">
        <v>0</v>
      </c>
      <c r="AS971" s="7" t="s">
        <v>1177</v>
      </c>
      <c r="AT971" s="7" t="s">
        <v>1363</v>
      </c>
      <c r="AU971" s="38">
        <v>46275</v>
      </c>
      <c r="AV971" s="39">
        <v>0.62303240740740995</v>
      </c>
    </row>
    <row r="972" spans="1:48" x14ac:dyDescent="0.35">
      <c r="A972" t="str">
        <f t="shared" si="15"/>
        <v>GP235625B825</v>
      </c>
      <c r="B972" s="7" t="s">
        <v>567</v>
      </c>
      <c r="C972" s="7" t="s">
        <v>511</v>
      </c>
      <c r="D972" s="7" t="s">
        <v>16</v>
      </c>
      <c r="E972" s="7" t="s">
        <v>1177</v>
      </c>
      <c r="F972" s="7" t="s">
        <v>128</v>
      </c>
      <c r="G972" s="7" t="s">
        <v>130</v>
      </c>
      <c r="H972" s="7" t="s">
        <v>129</v>
      </c>
      <c r="I972" s="30">
        <v>2</v>
      </c>
      <c r="J972" s="7" t="s">
        <v>1177</v>
      </c>
      <c r="K972" s="7" t="s">
        <v>1178</v>
      </c>
      <c r="L972" s="7" t="s">
        <v>132</v>
      </c>
      <c r="M972" s="7" t="s">
        <v>133</v>
      </c>
      <c r="N972" s="30">
        <v>0</v>
      </c>
      <c r="O972" s="30">
        <v>0</v>
      </c>
      <c r="P972" s="30">
        <v>0</v>
      </c>
      <c r="Q972" s="30">
        <v>0</v>
      </c>
      <c r="R972" s="29">
        <v>0</v>
      </c>
      <c r="S972" s="36">
        <v>0</v>
      </c>
      <c r="T972" s="7" t="s">
        <v>131</v>
      </c>
      <c r="U972" s="7" t="s">
        <v>512</v>
      </c>
      <c r="V972" s="7" t="s">
        <v>512</v>
      </c>
      <c r="W972" s="7" t="s">
        <v>1177</v>
      </c>
      <c r="X972" s="30">
        <v>1</v>
      </c>
      <c r="Y972" s="7" t="s">
        <v>1177</v>
      </c>
      <c r="Z972" s="7" t="s">
        <v>1178</v>
      </c>
      <c r="AA972" s="30">
        <v>0</v>
      </c>
      <c r="AB972" s="36">
        <v>0</v>
      </c>
      <c r="AC972" s="7" t="s">
        <v>1177</v>
      </c>
      <c r="AD972" s="37">
        <v>0</v>
      </c>
      <c r="AE972" s="7" t="s">
        <v>1177</v>
      </c>
      <c r="AF972" s="7" t="s">
        <v>1177</v>
      </c>
      <c r="AG972" s="7" t="s">
        <v>1177</v>
      </c>
      <c r="AH972" s="38"/>
      <c r="AI972" s="36">
        <v>0</v>
      </c>
      <c r="AJ972" s="7" t="s">
        <v>1193</v>
      </c>
      <c r="AK972" s="7" t="s">
        <v>1177</v>
      </c>
      <c r="AL972" s="7" t="s">
        <v>1177</v>
      </c>
      <c r="AM972" s="7" t="s">
        <v>1177</v>
      </c>
      <c r="AN972" s="7" t="s">
        <v>3212</v>
      </c>
      <c r="AO972" s="7" t="s">
        <v>1177</v>
      </c>
      <c r="AP972" s="7" t="s">
        <v>1177</v>
      </c>
      <c r="AQ972" s="7" t="s">
        <v>1177</v>
      </c>
      <c r="AR972" s="29">
        <v>0</v>
      </c>
      <c r="AS972" s="7" t="s">
        <v>1177</v>
      </c>
      <c r="AT972" s="7" t="s">
        <v>1363</v>
      </c>
      <c r="AU972" s="38">
        <v>46275</v>
      </c>
      <c r="AV972" s="39">
        <v>0.62303240740740995</v>
      </c>
    </row>
    <row r="973" spans="1:48" x14ac:dyDescent="0.35">
      <c r="A973" t="str">
        <f t="shared" si="15"/>
        <v>GP235626B838</v>
      </c>
      <c r="B973" s="7" t="s">
        <v>753</v>
      </c>
      <c r="C973" s="7" t="s">
        <v>744</v>
      </c>
      <c r="D973" s="7" t="s">
        <v>48</v>
      </c>
      <c r="E973" s="7" t="s">
        <v>1177</v>
      </c>
      <c r="F973" s="7" t="s">
        <v>128</v>
      </c>
      <c r="G973" s="7" t="s">
        <v>130</v>
      </c>
      <c r="H973" s="7" t="s">
        <v>129</v>
      </c>
      <c r="I973" s="30">
        <v>1</v>
      </c>
      <c r="J973" s="7" t="s">
        <v>1177</v>
      </c>
      <c r="K973" s="7" t="s">
        <v>1178</v>
      </c>
      <c r="L973" s="7" t="s">
        <v>132</v>
      </c>
      <c r="M973" s="7" t="s">
        <v>133</v>
      </c>
      <c r="N973" s="30">
        <v>0</v>
      </c>
      <c r="O973" s="30">
        <v>0</v>
      </c>
      <c r="P973" s="30">
        <v>0</v>
      </c>
      <c r="Q973" s="30">
        <v>0</v>
      </c>
      <c r="R973" s="29">
        <v>0</v>
      </c>
      <c r="S973" s="36">
        <v>0</v>
      </c>
      <c r="T973" s="7" t="s">
        <v>131</v>
      </c>
      <c r="U973" s="7" t="s">
        <v>745</v>
      </c>
      <c r="V973" s="7" t="s">
        <v>745</v>
      </c>
      <c r="W973" s="7" t="s">
        <v>1177</v>
      </c>
      <c r="X973" s="30">
        <v>1</v>
      </c>
      <c r="Y973" s="7" t="s">
        <v>1177</v>
      </c>
      <c r="Z973" s="7" t="s">
        <v>1178</v>
      </c>
      <c r="AA973" s="30">
        <v>0</v>
      </c>
      <c r="AB973" s="36">
        <v>0</v>
      </c>
      <c r="AC973" s="7" t="s">
        <v>1177</v>
      </c>
      <c r="AD973" s="37">
        <v>0</v>
      </c>
      <c r="AE973" s="7" t="s">
        <v>1177</v>
      </c>
      <c r="AF973" s="7" t="s">
        <v>1177</v>
      </c>
      <c r="AG973" s="7" t="s">
        <v>1177</v>
      </c>
      <c r="AH973" s="38"/>
      <c r="AI973" s="36">
        <v>0</v>
      </c>
      <c r="AJ973" s="7" t="s">
        <v>1193</v>
      </c>
      <c r="AK973" s="7" t="s">
        <v>1177</v>
      </c>
      <c r="AL973" s="7" t="s">
        <v>1177</v>
      </c>
      <c r="AM973" s="7" t="s">
        <v>1177</v>
      </c>
      <c r="AN973" s="7" t="s">
        <v>3212</v>
      </c>
      <c r="AO973" s="7" t="s">
        <v>1177</v>
      </c>
      <c r="AP973" s="7" t="s">
        <v>1177</v>
      </c>
      <c r="AQ973" s="7" t="s">
        <v>1177</v>
      </c>
      <c r="AR973" s="29">
        <v>0</v>
      </c>
      <c r="AS973" s="7" t="s">
        <v>1177</v>
      </c>
      <c r="AT973" s="7" t="s">
        <v>1363</v>
      </c>
      <c r="AU973" s="38">
        <v>46275</v>
      </c>
      <c r="AV973" s="39">
        <v>0.62417824074074002</v>
      </c>
    </row>
    <row r="974" spans="1:48" x14ac:dyDescent="0.35">
      <c r="A974" t="str">
        <f t="shared" si="15"/>
        <v>GP235779-001B825</v>
      </c>
      <c r="B974" s="7" t="s">
        <v>494</v>
      </c>
      <c r="C974" s="7" t="s">
        <v>511</v>
      </c>
      <c r="D974" s="7" t="s">
        <v>16</v>
      </c>
      <c r="E974" s="7" t="s">
        <v>1177</v>
      </c>
      <c r="F974" s="7" t="s">
        <v>128</v>
      </c>
      <c r="G974" s="7" t="s">
        <v>130</v>
      </c>
      <c r="H974" s="7" t="s">
        <v>129</v>
      </c>
      <c r="I974" s="30">
        <v>1</v>
      </c>
      <c r="J974" s="7" t="s">
        <v>1177</v>
      </c>
      <c r="K974" s="7" t="s">
        <v>1178</v>
      </c>
      <c r="L974" s="7" t="s">
        <v>132</v>
      </c>
      <c r="M974" s="7" t="s">
        <v>133</v>
      </c>
      <c r="N974" s="30">
        <v>0</v>
      </c>
      <c r="O974" s="30">
        <v>0</v>
      </c>
      <c r="P974" s="30">
        <v>0</v>
      </c>
      <c r="Q974" s="30">
        <v>0</v>
      </c>
      <c r="R974" s="29">
        <v>0</v>
      </c>
      <c r="S974" s="36">
        <v>0</v>
      </c>
      <c r="T974" s="7" t="s">
        <v>131</v>
      </c>
      <c r="U974" s="7" t="s">
        <v>512</v>
      </c>
      <c r="V974" s="7" t="s">
        <v>512</v>
      </c>
      <c r="W974" s="7" t="s">
        <v>1177</v>
      </c>
      <c r="X974" s="30">
        <v>1</v>
      </c>
      <c r="Y974" s="7" t="s">
        <v>1177</v>
      </c>
      <c r="Z974" s="7" t="s">
        <v>1178</v>
      </c>
      <c r="AA974" s="30">
        <v>0</v>
      </c>
      <c r="AB974" s="36">
        <v>0</v>
      </c>
      <c r="AC974" s="7" t="s">
        <v>1177</v>
      </c>
      <c r="AD974" s="37">
        <v>0</v>
      </c>
      <c r="AE974" s="7" t="s">
        <v>1177</v>
      </c>
      <c r="AF974" s="7" t="s">
        <v>1177</v>
      </c>
      <c r="AG974" s="7" t="s">
        <v>1177</v>
      </c>
      <c r="AH974" s="38"/>
      <c r="AI974" s="36">
        <v>0</v>
      </c>
      <c r="AJ974" s="7" t="s">
        <v>1193</v>
      </c>
      <c r="AK974" s="7" t="s">
        <v>1177</v>
      </c>
      <c r="AL974" s="7" t="s">
        <v>1177</v>
      </c>
      <c r="AM974" s="7" t="s">
        <v>1177</v>
      </c>
      <c r="AN974" s="7" t="s">
        <v>3212</v>
      </c>
      <c r="AO974" s="7" t="s">
        <v>1177</v>
      </c>
      <c r="AP974" s="7" t="s">
        <v>1177</v>
      </c>
      <c r="AQ974" s="7" t="s">
        <v>1177</v>
      </c>
      <c r="AR974" s="29">
        <v>0</v>
      </c>
      <c r="AS974" s="7" t="s">
        <v>1177</v>
      </c>
      <c r="AT974" s="7" t="s">
        <v>1363</v>
      </c>
      <c r="AU974" s="38">
        <v>46275</v>
      </c>
      <c r="AV974" s="39">
        <v>0.6034837962963</v>
      </c>
    </row>
    <row r="975" spans="1:48" x14ac:dyDescent="0.35">
      <c r="A975" t="str">
        <f t="shared" si="15"/>
        <v>GP235779-001B832</v>
      </c>
      <c r="B975" s="7" t="s">
        <v>494</v>
      </c>
      <c r="C975" s="7" t="s">
        <v>653</v>
      </c>
      <c r="D975" s="7" t="s">
        <v>19</v>
      </c>
      <c r="E975" s="7" t="s">
        <v>1177</v>
      </c>
      <c r="F975" s="7" t="s">
        <v>128</v>
      </c>
      <c r="G975" s="7" t="s">
        <v>130</v>
      </c>
      <c r="H975" s="7" t="s">
        <v>129</v>
      </c>
      <c r="I975" s="30">
        <v>2</v>
      </c>
      <c r="J975" s="7" t="s">
        <v>1177</v>
      </c>
      <c r="K975" s="7" t="s">
        <v>1178</v>
      </c>
      <c r="L975" s="7" t="s">
        <v>132</v>
      </c>
      <c r="M975" s="7" t="s">
        <v>133</v>
      </c>
      <c r="N975" s="30">
        <v>0</v>
      </c>
      <c r="O975" s="30">
        <v>0</v>
      </c>
      <c r="P975" s="30">
        <v>0</v>
      </c>
      <c r="Q975" s="30">
        <v>0</v>
      </c>
      <c r="R975" s="29">
        <v>0</v>
      </c>
      <c r="S975" s="36">
        <v>0</v>
      </c>
      <c r="T975" s="7" t="s">
        <v>131</v>
      </c>
      <c r="U975" s="7" t="s">
        <v>654</v>
      </c>
      <c r="V975" s="7" t="s">
        <v>654</v>
      </c>
      <c r="W975" s="7" t="s">
        <v>1177</v>
      </c>
      <c r="X975" s="30">
        <v>1</v>
      </c>
      <c r="Y975" s="7" t="s">
        <v>1177</v>
      </c>
      <c r="Z975" s="7" t="s">
        <v>1178</v>
      </c>
      <c r="AA975" s="30">
        <v>0</v>
      </c>
      <c r="AB975" s="36">
        <v>0</v>
      </c>
      <c r="AC975" s="7" t="s">
        <v>1177</v>
      </c>
      <c r="AD975" s="37">
        <v>0</v>
      </c>
      <c r="AE975" s="7" t="s">
        <v>1177</v>
      </c>
      <c r="AF975" s="7" t="s">
        <v>1177</v>
      </c>
      <c r="AG975" s="7" t="s">
        <v>1177</v>
      </c>
      <c r="AH975" s="38"/>
      <c r="AI975" s="36">
        <v>0</v>
      </c>
      <c r="AJ975" s="7" t="s">
        <v>1193</v>
      </c>
      <c r="AK975" s="7" t="s">
        <v>1177</v>
      </c>
      <c r="AL975" s="7" t="s">
        <v>1177</v>
      </c>
      <c r="AM975" s="7" t="s">
        <v>1177</v>
      </c>
      <c r="AN975" s="7" t="s">
        <v>3212</v>
      </c>
      <c r="AO975" s="7" t="s">
        <v>1177</v>
      </c>
      <c r="AP975" s="7" t="s">
        <v>1177</v>
      </c>
      <c r="AQ975" s="7" t="s">
        <v>1177</v>
      </c>
      <c r="AR975" s="29">
        <v>0</v>
      </c>
      <c r="AS975" s="7" t="s">
        <v>1177</v>
      </c>
      <c r="AT975" s="7" t="s">
        <v>1363</v>
      </c>
      <c r="AU975" s="38">
        <v>46275</v>
      </c>
      <c r="AV975" s="39">
        <v>0.60394675925926</v>
      </c>
    </row>
    <row r="976" spans="1:48" x14ac:dyDescent="0.35">
      <c r="A976" t="str">
        <f t="shared" si="15"/>
        <v>GP236011B825</v>
      </c>
      <c r="B976" s="7" t="s">
        <v>568</v>
      </c>
      <c r="C976" s="7" t="s">
        <v>511</v>
      </c>
      <c r="D976" s="7" t="s">
        <v>16</v>
      </c>
      <c r="E976" s="7" t="s">
        <v>1177</v>
      </c>
      <c r="F976" s="7" t="s">
        <v>128</v>
      </c>
      <c r="G976" s="7" t="s">
        <v>130</v>
      </c>
      <c r="H976" s="7" t="s">
        <v>129</v>
      </c>
      <c r="I976" s="30">
        <v>2</v>
      </c>
      <c r="J976" s="7" t="s">
        <v>1177</v>
      </c>
      <c r="K976" s="7" t="s">
        <v>1178</v>
      </c>
      <c r="L976" s="7" t="s">
        <v>132</v>
      </c>
      <c r="M976" s="7" t="s">
        <v>133</v>
      </c>
      <c r="N976" s="30">
        <v>0</v>
      </c>
      <c r="O976" s="30">
        <v>0</v>
      </c>
      <c r="P976" s="30">
        <v>0</v>
      </c>
      <c r="Q976" s="30">
        <v>0</v>
      </c>
      <c r="R976" s="29">
        <v>0</v>
      </c>
      <c r="S976" s="36">
        <v>0</v>
      </c>
      <c r="T976" s="7" t="s">
        <v>131</v>
      </c>
      <c r="U976" s="7" t="s">
        <v>512</v>
      </c>
      <c r="V976" s="7" t="s">
        <v>512</v>
      </c>
      <c r="W976" s="7" t="s">
        <v>1177</v>
      </c>
      <c r="X976" s="30">
        <v>1</v>
      </c>
      <c r="Y976" s="7" t="s">
        <v>1177</v>
      </c>
      <c r="Z976" s="7" t="s">
        <v>1178</v>
      </c>
      <c r="AA976" s="30">
        <v>0</v>
      </c>
      <c r="AB976" s="36">
        <v>0</v>
      </c>
      <c r="AC976" s="7" t="s">
        <v>1177</v>
      </c>
      <c r="AD976" s="37">
        <v>0</v>
      </c>
      <c r="AE976" s="7" t="s">
        <v>1177</v>
      </c>
      <c r="AF976" s="7" t="s">
        <v>1177</v>
      </c>
      <c r="AG976" s="7" t="s">
        <v>1177</v>
      </c>
      <c r="AH976" s="38"/>
      <c r="AI976" s="36">
        <v>0</v>
      </c>
      <c r="AJ976" s="7" t="s">
        <v>1193</v>
      </c>
      <c r="AK976" s="7" t="s">
        <v>1177</v>
      </c>
      <c r="AL976" s="7" t="s">
        <v>1177</v>
      </c>
      <c r="AM976" s="7" t="s">
        <v>1177</v>
      </c>
      <c r="AN976" s="7" t="s">
        <v>3212</v>
      </c>
      <c r="AO976" s="7" t="s">
        <v>1177</v>
      </c>
      <c r="AP976" s="7" t="s">
        <v>1177</v>
      </c>
      <c r="AQ976" s="7" t="s">
        <v>1177</v>
      </c>
      <c r="AR976" s="29">
        <v>0</v>
      </c>
      <c r="AS976" s="7" t="s">
        <v>1177</v>
      </c>
      <c r="AT976" s="7" t="s">
        <v>1363</v>
      </c>
      <c r="AU976" s="38">
        <v>46275</v>
      </c>
      <c r="AV976" s="39">
        <v>0.62303240740740995</v>
      </c>
    </row>
    <row r="977" spans="1:48" x14ac:dyDescent="0.35">
      <c r="A977" t="str">
        <f t="shared" si="15"/>
        <v>GP237221B838</v>
      </c>
      <c r="B977" s="7" t="s">
        <v>476</v>
      </c>
      <c r="C977" s="7" t="s">
        <v>744</v>
      </c>
      <c r="D977" s="7" t="s">
        <v>48</v>
      </c>
      <c r="E977" s="7" t="s">
        <v>1177</v>
      </c>
      <c r="F977" s="7" t="s">
        <v>128</v>
      </c>
      <c r="G977" s="7" t="s">
        <v>130</v>
      </c>
      <c r="H977" s="7" t="s">
        <v>129</v>
      </c>
      <c r="I977" s="30">
        <v>2</v>
      </c>
      <c r="J977" s="7" t="s">
        <v>1177</v>
      </c>
      <c r="K977" s="7" t="s">
        <v>1178</v>
      </c>
      <c r="L977" s="7" t="s">
        <v>132</v>
      </c>
      <c r="M977" s="7" t="s">
        <v>133</v>
      </c>
      <c r="N977" s="30">
        <v>0</v>
      </c>
      <c r="O977" s="30">
        <v>0</v>
      </c>
      <c r="P977" s="30">
        <v>0</v>
      </c>
      <c r="Q977" s="30">
        <v>0</v>
      </c>
      <c r="R977" s="29">
        <v>0</v>
      </c>
      <c r="S977" s="36">
        <v>0</v>
      </c>
      <c r="T977" s="7" t="s">
        <v>131</v>
      </c>
      <c r="U977" s="7" t="s">
        <v>745</v>
      </c>
      <c r="V977" s="7" t="s">
        <v>745</v>
      </c>
      <c r="W977" s="7" t="s">
        <v>1177</v>
      </c>
      <c r="X977" s="30">
        <v>1</v>
      </c>
      <c r="Y977" s="7" t="s">
        <v>1177</v>
      </c>
      <c r="Z977" s="7" t="s">
        <v>1178</v>
      </c>
      <c r="AA977" s="30">
        <v>0</v>
      </c>
      <c r="AB977" s="36">
        <v>0</v>
      </c>
      <c r="AC977" s="7" t="s">
        <v>1177</v>
      </c>
      <c r="AD977" s="37">
        <v>0</v>
      </c>
      <c r="AE977" s="7" t="s">
        <v>1177</v>
      </c>
      <c r="AF977" s="7" t="s">
        <v>1177</v>
      </c>
      <c r="AG977" s="7" t="s">
        <v>1177</v>
      </c>
      <c r="AH977" s="38"/>
      <c r="AI977" s="36">
        <v>0</v>
      </c>
      <c r="AJ977" s="7" t="s">
        <v>1193</v>
      </c>
      <c r="AK977" s="7" t="s">
        <v>1177</v>
      </c>
      <c r="AL977" s="7" t="s">
        <v>1177</v>
      </c>
      <c r="AM977" s="7" t="s">
        <v>1177</v>
      </c>
      <c r="AN977" s="7" t="s">
        <v>3212</v>
      </c>
      <c r="AO977" s="7" t="s">
        <v>1177</v>
      </c>
      <c r="AP977" s="7" t="s">
        <v>1177</v>
      </c>
      <c r="AQ977" s="7" t="s">
        <v>1177</v>
      </c>
      <c r="AR977" s="29">
        <v>0</v>
      </c>
      <c r="AS977" s="7" t="s">
        <v>1177</v>
      </c>
      <c r="AT977" s="7" t="s">
        <v>1363</v>
      </c>
      <c r="AU977" s="38">
        <v>46275</v>
      </c>
      <c r="AV977" s="39">
        <v>0.62418981481480995</v>
      </c>
    </row>
    <row r="978" spans="1:48" x14ac:dyDescent="0.35">
      <c r="A978" t="str">
        <f t="shared" si="15"/>
        <v>GP237944B825</v>
      </c>
      <c r="B978" s="7" t="s">
        <v>569</v>
      </c>
      <c r="C978" s="7" t="s">
        <v>511</v>
      </c>
      <c r="D978" s="7" t="s">
        <v>16</v>
      </c>
      <c r="E978" s="7" t="s">
        <v>1177</v>
      </c>
      <c r="F978" s="7" t="s">
        <v>128</v>
      </c>
      <c r="G978" s="7" t="s">
        <v>130</v>
      </c>
      <c r="H978" s="7" t="s">
        <v>129</v>
      </c>
      <c r="I978" s="30">
        <v>2</v>
      </c>
      <c r="J978" s="7" t="s">
        <v>1177</v>
      </c>
      <c r="K978" s="7" t="s">
        <v>1178</v>
      </c>
      <c r="L978" s="7" t="s">
        <v>132</v>
      </c>
      <c r="M978" s="7" t="s">
        <v>133</v>
      </c>
      <c r="N978" s="30">
        <v>0</v>
      </c>
      <c r="O978" s="30">
        <v>0</v>
      </c>
      <c r="P978" s="30">
        <v>0</v>
      </c>
      <c r="Q978" s="30">
        <v>0</v>
      </c>
      <c r="R978" s="29">
        <v>0</v>
      </c>
      <c r="S978" s="36">
        <v>0</v>
      </c>
      <c r="T978" s="7" t="s">
        <v>131</v>
      </c>
      <c r="U978" s="7" t="s">
        <v>512</v>
      </c>
      <c r="V978" s="7" t="s">
        <v>512</v>
      </c>
      <c r="W978" s="7" t="s">
        <v>1177</v>
      </c>
      <c r="X978" s="30">
        <v>1</v>
      </c>
      <c r="Y978" s="7" t="s">
        <v>1177</v>
      </c>
      <c r="Z978" s="7" t="s">
        <v>1178</v>
      </c>
      <c r="AA978" s="30">
        <v>0</v>
      </c>
      <c r="AB978" s="36">
        <v>0</v>
      </c>
      <c r="AC978" s="7" t="s">
        <v>1177</v>
      </c>
      <c r="AD978" s="37">
        <v>0</v>
      </c>
      <c r="AE978" s="7" t="s">
        <v>1177</v>
      </c>
      <c r="AF978" s="7" t="s">
        <v>1177</v>
      </c>
      <c r="AG978" s="7" t="s">
        <v>1177</v>
      </c>
      <c r="AH978" s="38"/>
      <c r="AI978" s="36">
        <v>0</v>
      </c>
      <c r="AJ978" s="7" t="s">
        <v>1193</v>
      </c>
      <c r="AK978" s="7" t="s">
        <v>1177</v>
      </c>
      <c r="AL978" s="7" t="s">
        <v>1177</v>
      </c>
      <c r="AM978" s="7" t="s">
        <v>1177</v>
      </c>
      <c r="AN978" s="7" t="s">
        <v>3212</v>
      </c>
      <c r="AO978" s="7" t="s">
        <v>1177</v>
      </c>
      <c r="AP978" s="7" t="s">
        <v>1177</v>
      </c>
      <c r="AQ978" s="7" t="s">
        <v>1177</v>
      </c>
      <c r="AR978" s="29">
        <v>0</v>
      </c>
      <c r="AS978" s="7" t="s">
        <v>1177</v>
      </c>
      <c r="AT978" s="7" t="s">
        <v>1363</v>
      </c>
      <c r="AU978" s="38">
        <v>46275</v>
      </c>
      <c r="AV978" s="39">
        <v>0.62303240740740995</v>
      </c>
    </row>
    <row r="979" spans="1:48" x14ac:dyDescent="0.35">
      <c r="A979" t="str">
        <f t="shared" si="15"/>
        <v>GP237944B838</v>
      </c>
      <c r="B979" s="7" t="s">
        <v>569</v>
      </c>
      <c r="C979" s="7" t="s">
        <v>744</v>
      </c>
      <c r="D979" s="7" t="s">
        <v>48</v>
      </c>
      <c r="E979" s="7" t="s">
        <v>1177</v>
      </c>
      <c r="F979" s="7" t="s">
        <v>128</v>
      </c>
      <c r="G979" s="7" t="s">
        <v>130</v>
      </c>
      <c r="H979" s="7" t="s">
        <v>129</v>
      </c>
      <c r="I979" s="30">
        <v>2</v>
      </c>
      <c r="J979" s="7" t="s">
        <v>1177</v>
      </c>
      <c r="K979" s="7" t="s">
        <v>1178</v>
      </c>
      <c r="L979" s="7" t="s">
        <v>132</v>
      </c>
      <c r="M979" s="7" t="s">
        <v>133</v>
      </c>
      <c r="N979" s="30">
        <v>0</v>
      </c>
      <c r="O979" s="30">
        <v>0</v>
      </c>
      <c r="P979" s="30">
        <v>0</v>
      </c>
      <c r="Q979" s="30">
        <v>0</v>
      </c>
      <c r="R979" s="29">
        <v>0</v>
      </c>
      <c r="S979" s="36">
        <v>0</v>
      </c>
      <c r="T979" s="7" t="s">
        <v>131</v>
      </c>
      <c r="U979" s="7" t="s">
        <v>745</v>
      </c>
      <c r="V979" s="7" t="s">
        <v>745</v>
      </c>
      <c r="W979" s="7" t="s">
        <v>1177</v>
      </c>
      <c r="X979" s="30">
        <v>1</v>
      </c>
      <c r="Y979" s="7" t="s">
        <v>1177</v>
      </c>
      <c r="Z979" s="7" t="s">
        <v>1178</v>
      </c>
      <c r="AA979" s="30">
        <v>0</v>
      </c>
      <c r="AB979" s="36">
        <v>0</v>
      </c>
      <c r="AC979" s="7" t="s">
        <v>1177</v>
      </c>
      <c r="AD979" s="37">
        <v>0</v>
      </c>
      <c r="AE979" s="7" t="s">
        <v>1177</v>
      </c>
      <c r="AF979" s="7" t="s">
        <v>1177</v>
      </c>
      <c r="AG979" s="7" t="s">
        <v>1177</v>
      </c>
      <c r="AH979" s="38"/>
      <c r="AI979" s="36">
        <v>0</v>
      </c>
      <c r="AJ979" s="7" t="s">
        <v>1193</v>
      </c>
      <c r="AK979" s="7" t="s">
        <v>1177</v>
      </c>
      <c r="AL979" s="7" t="s">
        <v>1177</v>
      </c>
      <c r="AM979" s="7" t="s">
        <v>1177</v>
      </c>
      <c r="AN979" s="7" t="s">
        <v>3212</v>
      </c>
      <c r="AO979" s="7" t="s">
        <v>1177</v>
      </c>
      <c r="AP979" s="7" t="s">
        <v>1177</v>
      </c>
      <c r="AQ979" s="7" t="s">
        <v>1177</v>
      </c>
      <c r="AR979" s="29">
        <v>0</v>
      </c>
      <c r="AS979" s="7" t="s">
        <v>1177</v>
      </c>
      <c r="AT979" s="7" t="s">
        <v>1363</v>
      </c>
      <c r="AU979" s="38">
        <v>46275</v>
      </c>
      <c r="AV979" s="39">
        <v>0.62418981481480995</v>
      </c>
    </row>
    <row r="980" spans="1:48" x14ac:dyDescent="0.35">
      <c r="A980" t="str">
        <f t="shared" si="15"/>
        <v>GP237944B856</v>
      </c>
      <c r="B980" s="7" t="s">
        <v>569</v>
      </c>
      <c r="C980" s="7" t="s">
        <v>852</v>
      </c>
      <c r="D980" s="7" t="s">
        <v>21</v>
      </c>
      <c r="E980" s="7" t="s">
        <v>1177</v>
      </c>
      <c r="F980" s="7" t="s">
        <v>128</v>
      </c>
      <c r="G980" s="7" t="s">
        <v>130</v>
      </c>
      <c r="H980" s="7" t="s">
        <v>129</v>
      </c>
      <c r="I980" s="30">
        <v>2</v>
      </c>
      <c r="J980" s="7" t="s">
        <v>1177</v>
      </c>
      <c r="K980" s="7" t="s">
        <v>1178</v>
      </c>
      <c r="L980" s="7" t="s">
        <v>132</v>
      </c>
      <c r="M980" s="7" t="s">
        <v>133</v>
      </c>
      <c r="N980" s="30">
        <v>0</v>
      </c>
      <c r="O980" s="30">
        <v>0</v>
      </c>
      <c r="P980" s="30">
        <v>0</v>
      </c>
      <c r="Q980" s="30">
        <v>0</v>
      </c>
      <c r="R980" s="29">
        <v>0</v>
      </c>
      <c r="S980" s="36">
        <v>0</v>
      </c>
      <c r="T980" s="7" t="s">
        <v>131</v>
      </c>
      <c r="U980" s="7" t="s">
        <v>853</v>
      </c>
      <c r="V980" s="7" t="s">
        <v>853</v>
      </c>
      <c r="W980" s="7" t="s">
        <v>1177</v>
      </c>
      <c r="X980" s="30">
        <v>1</v>
      </c>
      <c r="Y980" s="7" t="s">
        <v>1177</v>
      </c>
      <c r="Z980" s="7" t="s">
        <v>1178</v>
      </c>
      <c r="AA980" s="30">
        <v>0</v>
      </c>
      <c r="AB980" s="36">
        <v>0</v>
      </c>
      <c r="AC980" s="7" t="s">
        <v>1177</v>
      </c>
      <c r="AD980" s="37">
        <v>0</v>
      </c>
      <c r="AE980" s="7" t="s">
        <v>1177</v>
      </c>
      <c r="AF980" s="7" t="s">
        <v>1177</v>
      </c>
      <c r="AG980" s="7" t="s">
        <v>1177</v>
      </c>
      <c r="AH980" s="38"/>
      <c r="AI980" s="36">
        <v>0</v>
      </c>
      <c r="AJ980" s="7" t="s">
        <v>1193</v>
      </c>
      <c r="AK980" s="7" t="s">
        <v>1177</v>
      </c>
      <c r="AL980" s="7" t="s">
        <v>1177</v>
      </c>
      <c r="AM980" s="7" t="s">
        <v>1177</v>
      </c>
      <c r="AN980" s="7" t="s">
        <v>3212</v>
      </c>
      <c r="AO980" s="7" t="s">
        <v>1177</v>
      </c>
      <c r="AP980" s="7" t="s">
        <v>1177</v>
      </c>
      <c r="AQ980" s="7" t="s">
        <v>1177</v>
      </c>
      <c r="AR980" s="29">
        <v>0</v>
      </c>
      <c r="AS980" s="7" t="s">
        <v>1177</v>
      </c>
      <c r="AT980" s="7" t="s">
        <v>1363</v>
      </c>
      <c r="AU980" s="38">
        <v>46275</v>
      </c>
      <c r="AV980" s="39">
        <v>0.62486111111110998</v>
      </c>
    </row>
    <row r="981" spans="1:48" x14ac:dyDescent="0.35">
      <c r="A981" t="str">
        <f t="shared" si="15"/>
        <v>GP237955B856</v>
      </c>
      <c r="B981" s="7" t="s">
        <v>867</v>
      </c>
      <c r="C981" s="7" t="s">
        <v>852</v>
      </c>
      <c r="D981" s="7" t="s">
        <v>21</v>
      </c>
      <c r="E981" s="7" t="s">
        <v>1177</v>
      </c>
      <c r="F981" s="7" t="s">
        <v>128</v>
      </c>
      <c r="G981" s="7" t="s">
        <v>130</v>
      </c>
      <c r="H981" s="7" t="s">
        <v>129</v>
      </c>
      <c r="I981" s="30">
        <v>1</v>
      </c>
      <c r="J981" s="7" t="s">
        <v>1177</v>
      </c>
      <c r="K981" s="7" t="s">
        <v>1178</v>
      </c>
      <c r="L981" s="7" t="s">
        <v>132</v>
      </c>
      <c r="M981" s="7" t="s">
        <v>133</v>
      </c>
      <c r="N981" s="30">
        <v>0</v>
      </c>
      <c r="O981" s="30">
        <v>0</v>
      </c>
      <c r="P981" s="30">
        <v>0</v>
      </c>
      <c r="Q981" s="30">
        <v>0</v>
      </c>
      <c r="R981" s="29">
        <v>0</v>
      </c>
      <c r="S981" s="36">
        <v>0</v>
      </c>
      <c r="T981" s="7" t="s">
        <v>131</v>
      </c>
      <c r="U981" s="7" t="s">
        <v>853</v>
      </c>
      <c r="V981" s="7" t="s">
        <v>853</v>
      </c>
      <c r="W981" s="7" t="s">
        <v>1177</v>
      </c>
      <c r="X981" s="30">
        <v>1</v>
      </c>
      <c r="Y981" s="7" t="s">
        <v>1177</v>
      </c>
      <c r="Z981" s="7" t="s">
        <v>1178</v>
      </c>
      <c r="AA981" s="30">
        <v>0</v>
      </c>
      <c r="AB981" s="36">
        <v>0</v>
      </c>
      <c r="AC981" s="7" t="s">
        <v>1177</v>
      </c>
      <c r="AD981" s="37">
        <v>0</v>
      </c>
      <c r="AE981" s="7" t="s">
        <v>1177</v>
      </c>
      <c r="AF981" s="7" t="s">
        <v>1177</v>
      </c>
      <c r="AG981" s="7" t="s">
        <v>1177</v>
      </c>
      <c r="AH981" s="38"/>
      <c r="AI981" s="36">
        <v>0</v>
      </c>
      <c r="AJ981" s="7" t="s">
        <v>1193</v>
      </c>
      <c r="AK981" s="7" t="s">
        <v>1177</v>
      </c>
      <c r="AL981" s="7" t="s">
        <v>1177</v>
      </c>
      <c r="AM981" s="7" t="s">
        <v>1177</v>
      </c>
      <c r="AN981" s="7" t="s">
        <v>3212</v>
      </c>
      <c r="AO981" s="7" t="s">
        <v>1177</v>
      </c>
      <c r="AP981" s="7" t="s">
        <v>1177</v>
      </c>
      <c r="AQ981" s="7" t="s">
        <v>1177</v>
      </c>
      <c r="AR981" s="29">
        <v>0</v>
      </c>
      <c r="AS981" s="7" t="s">
        <v>1177</v>
      </c>
      <c r="AT981" s="7" t="s">
        <v>1363</v>
      </c>
      <c r="AU981" s="38">
        <v>46275</v>
      </c>
      <c r="AV981" s="39">
        <v>0.62486111111110998</v>
      </c>
    </row>
    <row r="982" spans="1:48" x14ac:dyDescent="0.35">
      <c r="A982" t="str">
        <f t="shared" si="15"/>
        <v>GP237955B857</v>
      </c>
      <c r="B982" s="7" t="s">
        <v>867</v>
      </c>
      <c r="C982" s="7" t="s">
        <v>958</v>
      </c>
      <c r="D982" s="7" t="s">
        <v>23</v>
      </c>
      <c r="E982" s="7" t="s">
        <v>1177</v>
      </c>
      <c r="F982" s="7" t="s">
        <v>128</v>
      </c>
      <c r="G982" s="7" t="s">
        <v>130</v>
      </c>
      <c r="H982" s="7" t="s">
        <v>129</v>
      </c>
      <c r="I982" s="30">
        <v>1</v>
      </c>
      <c r="J982" s="7" t="s">
        <v>1177</v>
      </c>
      <c r="K982" s="7" t="s">
        <v>1178</v>
      </c>
      <c r="L982" s="7" t="s">
        <v>132</v>
      </c>
      <c r="M982" s="7" t="s">
        <v>133</v>
      </c>
      <c r="N982" s="30">
        <v>0</v>
      </c>
      <c r="O982" s="30">
        <v>0</v>
      </c>
      <c r="P982" s="30">
        <v>0</v>
      </c>
      <c r="Q982" s="30">
        <v>0</v>
      </c>
      <c r="R982" s="29">
        <v>0</v>
      </c>
      <c r="S982" s="36">
        <v>0</v>
      </c>
      <c r="T982" s="7" t="s">
        <v>131</v>
      </c>
      <c r="U982" s="7" t="s">
        <v>959</v>
      </c>
      <c r="V982" s="7" t="s">
        <v>959</v>
      </c>
      <c r="W982" s="7" t="s">
        <v>1177</v>
      </c>
      <c r="X982" s="30">
        <v>1</v>
      </c>
      <c r="Y982" s="7" t="s">
        <v>1177</v>
      </c>
      <c r="Z982" s="7" t="s">
        <v>1178</v>
      </c>
      <c r="AA982" s="30">
        <v>0</v>
      </c>
      <c r="AB982" s="36">
        <v>0</v>
      </c>
      <c r="AC982" s="7" t="s">
        <v>1177</v>
      </c>
      <c r="AD982" s="37">
        <v>0</v>
      </c>
      <c r="AE982" s="7" t="s">
        <v>1177</v>
      </c>
      <c r="AF982" s="7" t="s">
        <v>1177</v>
      </c>
      <c r="AG982" s="7" t="s">
        <v>1177</v>
      </c>
      <c r="AH982" s="38"/>
      <c r="AI982" s="36">
        <v>0</v>
      </c>
      <c r="AJ982" s="7" t="s">
        <v>1193</v>
      </c>
      <c r="AK982" s="7" t="s">
        <v>1177</v>
      </c>
      <c r="AL982" s="7" t="s">
        <v>1177</v>
      </c>
      <c r="AM982" s="7" t="s">
        <v>1177</v>
      </c>
      <c r="AN982" s="7" t="s">
        <v>3212</v>
      </c>
      <c r="AO982" s="7" t="s">
        <v>1177</v>
      </c>
      <c r="AP982" s="7" t="s">
        <v>1177</v>
      </c>
      <c r="AQ982" s="7" t="s">
        <v>1177</v>
      </c>
      <c r="AR982" s="29">
        <v>0</v>
      </c>
      <c r="AS982" s="7" t="s">
        <v>1177</v>
      </c>
      <c r="AT982" s="7" t="s">
        <v>1363</v>
      </c>
      <c r="AU982" s="38">
        <v>46275</v>
      </c>
      <c r="AV982" s="39">
        <v>0.62496527777777999</v>
      </c>
    </row>
    <row r="983" spans="1:48" x14ac:dyDescent="0.35">
      <c r="A983" t="str">
        <f t="shared" si="15"/>
        <v>GP237955B864</v>
      </c>
      <c r="B983" s="7" t="s">
        <v>867</v>
      </c>
      <c r="C983" s="7" t="s">
        <v>1010</v>
      </c>
      <c r="D983" s="7" t="s">
        <v>10</v>
      </c>
      <c r="E983" s="7" t="s">
        <v>1177</v>
      </c>
      <c r="F983" s="7" t="s">
        <v>128</v>
      </c>
      <c r="G983" s="7" t="s">
        <v>130</v>
      </c>
      <c r="H983" s="7" t="s">
        <v>129</v>
      </c>
      <c r="I983" s="30">
        <v>2</v>
      </c>
      <c r="J983" s="7" t="s">
        <v>1177</v>
      </c>
      <c r="K983" s="7" t="s">
        <v>1178</v>
      </c>
      <c r="L983" s="7" t="s">
        <v>132</v>
      </c>
      <c r="M983" s="7" t="s">
        <v>133</v>
      </c>
      <c r="N983" s="30">
        <v>0</v>
      </c>
      <c r="O983" s="30">
        <v>0</v>
      </c>
      <c r="P983" s="30">
        <v>0</v>
      </c>
      <c r="Q983" s="30">
        <v>0</v>
      </c>
      <c r="R983" s="29">
        <v>0</v>
      </c>
      <c r="S983" s="36">
        <v>0</v>
      </c>
      <c r="T983" s="7" t="s">
        <v>131</v>
      </c>
      <c r="U983" s="7" t="s">
        <v>1011</v>
      </c>
      <c r="V983" s="7" t="s">
        <v>1011</v>
      </c>
      <c r="W983" s="7" t="s">
        <v>1177</v>
      </c>
      <c r="X983" s="30">
        <v>1</v>
      </c>
      <c r="Y983" s="7" t="s">
        <v>1177</v>
      </c>
      <c r="Z983" s="7" t="s">
        <v>1178</v>
      </c>
      <c r="AA983" s="30">
        <v>0</v>
      </c>
      <c r="AB983" s="36">
        <v>0</v>
      </c>
      <c r="AC983" s="7" t="s">
        <v>1177</v>
      </c>
      <c r="AD983" s="37">
        <v>0</v>
      </c>
      <c r="AE983" s="7" t="s">
        <v>1177</v>
      </c>
      <c r="AF983" s="7" t="s">
        <v>1177</v>
      </c>
      <c r="AG983" s="7" t="s">
        <v>1177</v>
      </c>
      <c r="AH983" s="38"/>
      <c r="AI983" s="36">
        <v>0</v>
      </c>
      <c r="AJ983" s="7" t="s">
        <v>1193</v>
      </c>
      <c r="AK983" s="7" t="s">
        <v>1177</v>
      </c>
      <c r="AL983" s="7" t="s">
        <v>1177</v>
      </c>
      <c r="AM983" s="7" t="s">
        <v>1177</v>
      </c>
      <c r="AN983" s="7" t="s">
        <v>3212</v>
      </c>
      <c r="AO983" s="7" t="s">
        <v>1177</v>
      </c>
      <c r="AP983" s="7" t="s">
        <v>1177</v>
      </c>
      <c r="AQ983" s="7" t="s">
        <v>1177</v>
      </c>
      <c r="AR983" s="29">
        <v>0</v>
      </c>
      <c r="AS983" s="7" t="s">
        <v>1177</v>
      </c>
      <c r="AT983" s="7" t="s">
        <v>1363</v>
      </c>
      <c r="AU983" s="38">
        <v>46275</v>
      </c>
      <c r="AV983" s="39">
        <v>0.62645833333333001</v>
      </c>
    </row>
    <row r="984" spans="1:48" x14ac:dyDescent="0.35">
      <c r="A984" t="str">
        <f t="shared" si="15"/>
        <v>GP237955B865</v>
      </c>
      <c r="B984" s="7" t="s">
        <v>867</v>
      </c>
      <c r="C984" s="7" t="s">
        <v>1039</v>
      </c>
      <c r="D984" s="7" t="s">
        <v>7</v>
      </c>
      <c r="E984" s="7" t="s">
        <v>1177</v>
      </c>
      <c r="F984" s="7" t="s">
        <v>128</v>
      </c>
      <c r="G984" s="7" t="s">
        <v>130</v>
      </c>
      <c r="H984" s="7" t="s">
        <v>129</v>
      </c>
      <c r="I984" s="30">
        <v>2</v>
      </c>
      <c r="J984" s="7" t="s">
        <v>1177</v>
      </c>
      <c r="K984" s="7" t="s">
        <v>1178</v>
      </c>
      <c r="L984" s="7" t="s">
        <v>132</v>
      </c>
      <c r="M984" s="7" t="s">
        <v>133</v>
      </c>
      <c r="N984" s="30">
        <v>0</v>
      </c>
      <c r="O984" s="30">
        <v>0</v>
      </c>
      <c r="P984" s="30">
        <v>0</v>
      </c>
      <c r="Q984" s="30">
        <v>0</v>
      </c>
      <c r="R984" s="29">
        <v>0</v>
      </c>
      <c r="S984" s="36">
        <v>0</v>
      </c>
      <c r="T984" s="7" t="s">
        <v>131</v>
      </c>
      <c r="U984" s="7" t="s">
        <v>1040</v>
      </c>
      <c r="V984" s="7" t="s">
        <v>1040</v>
      </c>
      <c r="W984" s="7" t="s">
        <v>1177</v>
      </c>
      <c r="X984" s="30">
        <v>1</v>
      </c>
      <c r="Y984" s="7" t="s">
        <v>1177</v>
      </c>
      <c r="Z984" s="7" t="s">
        <v>1178</v>
      </c>
      <c r="AA984" s="30">
        <v>0</v>
      </c>
      <c r="AB984" s="36">
        <v>0</v>
      </c>
      <c r="AC984" s="7" t="s">
        <v>1177</v>
      </c>
      <c r="AD984" s="37">
        <v>0</v>
      </c>
      <c r="AE984" s="7" t="s">
        <v>1177</v>
      </c>
      <c r="AF984" s="7" t="s">
        <v>1177</v>
      </c>
      <c r="AG984" s="7" t="s">
        <v>1177</v>
      </c>
      <c r="AH984" s="38"/>
      <c r="AI984" s="36">
        <v>0</v>
      </c>
      <c r="AJ984" s="7" t="s">
        <v>1193</v>
      </c>
      <c r="AK984" s="7" t="s">
        <v>1177</v>
      </c>
      <c r="AL984" s="7" t="s">
        <v>1177</v>
      </c>
      <c r="AM984" s="7" t="s">
        <v>1177</v>
      </c>
      <c r="AN984" s="7" t="s">
        <v>3212</v>
      </c>
      <c r="AO984" s="7" t="s">
        <v>1177</v>
      </c>
      <c r="AP984" s="7" t="s">
        <v>1177</v>
      </c>
      <c r="AQ984" s="7" t="s">
        <v>1177</v>
      </c>
      <c r="AR984" s="29">
        <v>0</v>
      </c>
      <c r="AS984" s="7" t="s">
        <v>1177</v>
      </c>
      <c r="AT984" s="7" t="s">
        <v>1363</v>
      </c>
      <c r="AU984" s="38">
        <v>46275</v>
      </c>
      <c r="AV984" s="39">
        <v>0.62666666666667004</v>
      </c>
    </row>
    <row r="985" spans="1:48" x14ac:dyDescent="0.35">
      <c r="A985" t="str">
        <f t="shared" si="15"/>
        <v>GP237955B867</v>
      </c>
      <c r="B985" s="7" t="s">
        <v>867</v>
      </c>
      <c r="C985" s="7" t="s">
        <v>1059</v>
      </c>
      <c r="D985" s="7" t="s">
        <v>25</v>
      </c>
      <c r="E985" s="7" t="s">
        <v>1177</v>
      </c>
      <c r="F985" s="7" t="s">
        <v>128</v>
      </c>
      <c r="G985" s="7" t="s">
        <v>130</v>
      </c>
      <c r="H985" s="7" t="s">
        <v>129</v>
      </c>
      <c r="I985" s="30">
        <v>2</v>
      </c>
      <c r="J985" s="7" t="s">
        <v>1177</v>
      </c>
      <c r="K985" s="7" t="s">
        <v>1178</v>
      </c>
      <c r="L985" s="7" t="s">
        <v>132</v>
      </c>
      <c r="M985" s="7" t="s">
        <v>133</v>
      </c>
      <c r="N985" s="30">
        <v>0</v>
      </c>
      <c r="O985" s="30">
        <v>0</v>
      </c>
      <c r="P985" s="30">
        <v>0</v>
      </c>
      <c r="Q985" s="30">
        <v>0</v>
      </c>
      <c r="R985" s="29">
        <v>0</v>
      </c>
      <c r="S985" s="36">
        <v>0</v>
      </c>
      <c r="T985" s="7" t="s">
        <v>131</v>
      </c>
      <c r="U985" s="7" t="s">
        <v>1060</v>
      </c>
      <c r="V985" s="7" t="s">
        <v>1060</v>
      </c>
      <c r="W985" s="7" t="s">
        <v>1177</v>
      </c>
      <c r="X985" s="30">
        <v>1</v>
      </c>
      <c r="Y985" s="7" t="s">
        <v>1177</v>
      </c>
      <c r="Z985" s="7" t="s">
        <v>1178</v>
      </c>
      <c r="AA985" s="30">
        <v>0</v>
      </c>
      <c r="AB985" s="36">
        <v>0</v>
      </c>
      <c r="AC985" s="7" t="s">
        <v>1177</v>
      </c>
      <c r="AD985" s="37">
        <v>0</v>
      </c>
      <c r="AE985" s="7" t="s">
        <v>1177</v>
      </c>
      <c r="AF985" s="7" t="s">
        <v>1177</v>
      </c>
      <c r="AG985" s="7" t="s">
        <v>1177</v>
      </c>
      <c r="AH985" s="38"/>
      <c r="AI985" s="36">
        <v>0</v>
      </c>
      <c r="AJ985" s="7" t="s">
        <v>1193</v>
      </c>
      <c r="AK985" s="7" t="s">
        <v>1177</v>
      </c>
      <c r="AL985" s="7" t="s">
        <v>1177</v>
      </c>
      <c r="AM985" s="7" t="s">
        <v>1177</v>
      </c>
      <c r="AN985" s="7" t="s">
        <v>3212</v>
      </c>
      <c r="AO985" s="7" t="s">
        <v>1177</v>
      </c>
      <c r="AP985" s="7" t="s">
        <v>1177</v>
      </c>
      <c r="AQ985" s="7" t="s">
        <v>1177</v>
      </c>
      <c r="AR985" s="29">
        <v>0</v>
      </c>
      <c r="AS985" s="7" t="s">
        <v>1177</v>
      </c>
      <c r="AT985" s="7" t="s">
        <v>1363</v>
      </c>
      <c r="AU985" s="38">
        <v>46275</v>
      </c>
      <c r="AV985" s="39">
        <v>0.62736111111111004</v>
      </c>
    </row>
    <row r="986" spans="1:48" x14ac:dyDescent="0.35">
      <c r="A986" t="str">
        <f t="shared" si="15"/>
        <v>GP237962B825</v>
      </c>
      <c r="B986" s="7" t="s">
        <v>277</v>
      </c>
      <c r="C986" s="7" t="s">
        <v>511</v>
      </c>
      <c r="D986" s="7" t="s">
        <v>16</v>
      </c>
      <c r="E986" s="7" t="s">
        <v>1177</v>
      </c>
      <c r="F986" s="7" t="s">
        <v>128</v>
      </c>
      <c r="G986" s="7" t="s">
        <v>130</v>
      </c>
      <c r="H986" s="7" t="s">
        <v>129</v>
      </c>
      <c r="I986" s="30">
        <v>2</v>
      </c>
      <c r="J986" s="7" t="s">
        <v>1177</v>
      </c>
      <c r="K986" s="7" t="s">
        <v>1178</v>
      </c>
      <c r="L986" s="7" t="s">
        <v>132</v>
      </c>
      <c r="M986" s="7" t="s">
        <v>133</v>
      </c>
      <c r="N986" s="30">
        <v>0</v>
      </c>
      <c r="O986" s="30">
        <v>0</v>
      </c>
      <c r="P986" s="30">
        <v>0</v>
      </c>
      <c r="Q986" s="30">
        <v>0</v>
      </c>
      <c r="R986" s="29">
        <v>0</v>
      </c>
      <c r="S986" s="36">
        <v>0</v>
      </c>
      <c r="T986" s="7" t="s">
        <v>131</v>
      </c>
      <c r="U986" s="7" t="s">
        <v>512</v>
      </c>
      <c r="V986" s="7" t="s">
        <v>512</v>
      </c>
      <c r="W986" s="7" t="s">
        <v>1177</v>
      </c>
      <c r="X986" s="30">
        <v>1</v>
      </c>
      <c r="Y986" s="7" t="s">
        <v>1177</v>
      </c>
      <c r="Z986" s="7" t="s">
        <v>1178</v>
      </c>
      <c r="AA986" s="30">
        <v>0</v>
      </c>
      <c r="AB986" s="36">
        <v>0</v>
      </c>
      <c r="AC986" s="7" t="s">
        <v>1177</v>
      </c>
      <c r="AD986" s="37">
        <v>0</v>
      </c>
      <c r="AE986" s="7" t="s">
        <v>1177</v>
      </c>
      <c r="AF986" s="7" t="s">
        <v>1177</v>
      </c>
      <c r="AG986" s="7" t="s">
        <v>1177</v>
      </c>
      <c r="AH986" s="38"/>
      <c r="AI986" s="36">
        <v>0</v>
      </c>
      <c r="AJ986" s="7" t="s">
        <v>1193</v>
      </c>
      <c r="AK986" s="7" t="s">
        <v>1177</v>
      </c>
      <c r="AL986" s="7" t="s">
        <v>1177</v>
      </c>
      <c r="AM986" s="7" t="s">
        <v>1177</v>
      </c>
      <c r="AN986" s="7" t="s">
        <v>3212</v>
      </c>
      <c r="AO986" s="7" t="s">
        <v>1177</v>
      </c>
      <c r="AP986" s="7" t="s">
        <v>1177</v>
      </c>
      <c r="AQ986" s="7" t="s">
        <v>1177</v>
      </c>
      <c r="AR986" s="29">
        <v>0</v>
      </c>
      <c r="AS986" s="7" t="s">
        <v>1177</v>
      </c>
      <c r="AT986" s="7" t="s">
        <v>1363</v>
      </c>
      <c r="AU986" s="38">
        <v>46275</v>
      </c>
      <c r="AV986" s="39">
        <v>0.62303240740740995</v>
      </c>
    </row>
    <row r="987" spans="1:48" x14ac:dyDescent="0.35">
      <c r="A987" t="str">
        <f t="shared" si="15"/>
        <v>GP237962B856</v>
      </c>
      <c r="B987" s="7" t="s">
        <v>277</v>
      </c>
      <c r="C987" s="7" t="s">
        <v>852</v>
      </c>
      <c r="D987" s="7" t="s">
        <v>21</v>
      </c>
      <c r="E987" s="7" t="s">
        <v>1177</v>
      </c>
      <c r="F987" s="7" t="s">
        <v>128</v>
      </c>
      <c r="G987" s="7" t="s">
        <v>130</v>
      </c>
      <c r="H987" s="7" t="s">
        <v>129</v>
      </c>
      <c r="I987" s="30">
        <v>2</v>
      </c>
      <c r="J987" s="7" t="s">
        <v>1177</v>
      </c>
      <c r="K987" s="7" t="s">
        <v>1178</v>
      </c>
      <c r="L987" s="7" t="s">
        <v>132</v>
      </c>
      <c r="M987" s="7" t="s">
        <v>133</v>
      </c>
      <c r="N987" s="30">
        <v>0</v>
      </c>
      <c r="O987" s="30">
        <v>0</v>
      </c>
      <c r="P987" s="30">
        <v>0</v>
      </c>
      <c r="Q987" s="30">
        <v>0</v>
      </c>
      <c r="R987" s="29">
        <v>0</v>
      </c>
      <c r="S987" s="36">
        <v>0</v>
      </c>
      <c r="T987" s="7" t="s">
        <v>131</v>
      </c>
      <c r="U987" s="7" t="s">
        <v>853</v>
      </c>
      <c r="V987" s="7" t="s">
        <v>853</v>
      </c>
      <c r="W987" s="7" t="s">
        <v>1177</v>
      </c>
      <c r="X987" s="30">
        <v>1</v>
      </c>
      <c r="Y987" s="7" t="s">
        <v>1177</v>
      </c>
      <c r="Z987" s="7" t="s">
        <v>1178</v>
      </c>
      <c r="AA987" s="30">
        <v>0</v>
      </c>
      <c r="AB987" s="36">
        <v>0</v>
      </c>
      <c r="AC987" s="7" t="s">
        <v>1177</v>
      </c>
      <c r="AD987" s="37">
        <v>0</v>
      </c>
      <c r="AE987" s="7" t="s">
        <v>1177</v>
      </c>
      <c r="AF987" s="7" t="s">
        <v>1177</v>
      </c>
      <c r="AG987" s="7" t="s">
        <v>1177</v>
      </c>
      <c r="AH987" s="38"/>
      <c r="AI987" s="36">
        <v>0</v>
      </c>
      <c r="AJ987" s="7" t="s">
        <v>1193</v>
      </c>
      <c r="AK987" s="7" t="s">
        <v>1177</v>
      </c>
      <c r="AL987" s="7" t="s">
        <v>1177</v>
      </c>
      <c r="AM987" s="7" t="s">
        <v>1177</v>
      </c>
      <c r="AN987" s="7" t="s">
        <v>3212</v>
      </c>
      <c r="AO987" s="7" t="s">
        <v>1177</v>
      </c>
      <c r="AP987" s="7" t="s">
        <v>1177</v>
      </c>
      <c r="AQ987" s="7" t="s">
        <v>1177</v>
      </c>
      <c r="AR987" s="29">
        <v>0</v>
      </c>
      <c r="AS987" s="7" t="s">
        <v>1177</v>
      </c>
      <c r="AT987" s="7" t="s">
        <v>1363</v>
      </c>
      <c r="AU987" s="38">
        <v>46275</v>
      </c>
      <c r="AV987" s="39">
        <v>0.62488425925926006</v>
      </c>
    </row>
    <row r="988" spans="1:48" x14ac:dyDescent="0.35">
      <c r="A988" t="str">
        <f t="shared" si="15"/>
        <v>GP237977B825</v>
      </c>
      <c r="B988" s="7" t="s">
        <v>278</v>
      </c>
      <c r="C988" s="7" t="s">
        <v>511</v>
      </c>
      <c r="D988" s="7" t="s">
        <v>16</v>
      </c>
      <c r="E988" s="7" t="s">
        <v>1177</v>
      </c>
      <c r="F988" s="7" t="s">
        <v>128</v>
      </c>
      <c r="G988" s="7" t="s">
        <v>130</v>
      </c>
      <c r="H988" s="7" t="s">
        <v>129</v>
      </c>
      <c r="I988" s="30">
        <v>2</v>
      </c>
      <c r="J988" s="7" t="s">
        <v>1177</v>
      </c>
      <c r="K988" s="7" t="s">
        <v>1178</v>
      </c>
      <c r="L988" s="7" t="s">
        <v>132</v>
      </c>
      <c r="M988" s="7" t="s">
        <v>133</v>
      </c>
      <c r="N988" s="30">
        <v>0</v>
      </c>
      <c r="O988" s="30">
        <v>0</v>
      </c>
      <c r="P988" s="30">
        <v>0</v>
      </c>
      <c r="Q988" s="30">
        <v>0</v>
      </c>
      <c r="R988" s="29">
        <v>0</v>
      </c>
      <c r="S988" s="36">
        <v>0</v>
      </c>
      <c r="T988" s="7" t="s">
        <v>131</v>
      </c>
      <c r="U988" s="7" t="s">
        <v>512</v>
      </c>
      <c r="V988" s="7" t="s">
        <v>512</v>
      </c>
      <c r="W988" s="7" t="s">
        <v>1177</v>
      </c>
      <c r="X988" s="30">
        <v>1</v>
      </c>
      <c r="Y988" s="7" t="s">
        <v>1177</v>
      </c>
      <c r="Z988" s="7" t="s">
        <v>1178</v>
      </c>
      <c r="AA988" s="30">
        <v>0</v>
      </c>
      <c r="AB988" s="36">
        <v>0</v>
      </c>
      <c r="AC988" s="7" t="s">
        <v>1177</v>
      </c>
      <c r="AD988" s="37">
        <v>0</v>
      </c>
      <c r="AE988" s="7" t="s">
        <v>1177</v>
      </c>
      <c r="AF988" s="7" t="s">
        <v>1177</v>
      </c>
      <c r="AG988" s="7" t="s">
        <v>1177</v>
      </c>
      <c r="AH988" s="38"/>
      <c r="AI988" s="36">
        <v>0</v>
      </c>
      <c r="AJ988" s="7" t="s">
        <v>1193</v>
      </c>
      <c r="AK988" s="7" t="s">
        <v>1177</v>
      </c>
      <c r="AL988" s="7" t="s">
        <v>1177</v>
      </c>
      <c r="AM988" s="7" t="s">
        <v>1177</v>
      </c>
      <c r="AN988" s="7" t="s">
        <v>3212</v>
      </c>
      <c r="AO988" s="7" t="s">
        <v>1177</v>
      </c>
      <c r="AP988" s="7" t="s">
        <v>1177</v>
      </c>
      <c r="AQ988" s="7" t="s">
        <v>1177</v>
      </c>
      <c r="AR988" s="29">
        <v>0</v>
      </c>
      <c r="AS988" s="7" t="s">
        <v>1177</v>
      </c>
      <c r="AT988" s="7" t="s">
        <v>1363</v>
      </c>
      <c r="AU988" s="38">
        <v>46275</v>
      </c>
      <c r="AV988" s="39">
        <v>0.62303240740740995</v>
      </c>
    </row>
    <row r="989" spans="1:48" x14ac:dyDescent="0.35">
      <c r="A989" t="str">
        <f t="shared" si="15"/>
        <v>GP237977B832</v>
      </c>
      <c r="B989" s="7" t="s">
        <v>278</v>
      </c>
      <c r="C989" s="7" t="s">
        <v>653</v>
      </c>
      <c r="D989" s="7" t="s">
        <v>19</v>
      </c>
      <c r="E989" s="7" t="s">
        <v>1177</v>
      </c>
      <c r="F989" s="7" t="s">
        <v>128</v>
      </c>
      <c r="G989" s="7" t="s">
        <v>130</v>
      </c>
      <c r="H989" s="7" t="s">
        <v>129</v>
      </c>
      <c r="I989" s="30">
        <v>2</v>
      </c>
      <c r="J989" s="7" t="s">
        <v>1177</v>
      </c>
      <c r="K989" s="7" t="s">
        <v>1178</v>
      </c>
      <c r="L989" s="7" t="s">
        <v>132</v>
      </c>
      <c r="M989" s="7" t="s">
        <v>133</v>
      </c>
      <c r="N989" s="30">
        <v>0</v>
      </c>
      <c r="O989" s="30">
        <v>0</v>
      </c>
      <c r="P989" s="30">
        <v>0</v>
      </c>
      <c r="Q989" s="30">
        <v>0</v>
      </c>
      <c r="R989" s="29">
        <v>0</v>
      </c>
      <c r="S989" s="36">
        <v>0</v>
      </c>
      <c r="T989" s="7" t="s">
        <v>131</v>
      </c>
      <c r="U989" s="7" t="s">
        <v>654</v>
      </c>
      <c r="V989" s="7" t="s">
        <v>654</v>
      </c>
      <c r="W989" s="7" t="s">
        <v>1177</v>
      </c>
      <c r="X989" s="30">
        <v>1</v>
      </c>
      <c r="Y989" s="7" t="s">
        <v>1177</v>
      </c>
      <c r="Z989" s="7" t="s">
        <v>1178</v>
      </c>
      <c r="AA989" s="30">
        <v>0</v>
      </c>
      <c r="AB989" s="36">
        <v>0</v>
      </c>
      <c r="AC989" s="7" t="s">
        <v>1177</v>
      </c>
      <c r="AD989" s="37">
        <v>0</v>
      </c>
      <c r="AE989" s="7" t="s">
        <v>1177</v>
      </c>
      <c r="AF989" s="7" t="s">
        <v>1177</v>
      </c>
      <c r="AG989" s="7" t="s">
        <v>1177</v>
      </c>
      <c r="AH989" s="38"/>
      <c r="AI989" s="36">
        <v>0</v>
      </c>
      <c r="AJ989" s="7" t="s">
        <v>1193</v>
      </c>
      <c r="AK989" s="7" t="s">
        <v>1177</v>
      </c>
      <c r="AL989" s="7" t="s">
        <v>1177</v>
      </c>
      <c r="AM989" s="7" t="s">
        <v>1177</v>
      </c>
      <c r="AN989" s="7" t="s">
        <v>3212</v>
      </c>
      <c r="AO989" s="7" t="s">
        <v>1177</v>
      </c>
      <c r="AP989" s="7" t="s">
        <v>1177</v>
      </c>
      <c r="AQ989" s="7" t="s">
        <v>1177</v>
      </c>
      <c r="AR989" s="29">
        <v>0</v>
      </c>
      <c r="AS989" s="7" t="s">
        <v>1177</v>
      </c>
      <c r="AT989" s="7" t="s">
        <v>1363</v>
      </c>
      <c r="AU989" s="38">
        <v>46275</v>
      </c>
      <c r="AV989" s="39">
        <v>0.62337962962963001</v>
      </c>
    </row>
    <row r="990" spans="1:48" x14ac:dyDescent="0.35">
      <c r="A990" t="str">
        <f t="shared" si="15"/>
        <v>GP237977B867</v>
      </c>
      <c r="B990" s="7" t="s">
        <v>278</v>
      </c>
      <c r="C990" s="7" t="s">
        <v>1059</v>
      </c>
      <c r="D990" s="7" t="s">
        <v>25</v>
      </c>
      <c r="E990" s="7" t="s">
        <v>1177</v>
      </c>
      <c r="F990" s="7" t="s">
        <v>128</v>
      </c>
      <c r="G990" s="7" t="s">
        <v>130</v>
      </c>
      <c r="H990" s="7" t="s">
        <v>129</v>
      </c>
      <c r="I990" s="30">
        <v>2</v>
      </c>
      <c r="J990" s="7" t="s">
        <v>1177</v>
      </c>
      <c r="K990" s="7" t="s">
        <v>1178</v>
      </c>
      <c r="L990" s="7" t="s">
        <v>132</v>
      </c>
      <c r="M990" s="7" t="s">
        <v>133</v>
      </c>
      <c r="N990" s="30">
        <v>0</v>
      </c>
      <c r="O990" s="30">
        <v>0</v>
      </c>
      <c r="P990" s="30">
        <v>0</v>
      </c>
      <c r="Q990" s="30">
        <v>0</v>
      </c>
      <c r="R990" s="29">
        <v>0</v>
      </c>
      <c r="S990" s="36">
        <v>0</v>
      </c>
      <c r="T990" s="7" t="s">
        <v>131</v>
      </c>
      <c r="U990" s="7" t="s">
        <v>1060</v>
      </c>
      <c r="V990" s="7" t="s">
        <v>1060</v>
      </c>
      <c r="W990" s="7" t="s">
        <v>1177</v>
      </c>
      <c r="X990" s="30">
        <v>1</v>
      </c>
      <c r="Y990" s="7" t="s">
        <v>1177</v>
      </c>
      <c r="Z990" s="7" t="s">
        <v>1178</v>
      </c>
      <c r="AA990" s="30">
        <v>0</v>
      </c>
      <c r="AB990" s="36">
        <v>0</v>
      </c>
      <c r="AC990" s="7" t="s">
        <v>1177</v>
      </c>
      <c r="AD990" s="37">
        <v>0</v>
      </c>
      <c r="AE990" s="7" t="s">
        <v>1177</v>
      </c>
      <c r="AF990" s="7" t="s">
        <v>1177</v>
      </c>
      <c r="AG990" s="7" t="s">
        <v>1177</v>
      </c>
      <c r="AH990" s="38"/>
      <c r="AI990" s="36">
        <v>0</v>
      </c>
      <c r="AJ990" s="7" t="s">
        <v>1193</v>
      </c>
      <c r="AK990" s="7" t="s">
        <v>1177</v>
      </c>
      <c r="AL990" s="7" t="s">
        <v>1177</v>
      </c>
      <c r="AM990" s="7" t="s">
        <v>1177</v>
      </c>
      <c r="AN990" s="7" t="s">
        <v>3212</v>
      </c>
      <c r="AO990" s="7" t="s">
        <v>1177</v>
      </c>
      <c r="AP990" s="7" t="s">
        <v>1177</v>
      </c>
      <c r="AQ990" s="7" t="s">
        <v>1177</v>
      </c>
      <c r="AR990" s="29">
        <v>0</v>
      </c>
      <c r="AS990" s="7" t="s">
        <v>1177</v>
      </c>
      <c r="AT990" s="7" t="s">
        <v>1363</v>
      </c>
      <c r="AU990" s="38">
        <v>46275</v>
      </c>
      <c r="AV990" s="39">
        <v>0.62736111111111004</v>
      </c>
    </row>
    <row r="991" spans="1:48" x14ac:dyDescent="0.35">
      <c r="A991" t="str">
        <f t="shared" si="15"/>
        <v>GP238042B825</v>
      </c>
      <c r="B991" s="7" t="s">
        <v>570</v>
      </c>
      <c r="C991" s="7" t="s">
        <v>511</v>
      </c>
      <c r="D991" s="7" t="s">
        <v>16</v>
      </c>
      <c r="E991" s="7" t="s">
        <v>1177</v>
      </c>
      <c r="F991" s="7" t="s">
        <v>128</v>
      </c>
      <c r="G991" s="7" t="s">
        <v>130</v>
      </c>
      <c r="H991" s="7" t="s">
        <v>129</v>
      </c>
      <c r="I991" s="30">
        <v>2</v>
      </c>
      <c r="J991" s="7" t="s">
        <v>1177</v>
      </c>
      <c r="K991" s="7" t="s">
        <v>1178</v>
      </c>
      <c r="L991" s="7" t="s">
        <v>132</v>
      </c>
      <c r="M991" s="7" t="s">
        <v>133</v>
      </c>
      <c r="N991" s="30">
        <v>0</v>
      </c>
      <c r="O991" s="30">
        <v>0</v>
      </c>
      <c r="P991" s="30">
        <v>0</v>
      </c>
      <c r="Q991" s="30">
        <v>0</v>
      </c>
      <c r="R991" s="29">
        <v>0</v>
      </c>
      <c r="S991" s="36">
        <v>0</v>
      </c>
      <c r="T991" s="7" t="s">
        <v>131</v>
      </c>
      <c r="U991" s="7" t="s">
        <v>512</v>
      </c>
      <c r="V991" s="7" t="s">
        <v>512</v>
      </c>
      <c r="W991" s="7" t="s">
        <v>1177</v>
      </c>
      <c r="X991" s="30">
        <v>1</v>
      </c>
      <c r="Y991" s="7" t="s">
        <v>1177</v>
      </c>
      <c r="Z991" s="7" t="s">
        <v>1178</v>
      </c>
      <c r="AA991" s="30">
        <v>0</v>
      </c>
      <c r="AB991" s="36">
        <v>0</v>
      </c>
      <c r="AC991" s="7" t="s">
        <v>1177</v>
      </c>
      <c r="AD991" s="37">
        <v>0</v>
      </c>
      <c r="AE991" s="7" t="s">
        <v>1177</v>
      </c>
      <c r="AF991" s="7" t="s">
        <v>1177</v>
      </c>
      <c r="AG991" s="7" t="s">
        <v>1177</v>
      </c>
      <c r="AH991" s="38"/>
      <c r="AI991" s="36">
        <v>0</v>
      </c>
      <c r="AJ991" s="7" t="s">
        <v>1193</v>
      </c>
      <c r="AK991" s="7" t="s">
        <v>1177</v>
      </c>
      <c r="AL991" s="7" t="s">
        <v>1177</v>
      </c>
      <c r="AM991" s="7" t="s">
        <v>1177</v>
      </c>
      <c r="AN991" s="7" t="s">
        <v>3212</v>
      </c>
      <c r="AO991" s="7" t="s">
        <v>1177</v>
      </c>
      <c r="AP991" s="7" t="s">
        <v>1177</v>
      </c>
      <c r="AQ991" s="7" t="s">
        <v>1177</v>
      </c>
      <c r="AR991" s="29">
        <v>0</v>
      </c>
      <c r="AS991" s="7" t="s">
        <v>1177</v>
      </c>
      <c r="AT991" s="7" t="s">
        <v>1363</v>
      </c>
      <c r="AU991" s="38">
        <v>46275</v>
      </c>
      <c r="AV991" s="39">
        <v>0.62303240740740995</v>
      </c>
    </row>
    <row r="992" spans="1:48" x14ac:dyDescent="0.35">
      <c r="A992" t="str">
        <f t="shared" si="15"/>
        <v>GP238522B838</v>
      </c>
      <c r="B992" s="7" t="s">
        <v>754</v>
      </c>
      <c r="C992" s="7" t="s">
        <v>744</v>
      </c>
      <c r="D992" s="7" t="s">
        <v>48</v>
      </c>
      <c r="E992" s="7" t="s">
        <v>1177</v>
      </c>
      <c r="F992" s="7" t="s">
        <v>128</v>
      </c>
      <c r="G992" s="7" t="s">
        <v>130</v>
      </c>
      <c r="H992" s="7" t="s">
        <v>129</v>
      </c>
      <c r="I992" s="30">
        <v>2</v>
      </c>
      <c r="J992" s="7" t="s">
        <v>1177</v>
      </c>
      <c r="K992" s="7" t="s">
        <v>1178</v>
      </c>
      <c r="L992" s="7" t="s">
        <v>132</v>
      </c>
      <c r="M992" s="7" t="s">
        <v>133</v>
      </c>
      <c r="N992" s="30">
        <v>0</v>
      </c>
      <c r="O992" s="30">
        <v>0</v>
      </c>
      <c r="P992" s="30">
        <v>0</v>
      </c>
      <c r="Q992" s="30">
        <v>0</v>
      </c>
      <c r="R992" s="29">
        <v>0</v>
      </c>
      <c r="S992" s="36">
        <v>0</v>
      </c>
      <c r="T992" s="7" t="s">
        <v>131</v>
      </c>
      <c r="U992" s="7" t="s">
        <v>745</v>
      </c>
      <c r="V992" s="7" t="s">
        <v>745</v>
      </c>
      <c r="W992" s="7" t="s">
        <v>1177</v>
      </c>
      <c r="X992" s="30">
        <v>1</v>
      </c>
      <c r="Y992" s="7" t="s">
        <v>1177</v>
      </c>
      <c r="Z992" s="7" t="s">
        <v>1178</v>
      </c>
      <c r="AA992" s="30">
        <v>0</v>
      </c>
      <c r="AB992" s="36">
        <v>0</v>
      </c>
      <c r="AC992" s="7" t="s">
        <v>1177</v>
      </c>
      <c r="AD992" s="37">
        <v>0</v>
      </c>
      <c r="AE992" s="7" t="s">
        <v>1177</v>
      </c>
      <c r="AF992" s="7" t="s">
        <v>1177</v>
      </c>
      <c r="AG992" s="7" t="s">
        <v>1177</v>
      </c>
      <c r="AH992" s="38"/>
      <c r="AI992" s="36">
        <v>0</v>
      </c>
      <c r="AJ992" s="7" t="s">
        <v>1193</v>
      </c>
      <c r="AK992" s="7" t="s">
        <v>1177</v>
      </c>
      <c r="AL992" s="7" t="s">
        <v>1177</v>
      </c>
      <c r="AM992" s="7" t="s">
        <v>1177</v>
      </c>
      <c r="AN992" s="7" t="s">
        <v>3212</v>
      </c>
      <c r="AO992" s="7" t="s">
        <v>1177</v>
      </c>
      <c r="AP992" s="7" t="s">
        <v>1177</v>
      </c>
      <c r="AQ992" s="7" t="s">
        <v>1177</v>
      </c>
      <c r="AR992" s="29">
        <v>0</v>
      </c>
      <c r="AS992" s="7" t="s">
        <v>1177</v>
      </c>
      <c r="AT992" s="7" t="s">
        <v>1363</v>
      </c>
      <c r="AU992" s="38">
        <v>46275</v>
      </c>
      <c r="AV992" s="39">
        <v>0.62418981481480995</v>
      </c>
    </row>
    <row r="993" spans="1:48" x14ac:dyDescent="0.35">
      <c r="A993" t="str">
        <f t="shared" si="15"/>
        <v>GP238575B825</v>
      </c>
      <c r="B993" s="7" t="s">
        <v>571</v>
      </c>
      <c r="C993" s="7" t="s">
        <v>511</v>
      </c>
      <c r="D993" s="7" t="s">
        <v>16</v>
      </c>
      <c r="E993" s="7" t="s">
        <v>1177</v>
      </c>
      <c r="F993" s="7" t="s">
        <v>128</v>
      </c>
      <c r="G993" s="7" t="s">
        <v>130</v>
      </c>
      <c r="H993" s="7" t="s">
        <v>129</v>
      </c>
      <c r="I993" s="30">
        <v>2</v>
      </c>
      <c r="J993" s="7" t="s">
        <v>1177</v>
      </c>
      <c r="K993" s="7" t="s">
        <v>1178</v>
      </c>
      <c r="L993" s="7" t="s">
        <v>132</v>
      </c>
      <c r="M993" s="7" t="s">
        <v>133</v>
      </c>
      <c r="N993" s="30">
        <v>0</v>
      </c>
      <c r="O993" s="30">
        <v>0</v>
      </c>
      <c r="P993" s="30">
        <v>0</v>
      </c>
      <c r="Q993" s="30">
        <v>0</v>
      </c>
      <c r="R993" s="29">
        <v>0</v>
      </c>
      <c r="S993" s="36">
        <v>0</v>
      </c>
      <c r="T993" s="7" t="s">
        <v>131</v>
      </c>
      <c r="U993" s="7" t="s">
        <v>512</v>
      </c>
      <c r="V993" s="7" t="s">
        <v>512</v>
      </c>
      <c r="W993" s="7" t="s">
        <v>1177</v>
      </c>
      <c r="X993" s="30">
        <v>1</v>
      </c>
      <c r="Y993" s="7" t="s">
        <v>1177</v>
      </c>
      <c r="Z993" s="7" t="s">
        <v>1178</v>
      </c>
      <c r="AA993" s="30">
        <v>0</v>
      </c>
      <c r="AB993" s="36">
        <v>0</v>
      </c>
      <c r="AC993" s="7" t="s">
        <v>1177</v>
      </c>
      <c r="AD993" s="37">
        <v>0</v>
      </c>
      <c r="AE993" s="7" t="s">
        <v>1177</v>
      </c>
      <c r="AF993" s="7" t="s">
        <v>1177</v>
      </c>
      <c r="AG993" s="7" t="s">
        <v>1177</v>
      </c>
      <c r="AH993" s="38"/>
      <c r="AI993" s="36">
        <v>0</v>
      </c>
      <c r="AJ993" s="7" t="s">
        <v>1193</v>
      </c>
      <c r="AK993" s="7" t="s">
        <v>1177</v>
      </c>
      <c r="AL993" s="7" t="s">
        <v>1177</v>
      </c>
      <c r="AM993" s="7" t="s">
        <v>1177</v>
      </c>
      <c r="AN993" s="7" t="s">
        <v>3212</v>
      </c>
      <c r="AO993" s="7" t="s">
        <v>1177</v>
      </c>
      <c r="AP993" s="7" t="s">
        <v>1177</v>
      </c>
      <c r="AQ993" s="7" t="s">
        <v>1177</v>
      </c>
      <c r="AR993" s="29">
        <v>0</v>
      </c>
      <c r="AS993" s="7" t="s">
        <v>1177</v>
      </c>
      <c r="AT993" s="7" t="s">
        <v>1363</v>
      </c>
      <c r="AU993" s="38">
        <v>46275</v>
      </c>
      <c r="AV993" s="39">
        <v>0.62303240740740995</v>
      </c>
    </row>
    <row r="994" spans="1:48" x14ac:dyDescent="0.35">
      <c r="A994" t="str">
        <f t="shared" si="15"/>
        <v>GP238650B825</v>
      </c>
      <c r="B994" s="7" t="s">
        <v>279</v>
      </c>
      <c r="C994" s="7" t="s">
        <v>511</v>
      </c>
      <c r="D994" s="7" t="s">
        <v>16</v>
      </c>
      <c r="E994" s="7" t="s">
        <v>1177</v>
      </c>
      <c r="F994" s="7" t="s">
        <v>128</v>
      </c>
      <c r="G994" s="7" t="s">
        <v>130</v>
      </c>
      <c r="H994" s="7" t="s">
        <v>129</v>
      </c>
      <c r="I994" s="30">
        <v>2</v>
      </c>
      <c r="J994" s="7" t="s">
        <v>1177</v>
      </c>
      <c r="K994" s="7" t="s">
        <v>1178</v>
      </c>
      <c r="L994" s="7" t="s">
        <v>132</v>
      </c>
      <c r="M994" s="7" t="s">
        <v>133</v>
      </c>
      <c r="N994" s="30">
        <v>0</v>
      </c>
      <c r="O994" s="30">
        <v>0</v>
      </c>
      <c r="P994" s="30">
        <v>0</v>
      </c>
      <c r="Q994" s="30">
        <v>0</v>
      </c>
      <c r="R994" s="29">
        <v>0</v>
      </c>
      <c r="S994" s="36">
        <v>0</v>
      </c>
      <c r="T994" s="7" t="s">
        <v>131</v>
      </c>
      <c r="U994" s="7" t="s">
        <v>512</v>
      </c>
      <c r="V994" s="7" t="s">
        <v>512</v>
      </c>
      <c r="W994" s="7" t="s">
        <v>1177</v>
      </c>
      <c r="X994" s="30">
        <v>1</v>
      </c>
      <c r="Y994" s="7" t="s">
        <v>1177</v>
      </c>
      <c r="Z994" s="7" t="s">
        <v>1178</v>
      </c>
      <c r="AA994" s="30">
        <v>0</v>
      </c>
      <c r="AB994" s="36">
        <v>0</v>
      </c>
      <c r="AC994" s="7" t="s">
        <v>1177</v>
      </c>
      <c r="AD994" s="37">
        <v>0</v>
      </c>
      <c r="AE994" s="7" t="s">
        <v>1177</v>
      </c>
      <c r="AF994" s="7" t="s">
        <v>1177</v>
      </c>
      <c r="AG994" s="7" t="s">
        <v>1177</v>
      </c>
      <c r="AH994" s="38"/>
      <c r="AI994" s="36">
        <v>0</v>
      </c>
      <c r="AJ994" s="7" t="s">
        <v>1193</v>
      </c>
      <c r="AK994" s="7" t="s">
        <v>1177</v>
      </c>
      <c r="AL994" s="7" t="s">
        <v>1177</v>
      </c>
      <c r="AM994" s="7" t="s">
        <v>1177</v>
      </c>
      <c r="AN994" s="7" t="s">
        <v>3212</v>
      </c>
      <c r="AO994" s="7" t="s">
        <v>1177</v>
      </c>
      <c r="AP994" s="7" t="s">
        <v>1177</v>
      </c>
      <c r="AQ994" s="7" t="s">
        <v>1177</v>
      </c>
      <c r="AR994" s="29">
        <v>0</v>
      </c>
      <c r="AS994" s="7" t="s">
        <v>1177</v>
      </c>
      <c r="AT994" s="7" t="s">
        <v>1363</v>
      </c>
      <c r="AU994" s="38">
        <v>46275</v>
      </c>
      <c r="AV994" s="39">
        <v>0.6034837962963</v>
      </c>
    </row>
    <row r="995" spans="1:48" x14ac:dyDescent="0.35">
      <c r="A995" t="str">
        <f t="shared" si="15"/>
        <v>GP238650B832</v>
      </c>
      <c r="B995" s="7" t="s">
        <v>279</v>
      </c>
      <c r="C995" s="7" t="s">
        <v>653</v>
      </c>
      <c r="D995" s="7" t="s">
        <v>19</v>
      </c>
      <c r="E995" s="7" t="s">
        <v>1177</v>
      </c>
      <c r="F995" s="7" t="s">
        <v>128</v>
      </c>
      <c r="G995" s="7" t="s">
        <v>130</v>
      </c>
      <c r="H995" s="7" t="s">
        <v>129</v>
      </c>
      <c r="I995" s="30">
        <v>2</v>
      </c>
      <c r="J995" s="7" t="s">
        <v>1177</v>
      </c>
      <c r="K995" s="7" t="s">
        <v>1178</v>
      </c>
      <c r="L995" s="7" t="s">
        <v>132</v>
      </c>
      <c r="M995" s="7" t="s">
        <v>133</v>
      </c>
      <c r="N995" s="30">
        <v>0</v>
      </c>
      <c r="O995" s="30">
        <v>0</v>
      </c>
      <c r="P995" s="30">
        <v>0</v>
      </c>
      <c r="Q995" s="30">
        <v>0</v>
      </c>
      <c r="R995" s="29">
        <v>0</v>
      </c>
      <c r="S995" s="36">
        <v>0</v>
      </c>
      <c r="T995" s="7" t="s">
        <v>131</v>
      </c>
      <c r="U995" s="7" t="s">
        <v>654</v>
      </c>
      <c r="V995" s="7" t="s">
        <v>654</v>
      </c>
      <c r="W995" s="7" t="s">
        <v>1177</v>
      </c>
      <c r="X995" s="30">
        <v>1</v>
      </c>
      <c r="Y995" s="7" t="s">
        <v>1177</v>
      </c>
      <c r="Z995" s="7" t="s">
        <v>1178</v>
      </c>
      <c r="AA995" s="30">
        <v>0</v>
      </c>
      <c r="AB995" s="36">
        <v>0</v>
      </c>
      <c r="AC995" s="7" t="s">
        <v>1177</v>
      </c>
      <c r="AD995" s="37">
        <v>0</v>
      </c>
      <c r="AE995" s="7" t="s">
        <v>1177</v>
      </c>
      <c r="AF995" s="7" t="s">
        <v>1177</v>
      </c>
      <c r="AG995" s="7" t="s">
        <v>1177</v>
      </c>
      <c r="AH995" s="38"/>
      <c r="AI995" s="36">
        <v>0</v>
      </c>
      <c r="AJ995" s="7" t="s">
        <v>1193</v>
      </c>
      <c r="AK995" s="7" t="s">
        <v>1177</v>
      </c>
      <c r="AL995" s="7" t="s">
        <v>1177</v>
      </c>
      <c r="AM995" s="7" t="s">
        <v>1177</v>
      </c>
      <c r="AN995" s="7" t="s">
        <v>3212</v>
      </c>
      <c r="AO995" s="7" t="s">
        <v>1177</v>
      </c>
      <c r="AP995" s="7" t="s">
        <v>1177</v>
      </c>
      <c r="AQ995" s="7" t="s">
        <v>1177</v>
      </c>
      <c r="AR995" s="29">
        <v>0</v>
      </c>
      <c r="AS995" s="7" t="s">
        <v>1177</v>
      </c>
      <c r="AT995" s="7" t="s">
        <v>1363</v>
      </c>
      <c r="AU995" s="38">
        <v>46275</v>
      </c>
      <c r="AV995" s="39">
        <v>0.60383101851851995</v>
      </c>
    </row>
    <row r="996" spans="1:48" x14ac:dyDescent="0.35">
      <c r="A996" t="str">
        <f t="shared" si="15"/>
        <v>GP238650B838</v>
      </c>
      <c r="B996" s="7" t="s">
        <v>279</v>
      </c>
      <c r="C996" s="7" t="s">
        <v>744</v>
      </c>
      <c r="D996" s="7" t="s">
        <v>48</v>
      </c>
      <c r="E996" s="7" t="s">
        <v>1177</v>
      </c>
      <c r="F996" s="7" t="s">
        <v>128</v>
      </c>
      <c r="G996" s="7" t="s">
        <v>130</v>
      </c>
      <c r="H996" s="7" t="s">
        <v>129</v>
      </c>
      <c r="I996" s="30">
        <v>2</v>
      </c>
      <c r="J996" s="7" t="s">
        <v>1177</v>
      </c>
      <c r="K996" s="7" t="s">
        <v>1178</v>
      </c>
      <c r="L996" s="7" t="s">
        <v>132</v>
      </c>
      <c r="M996" s="7" t="s">
        <v>133</v>
      </c>
      <c r="N996" s="30">
        <v>0</v>
      </c>
      <c r="O996" s="30">
        <v>0</v>
      </c>
      <c r="P996" s="30">
        <v>0</v>
      </c>
      <c r="Q996" s="30">
        <v>0</v>
      </c>
      <c r="R996" s="29">
        <v>0</v>
      </c>
      <c r="S996" s="36">
        <v>0</v>
      </c>
      <c r="T996" s="7" t="s">
        <v>131</v>
      </c>
      <c r="U996" s="7" t="s">
        <v>745</v>
      </c>
      <c r="V996" s="7" t="s">
        <v>745</v>
      </c>
      <c r="W996" s="7" t="s">
        <v>1177</v>
      </c>
      <c r="X996" s="30">
        <v>1</v>
      </c>
      <c r="Y996" s="7" t="s">
        <v>1177</v>
      </c>
      <c r="Z996" s="7" t="s">
        <v>1178</v>
      </c>
      <c r="AA996" s="30">
        <v>0</v>
      </c>
      <c r="AB996" s="36">
        <v>0</v>
      </c>
      <c r="AC996" s="7" t="s">
        <v>1177</v>
      </c>
      <c r="AD996" s="37">
        <v>0</v>
      </c>
      <c r="AE996" s="7" t="s">
        <v>1177</v>
      </c>
      <c r="AF996" s="7" t="s">
        <v>1177</v>
      </c>
      <c r="AG996" s="7" t="s">
        <v>1177</v>
      </c>
      <c r="AH996" s="38"/>
      <c r="AI996" s="36">
        <v>0</v>
      </c>
      <c r="AJ996" s="7" t="s">
        <v>1193</v>
      </c>
      <c r="AK996" s="7" t="s">
        <v>1177</v>
      </c>
      <c r="AL996" s="7" t="s">
        <v>1177</v>
      </c>
      <c r="AM996" s="7" t="s">
        <v>1177</v>
      </c>
      <c r="AN996" s="7" t="s">
        <v>3212</v>
      </c>
      <c r="AO996" s="7" t="s">
        <v>1177</v>
      </c>
      <c r="AP996" s="7" t="s">
        <v>1177</v>
      </c>
      <c r="AQ996" s="7" t="s">
        <v>1177</v>
      </c>
      <c r="AR996" s="29">
        <v>0</v>
      </c>
      <c r="AS996" s="7" t="s">
        <v>1177</v>
      </c>
      <c r="AT996" s="7" t="s">
        <v>1363</v>
      </c>
      <c r="AU996" s="38">
        <v>46275</v>
      </c>
      <c r="AV996" s="39">
        <v>0.60443287037036997</v>
      </c>
    </row>
    <row r="997" spans="1:48" x14ac:dyDescent="0.35">
      <c r="A997" t="str">
        <f t="shared" si="15"/>
        <v>GP238650B857</v>
      </c>
      <c r="B997" s="7" t="s">
        <v>279</v>
      </c>
      <c r="C997" s="7" t="s">
        <v>958</v>
      </c>
      <c r="D997" s="7" t="s">
        <v>23</v>
      </c>
      <c r="E997" s="7" t="s">
        <v>1177</v>
      </c>
      <c r="F997" s="7" t="s">
        <v>128</v>
      </c>
      <c r="G997" s="7" t="s">
        <v>130</v>
      </c>
      <c r="H997" s="7" t="s">
        <v>129</v>
      </c>
      <c r="I997" s="30">
        <v>2</v>
      </c>
      <c r="J997" s="7" t="s">
        <v>1177</v>
      </c>
      <c r="K997" s="7" t="s">
        <v>1178</v>
      </c>
      <c r="L997" s="7" t="s">
        <v>132</v>
      </c>
      <c r="M997" s="7" t="s">
        <v>133</v>
      </c>
      <c r="N997" s="30">
        <v>0</v>
      </c>
      <c r="O997" s="30">
        <v>0</v>
      </c>
      <c r="P997" s="30">
        <v>0</v>
      </c>
      <c r="Q997" s="30">
        <v>0</v>
      </c>
      <c r="R997" s="29">
        <v>0</v>
      </c>
      <c r="S997" s="36">
        <v>0</v>
      </c>
      <c r="T997" s="7" t="s">
        <v>131</v>
      </c>
      <c r="U997" s="7" t="s">
        <v>959</v>
      </c>
      <c r="V997" s="7" t="s">
        <v>959</v>
      </c>
      <c r="W997" s="7" t="s">
        <v>1177</v>
      </c>
      <c r="X997" s="30">
        <v>1</v>
      </c>
      <c r="Y997" s="7" t="s">
        <v>1177</v>
      </c>
      <c r="Z997" s="7" t="s">
        <v>1178</v>
      </c>
      <c r="AA997" s="30">
        <v>0</v>
      </c>
      <c r="AB997" s="36">
        <v>0</v>
      </c>
      <c r="AC997" s="7" t="s">
        <v>1177</v>
      </c>
      <c r="AD997" s="37">
        <v>0</v>
      </c>
      <c r="AE997" s="7" t="s">
        <v>1177</v>
      </c>
      <c r="AF997" s="7" t="s">
        <v>1177</v>
      </c>
      <c r="AG997" s="7" t="s">
        <v>1177</v>
      </c>
      <c r="AH997" s="38"/>
      <c r="AI997" s="36">
        <v>0</v>
      </c>
      <c r="AJ997" s="7" t="s">
        <v>1193</v>
      </c>
      <c r="AK997" s="7" t="s">
        <v>1177</v>
      </c>
      <c r="AL997" s="7" t="s">
        <v>1177</v>
      </c>
      <c r="AM997" s="7" t="s">
        <v>1177</v>
      </c>
      <c r="AN997" s="7" t="s">
        <v>3212</v>
      </c>
      <c r="AO997" s="7" t="s">
        <v>1177</v>
      </c>
      <c r="AP997" s="7" t="s">
        <v>1177</v>
      </c>
      <c r="AQ997" s="7" t="s">
        <v>1177</v>
      </c>
      <c r="AR997" s="29">
        <v>0</v>
      </c>
      <c r="AS997" s="7" t="s">
        <v>1177</v>
      </c>
      <c r="AT997" s="7" t="s">
        <v>1363</v>
      </c>
      <c r="AU997" s="38">
        <v>46275</v>
      </c>
      <c r="AV997" s="39">
        <v>0.60526620370369999</v>
      </c>
    </row>
    <row r="998" spans="1:48" x14ac:dyDescent="0.35">
      <c r="A998" t="str">
        <f t="shared" si="15"/>
        <v>GP238650B864</v>
      </c>
      <c r="B998" s="7" t="s">
        <v>279</v>
      </c>
      <c r="C998" s="7" t="s">
        <v>1010</v>
      </c>
      <c r="D998" s="7" t="s">
        <v>10</v>
      </c>
      <c r="E998" s="7" t="s">
        <v>1177</v>
      </c>
      <c r="F998" s="7" t="s">
        <v>128</v>
      </c>
      <c r="G998" s="7" t="s">
        <v>130</v>
      </c>
      <c r="H998" s="7" t="s">
        <v>129</v>
      </c>
      <c r="I998" s="30">
        <v>1</v>
      </c>
      <c r="J998" s="7" t="s">
        <v>1177</v>
      </c>
      <c r="K998" s="7" t="s">
        <v>1178</v>
      </c>
      <c r="L998" s="7" t="s">
        <v>132</v>
      </c>
      <c r="M998" s="7" t="s">
        <v>133</v>
      </c>
      <c r="N998" s="30">
        <v>0</v>
      </c>
      <c r="O998" s="30">
        <v>0</v>
      </c>
      <c r="P998" s="30">
        <v>0</v>
      </c>
      <c r="Q998" s="30">
        <v>0</v>
      </c>
      <c r="R998" s="29">
        <v>0</v>
      </c>
      <c r="S998" s="36">
        <v>0</v>
      </c>
      <c r="T998" s="7" t="s">
        <v>131</v>
      </c>
      <c r="U998" s="7" t="s">
        <v>1011</v>
      </c>
      <c r="V998" s="7" t="s">
        <v>1011</v>
      </c>
      <c r="W998" s="7" t="s">
        <v>1177</v>
      </c>
      <c r="X998" s="30">
        <v>1</v>
      </c>
      <c r="Y998" s="7" t="s">
        <v>1177</v>
      </c>
      <c r="Z998" s="7" t="s">
        <v>1178</v>
      </c>
      <c r="AA998" s="30">
        <v>0</v>
      </c>
      <c r="AB998" s="36">
        <v>0</v>
      </c>
      <c r="AC998" s="7" t="s">
        <v>1177</v>
      </c>
      <c r="AD998" s="37">
        <v>0</v>
      </c>
      <c r="AE998" s="7" t="s">
        <v>1177</v>
      </c>
      <c r="AF998" s="7" t="s">
        <v>1177</v>
      </c>
      <c r="AG998" s="7" t="s">
        <v>1177</v>
      </c>
      <c r="AH998" s="38"/>
      <c r="AI998" s="36">
        <v>0</v>
      </c>
      <c r="AJ998" s="7" t="s">
        <v>1193</v>
      </c>
      <c r="AK998" s="7" t="s">
        <v>1177</v>
      </c>
      <c r="AL998" s="7" t="s">
        <v>1177</v>
      </c>
      <c r="AM998" s="7" t="s">
        <v>1177</v>
      </c>
      <c r="AN998" s="7" t="s">
        <v>3212</v>
      </c>
      <c r="AO998" s="7" t="s">
        <v>1177</v>
      </c>
      <c r="AP998" s="7" t="s">
        <v>1177</v>
      </c>
      <c r="AQ998" s="7" t="s">
        <v>1177</v>
      </c>
      <c r="AR998" s="29">
        <v>0</v>
      </c>
      <c r="AS998" s="7" t="s">
        <v>1177</v>
      </c>
      <c r="AT998" s="7" t="s">
        <v>1363</v>
      </c>
      <c r="AU998" s="38">
        <v>46275</v>
      </c>
      <c r="AV998" s="39">
        <v>0.60541666666667004</v>
      </c>
    </row>
    <row r="999" spans="1:48" x14ac:dyDescent="0.35">
      <c r="A999" t="str">
        <f t="shared" si="15"/>
        <v>GP238650B865</v>
      </c>
      <c r="B999" s="7" t="s">
        <v>279</v>
      </c>
      <c r="C999" s="7" t="s">
        <v>1039</v>
      </c>
      <c r="D999" s="7" t="s">
        <v>7</v>
      </c>
      <c r="E999" s="7" t="s">
        <v>1177</v>
      </c>
      <c r="F999" s="7" t="s">
        <v>128</v>
      </c>
      <c r="G999" s="7" t="s">
        <v>130</v>
      </c>
      <c r="H999" s="7" t="s">
        <v>129</v>
      </c>
      <c r="I999" s="30">
        <v>1</v>
      </c>
      <c r="J999" s="7" t="s">
        <v>1177</v>
      </c>
      <c r="K999" s="7" t="s">
        <v>1178</v>
      </c>
      <c r="L999" s="7" t="s">
        <v>132</v>
      </c>
      <c r="M999" s="7" t="s">
        <v>133</v>
      </c>
      <c r="N999" s="30">
        <v>0</v>
      </c>
      <c r="O999" s="30">
        <v>0</v>
      </c>
      <c r="P999" s="30">
        <v>0</v>
      </c>
      <c r="Q999" s="30">
        <v>0</v>
      </c>
      <c r="R999" s="29">
        <v>0</v>
      </c>
      <c r="S999" s="36">
        <v>0</v>
      </c>
      <c r="T999" s="7" t="s">
        <v>131</v>
      </c>
      <c r="U999" s="7" t="s">
        <v>1040</v>
      </c>
      <c r="V999" s="7" t="s">
        <v>1040</v>
      </c>
      <c r="W999" s="7" t="s">
        <v>1177</v>
      </c>
      <c r="X999" s="30">
        <v>1</v>
      </c>
      <c r="Y999" s="7" t="s">
        <v>1177</v>
      </c>
      <c r="Z999" s="7" t="s">
        <v>1178</v>
      </c>
      <c r="AA999" s="30">
        <v>0</v>
      </c>
      <c r="AB999" s="36">
        <v>0</v>
      </c>
      <c r="AC999" s="7" t="s">
        <v>1177</v>
      </c>
      <c r="AD999" s="37">
        <v>0</v>
      </c>
      <c r="AE999" s="7" t="s">
        <v>1177</v>
      </c>
      <c r="AF999" s="7" t="s">
        <v>1177</v>
      </c>
      <c r="AG999" s="7" t="s">
        <v>1177</v>
      </c>
      <c r="AH999" s="38"/>
      <c r="AI999" s="36">
        <v>0</v>
      </c>
      <c r="AJ999" s="7" t="s">
        <v>1193</v>
      </c>
      <c r="AK999" s="7" t="s">
        <v>1177</v>
      </c>
      <c r="AL999" s="7" t="s">
        <v>1177</v>
      </c>
      <c r="AM999" s="7" t="s">
        <v>1177</v>
      </c>
      <c r="AN999" s="7" t="s">
        <v>3212</v>
      </c>
      <c r="AO999" s="7" t="s">
        <v>1177</v>
      </c>
      <c r="AP999" s="7" t="s">
        <v>1177</v>
      </c>
      <c r="AQ999" s="7" t="s">
        <v>1177</v>
      </c>
      <c r="AR999" s="29">
        <v>0</v>
      </c>
      <c r="AS999" s="7" t="s">
        <v>1177</v>
      </c>
      <c r="AT999" s="7" t="s">
        <v>1363</v>
      </c>
      <c r="AU999" s="38">
        <v>46275</v>
      </c>
      <c r="AV999" s="39">
        <v>0.60549768518518998</v>
      </c>
    </row>
    <row r="1000" spans="1:48" x14ac:dyDescent="0.35">
      <c r="A1000" t="str">
        <f t="shared" si="15"/>
        <v>GP238650B867</v>
      </c>
      <c r="B1000" s="7" t="s">
        <v>279</v>
      </c>
      <c r="C1000" s="7" t="s">
        <v>1059</v>
      </c>
      <c r="D1000" s="7" t="s">
        <v>25</v>
      </c>
      <c r="E1000" s="7" t="s">
        <v>1177</v>
      </c>
      <c r="F1000" s="7" t="s">
        <v>128</v>
      </c>
      <c r="G1000" s="7" t="s">
        <v>130</v>
      </c>
      <c r="H1000" s="7" t="s">
        <v>129</v>
      </c>
      <c r="I1000" s="30">
        <v>1</v>
      </c>
      <c r="J1000" s="7" t="s">
        <v>1177</v>
      </c>
      <c r="K1000" s="7" t="s">
        <v>1178</v>
      </c>
      <c r="L1000" s="7" t="s">
        <v>132</v>
      </c>
      <c r="M1000" s="7" t="s">
        <v>133</v>
      </c>
      <c r="N1000" s="30">
        <v>0</v>
      </c>
      <c r="O1000" s="30">
        <v>0</v>
      </c>
      <c r="P1000" s="30">
        <v>0</v>
      </c>
      <c r="Q1000" s="30">
        <v>0</v>
      </c>
      <c r="R1000" s="29">
        <v>0</v>
      </c>
      <c r="S1000" s="36">
        <v>0</v>
      </c>
      <c r="T1000" s="7" t="s">
        <v>131</v>
      </c>
      <c r="U1000" s="7" t="s">
        <v>1060</v>
      </c>
      <c r="V1000" s="7" t="s">
        <v>1060</v>
      </c>
      <c r="W1000" s="7" t="s">
        <v>1177</v>
      </c>
      <c r="X1000" s="30">
        <v>1</v>
      </c>
      <c r="Y1000" s="7" t="s">
        <v>1177</v>
      </c>
      <c r="Z1000" s="7" t="s">
        <v>1178</v>
      </c>
      <c r="AA1000" s="30">
        <v>0</v>
      </c>
      <c r="AB1000" s="36">
        <v>0</v>
      </c>
      <c r="AC1000" s="7" t="s">
        <v>1177</v>
      </c>
      <c r="AD1000" s="37">
        <v>0</v>
      </c>
      <c r="AE1000" s="7" t="s">
        <v>1177</v>
      </c>
      <c r="AF1000" s="7" t="s">
        <v>1177</v>
      </c>
      <c r="AG1000" s="7" t="s">
        <v>1177</v>
      </c>
      <c r="AH1000" s="38"/>
      <c r="AI1000" s="36">
        <v>0</v>
      </c>
      <c r="AJ1000" s="7" t="s">
        <v>1193</v>
      </c>
      <c r="AK1000" s="7" t="s">
        <v>1177</v>
      </c>
      <c r="AL1000" s="7" t="s">
        <v>1177</v>
      </c>
      <c r="AM1000" s="7" t="s">
        <v>1177</v>
      </c>
      <c r="AN1000" s="7" t="s">
        <v>3212</v>
      </c>
      <c r="AO1000" s="7" t="s">
        <v>1177</v>
      </c>
      <c r="AP1000" s="7" t="s">
        <v>1177</v>
      </c>
      <c r="AQ1000" s="7" t="s">
        <v>1177</v>
      </c>
      <c r="AR1000" s="29">
        <v>0</v>
      </c>
      <c r="AS1000" s="7" t="s">
        <v>1177</v>
      </c>
      <c r="AT1000" s="7" t="s">
        <v>1363</v>
      </c>
      <c r="AU1000" s="38">
        <v>46275</v>
      </c>
      <c r="AV1000" s="39">
        <v>0.60569444444443998</v>
      </c>
    </row>
    <row r="1001" spans="1:48" x14ac:dyDescent="0.35">
      <c r="A1001" t="str">
        <f t="shared" si="15"/>
        <v>GP238675B825</v>
      </c>
      <c r="B1001" s="7" t="s">
        <v>572</v>
      </c>
      <c r="C1001" s="7" t="s">
        <v>511</v>
      </c>
      <c r="D1001" s="7" t="s">
        <v>16</v>
      </c>
      <c r="E1001" s="7" t="s">
        <v>1177</v>
      </c>
      <c r="F1001" s="7" t="s">
        <v>128</v>
      </c>
      <c r="G1001" s="7" t="s">
        <v>130</v>
      </c>
      <c r="H1001" s="7" t="s">
        <v>129</v>
      </c>
      <c r="I1001" s="30">
        <v>2</v>
      </c>
      <c r="J1001" s="7" t="s">
        <v>1177</v>
      </c>
      <c r="K1001" s="7" t="s">
        <v>1178</v>
      </c>
      <c r="L1001" s="7" t="s">
        <v>132</v>
      </c>
      <c r="M1001" s="7" t="s">
        <v>133</v>
      </c>
      <c r="N1001" s="30">
        <v>0</v>
      </c>
      <c r="O1001" s="30">
        <v>0</v>
      </c>
      <c r="P1001" s="30">
        <v>0</v>
      </c>
      <c r="Q1001" s="30">
        <v>0</v>
      </c>
      <c r="R1001" s="29">
        <v>0</v>
      </c>
      <c r="S1001" s="36">
        <v>0</v>
      </c>
      <c r="T1001" s="7" t="s">
        <v>131</v>
      </c>
      <c r="U1001" s="7" t="s">
        <v>512</v>
      </c>
      <c r="V1001" s="7" t="s">
        <v>512</v>
      </c>
      <c r="W1001" s="7" t="s">
        <v>1177</v>
      </c>
      <c r="X1001" s="30">
        <v>1</v>
      </c>
      <c r="Y1001" s="7" t="s">
        <v>1177</v>
      </c>
      <c r="Z1001" s="7" t="s">
        <v>1178</v>
      </c>
      <c r="AA1001" s="30">
        <v>0</v>
      </c>
      <c r="AB1001" s="36">
        <v>0</v>
      </c>
      <c r="AC1001" s="7" t="s">
        <v>1177</v>
      </c>
      <c r="AD1001" s="37">
        <v>0</v>
      </c>
      <c r="AE1001" s="7" t="s">
        <v>1177</v>
      </c>
      <c r="AF1001" s="7" t="s">
        <v>1177</v>
      </c>
      <c r="AG1001" s="7" t="s">
        <v>1177</v>
      </c>
      <c r="AH1001" s="38"/>
      <c r="AI1001" s="36">
        <v>0</v>
      </c>
      <c r="AJ1001" s="7" t="s">
        <v>1193</v>
      </c>
      <c r="AK1001" s="7" t="s">
        <v>1177</v>
      </c>
      <c r="AL1001" s="7" t="s">
        <v>1177</v>
      </c>
      <c r="AM1001" s="7" t="s">
        <v>1177</v>
      </c>
      <c r="AN1001" s="7" t="s">
        <v>3212</v>
      </c>
      <c r="AO1001" s="7" t="s">
        <v>1177</v>
      </c>
      <c r="AP1001" s="7" t="s">
        <v>1177</v>
      </c>
      <c r="AQ1001" s="7" t="s">
        <v>1177</v>
      </c>
      <c r="AR1001" s="29">
        <v>0</v>
      </c>
      <c r="AS1001" s="7" t="s">
        <v>1177</v>
      </c>
      <c r="AT1001" s="7" t="s">
        <v>1363</v>
      </c>
      <c r="AU1001" s="38">
        <v>46275</v>
      </c>
      <c r="AV1001" s="39">
        <v>0.62303240740740995</v>
      </c>
    </row>
    <row r="1002" spans="1:48" x14ac:dyDescent="0.35">
      <c r="A1002" t="str">
        <f t="shared" si="15"/>
        <v>GP238675B832</v>
      </c>
      <c r="B1002" s="7" t="s">
        <v>572</v>
      </c>
      <c r="C1002" s="7" t="s">
        <v>653</v>
      </c>
      <c r="D1002" s="7" t="s">
        <v>19</v>
      </c>
      <c r="E1002" s="7" t="s">
        <v>1177</v>
      </c>
      <c r="F1002" s="7" t="s">
        <v>128</v>
      </c>
      <c r="G1002" s="7" t="s">
        <v>130</v>
      </c>
      <c r="H1002" s="7" t="s">
        <v>129</v>
      </c>
      <c r="I1002" s="30">
        <v>2</v>
      </c>
      <c r="J1002" s="7" t="s">
        <v>1177</v>
      </c>
      <c r="K1002" s="7" t="s">
        <v>1178</v>
      </c>
      <c r="L1002" s="7" t="s">
        <v>132</v>
      </c>
      <c r="M1002" s="7" t="s">
        <v>133</v>
      </c>
      <c r="N1002" s="30">
        <v>0</v>
      </c>
      <c r="O1002" s="30">
        <v>0</v>
      </c>
      <c r="P1002" s="30">
        <v>0</v>
      </c>
      <c r="Q1002" s="30">
        <v>0</v>
      </c>
      <c r="R1002" s="29">
        <v>0</v>
      </c>
      <c r="S1002" s="36">
        <v>0</v>
      </c>
      <c r="T1002" s="7" t="s">
        <v>131</v>
      </c>
      <c r="U1002" s="7" t="s">
        <v>654</v>
      </c>
      <c r="V1002" s="7" t="s">
        <v>654</v>
      </c>
      <c r="W1002" s="7" t="s">
        <v>1177</v>
      </c>
      <c r="X1002" s="30">
        <v>1</v>
      </c>
      <c r="Y1002" s="7" t="s">
        <v>1177</v>
      </c>
      <c r="Z1002" s="7" t="s">
        <v>1178</v>
      </c>
      <c r="AA1002" s="30">
        <v>0</v>
      </c>
      <c r="AB1002" s="36">
        <v>0</v>
      </c>
      <c r="AC1002" s="7" t="s">
        <v>1177</v>
      </c>
      <c r="AD1002" s="37">
        <v>0</v>
      </c>
      <c r="AE1002" s="7" t="s">
        <v>1177</v>
      </c>
      <c r="AF1002" s="7" t="s">
        <v>1177</v>
      </c>
      <c r="AG1002" s="7" t="s">
        <v>1177</v>
      </c>
      <c r="AH1002" s="38"/>
      <c r="AI1002" s="36">
        <v>0</v>
      </c>
      <c r="AJ1002" s="7" t="s">
        <v>1193</v>
      </c>
      <c r="AK1002" s="7" t="s">
        <v>1177</v>
      </c>
      <c r="AL1002" s="7" t="s">
        <v>1177</v>
      </c>
      <c r="AM1002" s="7" t="s">
        <v>1177</v>
      </c>
      <c r="AN1002" s="7" t="s">
        <v>3212</v>
      </c>
      <c r="AO1002" s="7" t="s">
        <v>1177</v>
      </c>
      <c r="AP1002" s="7" t="s">
        <v>1177</v>
      </c>
      <c r="AQ1002" s="7" t="s">
        <v>1177</v>
      </c>
      <c r="AR1002" s="29">
        <v>0</v>
      </c>
      <c r="AS1002" s="7" t="s">
        <v>1177</v>
      </c>
      <c r="AT1002" s="7" t="s">
        <v>1363</v>
      </c>
      <c r="AU1002" s="38">
        <v>46275</v>
      </c>
      <c r="AV1002" s="39">
        <v>0.62337962962963001</v>
      </c>
    </row>
    <row r="1003" spans="1:48" x14ac:dyDescent="0.35">
      <c r="A1003" t="str">
        <f t="shared" si="15"/>
        <v>GP238676B832</v>
      </c>
      <c r="B1003" s="7" t="s">
        <v>674</v>
      </c>
      <c r="C1003" s="7" t="s">
        <v>653</v>
      </c>
      <c r="D1003" s="7" t="s">
        <v>19</v>
      </c>
      <c r="E1003" s="7" t="s">
        <v>1177</v>
      </c>
      <c r="F1003" s="7" t="s">
        <v>128</v>
      </c>
      <c r="G1003" s="7" t="s">
        <v>130</v>
      </c>
      <c r="H1003" s="7" t="s">
        <v>129</v>
      </c>
      <c r="I1003" s="30">
        <v>2</v>
      </c>
      <c r="J1003" s="7" t="s">
        <v>1177</v>
      </c>
      <c r="K1003" s="7" t="s">
        <v>1178</v>
      </c>
      <c r="L1003" s="7" t="s">
        <v>132</v>
      </c>
      <c r="M1003" s="7" t="s">
        <v>133</v>
      </c>
      <c r="N1003" s="30">
        <v>0</v>
      </c>
      <c r="O1003" s="30">
        <v>0</v>
      </c>
      <c r="P1003" s="30">
        <v>0</v>
      </c>
      <c r="Q1003" s="30">
        <v>0</v>
      </c>
      <c r="R1003" s="29">
        <v>0</v>
      </c>
      <c r="S1003" s="36">
        <v>0</v>
      </c>
      <c r="T1003" s="7" t="s">
        <v>131</v>
      </c>
      <c r="U1003" s="7" t="s">
        <v>654</v>
      </c>
      <c r="V1003" s="7" t="s">
        <v>654</v>
      </c>
      <c r="W1003" s="7" t="s">
        <v>1177</v>
      </c>
      <c r="X1003" s="30">
        <v>1</v>
      </c>
      <c r="Y1003" s="7" t="s">
        <v>1177</v>
      </c>
      <c r="Z1003" s="7" t="s">
        <v>1178</v>
      </c>
      <c r="AA1003" s="30">
        <v>0</v>
      </c>
      <c r="AB1003" s="36">
        <v>0</v>
      </c>
      <c r="AC1003" s="7" t="s">
        <v>1177</v>
      </c>
      <c r="AD1003" s="37">
        <v>0</v>
      </c>
      <c r="AE1003" s="7" t="s">
        <v>1177</v>
      </c>
      <c r="AF1003" s="7" t="s">
        <v>1177</v>
      </c>
      <c r="AG1003" s="7" t="s">
        <v>1177</v>
      </c>
      <c r="AH1003" s="38"/>
      <c r="AI1003" s="36">
        <v>0</v>
      </c>
      <c r="AJ1003" s="7" t="s">
        <v>1193</v>
      </c>
      <c r="AK1003" s="7" t="s">
        <v>1177</v>
      </c>
      <c r="AL1003" s="7" t="s">
        <v>1177</v>
      </c>
      <c r="AM1003" s="7" t="s">
        <v>1177</v>
      </c>
      <c r="AN1003" s="7" t="s">
        <v>3212</v>
      </c>
      <c r="AO1003" s="7" t="s">
        <v>1177</v>
      </c>
      <c r="AP1003" s="7" t="s">
        <v>1177</v>
      </c>
      <c r="AQ1003" s="7" t="s">
        <v>1177</v>
      </c>
      <c r="AR1003" s="29">
        <v>0</v>
      </c>
      <c r="AS1003" s="7" t="s">
        <v>1177</v>
      </c>
      <c r="AT1003" s="7" t="s">
        <v>1363</v>
      </c>
      <c r="AU1003" s="38">
        <v>46275</v>
      </c>
      <c r="AV1003" s="39">
        <v>0.62337962962963001</v>
      </c>
    </row>
    <row r="1004" spans="1:48" x14ac:dyDescent="0.35">
      <c r="A1004" t="str">
        <f t="shared" si="15"/>
        <v>GP238677B825</v>
      </c>
      <c r="B1004" s="7" t="s">
        <v>573</v>
      </c>
      <c r="C1004" s="7" t="s">
        <v>511</v>
      </c>
      <c r="D1004" s="7" t="s">
        <v>16</v>
      </c>
      <c r="E1004" s="7" t="s">
        <v>1177</v>
      </c>
      <c r="F1004" s="7" t="s">
        <v>128</v>
      </c>
      <c r="G1004" s="7" t="s">
        <v>130</v>
      </c>
      <c r="H1004" s="7" t="s">
        <v>129</v>
      </c>
      <c r="I1004" s="30">
        <v>2</v>
      </c>
      <c r="J1004" s="7" t="s">
        <v>1177</v>
      </c>
      <c r="K1004" s="7" t="s">
        <v>1178</v>
      </c>
      <c r="L1004" s="7" t="s">
        <v>132</v>
      </c>
      <c r="M1004" s="7" t="s">
        <v>133</v>
      </c>
      <c r="N1004" s="30">
        <v>0</v>
      </c>
      <c r="O1004" s="30">
        <v>0</v>
      </c>
      <c r="P1004" s="30">
        <v>0</v>
      </c>
      <c r="Q1004" s="30">
        <v>0</v>
      </c>
      <c r="R1004" s="29">
        <v>0</v>
      </c>
      <c r="S1004" s="36">
        <v>0</v>
      </c>
      <c r="T1004" s="7" t="s">
        <v>131</v>
      </c>
      <c r="U1004" s="7" t="s">
        <v>512</v>
      </c>
      <c r="V1004" s="7" t="s">
        <v>512</v>
      </c>
      <c r="W1004" s="7" t="s">
        <v>1177</v>
      </c>
      <c r="X1004" s="30">
        <v>1</v>
      </c>
      <c r="Y1004" s="7" t="s">
        <v>1177</v>
      </c>
      <c r="Z1004" s="7" t="s">
        <v>1178</v>
      </c>
      <c r="AA1004" s="30">
        <v>0</v>
      </c>
      <c r="AB1004" s="36">
        <v>0</v>
      </c>
      <c r="AC1004" s="7" t="s">
        <v>1177</v>
      </c>
      <c r="AD1004" s="37">
        <v>0</v>
      </c>
      <c r="AE1004" s="7" t="s">
        <v>1177</v>
      </c>
      <c r="AF1004" s="7" t="s">
        <v>1177</v>
      </c>
      <c r="AG1004" s="7" t="s">
        <v>1177</v>
      </c>
      <c r="AH1004" s="38"/>
      <c r="AI1004" s="36">
        <v>0</v>
      </c>
      <c r="AJ1004" s="7" t="s">
        <v>1193</v>
      </c>
      <c r="AK1004" s="7" t="s">
        <v>1177</v>
      </c>
      <c r="AL1004" s="7" t="s">
        <v>1177</v>
      </c>
      <c r="AM1004" s="7" t="s">
        <v>1177</v>
      </c>
      <c r="AN1004" s="7" t="s">
        <v>3212</v>
      </c>
      <c r="AO1004" s="7" t="s">
        <v>1177</v>
      </c>
      <c r="AP1004" s="7" t="s">
        <v>1177</v>
      </c>
      <c r="AQ1004" s="7" t="s">
        <v>1177</v>
      </c>
      <c r="AR1004" s="29">
        <v>0</v>
      </c>
      <c r="AS1004" s="7" t="s">
        <v>1177</v>
      </c>
      <c r="AT1004" s="7" t="s">
        <v>1363</v>
      </c>
      <c r="AU1004" s="38">
        <v>46275</v>
      </c>
      <c r="AV1004" s="39">
        <v>0.62303240740740995</v>
      </c>
    </row>
    <row r="1005" spans="1:48" x14ac:dyDescent="0.35">
      <c r="A1005" t="str">
        <f t="shared" si="15"/>
        <v>GP238677B832</v>
      </c>
      <c r="B1005" s="7" t="s">
        <v>573</v>
      </c>
      <c r="C1005" s="7" t="s">
        <v>653</v>
      </c>
      <c r="D1005" s="7" t="s">
        <v>19</v>
      </c>
      <c r="E1005" s="7" t="s">
        <v>1177</v>
      </c>
      <c r="F1005" s="7" t="s">
        <v>128</v>
      </c>
      <c r="G1005" s="7" t="s">
        <v>130</v>
      </c>
      <c r="H1005" s="7" t="s">
        <v>129</v>
      </c>
      <c r="I1005" s="30">
        <v>2</v>
      </c>
      <c r="J1005" s="7" t="s">
        <v>1177</v>
      </c>
      <c r="K1005" s="7" t="s">
        <v>1178</v>
      </c>
      <c r="L1005" s="7" t="s">
        <v>132</v>
      </c>
      <c r="M1005" s="7" t="s">
        <v>133</v>
      </c>
      <c r="N1005" s="30">
        <v>0</v>
      </c>
      <c r="O1005" s="30">
        <v>0</v>
      </c>
      <c r="P1005" s="30">
        <v>0</v>
      </c>
      <c r="Q1005" s="30">
        <v>0</v>
      </c>
      <c r="R1005" s="29">
        <v>0</v>
      </c>
      <c r="S1005" s="36">
        <v>0</v>
      </c>
      <c r="T1005" s="7" t="s">
        <v>131</v>
      </c>
      <c r="U1005" s="7" t="s">
        <v>654</v>
      </c>
      <c r="V1005" s="7" t="s">
        <v>654</v>
      </c>
      <c r="W1005" s="7" t="s">
        <v>1177</v>
      </c>
      <c r="X1005" s="30">
        <v>1</v>
      </c>
      <c r="Y1005" s="7" t="s">
        <v>1177</v>
      </c>
      <c r="Z1005" s="7" t="s">
        <v>1178</v>
      </c>
      <c r="AA1005" s="30">
        <v>0</v>
      </c>
      <c r="AB1005" s="36">
        <v>0</v>
      </c>
      <c r="AC1005" s="7" t="s">
        <v>1177</v>
      </c>
      <c r="AD1005" s="37">
        <v>0</v>
      </c>
      <c r="AE1005" s="7" t="s">
        <v>1177</v>
      </c>
      <c r="AF1005" s="7" t="s">
        <v>1177</v>
      </c>
      <c r="AG1005" s="7" t="s">
        <v>1177</v>
      </c>
      <c r="AH1005" s="38"/>
      <c r="AI1005" s="36">
        <v>0</v>
      </c>
      <c r="AJ1005" s="7" t="s">
        <v>1193</v>
      </c>
      <c r="AK1005" s="7" t="s">
        <v>1177</v>
      </c>
      <c r="AL1005" s="7" t="s">
        <v>1177</v>
      </c>
      <c r="AM1005" s="7" t="s">
        <v>1177</v>
      </c>
      <c r="AN1005" s="7" t="s">
        <v>3212</v>
      </c>
      <c r="AO1005" s="7" t="s">
        <v>1177</v>
      </c>
      <c r="AP1005" s="7" t="s">
        <v>1177</v>
      </c>
      <c r="AQ1005" s="7" t="s">
        <v>1177</v>
      </c>
      <c r="AR1005" s="29">
        <v>0</v>
      </c>
      <c r="AS1005" s="7" t="s">
        <v>1177</v>
      </c>
      <c r="AT1005" s="7" t="s">
        <v>1363</v>
      </c>
      <c r="AU1005" s="38">
        <v>46275</v>
      </c>
      <c r="AV1005" s="39">
        <v>0.62336805555555996</v>
      </c>
    </row>
    <row r="1006" spans="1:48" x14ac:dyDescent="0.35">
      <c r="A1006" t="str">
        <f t="shared" si="15"/>
        <v>GP238678B825</v>
      </c>
      <c r="B1006" s="7" t="s">
        <v>574</v>
      </c>
      <c r="C1006" s="7" t="s">
        <v>511</v>
      </c>
      <c r="D1006" s="7" t="s">
        <v>16</v>
      </c>
      <c r="E1006" s="7" t="s">
        <v>1177</v>
      </c>
      <c r="F1006" s="7" t="s">
        <v>128</v>
      </c>
      <c r="G1006" s="7" t="s">
        <v>130</v>
      </c>
      <c r="H1006" s="7" t="s">
        <v>129</v>
      </c>
      <c r="I1006" s="30">
        <v>2</v>
      </c>
      <c r="J1006" s="7" t="s">
        <v>1177</v>
      </c>
      <c r="K1006" s="7" t="s">
        <v>1178</v>
      </c>
      <c r="L1006" s="7" t="s">
        <v>132</v>
      </c>
      <c r="M1006" s="7" t="s">
        <v>133</v>
      </c>
      <c r="N1006" s="30">
        <v>0</v>
      </c>
      <c r="O1006" s="30">
        <v>0</v>
      </c>
      <c r="P1006" s="30">
        <v>0</v>
      </c>
      <c r="Q1006" s="30">
        <v>0</v>
      </c>
      <c r="R1006" s="29">
        <v>0</v>
      </c>
      <c r="S1006" s="36">
        <v>0</v>
      </c>
      <c r="T1006" s="7" t="s">
        <v>131</v>
      </c>
      <c r="U1006" s="7" t="s">
        <v>512</v>
      </c>
      <c r="V1006" s="7" t="s">
        <v>512</v>
      </c>
      <c r="W1006" s="7" t="s">
        <v>1177</v>
      </c>
      <c r="X1006" s="30">
        <v>1</v>
      </c>
      <c r="Y1006" s="7" t="s">
        <v>1177</v>
      </c>
      <c r="Z1006" s="7" t="s">
        <v>1178</v>
      </c>
      <c r="AA1006" s="30">
        <v>0</v>
      </c>
      <c r="AB1006" s="36">
        <v>0</v>
      </c>
      <c r="AC1006" s="7" t="s">
        <v>1177</v>
      </c>
      <c r="AD1006" s="37">
        <v>0</v>
      </c>
      <c r="AE1006" s="7" t="s">
        <v>1177</v>
      </c>
      <c r="AF1006" s="7" t="s">
        <v>1177</v>
      </c>
      <c r="AG1006" s="7" t="s">
        <v>1177</v>
      </c>
      <c r="AH1006" s="38"/>
      <c r="AI1006" s="36">
        <v>0</v>
      </c>
      <c r="AJ1006" s="7" t="s">
        <v>1193</v>
      </c>
      <c r="AK1006" s="7" t="s">
        <v>1177</v>
      </c>
      <c r="AL1006" s="7" t="s">
        <v>1177</v>
      </c>
      <c r="AM1006" s="7" t="s">
        <v>1177</v>
      </c>
      <c r="AN1006" s="7" t="s">
        <v>3212</v>
      </c>
      <c r="AO1006" s="7" t="s">
        <v>1177</v>
      </c>
      <c r="AP1006" s="7" t="s">
        <v>1177</v>
      </c>
      <c r="AQ1006" s="7" t="s">
        <v>1177</v>
      </c>
      <c r="AR1006" s="29">
        <v>0</v>
      </c>
      <c r="AS1006" s="7" t="s">
        <v>1177</v>
      </c>
      <c r="AT1006" s="7" t="s">
        <v>1363</v>
      </c>
      <c r="AU1006" s="38">
        <v>46275</v>
      </c>
      <c r="AV1006" s="39">
        <v>0.62303240740740995</v>
      </c>
    </row>
    <row r="1007" spans="1:48" x14ac:dyDescent="0.35">
      <c r="A1007" t="str">
        <f t="shared" si="15"/>
        <v>GP238678B832</v>
      </c>
      <c r="B1007" s="7" t="s">
        <v>574</v>
      </c>
      <c r="C1007" s="7" t="s">
        <v>653</v>
      </c>
      <c r="D1007" s="7" t="s">
        <v>19</v>
      </c>
      <c r="E1007" s="7" t="s">
        <v>1177</v>
      </c>
      <c r="F1007" s="7" t="s">
        <v>128</v>
      </c>
      <c r="G1007" s="7" t="s">
        <v>130</v>
      </c>
      <c r="H1007" s="7" t="s">
        <v>129</v>
      </c>
      <c r="I1007" s="30">
        <v>2</v>
      </c>
      <c r="J1007" s="7" t="s">
        <v>1177</v>
      </c>
      <c r="K1007" s="7" t="s">
        <v>1178</v>
      </c>
      <c r="L1007" s="7" t="s">
        <v>132</v>
      </c>
      <c r="M1007" s="7" t="s">
        <v>133</v>
      </c>
      <c r="N1007" s="30">
        <v>0</v>
      </c>
      <c r="O1007" s="30">
        <v>0</v>
      </c>
      <c r="P1007" s="30">
        <v>0</v>
      </c>
      <c r="Q1007" s="30">
        <v>0</v>
      </c>
      <c r="R1007" s="29">
        <v>0</v>
      </c>
      <c r="S1007" s="36">
        <v>0</v>
      </c>
      <c r="T1007" s="7" t="s">
        <v>131</v>
      </c>
      <c r="U1007" s="7" t="s">
        <v>654</v>
      </c>
      <c r="V1007" s="7" t="s">
        <v>654</v>
      </c>
      <c r="W1007" s="7" t="s">
        <v>1177</v>
      </c>
      <c r="X1007" s="30">
        <v>1</v>
      </c>
      <c r="Y1007" s="7" t="s">
        <v>1177</v>
      </c>
      <c r="Z1007" s="7" t="s">
        <v>1178</v>
      </c>
      <c r="AA1007" s="30">
        <v>0</v>
      </c>
      <c r="AB1007" s="36">
        <v>0</v>
      </c>
      <c r="AC1007" s="7" t="s">
        <v>1177</v>
      </c>
      <c r="AD1007" s="37">
        <v>0</v>
      </c>
      <c r="AE1007" s="7" t="s">
        <v>1177</v>
      </c>
      <c r="AF1007" s="7" t="s">
        <v>1177</v>
      </c>
      <c r="AG1007" s="7" t="s">
        <v>1177</v>
      </c>
      <c r="AH1007" s="38"/>
      <c r="AI1007" s="36">
        <v>0</v>
      </c>
      <c r="AJ1007" s="7" t="s">
        <v>1193</v>
      </c>
      <c r="AK1007" s="7" t="s">
        <v>1177</v>
      </c>
      <c r="AL1007" s="7" t="s">
        <v>1177</v>
      </c>
      <c r="AM1007" s="7" t="s">
        <v>1177</v>
      </c>
      <c r="AN1007" s="7" t="s">
        <v>3212</v>
      </c>
      <c r="AO1007" s="7" t="s">
        <v>1177</v>
      </c>
      <c r="AP1007" s="7" t="s">
        <v>1177</v>
      </c>
      <c r="AQ1007" s="7" t="s">
        <v>1177</v>
      </c>
      <c r="AR1007" s="29">
        <v>0</v>
      </c>
      <c r="AS1007" s="7" t="s">
        <v>1177</v>
      </c>
      <c r="AT1007" s="7" t="s">
        <v>1363</v>
      </c>
      <c r="AU1007" s="38">
        <v>46275</v>
      </c>
      <c r="AV1007" s="39">
        <v>0.62336805555555996</v>
      </c>
    </row>
    <row r="1008" spans="1:48" x14ac:dyDescent="0.35">
      <c r="A1008" t="str">
        <f t="shared" si="15"/>
        <v>GP238679B825</v>
      </c>
      <c r="B1008" s="7" t="s">
        <v>575</v>
      </c>
      <c r="C1008" s="7" t="s">
        <v>511</v>
      </c>
      <c r="D1008" s="7" t="s">
        <v>16</v>
      </c>
      <c r="E1008" s="7" t="s">
        <v>1177</v>
      </c>
      <c r="F1008" s="7" t="s">
        <v>128</v>
      </c>
      <c r="G1008" s="7" t="s">
        <v>130</v>
      </c>
      <c r="H1008" s="7" t="s">
        <v>129</v>
      </c>
      <c r="I1008" s="30">
        <v>2</v>
      </c>
      <c r="J1008" s="7" t="s">
        <v>1177</v>
      </c>
      <c r="K1008" s="7" t="s">
        <v>1178</v>
      </c>
      <c r="L1008" s="7" t="s">
        <v>132</v>
      </c>
      <c r="M1008" s="7" t="s">
        <v>133</v>
      </c>
      <c r="N1008" s="30">
        <v>0</v>
      </c>
      <c r="O1008" s="30">
        <v>0</v>
      </c>
      <c r="P1008" s="30">
        <v>0</v>
      </c>
      <c r="Q1008" s="30">
        <v>0</v>
      </c>
      <c r="R1008" s="29">
        <v>0</v>
      </c>
      <c r="S1008" s="36">
        <v>0</v>
      </c>
      <c r="T1008" s="7" t="s">
        <v>131</v>
      </c>
      <c r="U1008" s="7" t="s">
        <v>512</v>
      </c>
      <c r="V1008" s="7" t="s">
        <v>512</v>
      </c>
      <c r="W1008" s="7" t="s">
        <v>1177</v>
      </c>
      <c r="X1008" s="30">
        <v>1</v>
      </c>
      <c r="Y1008" s="7" t="s">
        <v>1177</v>
      </c>
      <c r="Z1008" s="7" t="s">
        <v>1178</v>
      </c>
      <c r="AA1008" s="30">
        <v>0</v>
      </c>
      <c r="AB1008" s="36">
        <v>0</v>
      </c>
      <c r="AC1008" s="7" t="s">
        <v>1177</v>
      </c>
      <c r="AD1008" s="37">
        <v>0</v>
      </c>
      <c r="AE1008" s="7" t="s">
        <v>1177</v>
      </c>
      <c r="AF1008" s="7" t="s">
        <v>1177</v>
      </c>
      <c r="AG1008" s="7" t="s">
        <v>1177</v>
      </c>
      <c r="AH1008" s="38"/>
      <c r="AI1008" s="36">
        <v>0</v>
      </c>
      <c r="AJ1008" s="7" t="s">
        <v>1193</v>
      </c>
      <c r="AK1008" s="7" t="s">
        <v>1177</v>
      </c>
      <c r="AL1008" s="7" t="s">
        <v>1177</v>
      </c>
      <c r="AM1008" s="7" t="s">
        <v>1177</v>
      </c>
      <c r="AN1008" s="7" t="s">
        <v>3212</v>
      </c>
      <c r="AO1008" s="7" t="s">
        <v>1177</v>
      </c>
      <c r="AP1008" s="7" t="s">
        <v>1177</v>
      </c>
      <c r="AQ1008" s="7" t="s">
        <v>1177</v>
      </c>
      <c r="AR1008" s="29">
        <v>0</v>
      </c>
      <c r="AS1008" s="7" t="s">
        <v>1177</v>
      </c>
      <c r="AT1008" s="7" t="s">
        <v>1363</v>
      </c>
      <c r="AU1008" s="38">
        <v>46275</v>
      </c>
      <c r="AV1008" s="39">
        <v>0.62303240740740995</v>
      </c>
    </row>
    <row r="1009" spans="1:48" x14ac:dyDescent="0.35">
      <c r="A1009" t="str">
        <f t="shared" si="15"/>
        <v>GP238679B832</v>
      </c>
      <c r="B1009" s="7" t="s">
        <v>575</v>
      </c>
      <c r="C1009" s="7" t="s">
        <v>653</v>
      </c>
      <c r="D1009" s="7" t="s">
        <v>19</v>
      </c>
      <c r="E1009" s="7" t="s">
        <v>1177</v>
      </c>
      <c r="F1009" s="7" t="s">
        <v>128</v>
      </c>
      <c r="G1009" s="7" t="s">
        <v>130</v>
      </c>
      <c r="H1009" s="7" t="s">
        <v>129</v>
      </c>
      <c r="I1009" s="30">
        <v>2</v>
      </c>
      <c r="J1009" s="7" t="s">
        <v>1177</v>
      </c>
      <c r="K1009" s="7" t="s">
        <v>1178</v>
      </c>
      <c r="L1009" s="7" t="s">
        <v>132</v>
      </c>
      <c r="M1009" s="7" t="s">
        <v>133</v>
      </c>
      <c r="N1009" s="30">
        <v>0</v>
      </c>
      <c r="O1009" s="30">
        <v>0</v>
      </c>
      <c r="P1009" s="30">
        <v>0</v>
      </c>
      <c r="Q1009" s="30">
        <v>0</v>
      </c>
      <c r="R1009" s="29">
        <v>0</v>
      </c>
      <c r="S1009" s="36">
        <v>0</v>
      </c>
      <c r="T1009" s="7" t="s">
        <v>131</v>
      </c>
      <c r="U1009" s="7" t="s">
        <v>654</v>
      </c>
      <c r="V1009" s="7" t="s">
        <v>654</v>
      </c>
      <c r="W1009" s="7" t="s">
        <v>1177</v>
      </c>
      <c r="X1009" s="30">
        <v>1</v>
      </c>
      <c r="Y1009" s="7" t="s">
        <v>1177</v>
      </c>
      <c r="Z1009" s="7" t="s">
        <v>1178</v>
      </c>
      <c r="AA1009" s="30">
        <v>0</v>
      </c>
      <c r="AB1009" s="36">
        <v>0</v>
      </c>
      <c r="AC1009" s="7" t="s">
        <v>1177</v>
      </c>
      <c r="AD1009" s="37">
        <v>0</v>
      </c>
      <c r="AE1009" s="7" t="s">
        <v>1177</v>
      </c>
      <c r="AF1009" s="7" t="s">
        <v>1177</v>
      </c>
      <c r="AG1009" s="7" t="s">
        <v>1177</v>
      </c>
      <c r="AH1009" s="38"/>
      <c r="AI1009" s="36">
        <v>0</v>
      </c>
      <c r="AJ1009" s="7" t="s">
        <v>1193</v>
      </c>
      <c r="AK1009" s="7" t="s">
        <v>1177</v>
      </c>
      <c r="AL1009" s="7" t="s">
        <v>1177</v>
      </c>
      <c r="AM1009" s="7" t="s">
        <v>1177</v>
      </c>
      <c r="AN1009" s="7" t="s">
        <v>3212</v>
      </c>
      <c r="AO1009" s="7" t="s">
        <v>1177</v>
      </c>
      <c r="AP1009" s="7" t="s">
        <v>1177</v>
      </c>
      <c r="AQ1009" s="7" t="s">
        <v>1177</v>
      </c>
      <c r="AR1009" s="29">
        <v>0</v>
      </c>
      <c r="AS1009" s="7" t="s">
        <v>1177</v>
      </c>
      <c r="AT1009" s="7" t="s">
        <v>1363</v>
      </c>
      <c r="AU1009" s="38">
        <v>46275</v>
      </c>
      <c r="AV1009" s="39">
        <v>0.62337962962963001</v>
      </c>
    </row>
    <row r="1010" spans="1:48" x14ac:dyDescent="0.35">
      <c r="A1010" t="str">
        <f t="shared" si="15"/>
        <v>GP239067B833</v>
      </c>
      <c r="B1010" s="7" t="s">
        <v>708</v>
      </c>
      <c r="C1010" s="7" t="s">
        <v>698</v>
      </c>
      <c r="D1010" s="7" t="s">
        <v>697</v>
      </c>
      <c r="E1010" s="7" t="s">
        <v>1177</v>
      </c>
      <c r="F1010" s="7" t="s">
        <v>128</v>
      </c>
      <c r="G1010" s="7" t="s">
        <v>130</v>
      </c>
      <c r="H1010" s="7" t="s">
        <v>129</v>
      </c>
      <c r="I1010" s="30">
        <v>2</v>
      </c>
      <c r="J1010" s="7" t="s">
        <v>1177</v>
      </c>
      <c r="K1010" s="7" t="s">
        <v>1178</v>
      </c>
      <c r="L1010" s="7" t="s">
        <v>132</v>
      </c>
      <c r="M1010" s="7" t="s">
        <v>133</v>
      </c>
      <c r="N1010" s="30">
        <v>0</v>
      </c>
      <c r="O1010" s="30">
        <v>0</v>
      </c>
      <c r="P1010" s="30">
        <v>0</v>
      </c>
      <c r="Q1010" s="30">
        <v>0</v>
      </c>
      <c r="R1010" s="29">
        <v>0</v>
      </c>
      <c r="S1010" s="36">
        <v>0</v>
      </c>
      <c r="T1010" s="7" t="s">
        <v>131</v>
      </c>
      <c r="U1010" s="7" t="s">
        <v>699</v>
      </c>
      <c r="V1010" s="7" t="s">
        <v>699</v>
      </c>
      <c r="W1010" s="7" t="s">
        <v>1177</v>
      </c>
      <c r="X1010" s="30">
        <v>1</v>
      </c>
      <c r="Y1010" s="7" t="s">
        <v>1177</v>
      </c>
      <c r="Z1010" s="7" t="s">
        <v>1178</v>
      </c>
      <c r="AA1010" s="30">
        <v>0</v>
      </c>
      <c r="AB1010" s="36">
        <v>0</v>
      </c>
      <c r="AC1010" s="7" t="s">
        <v>1177</v>
      </c>
      <c r="AD1010" s="37">
        <v>0</v>
      </c>
      <c r="AE1010" s="7" t="s">
        <v>1177</v>
      </c>
      <c r="AF1010" s="7" t="s">
        <v>1177</v>
      </c>
      <c r="AG1010" s="7" t="s">
        <v>1177</v>
      </c>
      <c r="AH1010" s="38"/>
      <c r="AI1010" s="36">
        <v>0</v>
      </c>
      <c r="AJ1010" s="7" t="s">
        <v>1193</v>
      </c>
      <c r="AK1010" s="7" t="s">
        <v>1177</v>
      </c>
      <c r="AL1010" s="7" t="s">
        <v>1177</v>
      </c>
      <c r="AM1010" s="7" t="s">
        <v>1177</v>
      </c>
      <c r="AN1010" s="7" t="s">
        <v>3212</v>
      </c>
      <c r="AO1010" s="7" t="s">
        <v>1177</v>
      </c>
      <c r="AP1010" s="7" t="s">
        <v>1177</v>
      </c>
      <c r="AQ1010" s="7" t="s">
        <v>1177</v>
      </c>
      <c r="AR1010" s="29">
        <v>0</v>
      </c>
      <c r="AS1010" s="7" t="s">
        <v>1177</v>
      </c>
      <c r="AT1010" s="7" t="s">
        <v>1363</v>
      </c>
      <c r="AU1010" s="38">
        <v>46275</v>
      </c>
      <c r="AV1010" s="39">
        <v>0.62350694444443999</v>
      </c>
    </row>
    <row r="1011" spans="1:48" x14ac:dyDescent="0.35">
      <c r="A1011" t="str">
        <f t="shared" si="15"/>
        <v>GP239271B832</v>
      </c>
      <c r="B1011" s="7" t="s">
        <v>675</v>
      </c>
      <c r="C1011" s="7" t="s">
        <v>653</v>
      </c>
      <c r="D1011" s="7" t="s">
        <v>19</v>
      </c>
      <c r="E1011" s="7" t="s">
        <v>1177</v>
      </c>
      <c r="F1011" s="7" t="s">
        <v>128</v>
      </c>
      <c r="G1011" s="7" t="s">
        <v>130</v>
      </c>
      <c r="H1011" s="7" t="s">
        <v>129</v>
      </c>
      <c r="I1011" s="30">
        <v>2</v>
      </c>
      <c r="J1011" s="7" t="s">
        <v>1177</v>
      </c>
      <c r="K1011" s="7" t="s">
        <v>1178</v>
      </c>
      <c r="L1011" s="7" t="s">
        <v>132</v>
      </c>
      <c r="M1011" s="7" t="s">
        <v>133</v>
      </c>
      <c r="N1011" s="30">
        <v>0</v>
      </c>
      <c r="O1011" s="30">
        <v>0</v>
      </c>
      <c r="P1011" s="30">
        <v>0</v>
      </c>
      <c r="Q1011" s="30">
        <v>0</v>
      </c>
      <c r="R1011" s="29">
        <v>0</v>
      </c>
      <c r="S1011" s="36">
        <v>0</v>
      </c>
      <c r="T1011" s="7" t="s">
        <v>131</v>
      </c>
      <c r="U1011" s="7" t="s">
        <v>654</v>
      </c>
      <c r="V1011" s="7" t="s">
        <v>654</v>
      </c>
      <c r="W1011" s="7" t="s">
        <v>1177</v>
      </c>
      <c r="X1011" s="30">
        <v>1</v>
      </c>
      <c r="Y1011" s="7" t="s">
        <v>1177</v>
      </c>
      <c r="Z1011" s="7" t="s">
        <v>1178</v>
      </c>
      <c r="AA1011" s="30">
        <v>0</v>
      </c>
      <c r="AB1011" s="36">
        <v>0</v>
      </c>
      <c r="AC1011" s="7" t="s">
        <v>1177</v>
      </c>
      <c r="AD1011" s="37">
        <v>0</v>
      </c>
      <c r="AE1011" s="7" t="s">
        <v>1177</v>
      </c>
      <c r="AF1011" s="7" t="s">
        <v>1177</v>
      </c>
      <c r="AG1011" s="7" t="s">
        <v>1177</v>
      </c>
      <c r="AH1011" s="38"/>
      <c r="AI1011" s="36">
        <v>0</v>
      </c>
      <c r="AJ1011" s="7" t="s">
        <v>1193</v>
      </c>
      <c r="AK1011" s="7" t="s">
        <v>1177</v>
      </c>
      <c r="AL1011" s="7" t="s">
        <v>1177</v>
      </c>
      <c r="AM1011" s="7" t="s">
        <v>1177</v>
      </c>
      <c r="AN1011" s="7" t="s">
        <v>3212</v>
      </c>
      <c r="AO1011" s="7" t="s">
        <v>1177</v>
      </c>
      <c r="AP1011" s="7" t="s">
        <v>1177</v>
      </c>
      <c r="AQ1011" s="7" t="s">
        <v>1177</v>
      </c>
      <c r="AR1011" s="29">
        <v>0</v>
      </c>
      <c r="AS1011" s="7" t="s">
        <v>1177</v>
      </c>
      <c r="AT1011" s="7" t="s">
        <v>1363</v>
      </c>
      <c r="AU1011" s="38">
        <v>46275</v>
      </c>
      <c r="AV1011" s="39">
        <v>0.62337962962963001</v>
      </c>
    </row>
    <row r="1012" spans="1:48" x14ac:dyDescent="0.35">
      <c r="A1012" t="str">
        <f t="shared" si="15"/>
        <v>GP239836B825</v>
      </c>
      <c r="B1012" s="7" t="s">
        <v>477</v>
      </c>
      <c r="C1012" s="7" t="s">
        <v>511</v>
      </c>
      <c r="D1012" s="7" t="s">
        <v>16</v>
      </c>
      <c r="E1012" s="7" t="s">
        <v>1177</v>
      </c>
      <c r="F1012" s="7" t="s">
        <v>128</v>
      </c>
      <c r="G1012" s="7" t="s">
        <v>130</v>
      </c>
      <c r="H1012" s="7" t="s">
        <v>129</v>
      </c>
      <c r="I1012" s="30">
        <v>2</v>
      </c>
      <c r="J1012" s="7" t="s">
        <v>1177</v>
      </c>
      <c r="K1012" s="7" t="s">
        <v>1178</v>
      </c>
      <c r="L1012" s="7" t="s">
        <v>132</v>
      </c>
      <c r="M1012" s="7" t="s">
        <v>133</v>
      </c>
      <c r="N1012" s="30">
        <v>0</v>
      </c>
      <c r="O1012" s="30">
        <v>0</v>
      </c>
      <c r="P1012" s="30">
        <v>0</v>
      </c>
      <c r="Q1012" s="30">
        <v>0</v>
      </c>
      <c r="R1012" s="29">
        <v>0</v>
      </c>
      <c r="S1012" s="36">
        <v>0</v>
      </c>
      <c r="T1012" s="7" t="s">
        <v>131</v>
      </c>
      <c r="U1012" s="7" t="s">
        <v>512</v>
      </c>
      <c r="V1012" s="7" t="s">
        <v>512</v>
      </c>
      <c r="W1012" s="7" t="s">
        <v>1177</v>
      </c>
      <c r="X1012" s="30">
        <v>1</v>
      </c>
      <c r="Y1012" s="7" t="s">
        <v>1177</v>
      </c>
      <c r="Z1012" s="7" t="s">
        <v>1178</v>
      </c>
      <c r="AA1012" s="30">
        <v>0</v>
      </c>
      <c r="AB1012" s="36">
        <v>0</v>
      </c>
      <c r="AC1012" s="7" t="s">
        <v>1177</v>
      </c>
      <c r="AD1012" s="37">
        <v>0</v>
      </c>
      <c r="AE1012" s="7" t="s">
        <v>1177</v>
      </c>
      <c r="AF1012" s="7" t="s">
        <v>1177</v>
      </c>
      <c r="AG1012" s="7" t="s">
        <v>1177</v>
      </c>
      <c r="AH1012" s="38"/>
      <c r="AI1012" s="36">
        <v>0</v>
      </c>
      <c r="AJ1012" s="7" t="s">
        <v>1193</v>
      </c>
      <c r="AK1012" s="7" t="s">
        <v>1177</v>
      </c>
      <c r="AL1012" s="7" t="s">
        <v>1177</v>
      </c>
      <c r="AM1012" s="7" t="s">
        <v>1177</v>
      </c>
      <c r="AN1012" s="7" t="s">
        <v>3212</v>
      </c>
      <c r="AO1012" s="7" t="s">
        <v>1177</v>
      </c>
      <c r="AP1012" s="7" t="s">
        <v>1177</v>
      </c>
      <c r="AQ1012" s="7" t="s">
        <v>1177</v>
      </c>
      <c r="AR1012" s="29">
        <v>0</v>
      </c>
      <c r="AS1012" s="7" t="s">
        <v>1177</v>
      </c>
      <c r="AT1012" s="7" t="s">
        <v>1363</v>
      </c>
      <c r="AU1012" s="38">
        <v>46275</v>
      </c>
      <c r="AV1012" s="39">
        <v>0.62302083333333003</v>
      </c>
    </row>
    <row r="1013" spans="1:48" x14ac:dyDescent="0.35">
      <c r="A1013" t="str">
        <f t="shared" si="15"/>
        <v>GP239836B832</v>
      </c>
      <c r="B1013" s="7" t="s">
        <v>477</v>
      </c>
      <c r="C1013" s="7" t="s">
        <v>653</v>
      </c>
      <c r="D1013" s="7" t="s">
        <v>19</v>
      </c>
      <c r="E1013" s="7" t="s">
        <v>1177</v>
      </c>
      <c r="F1013" s="7" t="s">
        <v>128</v>
      </c>
      <c r="G1013" s="7" t="s">
        <v>130</v>
      </c>
      <c r="H1013" s="7" t="s">
        <v>129</v>
      </c>
      <c r="I1013" s="30">
        <v>4</v>
      </c>
      <c r="J1013" s="7" t="s">
        <v>1177</v>
      </c>
      <c r="K1013" s="7" t="s">
        <v>1178</v>
      </c>
      <c r="L1013" s="7" t="s">
        <v>132</v>
      </c>
      <c r="M1013" s="7" t="s">
        <v>133</v>
      </c>
      <c r="N1013" s="30">
        <v>0</v>
      </c>
      <c r="O1013" s="30">
        <v>0</v>
      </c>
      <c r="P1013" s="30">
        <v>0</v>
      </c>
      <c r="Q1013" s="30">
        <v>0</v>
      </c>
      <c r="R1013" s="29">
        <v>0</v>
      </c>
      <c r="S1013" s="36">
        <v>0</v>
      </c>
      <c r="T1013" s="7" t="s">
        <v>131</v>
      </c>
      <c r="U1013" s="7" t="s">
        <v>654</v>
      </c>
      <c r="V1013" s="7" t="s">
        <v>654</v>
      </c>
      <c r="W1013" s="7" t="s">
        <v>1177</v>
      </c>
      <c r="X1013" s="30">
        <v>1</v>
      </c>
      <c r="Y1013" s="7" t="s">
        <v>1177</v>
      </c>
      <c r="Z1013" s="7" t="s">
        <v>1178</v>
      </c>
      <c r="AA1013" s="30">
        <v>0</v>
      </c>
      <c r="AB1013" s="36">
        <v>0</v>
      </c>
      <c r="AC1013" s="7" t="s">
        <v>1177</v>
      </c>
      <c r="AD1013" s="37">
        <v>0</v>
      </c>
      <c r="AE1013" s="7" t="s">
        <v>1177</v>
      </c>
      <c r="AF1013" s="7" t="s">
        <v>1177</v>
      </c>
      <c r="AG1013" s="7" t="s">
        <v>1177</v>
      </c>
      <c r="AH1013" s="38"/>
      <c r="AI1013" s="36">
        <v>0</v>
      </c>
      <c r="AJ1013" s="7" t="s">
        <v>1193</v>
      </c>
      <c r="AK1013" s="7" t="s">
        <v>1177</v>
      </c>
      <c r="AL1013" s="7" t="s">
        <v>1177</v>
      </c>
      <c r="AM1013" s="7" t="s">
        <v>1177</v>
      </c>
      <c r="AN1013" s="7" t="s">
        <v>3212</v>
      </c>
      <c r="AO1013" s="7" t="s">
        <v>1177</v>
      </c>
      <c r="AP1013" s="7" t="s">
        <v>1177</v>
      </c>
      <c r="AQ1013" s="7" t="s">
        <v>1177</v>
      </c>
      <c r="AR1013" s="29">
        <v>0</v>
      </c>
      <c r="AS1013" s="7" t="s">
        <v>1177</v>
      </c>
      <c r="AT1013" s="7" t="s">
        <v>1363</v>
      </c>
      <c r="AU1013" s="38">
        <v>46275</v>
      </c>
      <c r="AV1013" s="39">
        <v>0.62337962962963001</v>
      </c>
    </row>
    <row r="1014" spans="1:48" x14ac:dyDescent="0.35">
      <c r="A1014" t="str">
        <f t="shared" si="15"/>
        <v>GP239839B825</v>
      </c>
      <c r="B1014" s="7" t="s">
        <v>576</v>
      </c>
      <c r="C1014" s="7" t="s">
        <v>511</v>
      </c>
      <c r="D1014" s="7" t="s">
        <v>16</v>
      </c>
      <c r="E1014" s="7" t="s">
        <v>1177</v>
      </c>
      <c r="F1014" s="7" t="s">
        <v>128</v>
      </c>
      <c r="G1014" s="7" t="s">
        <v>130</v>
      </c>
      <c r="H1014" s="7" t="s">
        <v>129</v>
      </c>
      <c r="I1014" s="30">
        <v>2</v>
      </c>
      <c r="J1014" s="7" t="s">
        <v>1177</v>
      </c>
      <c r="K1014" s="7" t="s">
        <v>1178</v>
      </c>
      <c r="L1014" s="7" t="s">
        <v>132</v>
      </c>
      <c r="M1014" s="7" t="s">
        <v>133</v>
      </c>
      <c r="N1014" s="30">
        <v>0</v>
      </c>
      <c r="O1014" s="30">
        <v>0</v>
      </c>
      <c r="P1014" s="30">
        <v>0</v>
      </c>
      <c r="Q1014" s="30">
        <v>0</v>
      </c>
      <c r="R1014" s="29">
        <v>0</v>
      </c>
      <c r="S1014" s="36">
        <v>0</v>
      </c>
      <c r="T1014" s="7" t="s">
        <v>131</v>
      </c>
      <c r="U1014" s="7" t="s">
        <v>512</v>
      </c>
      <c r="V1014" s="7" t="s">
        <v>512</v>
      </c>
      <c r="W1014" s="7" t="s">
        <v>1177</v>
      </c>
      <c r="X1014" s="30">
        <v>1</v>
      </c>
      <c r="Y1014" s="7" t="s">
        <v>1177</v>
      </c>
      <c r="Z1014" s="7" t="s">
        <v>1178</v>
      </c>
      <c r="AA1014" s="30">
        <v>0</v>
      </c>
      <c r="AB1014" s="36">
        <v>0</v>
      </c>
      <c r="AC1014" s="7" t="s">
        <v>1177</v>
      </c>
      <c r="AD1014" s="37">
        <v>0</v>
      </c>
      <c r="AE1014" s="7" t="s">
        <v>1177</v>
      </c>
      <c r="AF1014" s="7" t="s">
        <v>1177</v>
      </c>
      <c r="AG1014" s="7" t="s">
        <v>1177</v>
      </c>
      <c r="AH1014" s="38"/>
      <c r="AI1014" s="36">
        <v>0</v>
      </c>
      <c r="AJ1014" s="7" t="s">
        <v>1193</v>
      </c>
      <c r="AK1014" s="7" t="s">
        <v>1177</v>
      </c>
      <c r="AL1014" s="7" t="s">
        <v>1177</v>
      </c>
      <c r="AM1014" s="7" t="s">
        <v>1177</v>
      </c>
      <c r="AN1014" s="7" t="s">
        <v>3212</v>
      </c>
      <c r="AO1014" s="7" t="s">
        <v>1177</v>
      </c>
      <c r="AP1014" s="7" t="s">
        <v>1177</v>
      </c>
      <c r="AQ1014" s="7" t="s">
        <v>1177</v>
      </c>
      <c r="AR1014" s="29">
        <v>0</v>
      </c>
      <c r="AS1014" s="7" t="s">
        <v>1177</v>
      </c>
      <c r="AT1014" s="7" t="s">
        <v>1363</v>
      </c>
      <c r="AU1014" s="38">
        <v>46275</v>
      </c>
      <c r="AV1014" s="39">
        <v>0.6034837962963</v>
      </c>
    </row>
    <row r="1015" spans="1:48" x14ac:dyDescent="0.35">
      <c r="A1015" t="str">
        <f t="shared" si="15"/>
        <v>GP239839B832</v>
      </c>
      <c r="B1015" s="7" t="s">
        <v>576</v>
      </c>
      <c r="C1015" s="7" t="s">
        <v>653</v>
      </c>
      <c r="D1015" s="7" t="s">
        <v>19</v>
      </c>
      <c r="E1015" s="7" t="s">
        <v>1177</v>
      </c>
      <c r="F1015" s="7" t="s">
        <v>128</v>
      </c>
      <c r="G1015" s="7" t="s">
        <v>130</v>
      </c>
      <c r="H1015" s="7" t="s">
        <v>129</v>
      </c>
      <c r="I1015" s="30">
        <v>4</v>
      </c>
      <c r="J1015" s="7" t="s">
        <v>1177</v>
      </c>
      <c r="K1015" s="7" t="s">
        <v>1178</v>
      </c>
      <c r="L1015" s="7" t="s">
        <v>132</v>
      </c>
      <c r="M1015" s="7" t="s">
        <v>133</v>
      </c>
      <c r="N1015" s="30">
        <v>0</v>
      </c>
      <c r="O1015" s="30">
        <v>0</v>
      </c>
      <c r="P1015" s="30">
        <v>0</v>
      </c>
      <c r="Q1015" s="30">
        <v>0</v>
      </c>
      <c r="R1015" s="29">
        <v>0</v>
      </c>
      <c r="S1015" s="36">
        <v>0</v>
      </c>
      <c r="T1015" s="7" t="s">
        <v>131</v>
      </c>
      <c r="U1015" s="7" t="s">
        <v>654</v>
      </c>
      <c r="V1015" s="7" t="s">
        <v>654</v>
      </c>
      <c r="W1015" s="7" t="s">
        <v>1177</v>
      </c>
      <c r="X1015" s="30">
        <v>1</v>
      </c>
      <c r="Y1015" s="7" t="s">
        <v>1177</v>
      </c>
      <c r="Z1015" s="7" t="s">
        <v>1178</v>
      </c>
      <c r="AA1015" s="30">
        <v>0</v>
      </c>
      <c r="AB1015" s="36">
        <v>0</v>
      </c>
      <c r="AC1015" s="7" t="s">
        <v>1177</v>
      </c>
      <c r="AD1015" s="37">
        <v>0</v>
      </c>
      <c r="AE1015" s="7" t="s">
        <v>1177</v>
      </c>
      <c r="AF1015" s="7" t="s">
        <v>1177</v>
      </c>
      <c r="AG1015" s="7" t="s">
        <v>1177</v>
      </c>
      <c r="AH1015" s="38"/>
      <c r="AI1015" s="36">
        <v>0</v>
      </c>
      <c r="AJ1015" s="7" t="s">
        <v>1193</v>
      </c>
      <c r="AK1015" s="7" t="s">
        <v>1177</v>
      </c>
      <c r="AL1015" s="7" t="s">
        <v>1177</v>
      </c>
      <c r="AM1015" s="7" t="s">
        <v>1177</v>
      </c>
      <c r="AN1015" s="7" t="s">
        <v>3212</v>
      </c>
      <c r="AO1015" s="7" t="s">
        <v>1177</v>
      </c>
      <c r="AP1015" s="7" t="s">
        <v>1177</v>
      </c>
      <c r="AQ1015" s="7" t="s">
        <v>1177</v>
      </c>
      <c r="AR1015" s="29">
        <v>0</v>
      </c>
      <c r="AS1015" s="7" t="s">
        <v>1177</v>
      </c>
      <c r="AT1015" s="7" t="s">
        <v>1363</v>
      </c>
      <c r="AU1015" s="38">
        <v>46275</v>
      </c>
      <c r="AV1015" s="39">
        <v>0.60383101851851995</v>
      </c>
    </row>
    <row r="1016" spans="1:48" x14ac:dyDescent="0.35">
      <c r="A1016" t="str">
        <f t="shared" si="15"/>
        <v>GP239839B833</v>
      </c>
      <c r="B1016" s="7" t="s">
        <v>576</v>
      </c>
      <c r="C1016" s="7" t="s">
        <v>698</v>
      </c>
      <c r="D1016" s="7" t="s">
        <v>697</v>
      </c>
      <c r="E1016" s="7" t="s">
        <v>1177</v>
      </c>
      <c r="F1016" s="7" t="s">
        <v>128</v>
      </c>
      <c r="G1016" s="7" t="s">
        <v>130</v>
      </c>
      <c r="H1016" s="7" t="s">
        <v>129</v>
      </c>
      <c r="I1016" s="30">
        <v>4</v>
      </c>
      <c r="J1016" s="7" t="s">
        <v>1177</v>
      </c>
      <c r="K1016" s="7" t="s">
        <v>1178</v>
      </c>
      <c r="L1016" s="7" t="s">
        <v>132</v>
      </c>
      <c r="M1016" s="7" t="s">
        <v>133</v>
      </c>
      <c r="N1016" s="30">
        <v>0</v>
      </c>
      <c r="O1016" s="30">
        <v>0</v>
      </c>
      <c r="P1016" s="30">
        <v>0</v>
      </c>
      <c r="Q1016" s="30">
        <v>0</v>
      </c>
      <c r="R1016" s="29">
        <v>0</v>
      </c>
      <c r="S1016" s="36">
        <v>0</v>
      </c>
      <c r="T1016" s="7" t="s">
        <v>131</v>
      </c>
      <c r="U1016" s="7" t="s">
        <v>699</v>
      </c>
      <c r="V1016" s="7" t="s">
        <v>699</v>
      </c>
      <c r="W1016" s="7" t="s">
        <v>1177</v>
      </c>
      <c r="X1016" s="30">
        <v>1</v>
      </c>
      <c r="Y1016" s="7" t="s">
        <v>1177</v>
      </c>
      <c r="Z1016" s="7" t="s">
        <v>1178</v>
      </c>
      <c r="AA1016" s="30">
        <v>0</v>
      </c>
      <c r="AB1016" s="36">
        <v>0</v>
      </c>
      <c r="AC1016" s="7" t="s">
        <v>1177</v>
      </c>
      <c r="AD1016" s="37">
        <v>0</v>
      </c>
      <c r="AE1016" s="7" t="s">
        <v>1177</v>
      </c>
      <c r="AF1016" s="7" t="s">
        <v>1177</v>
      </c>
      <c r="AG1016" s="7" t="s">
        <v>1177</v>
      </c>
      <c r="AH1016" s="38"/>
      <c r="AI1016" s="36">
        <v>0</v>
      </c>
      <c r="AJ1016" s="7" t="s">
        <v>1193</v>
      </c>
      <c r="AK1016" s="7" t="s">
        <v>1177</v>
      </c>
      <c r="AL1016" s="7" t="s">
        <v>1177</v>
      </c>
      <c r="AM1016" s="7" t="s">
        <v>1177</v>
      </c>
      <c r="AN1016" s="7" t="s">
        <v>3212</v>
      </c>
      <c r="AO1016" s="7" t="s">
        <v>1177</v>
      </c>
      <c r="AP1016" s="7" t="s">
        <v>1177</v>
      </c>
      <c r="AQ1016" s="7" t="s">
        <v>1177</v>
      </c>
      <c r="AR1016" s="29">
        <v>0</v>
      </c>
      <c r="AS1016" s="7" t="s">
        <v>1177</v>
      </c>
      <c r="AT1016" s="7" t="s">
        <v>1363</v>
      </c>
      <c r="AU1016" s="38">
        <v>46275</v>
      </c>
      <c r="AV1016" s="39">
        <v>0.60395833333333004</v>
      </c>
    </row>
    <row r="1017" spans="1:48" x14ac:dyDescent="0.35">
      <c r="A1017" t="str">
        <f t="shared" si="15"/>
        <v>GP240363B825</v>
      </c>
      <c r="B1017" s="7" t="s">
        <v>577</v>
      </c>
      <c r="C1017" s="7" t="s">
        <v>511</v>
      </c>
      <c r="D1017" s="7" t="s">
        <v>16</v>
      </c>
      <c r="E1017" s="7" t="s">
        <v>1177</v>
      </c>
      <c r="F1017" s="7" t="s">
        <v>128</v>
      </c>
      <c r="G1017" s="7" t="s">
        <v>130</v>
      </c>
      <c r="H1017" s="7" t="s">
        <v>129</v>
      </c>
      <c r="I1017" s="30">
        <v>2</v>
      </c>
      <c r="J1017" s="7" t="s">
        <v>1177</v>
      </c>
      <c r="K1017" s="7" t="s">
        <v>1178</v>
      </c>
      <c r="L1017" s="7" t="s">
        <v>132</v>
      </c>
      <c r="M1017" s="7" t="s">
        <v>133</v>
      </c>
      <c r="N1017" s="30">
        <v>0</v>
      </c>
      <c r="O1017" s="30">
        <v>0</v>
      </c>
      <c r="P1017" s="30">
        <v>0</v>
      </c>
      <c r="Q1017" s="30">
        <v>0</v>
      </c>
      <c r="R1017" s="29">
        <v>0</v>
      </c>
      <c r="S1017" s="36">
        <v>0</v>
      </c>
      <c r="T1017" s="7" t="s">
        <v>131</v>
      </c>
      <c r="U1017" s="7" t="s">
        <v>512</v>
      </c>
      <c r="V1017" s="7" t="s">
        <v>512</v>
      </c>
      <c r="W1017" s="7" t="s">
        <v>1177</v>
      </c>
      <c r="X1017" s="30">
        <v>1</v>
      </c>
      <c r="Y1017" s="7" t="s">
        <v>1177</v>
      </c>
      <c r="Z1017" s="7" t="s">
        <v>1178</v>
      </c>
      <c r="AA1017" s="30">
        <v>0</v>
      </c>
      <c r="AB1017" s="36">
        <v>0</v>
      </c>
      <c r="AC1017" s="7" t="s">
        <v>1177</v>
      </c>
      <c r="AD1017" s="37">
        <v>0</v>
      </c>
      <c r="AE1017" s="7" t="s">
        <v>1177</v>
      </c>
      <c r="AF1017" s="7" t="s">
        <v>1177</v>
      </c>
      <c r="AG1017" s="7" t="s">
        <v>1177</v>
      </c>
      <c r="AH1017" s="38"/>
      <c r="AI1017" s="36">
        <v>0</v>
      </c>
      <c r="AJ1017" s="7" t="s">
        <v>1193</v>
      </c>
      <c r="AK1017" s="7" t="s">
        <v>1177</v>
      </c>
      <c r="AL1017" s="7" t="s">
        <v>1177</v>
      </c>
      <c r="AM1017" s="7" t="s">
        <v>1177</v>
      </c>
      <c r="AN1017" s="7" t="s">
        <v>3212</v>
      </c>
      <c r="AO1017" s="7" t="s">
        <v>1177</v>
      </c>
      <c r="AP1017" s="7" t="s">
        <v>1177</v>
      </c>
      <c r="AQ1017" s="7" t="s">
        <v>1177</v>
      </c>
      <c r="AR1017" s="29">
        <v>0</v>
      </c>
      <c r="AS1017" s="7" t="s">
        <v>1177</v>
      </c>
      <c r="AT1017" s="7" t="s">
        <v>1363</v>
      </c>
      <c r="AU1017" s="38">
        <v>46275</v>
      </c>
      <c r="AV1017" s="39">
        <v>0.62302083333333003</v>
      </c>
    </row>
    <row r="1018" spans="1:48" x14ac:dyDescent="0.35">
      <c r="A1018" t="str">
        <f t="shared" si="15"/>
        <v>GP240491B856</v>
      </c>
      <c r="B1018" s="7" t="s">
        <v>782</v>
      </c>
      <c r="C1018" s="7" t="s">
        <v>852</v>
      </c>
      <c r="D1018" s="7" t="s">
        <v>21</v>
      </c>
      <c r="E1018" s="7" t="s">
        <v>1177</v>
      </c>
      <c r="F1018" s="7" t="s">
        <v>128</v>
      </c>
      <c r="G1018" s="7" t="s">
        <v>130</v>
      </c>
      <c r="H1018" s="7" t="s">
        <v>129</v>
      </c>
      <c r="I1018" s="30">
        <v>2</v>
      </c>
      <c r="J1018" s="7" t="s">
        <v>1177</v>
      </c>
      <c r="K1018" s="7" t="s">
        <v>1178</v>
      </c>
      <c r="L1018" s="7" t="s">
        <v>132</v>
      </c>
      <c r="M1018" s="7" t="s">
        <v>133</v>
      </c>
      <c r="N1018" s="30">
        <v>0</v>
      </c>
      <c r="O1018" s="30">
        <v>0</v>
      </c>
      <c r="P1018" s="30">
        <v>0</v>
      </c>
      <c r="Q1018" s="30">
        <v>0</v>
      </c>
      <c r="R1018" s="29">
        <v>0</v>
      </c>
      <c r="S1018" s="36">
        <v>0</v>
      </c>
      <c r="T1018" s="7" t="s">
        <v>131</v>
      </c>
      <c r="U1018" s="7" t="s">
        <v>853</v>
      </c>
      <c r="V1018" s="7" t="s">
        <v>853</v>
      </c>
      <c r="W1018" s="7" t="s">
        <v>1177</v>
      </c>
      <c r="X1018" s="30">
        <v>1</v>
      </c>
      <c r="Y1018" s="7" t="s">
        <v>1177</v>
      </c>
      <c r="Z1018" s="7" t="s">
        <v>1178</v>
      </c>
      <c r="AA1018" s="30">
        <v>0</v>
      </c>
      <c r="AB1018" s="36">
        <v>0</v>
      </c>
      <c r="AC1018" s="7" t="s">
        <v>1177</v>
      </c>
      <c r="AD1018" s="37">
        <v>0</v>
      </c>
      <c r="AE1018" s="7" t="s">
        <v>1177</v>
      </c>
      <c r="AF1018" s="7" t="s">
        <v>1177</v>
      </c>
      <c r="AG1018" s="7" t="s">
        <v>1177</v>
      </c>
      <c r="AH1018" s="38"/>
      <c r="AI1018" s="36">
        <v>0</v>
      </c>
      <c r="AJ1018" s="7" t="s">
        <v>1193</v>
      </c>
      <c r="AK1018" s="7" t="s">
        <v>1177</v>
      </c>
      <c r="AL1018" s="7" t="s">
        <v>1177</v>
      </c>
      <c r="AM1018" s="7" t="s">
        <v>1177</v>
      </c>
      <c r="AN1018" s="7" t="s">
        <v>3212</v>
      </c>
      <c r="AO1018" s="7" t="s">
        <v>1177</v>
      </c>
      <c r="AP1018" s="7" t="s">
        <v>1177</v>
      </c>
      <c r="AQ1018" s="7" t="s">
        <v>1177</v>
      </c>
      <c r="AR1018" s="29">
        <v>0</v>
      </c>
      <c r="AS1018" s="7" t="s">
        <v>1177</v>
      </c>
      <c r="AT1018" s="7" t="s">
        <v>1363</v>
      </c>
      <c r="AU1018" s="38">
        <v>46275</v>
      </c>
      <c r="AV1018" s="39">
        <v>0.62488425925926006</v>
      </c>
    </row>
    <row r="1019" spans="1:48" x14ac:dyDescent="0.35">
      <c r="A1019" t="str">
        <f t="shared" si="15"/>
        <v>GP240740B825</v>
      </c>
      <c r="B1019" s="7" t="s">
        <v>578</v>
      </c>
      <c r="C1019" s="7" t="s">
        <v>511</v>
      </c>
      <c r="D1019" s="7" t="s">
        <v>16</v>
      </c>
      <c r="E1019" s="7" t="s">
        <v>1177</v>
      </c>
      <c r="F1019" s="7" t="s">
        <v>128</v>
      </c>
      <c r="G1019" s="7" t="s">
        <v>130</v>
      </c>
      <c r="H1019" s="7" t="s">
        <v>129</v>
      </c>
      <c r="I1019" s="30">
        <v>2</v>
      </c>
      <c r="J1019" s="7" t="s">
        <v>1177</v>
      </c>
      <c r="K1019" s="7" t="s">
        <v>1178</v>
      </c>
      <c r="L1019" s="7" t="s">
        <v>132</v>
      </c>
      <c r="M1019" s="7" t="s">
        <v>133</v>
      </c>
      <c r="N1019" s="30">
        <v>0</v>
      </c>
      <c r="O1019" s="30">
        <v>0</v>
      </c>
      <c r="P1019" s="30">
        <v>0</v>
      </c>
      <c r="Q1019" s="30">
        <v>0</v>
      </c>
      <c r="R1019" s="29">
        <v>0</v>
      </c>
      <c r="S1019" s="36">
        <v>0</v>
      </c>
      <c r="T1019" s="7" t="s">
        <v>131</v>
      </c>
      <c r="U1019" s="7" t="s">
        <v>512</v>
      </c>
      <c r="V1019" s="7" t="s">
        <v>512</v>
      </c>
      <c r="W1019" s="7" t="s">
        <v>1177</v>
      </c>
      <c r="X1019" s="30">
        <v>1</v>
      </c>
      <c r="Y1019" s="7" t="s">
        <v>1177</v>
      </c>
      <c r="Z1019" s="7" t="s">
        <v>1178</v>
      </c>
      <c r="AA1019" s="30">
        <v>0</v>
      </c>
      <c r="AB1019" s="36">
        <v>0</v>
      </c>
      <c r="AC1019" s="7" t="s">
        <v>1177</v>
      </c>
      <c r="AD1019" s="37">
        <v>0</v>
      </c>
      <c r="AE1019" s="7" t="s">
        <v>1177</v>
      </c>
      <c r="AF1019" s="7" t="s">
        <v>1177</v>
      </c>
      <c r="AG1019" s="7" t="s">
        <v>1177</v>
      </c>
      <c r="AH1019" s="38"/>
      <c r="AI1019" s="36">
        <v>0</v>
      </c>
      <c r="AJ1019" s="7" t="s">
        <v>1193</v>
      </c>
      <c r="AK1019" s="7" t="s">
        <v>1177</v>
      </c>
      <c r="AL1019" s="7" t="s">
        <v>1177</v>
      </c>
      <c r="AM1019" s="7" t="s">
        <v>1177</v>
      </c>
      <c r="AN1019" s="7" t="s">
        <v>3212</v>
      </c>
      <c r="AO1019" s="7" t="s">
        <v>1177</v>
      </c>
      <c r="AP1019" s="7" t="s">
        <v>1177</v>
      </c>
      <c r="AQ1019" s="7" t="s">
        <v>1177</v>
      </c>
      <c r="AR1019" s="29">
        <v>0</v>
      </c>
      <c r="AS1019" s="7" t="s">
        <v>1177</v>
      </c>
      <c r="AT1019" s="7" t="s">
        <v>1363</v>
      </c>
      <c r="AU1019" s="38">
        <v>46275</v>
      </c>
      <c r="AV1019" s="39">
        <v>0.6034837962963</v>
      </c>
    </row>
    <row r="1020" spans="1:48" x14ac:dyDescent="0.35">
      <c r="A1020" t="str">
        <f t="shared" si="15"/>
        <v>GP240740B832</v>
      </c>
      <c r="B1020" s="7" t="s">
        <v>578</v>
      </c>
      <c r="C1020" s="7" t="s">
        <v>653</v>
      </c>
      <c r="D1020" s="7" t="s">
        <v>19</v>
      </c>
      <c r="E1020" s="7" t="s">
        <v>1177</v>
      </c>
      <c r="F1020" s="7" t="s">
        <v>128</v>
      </c>
      <c r="G1020" s="7" t="s">
        <v>130</v>
      </c>
      <c r="H1020" s="7" t="s">
        <v>129</v>
      </c>
      <c r="I1020" s="30">
        <v>2</v>
      </c>
      <c r="J1020" s="7" t="s">
        <v>1177</v>
      </c>
      <c r="K1020" s="7" t="s">
        <v>1178</v>
      </c>
      <c r="L1020" s="7" t="s">
        <v>132</v>
      </c>
      <c r="M1020" s="7" t="s">
        <v>133</v>
      </c>
      <c r="N1020" s="30">
        <v>0</v>
      </c>
      <c r="O1020" s="30">
        <v>0</v>
      </c>
      <c r="P1020" s="30">
        <v>0</v>
      </c>
      <c r="Q1020" s="30">
        <v>0</v>
      </c>
      <c r="R1020" s="29">
        <v>0</v>
      </c>
      <c r="S1020" s="36">
        <v>0</v>
      </c>
      <c r="T1020" s="7" t="s">
        <v>131</v>
      </c>
      <c r="U1020" s="7" t="s">
        <v>654</v>
      </c>
      <c r="V1020" s="7" t="s">
        <v>654</v>
      </c>
      <c r="W1020" s="7" t="s">
        <v>1177</v>
      </c>
      <c r="X1020" s="30">
        <v>1</v>
      </c>
      <c r="Y1020" s="7" t="s">
        <v>1177</v>
      </c>
      <c r="Z1020" s="7" t="s">
        <v>1178</v>
      </c>
      <c r="AA1020" s="30">
        <v>0</v>
      </c>
      <c r="AB1020" s="36">
        <v>0</v>
      </c>
      <c r="AC1020" s="7" t="s">
        <v>1177</v>
      </c>
      <c r="AD1020" s="37">
        <v>0</v>
      </c>
      <c r="AE1020" s="7" t="s">
        <v>1177</v>
      </c>
      <c r="AF1020" s="7" t="s">
        <v>1177</v>
      </c>
      <c r="AG1020" s="7" t="s">
        <v>1177</v>
      </c>
      <c r="AH1020" s="38"/>
      <c r="AI1020" s="36">
        <v>0</v>
      </c>
      <c r="AJ1020" s="7" t="s">
        <v>1193</v>
      </c>
      <c r="AK1020" s="7" t="s">
        <v>1177</v>
      </c>
      <c r="AL1020" s="7" t="s">
        <v>1177</v>
      </c>
      <c r="AM1020" s="7" t="s">
        <v>1177</v>
      </c>
      <c r="AN1020" s="7" t="s">
        <v>3212</v>
      </c>
      <c r="AO1020" s="7" t="s">
        <v>1177</v>
      </c>
      <c r="AP1020" s="7" t="s">
        <v>1177</v>
      </c>
      <c r="AQ1020" s="7" t="s">
        <v>1177</v>
      </c>
      <c r="AR1020" s="29">
        <v>0</v>
      </c>
      <c r="AS1020" s="7" t="s">
        <v>1177</v>
      </c>
      <c r="AT1020" s="7" t="s">
        <v>1363</v>
      </c>
      <c r="AU1020" s="38">
        <v>46275</v>
      </c>
      <c r="AV1020" s="39">
        <v>0.60383101851851995</v>
      </c>
    </row>
    <row r="1021" spans="1:48" x14ac:dyDescent="0.35">
      <c r="A1021" t="str">
        <f t="shared" si="15"/>
        <v>GP240740B838</v>
      </c>
      <c r="B1021" s="7" t="s">
        <v>578</v>
      </c>
      <c r="C1021" s="7" t="s">
        <v>744</v>
      </c>
      <c r="D1021" s="7" t="s">
        <v>48</v>
      </c>
      <c r="E1021" s="7" t="s">
        <v>1177</v>
      </c>
      <c r="F1021" s="7" t="s">
        <v>128</v>
      </c>
      <c r="G1021" s="7" t="s">
        <v>130</v>
      </c>
      <c r="H1021" s="7" t="s">
        <v>129</v>
      </c>
      <c r="I1021" s="30">
        <v>2</v>
      </c>
      <c r="J1021" s="7" t="s">
        <v>1177</v>
      </c>
      <c r="K1021" s="7" t="s">
        <v>1178</v>
      </c>
      <c r="L1021" s="7" t="s">
        <v>132</v>
      </c>
      <c r="M1021" s="7" t="s">
        <v>133</v>
      </c>
      <c r="N1021" s="30">
        <v>0</v>
      </c>
      <c r="O1021" s="30">
        <v>0</v>
      </c>
      <c r="P1021" s="30">
        <v>0</v>
      </c>
      <c r="Q1021" s="30">
        <v>0</v>
      </c>
      <c r="R1021" s="29">
        <v>0</v>
      </c>
      <c r="S1021" s="36">
        <v>0</v>
      </c>
      <c r="T1021" s="7" t="s">
        <v>131</v>
      </c>
      <c r="U1021" s="7" t="s">
        <v>745</v>
      </c>
      <c r="V1021" s="7" t="s">
        <v>745</v>
      </c>
      <c r="W1021" s="7" t="s">
        <v>1177</v>
      </c>
      <c r="X1021" s="30">
        <v>1</v>
      </c>
      <c r="Y1021" s="7" t="s">
        <v>1177</v>
      </c>
      <c r="Z1021" s="7" t="s">
        <v>1178</v>
      </c>
      <c r="AA1021" s="30">
        <v>0</v>
      </c>
      <c r="AB1021" s="36">
        <v>0</v>
      </c>
      <c r="AC1021" s="7" t="s">
        <v>1177</v>
      </c>
      <c r="AD1021" s="37">
        <v>0</v>
      </c>
      <c r="AE1021" s="7" t="s">
        <v>1177</v>
      </c>
      <c r="AF1021" s="7" t="s">
        <v>1177</v>
      </c>
      <c r="AG1021" s="7" t="s">
        <v>1177</v>
      </c>
      <c r="AH1021" s="38"/>
      <c r="AI1021" s="36">
        <v>0</v>
      </c>
      <c r="AJ1021" s="7" t="s">
        <v>1193</v>
      </c>
      <c r="AK1021" s="7" t="s">
        <v>1177</v>
      </c>
      <c r="AL1021" s="7" t="s">
        <v>1177</v>
      </c>
      <c r="AM1021" s="7" t="s">
        <v>1177</v>
      </c>
      <c r="AN1021" s="7" t="s">
        <v>3212</v>
      </c>
      <c r="AO1021" s="7" t="s">
        <v>1177</v>
      </c>
      <c r="AP1021" s="7" t="s">
        <v>1177</v>
      </c>
      <c r="AQ1021" s="7" t="s">
        <v>1177</v>
      </c>
      <c r="AR1021" s="29">
        <v>0</v>
      </c>
      <c r="AS1021" s="7" t="s">
        <v>1177</v>
      </c>
      <c r="AT1021" s="7" t="s">
        <v>1363</v>
      </c>
      <c r="AU1021" s="38">
        <v>46275</v>
      </c>
      <c r="AV1021" s="39">
        <v>0.60443287037036997</v>
      </c>
    </row>
    <row r="1022" spans="1:48" x14ac:dyDescent="0.35">
      <c r="A1022" t="str">
        <f t="shared" si="15"/>
        <v>GP241208B825</v>
      </c>
      <c r="B1022" s="7" t="s">
        <v>281</v>
      </c>
      <c r="C1022" s="7" t="s">
        <v>511</v>
      </c>
      <c r="D1022" s="7" t="s">
        <v>16</v>
      </c>
      <c r="E1022" s="7" t="s">
        <v>1177</v>
      </c>
      <c r="F1022" s="7" t="s">
        <v>128</v>
      </c>
      <c r="G1022" s="7" t="s">
        <v>130</v>
      </c>
      <c r="H1022" s="7" t="s">
        <v>129</v>
      </c>
      <c r="I1022" s="30">
        <v>2</v>
      </c>
      <c r="J1022" s="7" t="s">
        <v>1177</v>
      </c>
      <c r="K1022" s="7" t="s">
        <v>1178</v>
      </c>
      <c r="L1022" s="7" t="s">
        <v>132</v>
      </c>
      <c r="M1022" s="7" t="s">
        <v>133</v>
      </c>
      <c r="N1022" s="30">
        <v>0</v>
      </c>
      <c r="O1022" s="30">
        <v>0</v>
      </c>
      <c r="P1022" s="30">
        <v>0</v>
      </c>
      <c r="Q1022" s="30">
        <v>0</v>
      </c>
      <c r="R1022" s="29">
        <v>0</v>
      </c>
      <c r="S1022" s="36">
        <v>0</v>
      </c>
      <c r="T1022" s="7" t="s">
        <v>131</v>
      </c>
      <c r="U1022" s="7" t="s">
        <v>512</v>
      </c>
      <c r="V1022" s="7" t="s">
        <v>512</v>
      </c>
      <c r="W1022" s="7" t="s">
        <v>1177</v>
      </c>
      <c r="X1022" s="30">
        <v>1</v>
      </c>
      <c r="Y1022" s="7" t="s">
        <v>1177</v>
      </c>
      <c r="Z1022" s="7" t="s">
        <v>1178</v>
      </c>
      <c r="AA1022" s="30">
        <v>0</v>
      </c>
      <c r="AB1022" s="36">
        <v>0</v>
      </c>
      <c r="AC1022" s="7" t="s">
        <v>1177</v>
      </c>
      <c r="AD1022" s="37">
        <v>0</v>
      </c>
      <c r="AE1022" s="7" t="s">
        <v>1177</v>
      </c>
      <c r="AF1022" s="7" t="s">
        <v>1177</v>
      </c>
      <c r="AG1022" s="7" t="s">
        <v>1177</v>
      </c>
      <c r="AH1022" s="38"/>
      <c r="AI1022" s="36">
        <v>0</v>
      </c>
      <c r="AJ1022" s="7" t="s">
        <v>1193</v>
      </c>
      <c r="AK1022" s="7" t="s">
        <v>1177</v>
      </c>
      <c r="AL1022" s="7" t="s">
        <v>1177</v>
      </c>
      <c r="AM1022" s="7" t="s">
        <v>1177</v>
      </c>
      <c r="AN1022" s="7" t="s">
        <v>3212</v>
      </c>
      <c r="AO1022" s="7" t="s">
        <v>1177</v>
      </c>
      <c r="AP1022" s="7" t="s">
        <v>1177</v>
      </c>
      <c r="AQ1022" s="7" t="s">
        <v>1177</v>
      </c>
      <c r="AR1022" s="29">
        <v>0</v>
      </c>
      <c r="AS1022" s="7" t="s">
        <v>1177</v>
      </c>
      <c r="AT1022" s="7" t="s">
        <v>1363</v>
      </c>
      <c r="AU1022" s="38">
        <v>46275</v>
      </c>
      <c r="AV1022" s="39">
        <v>0.62302083333333003</v>
      </c>
    </row>
    <row r="1023" spans="1:48" x14ac:dyDescent="0.35">
      <c r="A1023" t="str">
        <f t="shared" si="15"/>
        <v>GP241208B832</v>
      </c>
      <c r="B1023" s="7" t="s">
        <v>281</v>
      </c>
      <c r="C1023" s="7" t="s">
        <v>653</v>
      </c>
      <c r="D1023" s="7" t="s">
        <v>19</v>
      </c>
      <c r="E1023" s="7" t="s">
        <v>1177</v>
      </c>
      <c r="F1023" s="7" t="s">
        <v>128</v>
      </c>
      <c r="G1023" s="7" t="s">
        <v>130</v>
      </c>
      <c r="H1023" s="7" t="s">
        <v>129</v>
      </c>
      <c r="I1023" s="30">
        <v>2</v>
      </c>
      <c r="J1023" s="7" t="s">
        <v>1177</v>
      </c>
      <c r="K1023" s="7" t="s">
        <v>1178</v>
      </c>
      <c r="L1023" s="7" t="s">
        <v>132</v>
      </c>
      <c r="M1023" s="7" t="s">
        <v>133</v>
      </c>
      <c r="N1023" s="30">
        <v>0</v>
      </c>
      <c r="O1023" s="30">
        <v>0</v>
      </c>
      <c r="P1023" s="30">
        <v>0</v>
      </c>
      <c r="Q1023" s="30">
        <v>0</v>
      </c>
      <c r="R1023" s="29">
        <v>0</v>
      </c>
      <c r="S1023" s="36">
        <v>0</v>
      </c>
      <c r="T1023" s="7" t="s">
        <v>131</v>
      </c>
      <c r="U1023" s="7" t="s">
        <v>654</v>
      </c>
      <c r="V1023" s="7" t="s">
        <v>654</v>
      </c>
      <c r="W1023" s="7" t="s">
        <v>1177</v>
      </c>
      <c r="X1023" s="30">
        <v>1</v>
      </c>
      <c r="Y1023" s="7" t="s">
        <v>1177</v>
      </c>
      <c r="Z1023" s="7" t="s">
        <v>1178</v>
      </c>
      <c r="AA1023" s="30">
        <v>0</v>
      </c>
      <c r="AB1023" s="36">
        <v>0</v>
      </c>
      <c r="AC1023" s="7" t="s">
        <v>1177</v>
      </c>
      <c r="AD1023" s="37">
        <v>0</v>
      </c>
      <c r="AE1023" s="7" t="s">
        <v>1177</v>
      </c>
      <c r="AF1023" s="7" t="s">
        <v>1177</v>
      </c>
      <c r="AG1023" s="7" t="s">
        <v>1177</v>
      </c>
      <c r="AH1023" s="38"/>
      <c r="AI1023" s="36">
        <v>0</v>
      </c>
      <c r="AJ1023" s="7" t="s">
        <v>1193</v>
      </c>
      <c r="AK1023" s="7" t="s">
        <v>1177</v>
      </c>
      <c r="AL1023" s="7" t="s">
        <v>1177</v>
      </c>
      <c r="AM1023" s="7" t="s">
        <v>1177</v>
      </c>
      <c r="AN1023" s="7" t="s">
        <v>3212</v>
      </c>
      <c r="AO1023" s="7" t="s">
        <v>1177</v>
      </c>
      <c r="AP1023" s="7" t="s">
        <v>1177</v>
      </c>
      <c r="AQ1023" s="7" t="s">
        <v>1177</v>
      </c>
      <c r="AR1023" s="29">
        <v>0</v>
      </c>
      <c r="AS1023" s="7" t="s">
        <v>1177</v>
      </c>
      <c r="AT1023" s="7" t="s">
        <v>1363</v>
      </c>
      <c r="AU1023" s="38">
        <v>46275</v>
      </c>
      <c r="AV1023" s="39">
        <v>0.62337962962963001</v>
      </c>
    </row>
    <row r="1024" spans="1:48" x14ac:dyDescent="0.35">
      <c r="A1024" t="str">
        <f t="shared" si="15"/>
        <v>GP241208B838</v>
      </c>
      <c r="B1024" s="7" t="s">
        <v>281</v>
      </c>
      <c r="C1024" s="7" t="s">
        <v>744</v>
      </c>
      <c r="D1024" s="7" t="s">
        <v>48</v>
      </c>
      <c r="E1024" s="7" t="s">
        <v>1177</v>
      </c>
      <c r="F1024" s="7" t="s">
        <v>128</v>
      </c>
      <c r="G1024" s="7" t="s">
        <v>130</v>
      </c>
      <c r="H1024" s="7" t="s">
        <v>129</v>
      </c>
      <c r="I1024" s="30">
        <v>2</v>
      </c>
      <c r="J1024" s="7" t="s">
        <v>1177</v>
      </c>
      <c r="K1024" s="7" t="s">
        <v>1178</v>
      </c>
      <c r="L1024" s="7" t="s">
        <v>132</v>
      </c>
      <c r="M1024" s="7" t="s">
        <v>133</v>
      </c>
      <c r="N1024" s="30">
        <v>0</v>
      </c>
      <c r="O1024" s="30">
        <v>0</v>
      </c>
      <c r="P1024" s="30">
        <v>0</v>
      </c>
      <c r="Q1024" s="30">
        <v>0</v>
      </c>
      <c r="R1024" s="29">
        <v>0</v>
      </c>
      <c r="S1024" s="36">
        <v>0</v>
      </c>
      <c r="T1024" s="7" t="s">
        <v>131</v>
      </c>
      <c r="U1024" s="7" t="s">
        <v>745</v>
      </c>
      <c r="V1024" s="7" t="s">
        <v>745</v>
      </c>
      <c r="W1024" s="7" t="s">
        <v>1177</v>
      </c>
      <c r="X1024" s="30">
        <v>1</v>
      </c>
      <c r="Y1024" s="7" t="s">
        <v>1177</v>
      </c>
      <c r="Z1024" s="7" t="s">
        <v>1178</v>
      </c>
      <c r="AA1024" s="30">
        <v>0</v>
      </c>
      <c r="AB1024" s="36">
        <v>0</v>
      </c>
      <c r="AC1024" s="7" t="s">
        <v>1177</v>
      </c>
      <c r="AD1024" s="37">
        <v>0</v>
      </c>
      <c r="AE1024" s="7" t="s">
        <v>1177</v>
      </c>
      <c r="AF1024" s="7" t="s">
        <v>1177</v>
      </c>
      <c r="AG1024" s="7" t="s">
        <v>1177</v>
      </c>
      <c r="AH1024" s="38"/>
      <c r="AI1024" s="36">
        <v>0</v>
      </c>
      <c r="AJ1024" s="7" t="s">
        <v>1193</v>
      </c>
      <c r="AK1024" s="7" t="s">
        <v>1177</v>
      </c>
      <c r="AL1024" s="7" t="s">
        <v>1177</v>
      </c>
      <c r="AM1024" s="7" t="s">
        <v>1177</v>
      </c>
      <c r="AN1024" s="7" t="s">
        <v>3212</v>
      </c>
      <c r="AO1024" s="7" t="s">
        <v>1177</v>
      </c>
      <c r="AP1024" s="7" t="s">
        <v>1177</v>
      </c>
      <c r="AQ1024" s="7" t="s">
        <v>1177</v>
      </c>
      <c r="AR1024" s="29">
        <v>0</v>
      </c>
      <c r="AS1024" s="7" t="s">
        <v>1177</v>
      </c>
      <c r="AT1024" s="7" t="s">
        <v>1363</v>
      </c>
      <c r="AU1024" s="38">
        <v>46275</v>
      </c>
      <c r="AV1024" s="39">
        <v>0.62418981481480995</v>
      </c>
    </row>
    <row r="1025" spans="1:48" x14ac:dyDescent="0.35">
      <c r="A1025" t="str">
        <f t="shared" si="15"/>
        <v>GP241262B867</v>
      </c>
      <c r="B1025" s="7" t="s">
        <v>1066</v>
      </c>
      <c r="C1025" s="7" t="s">
        <v>1059</v>
      </c>
      <c r="D1025" s="7" t="s">
        <v>25</v>
      </c>
      <c r="E1025" s="7" t="s">
        <v>1177</v>
      </c>
      <c r="F1025" s="7" t="s">
        <v>128</v>
      </c>
      <c r="G1025" s="7" t="s">
        <v>130</v>
      </c>
      <c r="H1025" s="7" t="s">
        <v>129</v>
      </c>
      <c r="I1025" s="30">
        <v>2</v>
      </c>
      <c r="J1025" s="7" t="s">
        <v>1177</v>
      </c>
      <c r="K1025" s="7" t="s">
        <v>1178</v>
      </c>
      <c r="L1025" s="7" t="s">
        <v>132</v>
      </c>
      <c r="M1025" s="7" t="s">
        <v>133</v>
      </c>
      <c r="N1025" s="30">
        <v>0</v>
      </c>
      <c r="O1025" s="30">
        <v>0</v>
      </c>
      <c r="P1025" s="30">
        <v>0</v>
      </c>
      <c r="Q1025" s="30">
        <v>0</v>
      </c>
      <c r="R1025" s="29">
        <v>0</v>
      </c>
      <c r="S1025" s="36">
        <v>0</v>
      </c>
      <c r="T1025" s="7" t="s">
        <v>131</v>
      </c>
      <c r="U1025" s="7" t="s">
        <v>1060</v>
      </c>
      <c r="V1025" s="7" t="s">
        <v>1060</v>
      </c>
      <c r="W1025" s="7" t="s">
        <v>1177</v>
      </c>
      <c r="X1025" s="30">
        <v>1</v>
      </c>
      <c r="Y1025" s="7" t="s">
        <v>1177</v>
      </c>
      <c r="Z1025" s="7" t="s">
        <v>1178</v>
      </c>
      <c r="AA1025" s="30">
        <v>0</v>
      </c>
      <c r="AB1025" s="36">
        <v>0</v>
      </c>
      <c r="AC1025" s="7" t="s">
        <v>1177</v>
      </c>
      <c r="AD1025" s="37">
        <v>0</v>
      </c>
      <c r="AE1025" s="7" t="s">
        <v>1177</v>
      </c>
      <c r="AF1025" s="7" t="s">
        <v>1177</v>
      </c>
      <c r="AG1025" s="7" t="s">
        <v>1177</v>
      </c>
      <c r="AH1025" s="38"/>
      <c r="AI1025" s="36">
        <v>0</v>
      </c>
      <c r="AJ1025" s="7" t="s">
        <v>1193</v>
      </c>
      <c r="AK1025" s="7" t="s">
        <v>1177</v>
      </c>
      <c r="AL1025" s="7" t="s">
        <v>1177</v>
      </c>
      <c r="AM1025" s="7" t="s">
        <v>1177</v>
      </c>
      <c r="AN1025" s="7" t="s">
        <v>3212</v>
      </c>
      <c r="AO1025" s="7" t="s">
        <v>1177</v>
      </c>
      <c r="AP1025" s="7" t="s">
        <v>1177</v>
      </c>
      <c r="AQ1025" s="7" t="s">
        <v>1177</v>
      </c>
      <c r="AR1025" s="29">
        <v>0</v>
      </c>
      <c r="AS1025" s="7" t="s">
        <v>1177</v>
      </c>
      <c r="AT1025" s="7" t="s">
        <v>1363</v>
      </c>
      <c r="AU1025" s="38">
        <v>46275</v>
      </c>
      <c r="AV1025" s="39">
        <v>0.62736111111111004</v>
      </c>
    </row>
    <row r="1026" spans="1:48" x14ac:dyDescent="0.35">
      <c r="A1026" t="str">
        <f t="shared" si="15"/>
        <v>GP241858B825</v>
      </c>
      <c r="B1026" s="7" t="s">
        <v>70</v>
      </c>
      <c r="C1026" s="7" t="s">
        <v>511</v>
      </c>
      <c r="D1026" s="7" t="s">
        <v>16</v>
      </c>
      <c r="E1026" s="7" t="s">
        <v>1177</v>
      </c>
      <c r="F1026" s="7" t="s">
        <v>128</v>
      </c>
      <c r="G1026" s="7" t="s">
        <v>130</v>
      </c>
      <c r="H1026" s="7" t="s">
        <v>129</v>
      </c>
      <c r="I1026" s="30">
        <v>2</v>
      </c>
      <c r="J1026" s="7" t="s">
        <v>1177</v>
      </c>
      <c r="K1026" s="7" t="s">
        <v>1178</v>
      </c>
      <c r="L1026" s="7" t="s">
        <v>132</v>
      </c>
      <c r="M1026" s="7" t="s">
        <v>133</v>
      </c>
      <c r="N1026" s="30">
        <v>0</v>
      </c>
      <c r="O1026" s="30">
        <v>0</v>
      </c>
      <c r="P1026" s="30">
        <v>0</v>
      </c>
      <c r="Q1026" s="30">
        <v>0</v>
      </c>
      <c r="R1026" s="29">
        <v>0</v>
      </c>
      <c r="S1026" s="36">
        <v>0</v>
      </c>
      <c r="T1026" s="7" t="s">
        <v>131</v>
      </c>
      <c r="U1026" s="7" t="s">
        <v>512</v>
      </c>
      <c r="V1026" s="7" t="s">
        <v>512</v>
      </c>
      <c r="W1026" s="7" t="s">
        <v>1177</v>
      </c>
      <c r="X1026" s="30">
        <v>1</v>
      </c>
      <c r="Y1026" s="7" t="s">
        <v>1177</v>
      </c>
      <c r="Z1026" s="7" t="s">
        <v>1178</v>
      </c>
      <c r="AA1026" s="30">
        <v>0</v>
      </c>
      <c r="AB1026" s="36">
        <v>0</v>
      </c>
      <c r="AC1026" s="7" t="s">
        <v>1177</v>
      </c>
      <c r="AD1026" s="37">
        <v>0</v>
      </c>
      <c r="AE1026" s="7" t="s">
        <v>1177</v>
      </c>
      <c r="AF1026" s="7" t="s">
        <v>1177</v>
      </c>
      <c r="AG1026" s="7" t="s">
        <v>1177</v>
      </c>
      <c r="AH1026" s="38"/>
      <c r="AI1026" s="36">
        <v>0</v>
      </c>
      <c r="AJ1026" s="7" t="s">
        <v>1193</v>
      </c>
      <c r="AK1026" s="7" t="s">
        <v>1177</v>
      </c>
      <c r="AL1026" s="7" t="s">
        <v>1177</v>
      </c>
      <c r="AM1026" s="7" t="s">
        <v>1177</v>
      </c>
      <c r="AN1026" s="7" t="s">
        <v>3212</v>
      </c>
      <c r="AO1026" s="7" t="s">
        <v>1177</v>
      </c>
      <c r="AP1026" s="7" t="s">
        <v>1177</v>
      </c>
      <c r="AQ1026" s="7" t="s">
        <v>1177</v>
      </c>
      <c r="AR1026" s="29">
        <v>0</v>
      </c>
      <c r="AS1026" s="7" t="s">
        <v>1177</v>
      </c>
      <c r="AT1026" s="7" t="s">
        <v>1363</v>
      </c>
      <c r="AU1026" s="38">
        <v>46275</v>
      </c>
      <c r="AV1026" s="39">
        <v>0.62302083333333003</v>
      </c>
    </row>
    <row r="1027" spans="1:48" x14ac:dyDescent="0.35">
      <c r="A1027" t="str">
        <f t="shared" ref="A1027:A1090" si="16">_xlfn.CONCAT(B1027,D1027)</f>
        <v>GP241858B832</v>
      </c>
      <c r="B1027" s="7" t="s">
        <v>70</v>
      </c>
      <c r="C1027" s="7" t="s">
        <v>653</v>
      </c>
      <c r="D1027" s="7" t="s">
        <v>19</v>
      </c>
      <c r="E1027" s="7" t="s">
        <v>1177</v>
      </c>
      <c r="F1027" s="7" t="s">
        <v>128</v>
      </c>
      <c r="G1027" s="7" t="s">
        <v>130</v>
      </c>
      <c r="H1027" s="7" t="s">
        <v>129</v>
      </c>
      <c r="I1027" s="30">
        <v>2</v>
      </c>
      <c r="J1027" s="7" t="s">
        <v>1177</v>
      </c>
      <c r="K1027" s="7" t="s">
        <v>1178</v>
      </c>
      <c r="L1027" s="7" t="s">
        <v>132</v>
      </c>
      <c r="M1027" s="7" t="s">
        <v>133</v>
      </c>
      <c r="N1027" s="30">
        <v>0</v>
      </c>
      <c r="O1027" s="30">
        <v>0</v>
      </c>
      <c r="P1027" s="30">
        <v>0</v>
      </c>
      <c r="Q1027" s="30">
        <v>0</v>
      </c>
      <c r="R1027" s="29">
        <v>0</v>
      </c>
      <c r="S1027" s="36">
        <v>0</v>
      </c>
      <c r="T1027" s="7" t="s">
        <v>131</v>
      </c>
      <c r="U1027" s="7" t="s">
        <v>654</v>
      </c>
      <c r="V1027" s="7" t="s">
        <v>654</v>
      </c>
      <c r="W1027" s="7" t="s">
        <v>1177</v>
      </c>
      <c r="X1027" s="30">
        <v>1</v>
      </c>
      <c r="Y1027" s="7" t="s">
        <v>1177</v>
      </c>
      <c r="Z1027" s="7" t="s">
        <v>1178</v>
      </c>
      <c r="AA1027" s="30">
        <v>0</v>
      </c>
      <c r="AB1027" s="36">
        <v>0</v>
      </c>
      <c r="AC1027" s="7" t="s">
        <v>1177</v>
      </c>
      <c r="AD1027" s="37">
        <v>0</v>
      </c>
      <c r="AE1027" s="7" t="s">
        <v>1177</v>
      </c>
      <c r="AF1027" s="7" t="s">
        <v>1177</v>
      </c>
      <c r="AG1027" s="7" t="s">
        <v>1177</v>
      </c>
      <c r="AH1027" s="38"/>
      <c r="AI1027" s="36">
        <v>0</v>
      </c>
      <c r="AJ1027" s="7" t="s">
        <v>1193</v>
      </c>
      <c r="AK1027" s="7" t="s">
        <v>1177</v>
      </c>
      <c r="AL1027" s="7" t="s">
        <v>1177</v>
      </c>
      <c r="AM1027" s="7" t="s">
        <v>1177</v>
      </c>
      <c r="AN1027" s="7" t="s">
        <v>3212</v>
      </c>
      <c r="AO1027" s="7" t="s">
        <v>1177</v>
      </c>
      <c r="AP1027" s="7" t="s">
        <v>1177</v>
      </c>
      <c r="AQ1027" s="7" t="s">
        <v>1177</v>
      </c>
      <c r="AR1027" s="29">
        <v>0</v>
      </c>
      <c r="AS1027" s="7" t="s">
        <v>1177</v>
      </c>
      <c r="AT1027" s="7" t="s">
        <v>1363</v>
      </c>
      <c r="AU1027" s="38">
        <v>46275</v>
      </c>
      <c r="AV1027" s="39">
        <v>0.62337962962963001</v>
      </c>
    </row>
    <row r="1028" spans="1:48" x14ac:dyDescent="0.35">
      <c r="A1028" t="str">
        <f t="shared" si="16"/>
        <v>GP241858B833</v>
      </c>
      <c r="B1028" s="7" t="s">
        <v>70</v>
      </c>
      <c r="C1028" s="7" t="s">
        <v>698</v>
      </c>
      <c r="D1028" s="7" t="s">
        <v>697</v>
      </c>
      <c r="E1028" s="7" t="s">
        <v>1177</v>
      </c>
      <c r="F1028" s="7" t="s">
        <v>128</v>
      </c>
      <c r="G1028" s="7" t="s">
        <v>130</v>
      </c>
      <c r="H1028" s="7" t="s">
        <v>129</v>
      </c>
      <c r="I1028" s="30">
        <v>2</v>
      </c>
      <c r="J1028" s="7" t="s">
        <v>1177</v>
      </c>
      <c r="K1028" s="7" t="s">
        <v>1178</v>
      </c>
      <c r="L1028" s="7" t="s">
        <v>132</v>
      </c>
      <c r="M1028" s="7" t="s">
        <v>133</v>
      </c>
      <c r="N1028" s="30">
        <v>0</v>
      </c>
      <c r="O1028" s="30">
        <v>0</v>
      </c>
      <c r="P1028" s="30">
        <v>0</v>
      </c>
      <c r="Q1028" s="30">
        <v>0</v>
      </c>
      <c r="R1028" s="29">
        <v>0</v>
      </c>
      <c r="S1028" s="36">
        <v>0</v>
      </c>
      <c r="T1028" s="7" t="s">
        <v>131</v>
      </c>
      <c r="U1028" s="7" t="s">
        <v>699</v>
      </c>
      <c r="V1028" s="7" t="s">
        <v>699</v>
      </c>
      <c r="W1028" s="7" t="s">
        <v>1177</v>
      </c>
      <c r="X1028" s="30">
        <v>1</v>
      </c>
      <c r="Y1028" s="7" t="s">
        <v>1177</v>
      </c>
      <c r="Z1028" s="7" t="s">
        <v>1178</v>
      </c>
      <c r="AA1028" s="30">
        <v>0</v>
      </c>
      <c r="AB1028" s="36">
        <v>0</v>
      </c>
      <c r="AC1028" s="7" t="s">
        <v>1177</v>
      </c>
      <c r="AD1028" s="37">
        <v>0</v>
      </c>
      <c r="AE1028" s="7" t="s">
        <v>1177</v>
      </c>
      <c r="AF1028" s="7" t="s">
        <v>1177</v>
      </c>
      <c r="AG1028" s="7" t="s">
        <v>1177</v>
      </c>
      <c r="AH1028" s="38"/>
      <c r="AI1028" s="36">
        <v>0</v>
      </c>
      <c r="AJ1028" s="7" t="s">
        <v>1193</v>
      </c>
      <c r="AK1028" s="7" t="s">
        <v>1177</v>
      </c>
      <c r="AL1028" s="7" t="s">
        <v>1177</v>
      </c>
      <c r="AM1028" s="7" t="s">
        <v>1177</v>
      </c>
      <c r="AN1028" s="7" t="s">
        <v>3212</v>
      </c>
      <c r="AO1028" s="7" t="s">
        <v>1177</v>
      </c>
      <c r="AP1028" s="7" t="s">
        <v>1177</v>
      </c>
      <c r="AQ1028" s="7" t="s">
        <v>1177</v>
      </c>
      <c r="AR1028" s="29">
        <v>0</v>
      </c>
      <c r="AS1028" s="7" t="s">
        <v>1177</v>
      </c>
      <c r="AT1028" s="7" t="s">
        <v>1363</v>
      </c>
      <c r="AU1028" s="38">
        <v>46275</v>
      </c>
      <c r="AV1028" s="39">
        <v>0.62350694444443999</v>
      </c>
    </row>
    <row r="1029" spans="1:48" x14ac:dyDescent="0.35">
      <c r="A1029" t="str">
        <f t="shared" si="16"/>
        <v>GP243455B857</v>
      </c>
      <c r="B1029" s="7" t="s">
        <v>972</v>
      </c>
      <c r="C1029" s="7" t="s">
        <v>958</v>
      </c>
      <c r="D1029" s="7" t="s">
        <v>23</v>
      </c>
      <c r="E1029" s="7" t="s">
        <v>1177</v>
      </c>
      <c r="F1029" s="7" t="s">
        <v>128</v>
      </c>
      <c r="G1029" s="7" t="s">
        <v>130</v>
      </c>
      <c r="H1029" s="7" t="s">
        <v>129</v>
      </c>
      <c r="I1029" s="30">
        <v>2</v>
      </c>
      <c r="J1029" s="7" t="s">
        <v>1177</v>
      </c>
      <c r="K1029" s="7" t="s">
        <v>1178</v>
      </c>
      <c r="L1029" s="7" t="s">
        <v>132</v>
      </c>
      <c r="M1029" s="7" t="s">
        <v>133</v>
      </c>
      <c r="N1029" s="30">
        <v>0</v>
      </c>
      <c r="O1029" s="30">
        <v>0</v>
      </c>
      <c r="P1029" s="30">
        <v>0</v>
      </c>
      <c r="Q1029" s="30">
        <v>0</v>
      </c>
      <c r="R1029" s="29">
        <v>0</v>
      </c>
      <c r="S1029" s="36">
        <v>0</v>
      </c>
      <c r="T1029" s="7" t="s">
        <v>131</v>
      </c>
      <c r="U1029" s="7" t="s">
        <v>959</v>
      </c>
      <c r="V1029" s="7" t="s">
        <v>959</v>
      </c>
      <c r="W1029" s="7" t="s">
        <v>1177</v>
      </c>
      <c r="X1029" s="30">
        <v>1</v>
      </c>
      <c r="Y1029" s="7" t="s">
        <v>1177</v>
      </c>
      <c r="Z1029" s="7" t="s">
        <v>1178</v>
      </c>
      <c r="AA1029" s="30">
        <v>0</v>
      </c>
      <c r="AB1029" s="36">
        <v>0</v>
      </c>
      <c r="AC1029" s="7" t="s">
        <v>1177</v>
      </c>
      <c r="AD1029" s="37">
        <v>0</v>
      </c>
      <c r="AE1029" s="7" t="s">
        <v>1177</v>
      </c>
      <c r="AF1029" s="7" t="s">
        <v>1177</v>
      </c>
      <c r="AG1029" s="7" t="s">
        <v>1177</v>
      </c>
      <c r="AH1029" s="38"/>
      <c r="AI1029" s="36">
        <v>0</v>
      </c>
      <c r="AJ1029" s="7" t="s">
        <v>1193</v>
      </c>
      <c r="AK1029" s="7" t="s">
        <v>1177</v>
      </c>
      <c r="AL1029" s="7" t="s">
        <v>1177</v>
      </c>
      <c r="AM1029" s="7" t="s">
        <v>1177</v>
      </c>
      <c r="AN1029" s="7" t="s">
        <v>3212</v>
      </c>
      <c r="AO1029" s="7" t="s">
        <v>1177</v>
      </c>
      <c r="AP1029" s="7" t="s">
        <v>1177</v>
      </c>
      <c r="AQ1029" s="7" t="s">
        <v>1177</v>
      </c>
      <c r="AR1029" s="29">
        <v>0</v>
      </c>
      <c r="AS1029" s="7" t="s">
        <v>1177</v>
      </c>
      <c r="AT1029" s="7" t="s">
        <v>1363</v>
      </c>
      <c r="AU1029" s="38">
        <v>46275</v>
      </c>
      <c r="AV1029" s="39">
        <v>0.62495370370369996</v>
      </c>
    </row>
    <row r="1030" spans="1:48" x14ac:dyDescent="0.35">
      <c r="A1030" t="str">
        <f t="shared" si="16"/>
        <v>GP243455B864</v>
      </c>
      <c r="B1030" s="7" t="s">
        <v>972</v>
      </c>
      <c r="C1030" s="7" t="s">
        <v>1010</v>
      </c>
      <c r="D1030" s="7" t="s">
        <v>10</v>
      </c>
      <c r="E1030" s="7" t="s">
        <v>1177</v>
      </c>
      <c r="F1030" s="7" t="s">
        <v>128</v>
      </c>
      <c r="G1030" s="7" t="s">
        <v>130</v>
      </c>
      <c r="H1030" s="7" t="s">
        <v>129</v>
      </c>
      <c r="I1030" s="30">
        <v>2</v>
      </c>
      <c r="J1030" s="7" t="s">
        <v>1177</v>
      </c>
      <c r="K1030" s="7" t="s">
        <v>1178</v>
      </c>
      <c r="L1030" s="7" t="s">
        <v>132</v>
      </c>
      <c r="M1030" s="7" t="s">
        <v>133</v>
      </c>
      <c r="N1030" s="30">
        <v>0</v>
      </c>
      <c r="O1030" s="30">
        <v>0</v>
      </c>
      <c r="P1030" s="30">
        <v>0</v>
      </c>
      <c r="Q1030" s="30">
        <v>0</v>
      </c>
      <c r="R1030" s="29">
        <v>0</v>
      </c>
      <c r="S1030" s="36">
        <v>0</v>
      </c>
      <c r="T1030" s="7" t="s">
        <v>131</v>
      </c>
      <c r="U1030" s="7" t="s">
        <v>1011</v>
      </c>
      <c r="V1030" s="7" t="s">
        <v>1011</v>
      </c>
      <c r="W1030" s="7" t="s">
        <v>1177</v>
      </c>
      <c r="X1030" s="30">
        <v>1</v>
      </c>
      <c r="Y1030" s="7" t="s">
        <v>1177</v>
      </c>
      <c r="Z1030" s="7" t="s">
        <v>1178</v>
      </c>
      <c r="AA1030" s="30">
        <v>0</v>
      </c>
      <c r="AB1030" s="36">
        <v>0</v>
      </c>
      <c r="AC1030" s="7" t="s">
        <v>1177</v>
      </c>
      <c r="AD1030" s="37">
        <v>0</v>
      </c>
      <c r="AE1030" s="7" t="s">
        <v>1177</v>
      </c>
      <c r="AF1030" s="7" t="s">
        <v>1177</v>
      </c>
      <c r="AG1030" s="7" t="s">
        <v>1177</v>
      </c>
      <c r="AH1030" s="38"/>
      <c r="AI1030" s="36">
        <v>0</v>
      </c>
      <c r="AJ1030" s="7" t="s">
        <v>1193</v>
      </c>
      <c r="AK1030" s="7" t="s">
        <v>1177</v>
      </c>
      <c r="AL1030" s="7" t="s">
        <v>1177</v>
      </c>
      <c r="AM1030" s="7" t="s">
        <v>1177</v>
      </c>
      <c r="AN1030" s="7" t="s">
        <v>3212</v>
      </c>
      <c r="AO1030" s="7" t="s">
        <v>1177</v>
      </c>
      <c r="AP1030" s="7" t="s">
        <v>1177</v>
      </c>
      <c r="AQ1030" s="7" t="s">
        <v>1177</v>
      </c>
      <c r="AR1030" s="29">
        <v>0</v>
      </c>
      <c r="AS1030" s="7" t="s">
        <v>1177</v>
      </c>
      <c r="AT1030" s="7" t="s">
        <v>1363</v>
      </c>
      <c r="AU1030" s="38">
        <v>46275</v>
      </c>
      <c r="AV1030" s="39">
        <v>0.62645833333333001</v>
      </c>
    </row>
    <row r="1031" spans="1:48" x14ac:dyDescent="0.35">
      <c r="A1031" t="str">
        <f t="shared" si="16"/>
        <v>GP243455B865</v>
      </c>
      <c r="B1031" s="7" t="s">
        <v>972</v>
      </c>
      <c r="C1031" s="7" t="s">
        <v>1039</v>
      </c>
      <c r="D1031" s="7" t="s">
        <v>7</v>
      </c>
      <c r="E1031" s="7" t="s">
        <v>1177</v>
      </c>
      <c r="F1031" s="7" t="s">
        <v>128</v>
      </c>
      <c r="G1031" s="7" t="s">
        <v>130</v>
      </c>
      <c r="H1031" s="7" t="s">
        <v>129</v>
      </c>
      <c r="I1031" s="30">
        <v>2</v>
      </c>
      <c r="J1031" s="7" t="s">
        <v>1177</v>
      </c>
      <c r="K1031" s="7" t="s">
        <v>1178</v>
      </c>
      <c r="L1031" s="7" t="s">
        <v>132</v>
      </c>
      <c r="M1031" s="7" t="s">
        <v>133</v>
      </c>
      <c r="N1031" s="30">
        <v>0</v>
      </c>
      <c r="O1031" s="30">
        <v>0</v>
      </c>
      <c r="P1031" s="30">
        <v>0</v>
      </c>
      <c r="Q1031" s="30">
        <v>0</v>
      </c>
      <c r="R1031" s="29">
        <v>0</v>
      </c>
      <c r="S1031" s="36">
        <v>0</v>
      </c>
      <c r="T1031" s="7" t="s">
        <v>131</v>
      </c>
      <c r="U1031" s="7" t="s">
        <v>1040</v>
      </c>
      <c r="V1031" s="7" t="s">
        <v>1040</v>
      </c>
      <c r="W1031" s="7" t="s">
        <v>1177</v>
      </c>
      <c r="X1031" s="30">
        <v>1</v>
      </c>
      <c r="Y1031" s="7" t="s">
        <v>1177</v>
      </c>
      <c r="Z1031" s="7" t="s">
        <v>1178</v>
      </c>
      <c r="AA1031" s="30">
        <v>0</v>
      </c>
      <c r="AB1031" s="36">
        <v>0</v>
      </c>
      <c r="AC1031" s="7" t="s">
        <v>1177</v>
      </c>
      <c r="AD1031" s="37">
        <v>0</v>
      </c>
      <c r="AE1031" s="7" t="s">
        <v>1177</v>
      </c>
      <c r="AF1031" s="7" t="s">
        <v>1177</v>
      </c>
      <c r="AG1031" s="7" t="s">
        <v>1177</v>
      </c>
      <c r="AH1031" s="38"/>
      <c r="AI1031" s="36">
        <v>0</v>
      </c>
      <c r="AJ1031" s="7" t="s">
        <v>1193</v>
      </c>
      <c r="AK1031" s="7" t="s">
        <v>1177</v>
      </c>
      <c r="AL1031" s="7" t="s">
        <v>1177</v>
      </c>
      <c r="AM1031" s="7" t="s">
        <v>1177</v>
      </c>
      <c r="AN1031" s="7" t="s">
        <v>3212</v>
      </c>
      <c r="AO1031" s="7" t="s">
        <v>1177</v>
      </c>
      <c r="AP1031" s="7" t="s">
        <v>1177</v>
      </c>
      <c r="AQ1031" s="7" t="s">
        <v>1177</v>
      </c>
      <c r="AR1031" s="29">
        <v>0</v>
      </c>
      <c r="AS1031" s="7" t="s">
        <v>1177</v>
      </c>
      <c r="AT1031" s="7" t="s">
        <v>1363</v>
      </c>
      <c r="AU1031" s="38">
        <v>46275</v>
      </c>
      <c r="AV1031" s="39">
        <v>0.62666666666667004</v>
      </c>
    </row>
    <row r="1032" spans="1:48" x14ac:dyDescent="0.35">
      <c r="A1032" t="str">
        <f t="shared" si="16"/>
        <v>GP243455B867</v>
      </c>
      <c r="B1032" s="7" t="s">
        <v>972</v>
      </c>
      <c r="C1032" s="7" t="s">
        <v>1059</v>
      </c>
      <c r="D1032" s="7" t="s">
        <v>25</v>
      </c>
      <c r="E1032" s="7" t="s">
        <v>1177</v>
      </c>
      <c r="F1032" s="7" t="s">
        <v>128</v>
      </c>
      <c r="G1032" s="7" t="s">
        <v>130</v>
      </c>
      <c r="H1032" s="7" t="s">
        <v>129</v>
      </c>
      <c r="I1032" s="30">
        <v>2</v>
      </c>
      <c r="J1032" s="7" t="s">
        <v>1177</v>
      </c>
      <c r="K1032" s="7" t="s">
        <v>1178</v>
      </c>
      <c r="L1032" s="7" t="s">
        <v>132</v>
      </c>
      <c r="M1032" s="7" t="s">
        <v>133</v>
      </c>
      <c r="N1032" s="30">
        <v>0</v>
      </c>
      <c r="O1032" s="30">
        <v>0</v>
      </c>
      <c r="P1032" s="30">
        <v>0</v>
      </c>
      <c r="Q1032" s="30">
        <v>0</v>
      </c>
      <c r="R1032" s="29">
        <v>0</v>
      </c>
      <c r="S1032" s="36">
        <v>0</v>
      </c>
      <c r="T1032" s="7" t="s">
        <v>131</v>
      </c>
      <c r="U1032" s="7" t="s">
        <v>1060</v>
      </c>
      <c r="V1032" s="7" t="s">
        <v>1060</v>
      </c>
      <c r="W1032" s="7" t="s">
        <v>1177</v>
      </c>
      <c r="X1032" s="30">
        <v>1</v>
      </c>
      <c r="Y1032" s="7" t="s">
        <v>1177</v>
      </c>
      <c r="Z1032" s="7" t="s">
        <v>1178</v>
      </c>
      <c r="AA1032" s="30">
        <v>0</v>
      </c>
      <c r="AB1032" s="36">
        <v>0</v>
      </c>
      <c r="AC1032" s="7" t="s">
        <v>1177</v>
      </c>
      <c r="AD1032" s="37">
        <v>0</v>
      </c>
      <c r="AE1032" s="7" t="s">
        <v>1177</v>
      </c>
      <c r="AF1032" s="7" t="s">
        <v>1177</v>
      </c>
      <c r="AG1032" s="7" t="s">
        <v>1177</v>
      </c>
      <c r="AH1032" s="38"/>
      <c r="AI1032" s="36">
        <v>0</v>
      </c>
      <c r="AJ1032" s="7" t="s">
        <v>1193</v>
      </c>
      <c r="AK1032" s="7" t="s">
        <v>1177</v>
      </c>
      <c r="AL1032" s="7" t="s">
        <v>1177</v>
      </c>
      <c r="AM1032" s="7" t="s">
        <v>1177</v>
      </c>
      <c r="AN1032" s="7" t="s">
        <v>3212</v>
      </c>
      <c r="AO1032" s="7" t="s">
        <v>1177</v>
      </c>
      <c r="AP1032" s="7" t="s">
        <v>1177</v>
      </c>
      <c r="AQ1032" s="7" t="s">
        <v>1177</v>
      </c>
      <c r="AR1032" s="29">
        <v>0</v>
      </c>
      <c r="AS1032" s="7" t="s">
        <v>1177</v>
      </c>
      <c r="AT1032" s="7" t="s">
        <v>1363</v>
      </c>
      <c r="AU1032" s="38">
        <v>46275</v>
      </c>
      <c r="AV1032" s="39">
        <v>0.62736111111111004</v>
      </c>
    </row>
    <row r="1033" spans="1:48" x14ac:dyDescent="0.35">
      <c r="A1033" t="str">
        <f t="shared" si="16"/>
        <v>GP243465B856</v>
      </c>
      <c r="B1033" s="7" t="s">
        <v>868</v>
      </c>
      <c r="C1033" s="7" t="s">
        <v>852</v>
      </c>
      <c r="D1033" s="7" t="s">
        <v>21</v>
      </c>
      <c r="E1033" s="7" t="s">
        <v>1177</v>
      </c>
      <c r="F1033" s="7" t="s">
        <v>128</v>
      </c>
      <c r="G1033" s="7" t="s">
        <v>130</v>
      </c>
      <c r="H1033" s="7" t="s">
        <v>129</v>
      </c>
      <c r="I1033" s="30">
        <v>1</v>
      </c>
      <c r="J1033" s="7" t="s">
        <v>1177</v>
      </c>
      <c r="K1033" s="7" t="s">
        <v>1178</v>
      </c>
      <c r="L1033" s="7" t="s">
        <v>132</v>
      </c>
      <c r="M1033" s="7" t="s">
        <v>133</v>
      </c>
      <c r="N1033" s="30">
        <v>0</v>
      </c>
      <c r="O1033" s="30">
        <v>0</v>
      </c>
      <c r="P1033" s="30">
        <v>0</v>
      </c>
      <c r="Q1033" s="30">
        <v>0</v>
      </c>
      <c r="R1033" s="29">
        <v>0</v>
      </c>
      <c r="S1033" s="36">
        <v>0</v>
      </c>
      <c r="T1033" s="7" t="s">
        <v>131</v>
      </c>
      <c r="U1033" s="7" t="s">
        <v>853</v>
      </c>
      <c r="V1033" s="7" t="s">
        <v>853</v>
      </c>
      <c r="W1033" s="7" t="s">
        <v>1177</v>
      </c>
      <c r="X1033" s="30">
        <v>1</v>
      </c>
      <c r="Y1033" s="7" t="s">
        <v>1177</v>
      </c>
      <c r="Z1033" s="7" t="s">
        <v>1178</v>
      </c>
      <c r="AA1033" s="30">
        <v>0</v>
      </c>
      <c r="AB1033" s="36">
        <v>0</v>
      </c>
      <c r="AC1033" s="7" t="s">
        <v>1177</v>
      </c>
      <c r="AD1033" s="37">
        <v>0</v>
      </c>
      <c r="AE1033" s="7" t="s">
        <v>1177</v>
      </c>
      <c r="AF1033" s="7" t="s">
        <v>1177</v>
      </c>
      <c r="AG1033" s="7" t="s">
        <v>1177</v>
      </c>
      <c r="AH1033" s="38"/>
      <c r="AI1033" s="36">
        <v>0</v>
      </c>
      <c r="AJ1033" s="7" t="s">
        <v>1193</v>
      </c>
      <c r="AK1033" s="7" t="s">
        <v>1177</v>
      </c>
      <c r="AL1033" s="7" t="s">
        <v>1177</v>
      </c>
      <c r="AM1033" s="7" t="s">
        <v>1177</v>
      </c>
      <c r="AN1033" s="7" t="s">
        <v>3212</v>
      </c>
      <c r="AO1033" s="7" t="s">
        <v>1177</v>
      </c>
      <c r="AP1033" s="7" t="s">
        <v>1177</v>
      </c>
      <c r="AQ1033" s="7" t="s">
        <v>1177</v>
      </c>
      <c r="AR1033" s="29">
        <v>0</v>
      </c>
      <c r="AS1033" s="7" t="s">
        <v>1177</v>
      </c>
      <c r="AT1033" s="7" t="s">
        <v>1363</v>
      </c>
      <c r="AU1033" s="38">
        <v>46275</v>
      </c>
      <c r="AV1033" s="39">
        <v>0.62488425925926006</v>
      </c>
    </row>
    <row r="1034" spans="1:48" x14ac:dyDescent="0.35">
      <c r="A1034" t="str">
        <f t="shared" si="16"/>
        <v>GP243465B865</v>
      </c>
      <c r="B1034" s="7" t="s">
        <v>868</v>
      </c>
      <c r="C1034" s="7" t="s">
        <v>1039</v>
      </c>
      <c r="D1034" s="7" t="s">
        <v>7</v>
      </c>
      <c r="E1034" s="7" t="s">
        <v>1177</v>
      </c>
      <c r="F1034" s="7" t="s">
        <v>128</v>
      </c>
      <c r="G1034" s="7" t="s">
        <v>130</v>
      </c>
      <c r="H1034" s="7" t="s">
        <v>129</v>
      </c>
      <c r="I1034" s="30">
        <v>2</v>
      </c>
      <c r="J1034" s="7" t="s">
        <v>1177</v>
      </c>
      <c r="K1034" s="7" t="s">
        <v>1178</v>
      </c>
      <c r="L1034" s="7" t="s">
        <v>132</v>
      </c>
      <c r="M1034" s="7" t="s">
        <v>133</v>
      </c>
      <c r="N1034" s="30">
        <v>0</v>
      </c>
      <c r="O1034" s="30">
        <v>0</v>
      </c>
      <c r="P1034" s="30">
        <v>0</v>
      </c>
      <c r="Q1034" s="30">
        <v>0</v>
      </c>
      <c r="R1034" s="29">
        <v>0</v>
      </c>
      <c r="S1034" s="36">
        <v>0</v>
      </c>
      <c r="T1034" s="7" t="s">
        <v>131</v>
      </c>
      <c r="U1034" s="7" t="s">
        <v>1040</v>
      </c>
      <c r="V1034" s="7" t="s">
        <v>1040</v>
      </c>
      <c r="W1034" s="7" t="s">
        <v>1177</v>
      </c>
      <c r="X1034" s="30">
        <v>1</v>
      </c>
      <c r="Y1034" s="7" t="s">
        <v>1177</v>
      </c>
      <c r="Z1034" s="7" t="s">
        <v>1178</v>
      </c>
      <c r="AA1034" s="30">
        <v>0</v>
      </c>
      <c r="AB1034" s="36">
        <v>0</v>
      </c>
      <c r="AC1034" s="7" t="s">
        <v>1177</v>
      </c>
      <c r="AD1034" s="37">
        <v>0</v>
      </c>
      <c r="AE1034" s="7" t="s">
        <v>1177</v>
      </c>
      <c r="AF1034" s="7" t="s">
        <v>1177</v>
      </c>
      <c r="AG1034" s="7" t="s">
        <v>1177</v>
      </c>
      <c r="AH1034" s="38"/>
      <c r="AI1034" s="36">
        <v>0</v>
      </c>
      <c r="AJ1034" s="7" t="s">
        <v>1193</v>
      </c>
      <c r="AK1034" s="7" t="s">
        <v>1177</v>
      </c>
      <c r="AL1034" s="7" t="s">
        <v>1177</v>
      </c>
      <c r="AM1034" s="7" t="s">
        <v>1177</v>
      </c>
      <c r="AN1034" s="7" t="s">
        <v>3212</v>
      </c>
      <c r="AO1034" s="7" t="s">
        <v>1177</v>
      </c>
      <c r="AP1034" s="7" t="s">
        <v>1177</v>
      </c>
      <c r="AQ1034" s="7" t="s">
        <v>1177</v>
      </c>
      <c r="AR1034" s="29">
        <v>0</v>
      </c>
      <c r="AS1034" s="7" t="s">
        <v>1177</v>
      </c>
      <c r="AT1034" s="7" t="s">
        <v>1363</v>
      </c>
      <c r="AU1034" s="38">
        <v>46275</v>
      </c>
      <c r="AV1034" s="39">
        <v>0.62666666666667004</v>
      </c>
    </row>
    <row r="1035" spans="1:48" x14ac:dyDescent="0.35">
      <c r="A1035" t="str">
        <f t="shared" si="16"/>
        <v>GP243466B857</v>
      </c>
      <c r="B1035" s="7" t="s">
        <v>797</v>
      </c>
      <c r="C1035" s="7" t="s">
        <v>958</v>
      </c>
      <c r="D1035" s="7" t="s">
        <v>23</v>
      </c>
      <c r="E1035" s="7" t="s">
        <v>1177</v>
      </c>
      <c r="F1035" s="7" t="s">
        <v>128</v>
      </c>
      <c r="G1035" s="7" t="s">
        <v>130</v>
      </c>
      <c r="H1035" s="7" t="s">
        <v>129</v>
      </c>
      <c r="I1035" s="30">
        <v>2</v>
      </c>
      <c r="J1035" s="7" t="s">
        <v>1177</v>
      </c>
      <c r="K1035" s="7" t="s">
        <v>1178</v>
      </c>
      <c r="L1035" s="7" t="s">
        <v>132</v>
      </c>
      <c r="M1035" s="7" t="s">
        <v>133</v>
      </c>
      <c r="N1035" s="30">
        <v>0</v>
      </c>
      <c r="O1035" s="30">
        <v>0</v>
      </c>
      <c r="P1035" s="30">
        <v>0</v>
      </c>
      <c r="Q1035" s="30">
        <v>0</v>
      </c>
      <c r="R1035" s="29">
        <v>0</v>
      </c>
      <c r="S1035" s="36">
        <v>0</v>
      </c>
      <c r="T1035" s="7" t="s">
        <v>131</v>
      </c>
      <c r="U1035" s="7" t="s">
        <v>959</v>
      </c>
      <c r="V1035" s="7" t="s">
        <v>959</v>
      </c>
      <c r="W1035" s="7" t="s">
        <v>1177</v>
      </c>
      <c r="X1035" s="30">
        <v>1</v>
      </c>
      <c r="Y1035" s="7" t="s">
        <v>1177</v>
      </c>
      <c r="Z1035" s="7" t="s">
        <v>1178</v>
      </c>
      <c r="AA1035" s="30">
        <v>0</v>
      </c>
      <c r="AB1035" s="36">
        <v>0</v>
      </c>
      <c r="AC1035" s="7" t="s">
        <v>1177</v>
      </c>
      <c r="AD1035" s="37">
        <v>0</v>
      </c>
      <c r="AE1035" s="7" t="s">
        <v>1177</v>
      </c>
      <c r="AF1035" s="7" t="s">
        <v>1177</v>
      </c>
      <c r="AG1035" s="7" t="s">
        <v>1177</v>
      </c>
      <c r="AH1035" s="38"/>
      <c r="AI1035" s="36">
        <v>0</v>
      </c>
      <c r="AJ1035" s="7" t="s">
        <v>1193</v>
      </c>
      <c r="AK1035" s="7" t="s">
        <v>1177</v>
      </c>
      <c r="AL1035" s="7" t="s">
        <v>1177</v>
      </c>
      <c r="AM1035" s="7" t="s">
        <v>1177</v>
      </c>
      <c r="AN1035" s="7" t="s">
        <v>3212</v>
      </c>
      <c r="AO1035" s="7" t="s">
        <v>1177</v>
      </c>
      <c r="AP1035" s="7" t="s">
        <v>1177</v>
      </c>
      <c r="AQ1035" s="7" t="s">
        <v>1177</v>
      </c>
      <c r="AR1035" s="29">
        <v>0</v>
      </c>
      <c r="AS1035" s="7" t="s">
        <v>1177</v>
      </c>
      <c r="AT1035" s="7" t="s">
        <v>1363</v>
      </c>
      <c r="AU1035" s="38">
        <v>46275</v>
      </c>
      <c r="AV1035" s="39">
        <v>0.62494212962963003</v>
      </c>
    </row>
    <row r="1036" spans="1:48" x14ac:dyDescent="0.35">
      <c r="A1036" t="str">
        <f t="shared" si="16"/>
        <v>GP243466B867</v>
      </c>
      <c r="B1036" s="7" t="s">
        <v>797</v>
      </c>
      <c r="C1036" s="7" t="s">
        <v>1059</v>
      </c>
      <c r="D1036" s="7" t="s">
        <v>25</v>
      </c>
      <c r="E1036" s="7" t="s">
        <v>1177</v>
      </c>
      <c r="F1036" s="7" t="s">
        <v>128</v>
      </c>
      <c r="G1036" s="7" t="s">
        <v>130</v>
      </c>
      <c r="H1036" s="7" t="s">
        <v>129</v>
      </c>
      <c r="I1036" s="30">
        <v>2</v>
      </c>
      <c r="J1036" s="7" t="s">
        <v>1177</v>
      </c>
      <c r="K1036" s="7" t="s">
        <v>1178</v>
      </c>
      <c r="L1036" s="7" t="s">
        <v>132</v>
      </c>
      <c r="M1036" s="7" t="s">
        <v>133</v>
      </c>
      <c r="N1036" s="30">
        <v>0</v>
      </c>
      <c r="O1036" s="30">
        <v>0</v>
      </c>
      <c r="P1036" s="30">
        <v>0</v>
      </c>
      <c r="Q1036" s="30">
        <v>0</v>
      </c>
      <c r="R1036" s="29">
        <v>0</v>
      </c>
      <c r="S1036" s="36">
        <v>0</v>
      </c>
      <c r="T1036" s="7" t="s">
        <v>131</v>
      </c>
      <c r="U1036" s="7" t="s">
        <v>1060</v>
      </c>
      <c r="V1036" s="7" t="s">
        <v>1060</v>
      </c>
      <c r="W1036" s="7" t="s">
        <v>1177</v>
      </c>
      <c r="X1036" s="30">
        <v>1</v>
      </c>
      <c r="Y1036" s="7" t="s">
        <v>1177</v>
      </c>
      <c r="Z1036" s="7" t="s">
        <v>1178</v>
      </c>
      <c r="AA1036" s="30">
        <v>0</v>
      </c>
      <c r="AB1036" s="36">
        <v>0</v>
      </c>
      <c r="AC1036" s="7" t="s">
        <v>1177</v>
      </c>
      <c r="AD1036" s="37">
        <v>0</v>
      </c>
      <c r="AE1036" s="7" t="s">
        <v>1177</v>
      </c>
      <c r="AF1036" s="7" t="s">
        <v>1177</v>
      </c>
      <c r="AG1036" s="7" t="s">
        <v>1177</v>
      </c>
      <c r="AH1036" s="38"/>
      <c r="AI1036" s="36">
        <v>0</v>
      </c>
      <c r="AJ1036" s="7" t="s">
        <v>1193</v>
      </c>
      <c r="AK1036" s="7" t="s">
        <v>1177</v>
      </c>
      <c r="AL1036" s="7" t="s">
        <v>1177</v>
      </c>
      <c r="AM1036" s="7" t="s">
        <v>1177</v>
      </c>
      <c r="AN1036" s="7" t="s">
        <v>3212</v>
      </c>
      <c r="AO1036" s="7" t="s">
        <v>1177</v>
      </c>
      <c r="AP1036" s="7" t="s">
        <v>1177</v>
      </c>
      <c r="AQ1036" s="7" t="s">
        <v>1177</v>
      </c>
      <c r="AR1036" s="29">
        <v>0</v>
      </c>
      <c r="AS1036" s="7" t="s">
        <v>1177</v>
      </c>
      <c r="AT1036" s="7" t="s">
        <v>1363</v>
      </c>
      <c r="AU1036" s="38">
        <v>46275</v>
      </c>
      <c r="AV1036" s="39">
        <v>0.62736111111111004</v>
      </c>
    </row>
    <row r="1037" spans="1:48" x14ac:dyDescent="0.35">
      <c r="A1037" t="str">
        <f t="shared" si="16"/>
        <v>GP243612B838</v>
      </c>
      <c r="B1037" s="7" t="s">
        <v>755</v>
      </c>
      <c r="C1037" s="7" t="s">
        <v>744</v>
      </c>
      <c r="D1037" s="7" t="s">
        <v>48</v>
      </c>
      <c r="E1037" s="7" t="s">
        <v>1177</v>
      </c>
      <c r="F1037" s="7" t="s">
        <v>128</v>
      </c>
      <c r="G1037" s="7" t="s">
        <v>130</v>
      </c>
      <c r="H1037" s="7" t="s">
        <v>129</v>
      </c>
      <c r="I1037" s="30">
        <v>2</v>
      </c>
      <c r="J1037" s="7" t="s">
        <v>1177</v>
      </c>
      <c r="K1037" s="7" t="s">
        <v>1178</v>
      </c>
      <c r="L1037" s="7" t="s">
        <v>132</v>
      </c>
      <c r="M1037" s="7" t="s">
        <v>133</v>
      </c>
      <c r="N1037" s="30">
        <v>0</v>
      </c>
      <c r="O1037" s="30">
        <v>0</v>
      </c>
      <c r="P1037" s="30">
        <v>0</v>
      </c>
      <c r="Q1037" s="30">
        <v>0</v>
      </c>
      <c r="R1037" s="29">
        <v>0</v>
      </c>
      <c r="S1037" s="36">
        <v>0</v>
      </c>
      <c r="T1037" s="7" t="s">
        <v>131</v>
      </c>
      <c r="U1037" s="7" t="s">
        <v>745</v>
      </c>
      <c r="V1037" s="7" t="s">
        <v>745</v>
      </c>
      <c r="W1037" s="7" t="s">
        <v>1177</v>
      </c>
      <c r="X1037" s="30">
        <v>1</v>
      </c>
      <c r="Y1037" s="7" t="s">
        <v>1177</v>
      </c>
      <c r="Z1037" s="7" t="s">
        <v>1178</v>
      </c>
      <c r="AA1037" s="30">
        <v>0</v>
      </c>
      <c r="AB1037" s="36">
        <v>0</v>
      </c>
      <c r="AC1037" s="7" t="s">
        <v>1177</v>
      </c>
      <c r="AD1037" s="37">
        <v>0</v>
      </c>
      <c r="AE1037" s="7" t="s">
        <v>1177</v>
      </c>
      <c r="AF1037" s="7" t="s">
        <v>1177</v>
      </c>
      <c r="AG1037" s="7" t="s">
        <v>1177</v>
      </c>
      <c r="AH1037" s="38"/>
      <c r="AI1037" s="36">
        <v>0</v>
      </c>
      <c r="AJ1037" s="7" t="s">
        <v>1193</v>
      </c>
      <c r="AK1037" s="7" t="s">
        <v>1177</v>
      </c>
      <c r="AL1037" s="7" t="s">
        <v>1177</v>
      </c>
      <c r="AM1037" s="7" t="s">
        <v>1177</v>
      </c>
      <c r="AN1037" s="7" t="s">
        <v>3212</v>
      </c>
      <c r="AO1037" s="7" t="s">
        <v>1177</v>
      </c>
      <c r="AP1037" s="7" t="s">
        <v>1177</v>
      </c>
      <c r="AQ1037" s="7" t="s">
        <v>1177</v>
      </c>
      <c r="AR1037" s="29">
        <v>0</v>
      </c>
      <c r="AS1037" s="7" t="s">
        <v>1177</v>
      </c>
      <c r="AT1037" s="7" t="s">
        <v>1363</v>
      </c>
      <c r="AU1037" s="38">
        <v>46275</v>
      </c>
      <c r="AV1037" s="39">
        <v>0.62400462962962999</v>
      </c>
    </row>
    <row r="1038" spans="1:48" x14ac:dyDescent="0.35">
      <c r="A1038" t="str">
        <f t="shared" si="16"/>
        <v>GP243613B856</v>
      </c>
      <c r="B1038" s="7" t="s">
        <v>869</v>
      </c>
      <c r="C1038" s="7" t="s">
        <v>852</v>
      </c>
      <c r="D1038" s="7" t="s">
        <v>21</v>
      </c>
      <c r="E1038" s="7" t="s">
        <v>1177</v>
      </c>
      <c r="F1038" s="7" t="s">
        <v>128</v>
      </c>
      <c r="G1038" s="7" t="s">
        <v>130</v>
      </c>
      <c r="H1038" s="7" t="s">
        <v>129</v>
      </c>
      <c r="I1038" s="30">
        <v>2</v>
      </c>
      <c r="J1038" s="7" t="s">
        <v>1177</v>
      </c>
      <c r="K1038" s="7" t="s">
        <v>1178</v>
      </c>
      <c r="L1038" s="7" t="s">
        <v>132</v>
      </c>
      <c r="M1038" s="7" t="s">
        <v>133</v>
      </c>
      <c r="N1038" s="30">
        <v>0</v>
      </c>
      <c r="O1038" s="30">
        <v>0</v>
      </c>
      <c r="P1038" s="30">
        <v>0</v>
      </c>
      <c r="Q1038" s="30">
        <v>0</v>
      </c>
      <c r="R1038" s="29">
        <v>0</v>
      </c>
      <c r="S1038" s="36">
        <v>0</v>
      </c>
      <c r="T1038" s="7" t="s">
        <v>131</v>
      </c>
      <c r="U1038" s="7" t="s">
        <v>853</v>
      </c>
      <c r="V1038" s="7" t="s">
        <v>853</v>
      </c>
      <c r="W1038" s="7" t="s">
        <v>1177</v>
      </c>
      <c r="X1038" s="30">
        <v>1</v>
      </c>
      <c r="Y1038" s="7" t="s">
        <v>1177</v>
      </c>
      <c r="Z1038" s="7" t="s">
        <v>1178</v>
      </c>
      <c r="AA1038" s="30">
        <v>0</v>
      </c>
      <c r="AB1038" s="36">
        <v>0</v>
      </c>
      <c r="AC1038" s="7" t="s">
        <v>1177</v>
      </c>
      <c r="AD1038" s="37">
        <v>0</v>
      </c>
      <c r="AE1038" s="7" t="s">
        <v>1177</v>
      </c>
      <c r="AF1038" s="7" t="s">
        <v>1177</v>
      </c>
      <c r="AG1038" s="7" t="s">
        <v>1177</v>
      </c>
      <c r="AH1038" s="38"/>
      <c r="AI1038" s="36">
        <v>0</v>
      </c>
      <c r="AJ1038" s="7" t="s">
        <v>1193</v>
      </c>
      <c r="AK1038" s="7" t="s">
        <v>1177</v>
      </c>
      <c r="AL1038" s="7" t="s">
        <v>1177</v>
      </c>
      <c r="AM1038" s="7" t="s">
        <v>1177</v>
      </c>
      <c r="AN1038" s="7" t="s">
        <v>3212</v>
      </c>
      <c r="AO1038" s="7" t="s">
        <v>1177</v>
      </c>
      <c r="AP1038" s="7" t="s">
        <v>1177</v>
      </c>
      <c r="AQ1038" s="7" t="s">
        <v>1177</v>
      </c>
      <c r="AR1038" s="29">
        <v>0</v>
      </c>
      <c r="AS1038" s="7" t="s">
        <v>1177</v>
      </c>
      <c r="AT1038" s="7" t="s">
        <v>1363</v>
      </c>
      <c r="AU1038" s="38">
        <v>46275</v>
      </c>
      <c r="AV1038" s="39">
        <v>0.62489583333332999</v>
      </c>
    </row>
    <row r="1039" spans="1:48" x14ac:dyDescent="0.35">
      <c r="A1039" t="str">
        <f t="shared" si="16"/>
        <v>GP243613B857</v>
      </c>
      <c r="B1039" s="7" t="s">
        <v>869</v>
      </c>
      <c r="C1039" s="7" t="s">
        <v>958</v>
      </c>
      <c r="D1039" s="7" t="s">
        <v>23</v>
      </c>
      <c r="E1039" s="7" t="s">
        <v>1177</v>
      </c>
      <c r="F1039" s="7" t="s">
        <v>128</v>
      </c>
      <c r="G1039" s="7" t="s">
        <v>130</v>
      </c>
      <c r="H1039" s="7" t="s">
        <v>129</v>
      </c>
      <c r="I1039" s="30">
        <v>2</v>
      </c>
      <c r="J1039" s="7" t="s">
        <v>1177</v>
      </c>
      <c r="K1039" s="7" t="s">
        <v>1178</v>
      </c>
      <c r="L1039" s="7" t="s">
        <v>132</v>
      </c>
      <c r="M1039" s="7" t="s">
        <v>133</v>
      </c>
      <c r="N1039" s="30">
        <v>0</v>
      </c>
      <c r="O1039" s="30">
        <v>0</v>
      </c>
      <c r="P1039" s="30">
        <v>0</v>
      </c>
      <c r="Q1039" s="30">
        <v>0</v>
      </c>
      <c r="R1039" s="29">
        <v>0</v>
      </c>
      <c r="S1039" s="36">
        <v>0</v>
      </c>
      <c r="T1039" s="7" t="s">
        <v>131</v>
      </c>
      <c r="U1039" s="7" t="s">
        <v>959</v>
      </c>
      <c r="V1039" s="7" t="s">
        <v>959</v>
      </c>
      <c r="W1039" s="7" t="s">
        <v>1177</v>
      </c>
      <c r="X1039" s="30">
        <v>1</v>
      </c>
      <c r="Y1039" s="7" t="s">
        <v>1177</v>
      </c>
      <c r="Z1039" s="7" t="s">
        <v>1178</v>
      </c>
      <c r="AA1039" s="30">
        <v>0</v>
      </c>
      <c r="AB1039" s="36">
        <v>0</v>
      </c>
      <c r="AC1039" s="7" t="s">
        <v>1177</v>
      </c>
      <c r="AD1039" s="37">
        <v>0</v>
      </c>
      <c r="AE1039" s="7" t="s">
        <v>1177</v>
      </c>
      <c r="AF1039" s="7" t="s">
        <v>1177</v>
      </c>
      <c r="AG1039" s="7" t="s">
        <v>1177</v>
      </c>
      <c r="AH1039" s="38"/>
      <c r="AI1039" s="36">
        <v>0</v>
      </c>
      <c r="AJ1039" s="7" t="s">
        <v>1193</v>
      </c>
      <c r="AK1039" s="7" t="s">
        <v>1177</v>
      </c>
      <c r="AL1039" s="7" t="s">
        <v>1177</v>
      </c>
      <c r="AM1039" s="7" t="s">
        <v>1177</v>
      </c>
      <c r="AN1039" s="7" t="s">
        <v>3212</v>
      </c>
      <c r="AO1039" s="7" t="s">
        <v>1177</v>
      </c>
      <c r="AP1039" s="7" t="s">
        <v>1177</v>
      </c>
      <c r="AQ1039" s="7" t="s">
        <v>1177</v>
      </c>
      <c r="AR1039" s="29">
        <v>0</v>
      </c>
      <c r="AS1039" s="7" t="s">
        <v>1177</v>
      </c>
      <c r="AT1039" s="7" t="s">
        <v>1363</v>
      </c>
      <c r="AU1039" s="38">
        <v>46275</v>
      </c>
      <c r="AV1039" s="39">
        <v>0.62494212962963003</v>
      </c>
    </row>
    <row r="1040" spans="1:48" x14ac:dyDescent="0.35">
      <c r="A1040" t="str">
        <f t="shared" si="16"/>
        <v>GP243613B864</v>
      </c>
      <c r="B1040" s="7" t="s">
        <v>869</v>
      </c>
      <c r="C1040" s="7" t="s">
        <v>1010</v>
      </c>
      <c r="D1040" s="7" t="s">
        <v>10</v>
      </c>
      <c r="E1040" s="7" t="s">
        <v>1177</v>
      </c>
      <c r="F1040" s="7" t="s">
        <v>128</v>
      </c>
      <c r="G1040" s="7" t="s">
        <v>130</v>
      </c>
      <c r="H1040" s="7" t="s">
        <v>129</v>
      </c>
      <c r="I1040" s="30">
        <v>2</v>
      </c>
      <c r="J1040" s="7" t="s">
        <v>1177</v>
      </c>
      <c r="K1040" s="7" t="s">
        <v>1178</v>
      </c>
      <c r="L1040" s="7" t="s">
        <v>132</v>
      </c>
      <c r="M1040" s="7" t="s">
        <v>133</v>
      </c>
      <c r="N1040" s="30">
        <v>0</v>
      </c>
      <c r="O1040" s="30">
        <v>0</v>
      </c>
      <c r="P1040" s="30">
        <v>0</v>
      </c>
      <c r="Q1040" s="30">
        <v>0</v>
      </c>
      <c r="R1040" s="29">
        <v>0</v>
      </c>
      <c r="S1040" s="36">
        <v>0</v>
      </c>
      <c r="T1040" s="7" t="s">
        <v>131</v>
      </c>
      <c r="U1040" s="7" t="s">
        <v>1011</v>
      </c>
      <c r="V1040" s="7" t="s">
        <v>1011</v>
      </c>
      <c r="W1040" s="7" t="s">
        <v>1177</v>
      </c>
      <c r="X1040" s="30">
        <v>1</v>
      </c>
      <c r="Y1040" s="7" t="s">
        <v>1177</v>
      </c>
      <c r="Z1040" s="7" t="s">
        <v>1178</v>
      </c>
      <c r="AA1040" s="30">
        <v>0</v>
      </c>
      <c r="AB1040" s="36">
        <v>0</v>
      </c>
      <c r="AC1040" s="7" t="s">
        <v>1177</v>
      </c>
      <c r="AD1040" s="37">
        <v>0</v>
      </c>
      <c r="AE1040" s="7" t="s">
        <v>1177</v>
      </c>
      <c r="AF1040" s="7" t="s">
        <v>1177</v>
      </c>
      <c r="AG1040" s="7" t="s">
        <v>1177</v>
      </c>
      <c r="AH1040" s="38"/>
      <c r="AI1040" s="36">
        <v>0</v>
      </c>
      <c r="AJ1040" s="7" t="s">
        <v>1193</v>
      </c>
      <c r="AK1040" s="7" t="s">
        <v>1177</v>
      </c>
      <c r="AL1040" s="7" t="s">
        <v>1177</v>
      </c>
      <c r="AM1040" s="7" t="s">
        <v>1177</v>
      </c>
      <c r="AN1040" s="7" t="s">
        <v>3212</v>
      </c>
      <c r="AO1040" s="7" t="s">
        <v>1177</v>
      </c>
      <c r="AP1040" s="7" t="s">
        <v>1177</v>
      </c>
      <c r="AQ1040" s="7" t="s">
        <v>1177</v>
      </c>
      <c r="AR1040" s="29">
        <v>0</v>
      </c>
      <c r="AS1040" s="7" t="s">
        <v>1177</v>
      </c>
      <c r="AT1040" s="7" t="s">
        <v>1363</v>
      </c>
      <c r="AU1040" s="38">
        <v>46275</v>
      </c>
      <c r="AV1040" s="39">
        <v>0.62645833333333001</v>
      </c>
    </row>
    <row r="1041" spans="1:48" x14ac:dyDescent="0.35">
      <c r="A1041" t="str">
        <f t="shared" si="16"/>
        <v>GP243613B867</v>
      </c>
      <c r="B1041" s="7" t="s">
        <v>869</v>
      </c>
      <c r="C1041" s="7" t="s">
        <v>1059</v>
      </c>
      <c r="D1041" s="7" t="s">
        <v>25</v>
      </c>
      <c r="E1041" s="7" t="s">
        <v>1177</v>
      </c>
      <c r="F1041" s="7" t="s">
        <v>128</v>
      </c>
      <c r="G1041" s="7" t="s">
        <v>130</v>
      </c>
      <c r="H1041" s="7" t="s">
        <v>129</v>
      </c>
      <c r="I1041" s="30">
        <v>2</v>
      </c>
      <c r="J1041" s="7" t="s">
        <v>1177</v>
      </c>
      <c r="K1041" s="7" t="s">
        <v>1178</v>
      </c>
      <c r="L1041" s="7" t="s">
        <v>132</v>
      </c>
      <c r="M1041" s="7" t="s">
        <v>133</v>
      </c>
      <c r="N1041" s="30">
        <v>0</v>
      </c>
      <c r="O1041" s="30">
        <v>0</v>
      </c>
      <c r="P1041" s="30">
        <v>0</v>
      </c>
      <c r="Q1041" s="30">
        <v>0</v>
      </c>
      <c r="R1041" s="29">
        <v>0</v>
      </c>
      <c r="S1041" s="36">
        <v>0</v>
      </c>
      <c r="T1041" s="7" t="s">
        <v>131</v>
      </c>
      <c r="U1041" s="7" t="s">
        <v>1060</v>
      </c>
      <c r="V1041" s="7" t="s">
        <v>1060</v>
      </c>
      <c r="W1041" s="7" t="s">
        <v>1177</v>
      </c>
      <c r="X1041" s="30">
        <v>1</v>
      </c>
      <c r="Y1041" s="7" t="s">
        <v>1177</v>
      </c>
      <c r="Z1041" s="7" t="s">
        <v>1178</v>
      </c>
      <c r="AA1041" s="30">
        <v>0</v>
      </c>
      <c r="AB1041" s="36">
        <v>0</v>
      </c>
      <c r="AC1041" s="7" t="s">
        <v>1177</v>
      </c>
      <c r="AD1041" s="37">
        <v>0</v>
      </c>
      <c r="AE1041" s="7" t="s">
        <v>1177</v>
      </c>
      <c r="AF1041" s="7" t="s">
        <v>1177</v>
      </c>
      <c r="AG1041" s="7" t="s">
        <v>1177</v>
      </c>
      <c r="AH1041" s="38"/>
      <c r="AI1041" s="36">
        <v>0</v>
      </c>
      <c r="AJ1041" s="7" t="s">
        <v>1193</v>
      </c>
      <c r="AK1041" s="7" t="s">
        <v>1177</v>
      </c>
      <c r="AL1041" s="7" t="s">
        <v>1177</v>
      </c>
      <c r="AM1041" s="7" t="s">
        <v>1177</v>
      </c>
      <c r="AN1041" s="7" t="s">
        <v>3212</v>
      </c>
      <c r="AO1041" s="7" t="s">
        <v>1177</v>
      </c>
      <c r="AP1041" s="7" t="s">
        <v>1177</v>
      </c>
      <c r="AQ1041" s="7" t="s">
        <v>1177</v>
      </c>
      <c r="AR1041" s="29">
        <v>0</v>
      </c>
      <c r="AS1041" s="7" t="s">
        <v>1177</v>
      </c>
      <c r="AT1041" s="7" t="s">
        <v>1363</v>
      </c>
      <c r="AU1041" s="38">
        <v>46275</v>
      </c>
      <c r="AV1041" s="39">
        <v>0.62736111111111004</v>
      </c>
    </row>
    <row r="1042" spans="1:48" x14ac:dyDescent="0.35">
      <c r="A1042" t="str">
        <f t="shared" si="16"/>
        <v>GP244210B838</v>
      </c>
      <c r="B1042" s="7" t="s">
        <v>282</v>
      </c>
      <c r="C1042" s="7" t="s">
        <v>744</v>
      </c>
      <c r="D1042" s="7" t="s">
        <v>48</v>
      </c>
      <c r="E1042" s="7" t="s">
        <v>1177</v>
      </c>
      <c r="F1042" s="7" t="s">
        <v>128</v>
      </c>
      <c r="G1042" s="7" t="s">
        <v>130</v>
      </c>
      <c r="H1042" s="7" t="s">
        <v>129</v>
      </c>
      <c r="I1042" s="30">
        <v>2</v>
      </c>
      <c r="J1042" s="7" t="s">
        <v>1177</v>
      </c>
      <c r="K1042" s="7" t="s">
        <v>1178</v>
      </c>
      <c r="L1042" s="7" t="s">
        <v>132</v>
      </c>
      <c r="M1042" s="7" t="s">
        <v>133</v>
      </c>
      <c r="N1042" s="30">
        <v>0</v>
      </c>
      <c r="O1042" s="30">
        <v>0</v>
      </c>
      <c r="P1042" s="30">
        <v>0</v>
      </c>
      <c r="Q1042" s="30">
        <v>0</v>
      </c>
      <c r="R1042" s="29">
        <v>0</v>
      </c>
      <c r="S1042" s="36">
        <v>0</v>
      </c>
      <c r="T1042" s="7" t="s">
        <v>131</v>
      </c>
      <c r="U1042" s="7" t="s">
        <v>745</v>
      </c>
      <c r="V1042" s="7" t="s">
        <v>745</v>
      </c>
      <c r="W1042" s="7" t="s">
        <v>1177</v>
      </c>
      <c r="X1042" s="30">
        <v>1</v>
      </c>
      <c r="Y1042" s="7" t="s">
        <v>1177</v>
      </c>
      <c r="Z1042" s="7" t="s">
        <v>1178</v>
      </c>
      <c r="AA1042" s="30">
        <v>0</v>
      </c>
      <c r="AB1042" s="36">
        <v>0</v>
      </c>
      <c r="AC1042" s="7" t="s">
        <v>1177</v>
      </c>
      <c r="AD1042" s="37">
        <v>0</v>
      </c>
      <c r="AE1042" s="7" t="s">
        <v>1177</v>
      </c>
      <c r="AF1042" s="7" t="s">
        <v>1177</v>
      </c>
      <c r="AG1042" s="7" t="s">
        <v>1177</v>
      </c>
      <c r="AH1042" s="38"/>
      <c r="AI1042" s="36">
        <v>0</v>
      </c>
      <c r="AJ1042" s="7" t="s">
        <v>1193</v>
      </c>
      <c r="AK1042" s="7" t="s">
        <v>1177</v>
      </c>
      <c r="AL1042" s="7" t="s">
        <v>1177</v>
      </c>
      <c r="AM1042" s="7" t="s">
        <v>1177</v>
      </c>
      <c r="AN1042" s="7" t="s">
        <v>3212</v>
      </c>
      <c r="AO1042" s="7" t="s">
        <v>1177</v>
      </c>
      <c r="AP1042" s="7" t="s">
        <v>1177</v>
      </c>
      <c r="AQ1042" s="7" t="s">
        <v>1177</v>
      </c>
      <c r="AR1042" s="29">
        <v>0</v>
      </c>
      <c r="AS1042" s="7" t="s">
        <v>1177</v>
      </c>
      <c r="AT1042" s="7" t="s">
        <v>1363</v>
      </c>
      <c r="AU1042" s="38">
        <v>46275</v>
      </c>
      <c r="AV1042" s="39">
        <v>0.62400462962962999</v>
      </c>
    </row>
    <row r="1043" spans="1:48" x14ac:dyDescent="0.35">
      <c r="A1043" t="str">
        <f t="shared" si="16"/>
        <v>GP244409B856</v>
      </c>
      <c r="B1043" s="7" t="s">
        <v>870</v>
      </c>
      <c r="C1043" s="7" t="s">
        <v>852</v>
      </c>
      <c r="D1043" s="7" t="s">
        <v>21</v>
      </c>
      <c r="E1043" s="7" t="s">
        <v>1177</v>
      </c>
      <c r="F1043" s="7" t="s">
        <v>128</v>
      </c>
      <c r="G1043" s="7" t="s">
        <v>130</v>
      </c>
      <c r="H1043" s="7" t="s">
        <v>129</v>
      </c>
      <c r="I1043" s="30">
        <v>1</v>
      </c>
      <c r="J1043" s="7" t="s">
        <v>1177</v>
      </c>
      <c r="K1043" s="7" t="s">
        <v>1178</v>
      </c>
      <c r="L1043" s="7" t="s">
        <v>132</v>
      </c>
      <c r="M1043" s="7" t="s">
        <v>133</v>
      </c>
      <c r="N1043" s="30">
        <v>0</v>
      </c>
      <c r="O1043" s="30">
        <v>0</v>
      </c>
      <c r="P1043" s="30">
        <v>0</v>
      </c>
      <c r="Q1043" s="30">
        <v>0</v>
      </c>
      <c r="R1043" s="29">
        <v>0</v>
      </c>
      <c r="S1043" s="36">
        <v>0</v>
      </c>
      <c r="T1043" s="7" t="s">
        <v>131</v>
      </c>
      <c r="U1043" s="7" t="s">
        <v>853</v>
      </c>
      <c r="V1043" s="7" t="s">
        <v>853</v>
      </c>
      <c r="W1043" s="7" t="s">
        <v>1177</v>
      </c>
      <c r="X1043" s="30">
        <v>1</v>
      </c>
      <c r="Y1043" s="7" t="s">
        <v>1177</v>
      </c>
      <c r="Z1043" s="7" t="s">
        <v>1178</v>
      </c>
      <c r="AA1043" s="30">
        <v>0</v>
      </c>
      <c r="AB1043" s="36">
        <v>0</v>
      </c>
      <c r="AC1043" s="7" t="s">
        <v>1177</v>
      </c>
      <c r="AD1043" s="37">
        <v>0</v>
      </c>
      <c r="AE1043" s="7" t="s">
        <v>1177</v>
      </c>
      <c r="AF1043" s="7" t="s">
        <v>1177</v>
      </c>
      <c r="AG1043" s="7" t="s">
        <v>1177</v>
      </c>
      <c r="AH1043" s="38"/>
      <c r="AI1043" s="36">
        <v>0</v>
      </c>
      <c r="AJ1043" s="7" t="s">
        <v>1193</v>
      </c>
      <c r="AK1043" s="7" t="s">
        <v>1177</v>
      </c>
      <c r="AL1043" s="7" t="s">
        <v>1177</v>
      </c>
      <c r="AM1043" s="7" t="s">
        <v>1177</v>
      </c>
      <c r="AN1043" s="7" t="s">
        <v>3212</v>
      </c>
      <c r="AO1043" s="7" t="s">
        <v>1177</v>
      </c>
      <c r="AP1043" s="7" t="s">
        <v>1177</v>
      </c>
      <c r="AQ1043" s="7" t="s">
        <v>1177</v>
      </c>
      <c r="AR1043" s="29">
        <v>0</v>
      </c>
      <c r="AS1043" s="7" t="s">
        <v>1177</v>
      </c>
      <c r="AT1043" s="7" t="s">
        <v>1363</v>
      </c>
      <c r="AU1043" s="38">
        <v>46275</v>
      </c>
      <c r="AV1043" s="39">
        <v>0.62489583333332999</v>
      </c>
    </row>
    <row r="1044" spans="1:48" x14ac:dyDescent="0.35">
      <c r="A1044" t="str">
        <f t="shared" si="16"/>
        <v>GP244409B867</v>
      </c>
      <c r="B1044" s="7" t="s">
        <v>870</v>
      </c>
      <c r="C1044" s="7" t="s">
        <v>1059</v>
      </c>
      <c r="D1044" s="7" t="s">
        <v>25</v>
      </c>
      <c r="E1044" s="7" t="s">
        <v>1177</v>
      </c>
      <c r="F1044" s="7" t="s">
        <v>128</v>
      </c>
      <c r="G1044" s="7" t="s">
        <v>130</v>
      </c>
      <c r="H1044" s="7" t="s">
        <v>129</v>
      </c>
      <c r="I1044" s="30">
        <v>2</v>
      </c>
      <c r="J1044" s="7" t="s">
        <v>1177</v>
      </c>
      <c r="K1044" s="7" t="s">
        <v>1178</v>
      </c>
      <c r="L1044" s="7" t="s">
        <v>132</v>
      </c>
      <c r="M1044" s="7" t="s">
        <v>133</v>
      </c>
      <c r="N1044" s="30">
        <v>0</v>
      </c>
      <c r="O1044" s="30">
        <v>0</v>
      </c>
      <c r="P1044" s="30">
        <v>0</v>
      </c>
      <c r="Q1044" s="30">
        <v>0</v>
      </c>
      <c r="R1044" s="29">
        <v>0</v>
      </c>
      <c r="S1044" s="36">
        <v>0</v>
      </c>
      <c r="T1044" s="7" t="s">
        <v>131</v>
      </c>
      <c r="U1044" s="7" t="s">
        <v>1060</v>
      </c>
      <c r="V1044" s="7" t="s">
        <v>1060</v>
      </c>
      <c r="W1044" s="7" t="s">
        <v>1177</v>
      </c>
      <c r="X1044" s="30">
        <v>1</v>
      </c>
      <c r="Y1044" s="7" t="s">
        <v>1177</v>
      </c>
      <c r="Z1044" s="7" t="s">
        <v>1178</v>
      </c>
      <c r="AA1044" s="30">
        <v>0</v>
      </c>
      <c r="AB1044" s="36">
        <v>0</v>
      </c>
      <c r="AC1044" s="7" t="s">
        <v>1177</v>
      </c>
      <c r="AD1044" s="37">
        <v>0</v>
      </c>
      <c r="AE1044" s="7" t="s">
        <v>1177</v>
      </c>
      <c r="AF1044" s="7" t="s">
        <v>1177</v>
      </c>
      <c r="AG1044" s="7" t="s">
        <v>1177</v>
      </c>
      <c r="AH1044" s="38"/>
      <c r="AI1044" s="36">
        <v>0</v>
      </c>
      <c r="AJ1044" s="7" t="s">
        <v>1193</v>
      </c>
      <c r="AK1044" s="7" t="s">
        <v>1177</v>
      </c>
      <c r="AL1044" s="7" t="s">
        <v>1177</v>
      </c>
      <c r="AM1044" s="7" t="s">
        <v>1177</v>
      </c>
      <c r="AN1044" s="7" t="s">
        <v>3212</v>
      </c>
      <c r="AO1044" s="7" t="s">
        <v>1177</v>
      </c>
      <c r="AP1044" s="7" t="s">
        <v>1177</v>
      </c>
      <c r="AQ1044" s="7" t="s">
        <v>1177</v>
      </c>
      <c r="AR1044" s="29">
        <v>0</v>
      </c>
      <c r="AS1044" s="7" t="s">
        <v>1177</v>
      </c>
      <c r="AT1044" s="7" t="s">
        <v>1363</v>
      </c>
      <c r="AU1044" s="38">
        <v>46275</v>
      </c>
      <c r="AV1044" s="39">
        <v>0.62736111111111004</v>
      </c>
    </row>
    <row r="1045" spans="1:48" x14ac:dyDescent="0.35">
      <c r="A1045" t="str">
        <f t="shared" si="16"/>
        <v>GP247973B825</v>
      </c>
      <c r="B1045" s="7" t="s">
        <v>579</v>
      </c>
      <c r="C1045" s="7" t="s">
        <v>511</v>
      </c>
      <c r="D1045" s="7" t="s">
        <v>16</v>
      </c>
      <c r="E1045" s="7" t="s">
        <v>1177</v>
      </c>
      <c r="F1045" s="7" t="s">
        <v>128</v>
      </c>
      <c r="G1045" s="7" t="s">
        <v>130</v>
      </c>
      <c r="H1045" s="7" t="s">
        <v>129</v>
      </c>
      <c r="I1045" s="30">
        <v>2</v>
      </c>
      <c r="J1045" s="7" t="s">
        <v>1177</v>
      </c>
      <c r="K1045" s="7" t="s">
        <v>1178</v>
      </c>
      <c r="L1045" s="7" t="s">
        <v>132</v>
      </c>
      <c r="M1045" s="7" t="s">
        <v>133</v>
      </c>
      <c r="N1045" s="30">
        <v>0</v>
      </c>
      <c r="O1045" s="30">
        <v>0</v>
      </c>
      <c r="P1045" s="30">
        <v>0</v>
      </c>
      <c r="Q1045" s="30">
        <v>0</v>
      </c>
      <c r="R1045" s="29">
        <v>0</v>
      </c>
      <c r="S1045" s="36">
        <v>0</v>
      </c>
      <c r="T1045" s="7" t="s">
        <v>131</v>
      </c>
      <c r="U1045" s="7" t="s">
        <v>512</v>
      </c>
      <c r="V1045" s="7" t="s">
        <v>512</v>
      </c>
      <c r="W1045" s="7" t="s">
        <v>1177</v>
      </c>
      <c r="X1045" s="30">
        <v>1</v>
      </c>
      <c r="Y1045" s="7" t="s">
        <v>1177</v>
      </c>
      <c r="Z1045" s="7" t="s">
        <v>1178</v>
      </c>
      <c r="AA1045" s="30">
        <v>0</v>
      </c>
      <c r="AB1045" s="36">
        <v>0</v>
      </c>
      <c r="AC1045" s="7" t="s">
        <v>1177</v>
      </c>
      <c r="AD1045" s="37">
        <v>0</v>
      </c>
      <c r="AE1045" s="7" t="s">
        <v>1177</v>
      </c>
      <c r="AF1045" s="7" t="s">
        <v>1177</v>
      </c>
      <c r="AG1045" s="7" t="s">
        <v>1177</v>
      </c>
      <c r="AH1045" s="38"/>
      <c r="AI1045" s="36">
        <v>0</v>
      </c>
      <c r="AJ1045" s="7" t="s">
        <v>1193</v>
      </c>
      <c r="AK1045" s="7" t="s">
        <v>1177</v>
      </c>
      <c r="AL1045" s="7" t="s">
        <v>1177</v>
      </c>
      <c r="AM1045" s="7" t="s">
        <v>1177</v>
      </c>
      <c r="AN1045" s="7" t="s">
        <v>3212</v>
      </c>
      <c r="AO1045" s="7" t="s">
        <v>1177</v>
      </c>
      <c r="AP1045" s="7" t="s">
        <v>1177</v>
      </c>
      <c r="AQ1045" s="7" t="s">
        <v>1177</v>
      </c>
      <c r="AR1045" s="29">
        <v>0</v>
      </c>
      <c r="AS1045" s="7" t="s">
        <v>1177</v>
      </c>
      <c r="AT1045" s="7" t="s">
        <v>1363</v>
      </c>
      <c r="AU1045" s="38">
        <v>46275</v>
      </c>
      <c r="AV1045" s="39">
        <v>0.62302083333333003</v>
      </c>
    </row>
    <row r="1046" spans="1:48" x14ac:dyDescent="0.35">
      <c r="A1046" t="str">
        <f t="shared" si="16"/>
        <v>GP247999B833</v>
      </c>
      <c r="B1046" s="7" t="s">
        <v>709</v>
      </c>
      <c r="C1046" s="7" t="s">
        <v>698</v>
      </c>
      <c r="D1046" s="7" t="s">
        <v>697</v>
      </c>
      <c r="E1046" s="7" t="s">
        <v>1177</v>
      </c>
      <c r="F1046" s="7" t="s">
        <v>128</v>
      </c>
      <c r="G1046" s="7" t="s">
        <v>130</v>
      </c>
      <c r="H1046" s="7" t="s">
        <v>129</v>
      </c>
      <c r="I1046" s="30">
        <v>2</v>
      </c>
      <c r="J1046" s="7" t="s">
        <v>1177</v>
      </c>
      <c r="K1046" s="7" t="s">
        <v>1178</v>
      </c>
      <c r="L1046" s="7" t="s">
        <v>132</v>
      </c>
      <c r="M1046" s="7" t="s">
        <v>133</v>
      </c>
      <c r="N1046" s="30">
        <v>0</v>
      </c>
      <c r="O1046" s="30">
        <v>0</v>
      </c>
      <c r="P1046" s="30">
        <v>0</v>
      </c>
      <c r="Q1046" s="30">
        <v>0</v>
      </c>
      <c r="R1046" s="29">
        <v>0</v>
      </c>
      <c r="S1046" s="36">
        <v>0</v>
      </c>
      <c r="T1046" s="7" t="s">
        <v>131</v>
      </c>
      <c r="U1046" s="7" t="s">
        <v>699</v>
      </c>
      <c r="V1046" s="7" t="s">
        <v>699</v>
      </c>
      <c r="W1046" s="7" t="s">
        <v>1177</v>
      </c>
      <c r="X1046" s="30">
        <v>1</v>
      </c>
      <c r="Y1046" s="7" t="s">
        <v>1177</v>
      </c>
      <c r="Z1046" s="7" t="s">
        <v>1178</v>
      </c>
      <c r="AA1046" s="30">
        <v>0</v>
      </c>
      <c r="AB1046" s="36">
        <v>0</v>
      </c>
      <c r="AC1046" s="7" t="s">
        <v>1177</v>
      </c>
      <c r="AD1046" s="37">
        <v>0</v>
      </c>
      <c r="AE1046" s="7" t="s">
        <v>1177</v>
      </c>
      <c r="AF1046" s="7" t="s">
        <v>1177</v>
      </c>
      <c r="AG1046" s="7" t="s">
        <v>1177</v>
      </c>
      <c r="AH1046" s="38"/>
      <c r="AI1046" s="36">
        <v>0</v>
      </c>
      <c r="AJ1046" s="7" t="s">
        <v>1193</v>
      </c>
      <c r="AK1046" s="7" t="s">
        <v>1177</v>
      </c>
      <c r="AL1046" s="7" t="s">
        <v>1177</v>
      </c>
      <c r="AM1046" s="7" t="s">
        <v>1177</v>
      </c>
      <c r="AN1046" s="7" t="s">
        <v>3212</v>
      </c>
      <c r="AO1046" s="7" t="s">
        <v>1177</v>
      </c>
      <c r="AP1046" s="7" t="s">
        <v>1177</v>
      </c>
      <c r="AQ1046" s="7" t="s">
        <v>1177</v>
      </c>
      <c r="AR1046" s="29">
        <v>0</v>
      </c>
      <c r="AS1046" s="7" t="s">
        <v>1177</v>
      </c>
      <c r="AT1046" s="7" t="s">
        <v>1363</v>
      </c>
      <c r="AU1046" s="38">
        <v>46275</v>
      </c>
      <c r="AV1046" s="39">
        <v>0.62350694444443999</v>
      </c>
    </row>
    <row r="1047" spans="1:48" x14ac:dyDescent="0.35">
      <c r="A1047" t="str">
        <f t="shared" si="16"/>
        <v>GP247999B857</v>
      </c>
      <c r="B1047" s="7" t="s">
        <v>709</v>
      </c>
      <c r="C1047" s="7" t="s">
        <v>958</v>
      </c>
      <c r="D1047" s="7" t="s">
        <v>23</v>
      </c>
      <c r="E1047" s="7" t="s">
        <v>1177</v>
      </c>
      <c r="F1047" s="7" t="s">
        <v>128</v>
      </c>
      <c r="G1047" s="7" t="s">
        <v>130</v>
      </c>
      <c r="H1047" s="7" t="s">
        <v>129</v>
      </c>
      <c r="I1047" s="30">
        <v>1</v>
      </c>
      <c r="J1047" s="7" t="s">
        <v>1177</v>
      </c>
      <c r="K1047" s="7" t="s">
        <v>1178</v>
      </c>
      <c r="L1047" s="7" t="s">
        <v>132</v>
      </c>
      <c r="M1047" s="7" t="s">
        <v>133</v>
      </c>
      <c r="N1047" s="30">
        <v>0</v>
      </c>
      <c r="O1047" s="30">
        <v>0</v>
      </c>
      <c r="P1047" s="30">
        <v>0</v>
      </c>
      <c r="Q1047" s="30">
        <v>0</v>
      </c>
      <c r="R1047" s="29">
        <v>0</v>
      </c>
      <c r="S1047" s="36">
        <v>0</v>
      </c>
      <c r="T1047" s="7" t="s">
        <v>131</v>
      </c>
      <c r="U1047" s="7" t="s">
        <v>959</v>
      </c>
      <c r="V1047" s="7" t="s">
        <v>959</v>
      </c>
      <c r="W1047" s="7" t="s">
        <v>1177</v>
      </c>
      <c r="X1047" s="30">
        <v>1</v>
      </c>
      <c r="Y1047" s="7" t="s">
        <v>1177</v>
      </c>
      <c r="Z1047" s="7" t="s">
        <v>1178</v>
      </c>
      <c r="AA1047" s="30">
        <v>0</v>
      </c>
      <c r="AB1047" s="36">
        <v>0</v>
      </c>
      <c r="AC1047" s="7" t="s">
        <v>1177</v>
      </c>
      <c r="AD1047" s="37">
        <v>0</v>
      </c>
      <c r="AE1047" s="7" t="s">
        <v>1177</v>
      </c>
      <c r="AF1047" s="7" t="s">
        <v>1177</v>
      </c>
      <c r="AG1047" s="7" t="s">
        <v>1177</v>
      </c>
      <c r="AH1047" s="38"/>
      <c r="AI1047" s="36">
        <v>0</v>
      </c>
      <c r="AJ1047" s="7" t="s">
        <v>1193</v>
      </c>
      <c r="AK1047" s="7" t="s">
        <v>1177</v>
      </c>
      <c r="AL1047" s="7" t="s">
        <v>1177</v>
      </c>
      <c r="AM1047" s="7" t="s">
        <v>1177</v>
      </c>
      <c r="AN1047" s="7" t="s">
        <v>3212</v>
      </c>
      <c r="AO1047" s="7" t="s">
        <v>1177</v>
      </c>
      <c r="AP1047" s="7" t="s">
        <v>1177</v>
      </c>
      <c r="AQ1047" s="7" t="s">
        <v>1177</v>
      </c>
      <c r="AR1047" s="29">
        <v>0</v>
      </c>
      <c r="AS1047" s="7" t="s">
        <v>1177</v>
      </c>
      <c r="AT1047" s="7" t="s">
        <v>1363</v>
      </c>
      <c r="AU1047" s="38">
        <v>46275</v>
      </c>
      <c r="AV1047" s="39">
        <v>0.62494212962963003</v>
      </c>
    </row>
    <row r="1048" spans="1:48" x14ac:dyDescent="0.35">
      <c r="A1048" t="str">
        <f t="shared" si="16"/>
        <v>GP247999B864</v>
      </c>
      <c r="B1048" s="7" t="s">
        <v>709</v>
      </c>
      <c r="C1048" s="7" t="s">
        <v>1010</v>
      </c>
      <c r="D1048" s="7" t="s">
        <v>10</v>
      </c>
      <c r="E1048" s="7" t="s">
        <v>1177</v>
      </c>
      <c r="F1048" s="7" t="s">
        <v>128</v>
      </c>
      <c r="G1048" s="7" t="s">
        <v>130</v>
      </c>
      <c r="H1048" s="7" t="s">
        <v>129</v>
      </c>
      <c r="I1048" s="30">
        <v>2</v>
      </c>
      <c r="J1048" s="7" t="s">
        <v>1177</v>
      </c>
      <c r="K1048" s="7" t="s">
        <v>1178</v>
      </c>
      <c r="L1048" s="7" t="s">
        <v>132</v>
      </c>
      <c r="M1048" s="7" t="s">
        <v>133</v>
      </c>
      <c r="N1048" s="30">
        <v>0</v>
      </c>
      <c r="O1048" s="30">
        <v>0</v>
      </c>
      <c r="P1048" s="30">
        <v>0</v>
      </c>
      <c r="Q1048" s="30">
        <v>0</v>
      </c>
      <c r="R1048" s="29">
        <v>0</v>
      </c>
      <c r="S1048" s="36">
        <v>0</v>
      </c>
      <c r="T1048" s="7" t="s">
        <v>131</v>
      </c>
      <c r="U1048" s="7" t="s">
        <v>1011</v>
      </c>
      <c r="V1048" s="7" t="s">
        <v>1011</v>
      </c>
      <c r="W1048" s="7" t="s">
        <v>1177</v>
      </c>
      <c r="X1048" s="30">
        <v>1</v>
      </c>
      <c r="Y1048" s="7" t="s">
        <v>1177</v>
      </c>
      <c r="Z1048" s="7" t="s">
        <v>1178</v>
      </c>
      <c r="AA1048" s="30">
        <v>0</v>
      </c>
      <c r="AB1048" s="36">
        <v>0</v>
      </c>
      <c r="AC1048" s="7" t="s">
        <v>1177</v>
      </c>
      <c r="AD1048" s="37">
        <v>0</v>
      </c>
      <c r="AE1048" s="7" t="s">
        <v>1177</v>
      </c>
      <c r="AF1048" s="7" t="s">
        <v>1177</v>
      </c>
      <c r="AG1048" s="7" t="s">
        <v>1177</v>
      </c>
      <c r="AH1048" s="38"/>
      <c r="AI1048" s="36">
        <v>0</v>
      </c>
      <c r="AJ1048" s="7" t="s">
        <v>1193</v>
      </c>
      <c r="AK1048" s="7" t="s">
        <v>1177</v>
      </c>
      <c r="AL1048" s="7" t="s">
        <v>1177</v>
      </c>
      <c r="AM1048" s="7" t="s">
        <v>1177</v>
      </c>
      <c r="AN1048" s="7" t="s">
        <v>3212</v>
      </c>
      <c r="AO1048" s="7" t="s">
        <v>1177</v>
      </c>
      <c r="AP1048" s="7" t="s">
        <v>1177</v>
      </c>
      <c r="AQ1048" s="7" t="s">
        <v>1177</v>
      </c>
      <c r="AR1048" s="29">
        <v>0</v>
      </c>
      <c r="AS1048" s="7" t="s">
        <v>1177</v>
      </c>
      <c r="AT1048" s="7" t="s">
        <v>1363</v>
      </c>
      <c r="AU1048" s="38">
        <v>46275</v>
      </c>
      <c r="AV1048" s="39">
        <v>0.62645833333333001</v>
      </c>
    </row>
    <row r="1049" spans="1:48" x14ac:dyDescent="0.35">
      <c r="A1049" t="str">
        <f t="shared" si="16"/>
        <v>GP247999B865</v>
      </c>
      <c r="B1049" s="7" t="s">
        <v>709</v>
      </c>
      <c r="C1049" s="7" t="s">
        <v>1039</v>
      </c>
      <c r="D1049" s="7" t="s">
        <v>7</v>
      </c>
      <c r="E1049" s="7" t="s">
        <v>1177</v>
      </c>
      <c r="F1049" s="7" t="s">
        <v>128</v>
      </c>
      <c r="G1049" s="7" t="s">
        <v>130</v>
      </c>
      <c r="H1049" s="7" t="s">
        <v>129</v>
      </c>
      <c r="I1049" s="30">
        <v>2</v>
      </c>
      <c r="J1049" s="7" t="s">
        <v>1177</v>
      </c>
      <c r="K1049" s="7" t="s">
        <v>1178</v>
      </c>
      <c r="L1049" s="7" t="s">
        <v>132</v>
      </c>
      <c r="M1049" s="7" t="s">
        <v>133</v>
      </c>
      <c r="N1049" s="30">
        <v>0</v>
      </c>
      <c r="O1049" s="30">
        <v>0</v>
      </c>
      <c r="P1049" s="30">
        <v>0</v>
      </c>
      <c r="Q1049" s="30">
        <v>0</v>
      </c>
      <c r="R1049" s="29">
        <v>0</v>
      </c>
      <c r="S1049" s="36">
        <v>0</v>
      </c>
      <c r="T1049" s="7" t="s">
        <v>131</v>
      </c>
      <c r="U1049" s="7" t="s">
        <v>1040</v>
      </c>
      <c r="V1049" s="7" t="s">
        <v>1040</v>
      </c>
      <c r="W1049" s="7" t="s">
        <v>1177</v>
      </c>
      <c r="X1049" s="30">
        <v>1</v>
      </c>
      <c r="Y1049" s="7" t="s">
        <v>1177</v>
      </c>
      <c r="Z1049" s="7" t="s">
        <v>1178</v>
      </c>
      <c r="AA1049" s="30">
        <v>0</v>
      </c>
      <c r="AB1049" s="36">
        <v>0</v>
      </c>
      <c r="AC1049" s="7" t="s">
        <v>1177</v>
      </c>
      <c r="AD1049" s="37">
        <v>0</v>
      </c>
      <c r="AE1049" s="7" t="s">
        <v>1177</v>
      </c>
      <c r="AF1049" s="7" t="s">
        <v>1177</v>
      </c>
      <c r="AG1049" s="7" t="s">
        <v>1177</v>
      </c>
      <c r="AH1049" s="38"/>
      <c r="AI1049" s="36">
        <v>0</v>
      </c>
      <c r="AJ1049" s="7" t="s">
        <v>1193</v>
      </c>
      <c r="AK1049" s="7" t="s">
        <v>1177</v>
      </c>
      <c r="AL1049" s="7" t="s">
        <v>1177</v>
      </c>
      <c r="AM1049" s="7" t="s">
        <v>1177</v>
      </c>
      <c r="AN1049" s="7" t="s">
        <v>3212</v>
      </c>
      <c r="AO1049" s="7" t="s">
        <v>1177</v>
      </c>
      <c r="AP1049" s="7" t="s">
        <v>1177</v>
      </c>
      <c r="AQ1049" s="7" t="s">
        <v>1177</v>
      </c>
      <c r="AR1049" s="29">
        <v>0</v>
      </c>
      <c r="AS1049" s="7" t="s">
        <v>1177</v>
      </c>
      <c r="AT1049" s="7" t="s">
        <v>1363</v>
      </c>
      <c r="AU1049" s="38">
        <v>46275</v>
      </c>
      <c r="AV1049" s="39">
        <v>0.62666666666667004</v>
      </c>
    </row>
    <row r="1050" spans="1:48" x14ac:dyDescent="0.35">
      <c r="A1050" t="str">
        <f t="shared" si="16"/>
        <v>GP248189B838</v>
      </c>
      <c r="B1050" s="7" t="s">
        <v>756</v>
      </c>
      <c r="C1050" s="7" t="s">
        <v>744</v>
      </c>
      <c r="D1050" s="7" t="s">
        <v>48</v>
      </c>
      <c r="E1050" s="7" t="s">
        <v>1177</v>
      </c>
      <c r="F1050" s="7" t="s">
        <v>128</v>
      </c>
      <c r="G1050" s="7" t="s">
        <v>130</v>
      </c>
      <c r="H1050" s="7" t="s">
        <v>129</v>
      </c>
      <c r="I1050" s="30">
        <v>2</v>
      </c>
      <c r="J1050" s="7" t="s">
        <v>1177</v>
      </c>
      <c r="K1050" s="7" t="s">
        <v>1178</v>
      </c>
      <c r="L1050" s="7" t="s">
        <v>132</v>
      </c>
      <c r="M1050" s="7" t="s">
        <v>133</v>
      </c>
      <c r="N1050" s="30">
        <v>0</v>
      </c>
      <c r="O1050" s="30">
        <v>0</v>
      </c>
      <c r="P1050" s="30">
        <v>0</v>
      </c>
      <c r="Q1050" s="30">
        <v>0</v>
      </c>
      <c r="R1050" s="29">
        <v>0</v>
      </c>
      <c r="S1050" s="36">
        <v>0</v>
      </c>
      <c r="T1050" s="7" t="s">
        <v>131</v>
      </c>
      <c r="U1050" s="7" t="s">
        <v>745</v>
      </c>
      <c r="V1050" s="7" t="s">
        <v>745</v>
      </c>
      <c r="W1050" s="7" t="s">
        <v>1177</v>
      </c>
      <c r="X1050" s="30">
        <v>1</v>
      </c>
      <c r="Y1050" s="7" t="s">
        <v>1177</v>
      </c>
      <c r="Z1050" s="7" t="s">
        <v>1178</v>
      </c>
      <c r="AA1050" s="30">
        <v>0</v>
      </c>
      <c r="AB1050" s="36">
        <v>0</v>
      </c>
      <c r="AC1050" s="7" t="s">
        <v>1177</v>
      </c>
      <c r="AD1050" s="37">
        <v>0</v>
      </c>
      <c r="AE1050" s="7" t="s">
        <v>1177</v>
      </c>
      <c r="AF1050" s="7" t="s">
        <v>1177</v>
      </c>
      <c r="AG1050" s="7" t="s">
        <v>1177</v>
      </c>
      <c r="AH1050" s="38"/>
      <c r="AI1050" s="36">
        <v>0</v>
      </c>
      <c r="AJ1050" s="7" t="s">
        <v>1193</v>
      </c>
      <c r="AK1050" s="7" t="s">
        <v>1177</v>
      </c>
      <c r="AL1050" s="7" t="s">
        <v>1177</v>
      </c>
      <c r="AM1050" s="7" t="s">
        <v>1177</v>
      </c>
      <c r="AN1050" s="7" t="s">
        <v>3212</v>
      </c>
      <c r="AO1050" s="7" t="s">
        <v>1177</v>
      </c>
      <c r="AP1050" s="7" t="s">
        <v>1177</v>
      </c>
      <c r="AQ1050" s="7" t="s">
        <v>1177</v>
      </c>
      <c r="AR1050" s="29">
        <v>0</v>
      </c>
      <c r="AS1050" s="7" t="s">
        <v>1177</v>
      </c>
      <c r="AT1050" s="7" t="s">
        <v>1363</v>
      </c>
      <c r="AU1050" s="38">
        <v>46275</v>
      </c>
      <c r="AV1050" s="39">
        <v>0.62400462962962999</v>
      </c>
    </row>
    <row r="1051" spans="1:48" x14ac:dyDescent="0.35">
      <c r="A1051" t="str">
        <f t="shared" si="16"/>
        <v>GP249287B856</v>
      </c>
      <c r="B1051" s="7" t="s">
        <v>734</v>
      </c>
      <c r="C1051" s="7" t="s">
        <v>852</v>
      </c>
      <c r="D1051" s="7" t="s">
        <v>21</v>
      </c>
      <c r="E1051" s="7" t="s">
        <v>1177</v>
      </c>
      <c r="F1051" s="7" t="s">
        <v>128</v>
      </c>
      <c r="G1051" s="7" t="s">
        <v>130</v>
      </c>
      <c r="H1051" s="7" t="s">
        <v>129</v>
      </c>
      <c r="I1051" s="30">
        <v>1</v>
      </c>
      <c r="J1051" s="7" t="s">
        <v>1177</v>
      </c>
      <c r="K1051" s="7" t="s">
        <v>1178</v>
      </c>
      <c r="L1051" s="7" t="s">
        <v>132</v>
      </c>
      <c r="M1051" s="7" t="s">
        <v>133</v>
      </c>
      <c r="N1051" s="30">
        <v>0</v>
      </c>
      <c r="O1051" s="30">
        <v>0</v>
      </c>
      <c r="P1051" s="30">
        <v>0</v>
      </c>
      <c r="Q1051" s="30">
        <v>0</v>
      </c>
      <c r="R1051" s="29">
        <v>0</v>
      </c>
      <c r="S1051" s="36">
        <v>0</v>
      </c>
      <c r="T1051" s="7" t="s">
        <v>131</v>
      </c>
      <c r="U1051" s="7" t="s">
        <v>853</v>
      </c>
      <c r="V1051" s="7" t="s">
        <v>853</v>
      </c>
      <c r="W1051" s="7" t="s">
        <v>1177</v>
      </c>
      <c r="X1051" s="30">
        <v>1</v>
      </c>
      <c r="Y1051" s="7" t="s">
        <v>1177</v>
      </c>
      <c r="Z1051" s="7" t="s">
        <v>1178</v>
      </c>
      <c r="AA1051" s="30">
        <v>0</v>
      </c>
      <c r="AB1051" s="36">
        <v>0</v>
      </c>
      <c r="AC1051" s="7" t="s">
        <v>1177</v>
      </c>
      <c r="AD1051" s="37">
        <v>0</v>
      </c>
      <c r="AE1051" s="7" t="s">
        <v>1177</v>
      </c>
      <c r="AF1051" s="7" t="s">
        <v>1177</v>
      </c>
      <c r="AG1051" s="7" t="s">
        <v>1177</v>
      </c>
      <c r="AH1051" s="38"/>
      <c r="AI1051" s="36">
        <v>0</v>
      </c>
      <c r="AJ1051" s="7" t="s">
        <v>1193</v>
      </c>
      <c r="AK1051" s="7" t="s">
        <v>1177</v>
      </c>
      <c r="AL1051" s="7" t="s">
        <v>1177</v>
      </c>
      <c r="AM1051" s="7" t="s">
        <v>1177</v>
      </c>
      <c r="AN1051" s="7" t="s">
        <v>3212</v>
      </c>
      <c r="AO1051" s="7" t="s">
        <v>1177</v>
      </c>
      <c r="AP1051" s="7" t="s">
        <v>1177</v>
      </c>
      <c r="AQ1051" s="7" t="s">
        <v>1177</v>
      </c>
      <c r="AR1051" s="29">
        <v>0</v>
      </c>
      <c r="AS1051" s="7" t="s">
        <v>1177</v>
      </c>
      <c r="AT1051" s="7" t="s">
        <v>1363</v>
      </c>
      <c r="AU1051" s="38">
        <v>46275</v>
      </c>
      <c r="AV1051" s="39">
        <v>0.62489583333332999</v>
      </c>
    </row>
    <row r="1052" spans="1:48" x14ac:dyDescent="0.35">
      <c r="A1052" t="str">
        <f t="shared" si="16"/>
        <v>GP249287B857</v>
      </c>
      <c r="B1052" s="7" t="s">
        <v>734</v>
      </c>
      <c r="C1052" s="7" t="s">
        <v>958</v>
      </c>
      <c r="D1052" s="7" t="s">
        <v>23</v>
      </c>
      <c r="E1052" s="7" t="s">
        <v>1177</v>
      </c>
      <c r="F1052" s="7" t="s">
        <v>128</v>
      </c>
      <c r="G1052" s="7" t="s">
        <v>130</v>
      </c>
      <c r="H1052" s="7" t="s">
        <v>129</v>
      </c>
      <c r="I1052" s="30">
        <v>2</v>
      </c>
      <c r="J1052" s="7" t="s">
        <v>1177</v>
      </c>
      <c r="K1052" s="7" t="s">
        <v>1178</v>
      </c>
      <c r="L1052" s="7" t="s">
        <v>132</v>
      </c>
      <c r="M1052" s="7" t="s">
        <v>133</v>
      </c>
      <c r="N1052" s="30">
        <v>0</v>
      </c>
      <c r="O1052" s="30">
        <v>0</v>
      </c>
      <c r="P1052" s="30">
        <v>0</v>
      </c>
      <c r="Q1052" s="30">
        <v>0</v>
      </c>
      <c r="R1052" s="29">
        <v>0</v>
      </c>
      <c r="S1052" s="36">
        <v>0</v>
      </c>
      <c r="T1052" s="7" t="s">
        <v>131</v>
      </c>
      <c r="U1052" s="7" t="s">
        <v>959</v>
      </c>
      <c r="V1052" s="7" t="s">
        <v>959</v>
      </c>
      <c r="W1052" s="7" t="s">
        <v>1177</v>
      </c>
      <c r="X1052" s="30">
        <v>1</v>
      </c>
      <c r="Y1052" s="7" t="s">
        <v>1177</v>
      </c>
      <c r="Z1052" s="7" t="s">
        <v>1178</v>
      </c>
      <c r="AA1052" s="30">
        <v>0</v>
      </c>
      <c r="AB1052" s="36">
        <v>0</v>
      </c>
      <c r="AC1052" s="7" t="s">
        <v>1177</v>
      </c>
      <c r="AD1052" s="37">
        <v>0</v>
      </c>
      <c r="AE1052" s="7" t="s">
        <v>1177</v>
      </c>
      <c r="AF1052" s="7" t="s">
        <v>1177</v>
      </c>
      <c r="AG1052" s="7" t="s">
        <v>1177</v>
      </c>
      <c r="AH1052" s="38"/>
      <c r="AI1052" s="36">
        <v>0</v>
      </c>
      <c r="AJ1052" s="7" t="s">
        <v>1193</v>
      </c>
      <c r="AK1052" s="7" t="s">
        <v>1177</v>
      </c>
      <c r="AL1052" s="7" t="s">
        <v>1177</v>
      </c>
      <c r="AM1052" s="7" t="s">
        <v>1177</v>
      </c>
      <c r="AN1052" s="7" t="s">
        <v>3212</v>
      </c>
      <c r="AO1052" s="7" t="s">
        <v>1177</v>
      </c>
      <c r="AP1052" s="7" t="s">
        <v>1177</v>
      </c>
      <c r="AQ1052" s="7" t="s">
        <v>1177</v>
      </c>
      <c r="AR1052" s="29">
        <v>0</v>
      </c>
      <c r="AS1052" s="7" t="s">
        <v>1177</v>
      </c>
      <c r="AT1052" s="7" t="s">
        <v>1363</v>
      </c>
      <c r="AU1052" s="38">
        <v>46275</v>
      </c>
      <c r="AV1052" s="39">
        <v>0.62494212962963003</v>
      </c>
    </row>
    <row r="1053" spans="1:48" x14ac:dyDescent="0.35">
      <c r="A1053" t="str">
        <f t="shared" si="16"/>
        <v>GP249287B867</v>
      </c>
      <c r="B1053" s="7" t="s">
        <v>734</v>
      </c>
      <c r="C1053" s="7" t="s">
        <v>1059</v>
      </c>
      <c r="D1053" s="7" t="s">
        <v>25</v>
      </c>
      <c r="E1053" s="7" t="s">
        <v>1177</v>
      </c>
      <c r="F1053" s="7" t="s">
        <v>128</v>
      </c>
      <c r="G1053" s="7" t="s">
        <v>130</v>
      </c>
      <c r="H1053" s="7" t="s">
        <v>129</v>
      </c>
      <c r="I1053" s="30">
        <v>2</v>
      </c>
      <c r="J1053" s="7" t="s">
        <v>1177</v>
      </c>
      <c r="K1053" s="7" t="s">
        <v>1178</v>
      </c>
      <c r="L1053" s="7" t="s">
        <v>132</v>
      </c>
      <c r="M1053" s="7" t="s">
        <v>133</v>
      </c>
      <c r="N1053" s="30">
        <v>0</v>
      </c>
      <c r="O1053" s="30">
        <v>0</v>
      </c>
      <c r="P1053" s="30">
        <v>0</v>
      </c>
      <c r="Q1053" s="30">
        <v>0</v>
      </c>
      <c r="R1053" s="29">
        <v>0</v>
      </c>
      <c r="S1053" s="36">
        <v>0</v>
      </c>
      <c r="T1053" s="7" t="s">
        <v>131</v>
      </c>
      <c r="U1053" s="7" t="s">
        <v>1060</v>
      </c>
      <c r="V1053" s="7" t="s">
        <v>1060</v>
      </c>
      <c r="W1053" s="7" t="s">
        <v>1177</v>
      </c>
      <c r="X1053" s="30">
        <v>1</v>
      </c>
      <c r="Y1053" s="7" t="s">
        <v>1177</v>
      </c>
      <c r="Z1053" s="7" t="s">
        <v>1178</v>
      </c>
      <c r="AA1053" s="30">
        <v>0</v>
      </c>
      <c r="AB1053" s="36">
        <v>0</v>
      </c>
      <c r="AC1053" s="7" t="s">
        <v>1177</v>
      </c>
      <c r="AD1053" s="37">
        <v>0</v>
      </c>
      <c r="AE1053" s="7" t="s">
        <v>1177</v>
      </c>
      <c r="AF1053" s="7" t="s">
        <v>1177</v>
      </c>
      <c r="AG1053" s="7" t="s">
        <v>1177</v>
      </c>
      <c r="AH1053" s="38"/>
      <c r="AI1053" s="36">
        <v>0</v>
      </c>
      <c r="AJ1053" s="7" t="s">
        <v>1193</v>
      </c>
      <c r="AK1053" s="7" t="s">
        <v>1177</v>
      </c>
      <c r="AL1053" s="7" t="s">
        <v>1177</v>
      </c>
      <c r="AM1053" s="7" t="s">
        <v>1177</v>
      </c>
      <c r="AN1053" s="7" t="s">
        <v>3212</v>
      </c>
      <c r="AO1053" s="7" t="s">
        <v>1177</v>
      </c>
      <c r="AP1053" s="7" t="s">
        <v>1177</v>
      </c>
      <c r="AQ1053" s="7" t="s">
        <v>1177</v>
      </c>
      <c r="AR1053" s="29">
        <v>0</v>
      </c>
      <c r="AS1053" s="7" t="s">
        <v>1177</v>
      </c>
      <c r="AT1053" s="7" t="s">
        <v>1363</v>
      </c>
      <c r="AU1053" s="38">
        <v>46275</v>
      </c>
      <c r="AV1053" s="39">
        <v>0.62736111111111004</v>
      </c>
    </row>
    <row r="1054" spans="1:48" x14ac:dyDescent="0.35">
      <c r="A1054" t="str">
        <f t="shared" si="16"/>
        <v>GP249310B825</v>
      </c>
      <c r="B1054" s="7" t="s">
        <v>324</v>
      </c>
      <c r="C1054" s="7" t="s">
        <v>511</v>
      </c>
      <c r="D1054" s="7" t="s">
        <v>16</v>
      </c>
      <c r="E1054" s="7" t="s">
        <v>1177</v>
      </c>
      <c r="F1054" s="7" t="s">
        <v>128</v>
      </c>
      <c r="G1054" s="7" t="s">
        <v>130</v>
      </c>
      <c r="H1054" s="7" t="s">
        <v>129</v>
      </c>
      <c r="I1054" s="30">
        <v>2</v>
      </c>
      <c r="J1054" s="7" t="s">
        <v>1177</v>
      </c>
      <c r="K1054" s="7" t="s">
        <v>1178</v>
      </c>
      <c r="L1054" s="7" t="s">
        <v>132</v>
      </c>
      <c r="M1054" s="7" t="s">
        <v>133</v>
      </c>
      <c r="N1054" s="30">
        <v>0</v>
      </c>
      <c r="O1054" s="30">
        <v>0</v>
      </c>
      <c r="P1054" s="30">
        <v>0</v>
      </c>
      <c r="Q1054" s="30">
        <v>0</v>
      </c>
      <c r="R1054" s="29">
        <v>0</v>
      </c>
      <c r="S1054" s="36">
        <v>0</v>
      </c>
      <c r="T1054" s="7" t="s">
        <v>131</v>
      </c>
      <c r="U1054" s="7" t="s">
        <v>512</v>
      </c>
      <c r="V1054" s="7" t="s">
        <v>512</v>
      </c>
      <c r="W1054" s="7" t="s">
        <v>1177</v>
      </c>
      <c r="X1054" s="30">
        <v>1</v>
      </c>
      <c r="Y1054" s="7" t="s">
        <v>1177</v>
      </c>
      <c r="Z1054" s="7" t="s">
        <v>1178</v>
      </c>
      <c r="AA1054" s="30">
        <v>0</v>
      </c>
      <c r="AB1054" s="36">
        <v>0</v>
      </c>
      <c r="AC1054" s="7" t="s">
        <v>1177</v>
      </c>
      <c r="AD1054" s="37">
        <v>0</v>
      </c>
      <c r="AE1054" s="7" t="s">
        <v>1177</v>
      </c>
      <c r="AF1054" s="7" t="s">
        <v>1177</v>
      </c>
      <c r="AG1054" s="7" t="s">
        <v>1177</v>
      </c>
      <c r="AH1054" s="38"/>
      <c r="AI1054" s="36">
        <v>0</v>
      </c>
      <c r="AJ1054" s="7" t="s">
        <v>1193</v>
      </c>
      <c r="AK1054" s="7" t="s">
        <v>1177</v>
      </c>
      <c r="AL1054" s="7" t="s">
        <v>1177</v>
      </c>
      <c r="AM1054" s="7" t="s">
        <v>1177</v>
      </c>
      <c r="AN1054" s="7" t="s">
        <v>3212</v>
      </c>
      <c r="AO1054" s="7" t="s">
        <v>1177</v>
      </c>
      <c r="AP1054" s="7" t="s">
        <v>1177</v>
      </c>
      <c r="AQ1054" s="7" t="s">
        <v>1177</v>
      </c>
      <c r="AR1054" s="29">
        <v>0</v>
      </c>
      <c r="AS1054" s="7" t="s">
        <v>1177</v>
      </c>
      <c r="AT1054" s="7" t="s">
        <v>1363</v>
      </c>
      <c r="AU1054" s="38">
        <v>46275</v>
      </c>
      <c r="AV1054" s="39">
        <v>0.6034837962963</v>
      </c>
    </row>
    <row r="1055" spans="1:48" x14ac:dyDescent="0.35">
      <c r="A1055" t="str">
        <f t="shared" si="16"/>
        <v>GP249637B857</v>
      </c>
      <c r="B1055" s="7" t="s">
        <v>974</v>
      </c>
      <c r="C1055" s="7" t="s">
        <v>958</v>
      </c>
      <c r="D1055" s="7" t="s">
        <v>23</v>
      </c>
      <c r="E1055" s="7" t="s">
        <v>1177</v>
      </c>
      <c r="F1055" s="7" t="s">
        <v>128</v>
      </c>
      <c r="G1055" s="7" t="s">
        <v>130</v>
      </c>
      <c r="H1055" s="7" t="s">
        <v>129</v>
      </c>
      <c r="I1055" s="30">
        <v>2</v>
      </c>
      <c r="J1055" s="7" t="s">
        <v>1177</v>
      </c>
      <c r="K1055" s="7" t="s">
        <v>1178</v>
      </c>
      <c r="L1055" s="7" t="s">
        <v>132</v>
      </c>
      <c r="M1055" s="7" t="s">
        <v>133</v>
      </c>
      <c r="N1055" s="30">
        <v>0</v>
      </c>
      <c r="O1055" s="30">
        <v>0</v>
      </c>
      <c r="P1055" s="30">
        <v>0</v>
      </c>
      <c r="Q1055" s="30">
        <v>0</v>
      </c>
      <c r="R1055" s="29">
        <v>0</v>
      </c>
      <c r="S1055" s="36">
        <v>0</v>
      </c>
      <c r="T1055" s="7" t="s">
        <v>131</v>
      </c>
      <c r="U1055" s="7" t="s">
        <v>959</v>
      </c>
      <c r="V1055" s="7" t="s">
        <v>959</v>
      </c>
      <c r="W1055" s="7" t="s">
        <v>1177</v>
      </c>
      <c r="X1055" s="30">
        <v>1</v>
      </c>
      <c r="Y1055" s="7" t="s">
        <v>1177</v>
      </c>
      <c r="Z1055" s="7" t="s">
        <v>1178</v>
      </c>
      <c r="AA1055" s="30">
        <v>0</v>
      </c>
      <c r="AB1055" s="36">
        <v>0</v>
      </c>
      <c r="AC1055" s="7" t="s">
        <v>1177</v>
      </c>
      <c r="AD1055" s="37">
        <v>0</v>
      </c>
      <c r="AE1055" s="7" t="s">
        <v>1177</v>
      </c>
      <c r="AF1055" s="7" t="s">
        <v>1177</v>
      </c>
      <c r="AG1055" s="7" t="s">
        <v>1177</v>
      </c>
      <c r="AH1055" s="38"/>
      <c r="AI1055" s="36">
        <v>0</v>
      </c>
      <c r="AJ1055" s="7" t="s">
        <v>1193</v>
      </c>
      <c r="AK1055" s="7" t="s">
        <v>1177</v>
      </c>
      <c r="AL1055" s="7" t="s">
        <v>1177</v>
      </c>
      <c r="AM1055" s="7" t="s">
        <v>1177</v>
      </c>
      <c r="AN1055" s="7" t="s">
        <v>3212</v>
      </c>
      <c r="AO1055" s="7" t="s">
        <v>1177</v>
      </c>
      <c r="AP1055" s="7" t="s">
        <v>1177</v>
      </c>
      <c r="AQ1055" s="7" t="s">
        <v>1177</v>
      </c>
      <c r="AR1055" s="29">
        <v>0</v>
      </c>
      <c r="AS1055" s="7" t="s">
        <v>1177</v>
      </c>
      <c r="AT1055" s="7" t="s">
        <v>1363</v>
      </c>
      <c r="AU1055" s="38">
        <v>46275</v>
      </c>
      <c r="AV1055" s="39">
        <v>0.62494212962963003</v>
      </c>
    </row>
    <row r="1056" spans="1:48" x14ac:dyDescent="0.35">
      <c r="A1056" t="str">
        <f t="shared" si="16"/>
        <v>GP249817B825</v>
      </c>
      <c r="B1056" s="7" t="s">
        <v>72</v>
      </c>
      <c r="C1056" s="7" t="s">
        <v>511</v>
      </c>
      <c r="D1056" s="7" t="s">
        <v>16</v>
      </c>
      <c r="E1056" s="7" t="s">
        <v>1177</v>
      </c>
      <c r="F1056" s="7" t="s">
        <v>128</v>
      </c>
      <c r="G1056" s="7" t="s">
        <v>130</v>
      </c>
      <c r="H1056" s="7" t="s">
        <v>129</v>
      </c>
      <c r="I1056" s="30">
        <v>2</v>
      </c>
      <c r="J1056" s="7" t="s">
        <v>1177</v>
      </c>
      <c r="K1056" s="7" t="s">
        <v>1178</v>
      </c>
      <c r="L1056" s="7" t="s">
        <v>132</v>
      </c>
      <c r="M1056" s="7" t="s">
        <v>133</v>
      </c>
      <c r="N1056" s="30">
        <v>0</v>
      </c>
      <c r="O1056" s="30">
        <v>0</v>
      </c>
      <c r="P1056" s="30">
        <v>0</v>
      </c>
      <c r="Q1056" s="30">
        <v>0</v>
      </c>
      <c r="R1056" s="29">
        <v>0</v>
      </c>
      <c r="S1056" s="36">
        <v>0</v>
      </c>
      <c r="T1056" s="7" t="s">
        <v>131</v>
      </c>
      <c r="U1056" s="7" t="s">
        <v>512</v>
      </c>
      <c r="V1056" s="7" t="s">
        <v>512</v>
      </c>
      <c r="W1056" s="7" t="s">
        <v>1177</v>
      </c>
      <c r="X1056" s="30">
        <v>1</v>
      </c>
      <c r="Y1056" s="7" t="s">
        <v>1177</v>
      </c>
      <c r="Z1056" s="7" t="s">
        <v>1178</v>
      </c>
      <c r="AA1056" s="30">
        <v>0</v>
      </c>
      <c r="AB1056" s="36">
        <v>0</v>
      </c>
      <c r="AC1056" s="7" t="s">
        <v>1177</v>
      </c>
      <c r="AD1056" s="37">
        <v>0</v>
      </c>
      <c r="AE1056" s="7" t="s">
        <v>1177</v>
      </c>
      <c r="AF1056" s="7" t="s">
        <v>1177</v>
      </c>
      <c r="AG1056" s="7" t="s">
        <v>1177</v>
      </c>
      <c r="AH1056" s="38"/>
      <c r="AI1056" s="36">
        <v>0</v>
      </c>
      <c r="AJ1056" s="7" t="s">
        <v>1193</v>
      </c>
      <c r="AK1056" s="7" t="s">
        <v>1177</v>
      </c>
      <c r="AL1056" s="7" t="s">
        <v>1177</v>
      </c>
      <c r="AM1056" s="7" t="s">
        <v>1177</v>
      </c>
      <c r="AN1056" s="7" t="s">
        <v>3212</v>
      </c>
      <c r="AO1056" s="7" t="s">
        <v>1177</v>
      </c>
      <c r="AP1056" s="7" t="s">
        <v>1177</v>
      </c>
      <c r="AQ1056" s="7" t="s">
        <v>1177</v>
      </c>
      <c r="AR1056" s="29">
        <v>0</v>
      </c>
      <c r="AS1056" s="7" t="s">
        <v>1177</v>
      </c>
      <c r="AT1056" s="7" t="s">
        <v>1363</v>
      </c>
      <c r="AU1056" s="38">
        <v>46275</v>
      </c>
      <c r="AV1056" s="39">
        <v>0.6034837962963</v>
      </c>
    </row>
    <row r="1057" spans="1:48" x14ac:dyDescent="0.35">
      <c r="A1057" t="str">
        <f t="shared" si="16"/>
        <v>GP249817B832</v>
      </c>
      <c r="B1057" s="7" t="s">
        <v>72</v>
      </c>
      <c r="C1057" s="7" t="s">
        <v>653</v>
      </c>
      <c r="D1057" s="7" t="s">
        <v>19</v>
      </c>
      <c r="E1057" s="7" t="s">
        <v>1177</v>
      </c>
      <c r="F1057" s="7" t="s">
        <v>128</v>
      </c>
      <c r="G1057" s="7" t="s">
        <v>130</v>
      </c>
      <c r="H1057" s="7" t="s">
        <v>129</v>
      </c>
      <c r="I1057" s="30">
        <v>1</v>
      </c>
      <c r="J1057" s="7" t="s">
        <v>1177</v>
      </c>
      <c r="K1057" s="7" t="s">
        <v>1178</v>
      </c>
      <c r="L1057" s="7" t="s">
        <v>132</v>
      </c>
      <c r="M1057" s="7" t="s">
        <v>133</v>
      </c>
      <c r="N1057" s="30">
        <v>0</v>
      </c>
      <c r="O1057" s="30">
        <v>0</v>
      </c>
      <c r="P1057" s="30">
        <v>0</v>
      </c>
      <c r="Q1057" s="30">
        <v>0</v>
      </c>
      <c r="R1057" s="29">
        <v>0</v>
      </c>
      <c r="S1057" s="36">
        <v>0</v>
      </c>
      <c r="T1057" s="7" t="s">
        <v>131</v>
      </c>
      <c r="U1057" s="7" t="s">
        <v>654</v>
      </c>
      <c r="V1057" s="7" t="s">
        <v>654</v>
      </c>
      <c r="W1057" s="7" t="s">
        <v>1177</v>
      </c>
      <c r="X1057" s="30">
        <v>1</v>
      </c>
      <c r="Y1057" s="7" t="s">
        <v>1177</v>
      </c>
      <c r="Z1057" s="7" t="s">
        <v>1178</v>
      </c>
      <c r="AA1057" s="30">
        <v>0</v>
      </c>
      <c r="AB1057" s="36">
        <v>0</v>
      </c>
      <c r="AC1057" s="7" t="s">
        <v>1177</v>
      </c>
      <c r="AD1057" s="37">
        <v>0</v>
      </c>
      <c r="AE1057" s="7" t="s">
        <v>1177</v>
      </c>
      <c r="AF1057" s="7" t="s">
        <v>1177</v>
      </c>
      <c r="AG1057" s="7" t="s">
        <v>1177</v>
      </c>
      <c r="AH1057" s="38"/>
      <c r="AI1057" s="36">
        <v>0</v>
      </c>
      <c r="AJ1057" s="7" t="s">
        <v>1193</v>
      </c>
      <c r="AK1057" s="7" t="s">
        <v>1177</v>
      </c>
      <c r="AL1057" s="7" t="s">
        <v>1177</v>
      </c>
      <c r="AM1057" s="7" t="s">
        <v>1177</v>
      </c>
      <c r="AN1057" s="7" t="s">
        <v>3212</v>
      </c>
      <c r="AO1057" s="7" t="s">
        <v>1177</v>
      </c>
      <c r="AP1057" s="7" t="s">
        <v>1177</v>
      </c>
      <c r="AQ1057" s="7" t="s">
        <v>1177</v>
      </c>
      <c r="AR1057" s="29">
        <v>0</v>
      </c>
      <c r="AS1057" s="7" t="s">
        <v>1177</v>
      </c>
      <c r="AT1057" s="7" t="s">
        <v>1363</v>
      </c>
      <c r="AU1057" s="38">
        <v>46275</v>
      </c>
      <c r="AV1057" s="39">
        <v>0.60383101851851995</v>
      </c>
    </row>
    <row r="1058" spans="1:48" x14ac:dyDescent="0.35">
      <c r="A1058" t="str">
        <f t="shared" si="16"/>
        <v>GP249817B838</v>
      </c>
      <c r="B1058" s="7" t="s">
        <v>72</v>
      </c>
      <c r="C1058" s="7" t="s">
        <v>744</v>
      </c>
      <c r="D1058" s="7" t="s">
        <v>48</v>
      </c>
      <c r="E1058" s="7" t="s">
        <v>1177</v>
      </c>
      <c r="F1058" s="7" t="s">
        <v>128</v>
      </c>
      <c r="G1058" s="7" t="s">
        <v>130</v>
      </c>
      <c r="H1058" s="7" t="s">
        <v>129</v>
      </c>
      <c r="I1058" s="30">
        <v>3</v>
      </c>
      <c r="J1058" s="7" t="s">
        <v>1177</v>
      </c>
      <c r="K1058" s="7" t="s">
        <v>1178</v>
      </c>
      <c r="L1058" s="7" t="s">
        <v>132</v>
      </c>
      <c r="M1058" s="7" t="s">
        <v>133</v>
      </c>
      <c r="N1058" s="30">
        <v>0</v>
      </c>
      <c r="O1058" s="30">
        <v>0</v>
      </c>
      <c r="P1058" s="30">
        <v>0</v>
      </c>
      <c r="Q1058" s="30">
        <v>0</v>
      </c>
      <c r="R1058" s="29">
        <v>0</v>
      </c>
      <c r="S1058" s="36">
        <v>0</v>
      </c>
      <c r="T1058" s="7" t="s">
        <v>131</v>
      </c>
      <c r="U1058" s="7" t="s">
        <v>745</v>
      </c>
      <c r="V1058" s="7" t="s">
        <v>745</v>
      </c>
      <c r="W1058" s="7" t="s">
        <v>1177</v>
      </c>
      <c r="X1058" s="30">
        <v>1</v>
      </c>
      <c r="Y1058" s="7" t="s">
        <v>1177</v>
      </c>
      <c r="Z1058" s="7" t="s">
        <v>1178</v>
      </c>
      <c r="AA1058" s="30">
        <v>0</v>
      </c>
      <c r="AB1058" s="36">
        <v>0</v>
      </c>
      <c r="AC1058" s="7" t="s">
        <v>1177</v>
      </c>
      <c r="AD1058" s="37">
        <v>0</v>
      </c>
      <c r="AE1058" s="7" t="s">
        <v>1177</v>
      </c>
      <c r="AF1058" s="7" t="s">
        <v>1177</v>
      </c>
      <c r="AG1058" s="7" t="s">
        <v>1177</v>
      </c>
      <c r="AH1058" s="38"/>
      <c r="AI1058" s="36">
        <v>0</v>
      </c>
      <c r="AJ1058" s="7" t="s">
        <v>1193</v>
      </c>
      <c r="AK1058" s="7" t="s">
        <v>1177</v>
      </c>
      <c r="AL1058" s="7" t="s">
        <v>1177</v>
      </c>
      <c r="AM1058" s="7" t="s">
        <v>1177</v>
      </c>
      <c r="AN1058" s="7" t="s">
        <v>3212</v>
      </c>
      <c r="AO1058" s="7" t="s">
        <v>1177</v>
      </c>
      <c r="AP1058" s="7" t="s">
        <v>1177</v>
      </c>
      <c r="AQ1058" s="7" t="s">
        <v>1177</v>
      </c>
      <c r="AR1058" s="29">
        <v>0</v>
      </c>
      <c r="AS1058" s="7" t="s">
        <v>1177</v>
      </c>
      <c r="AT1058" s="7" t="s">
        <v>1363</v>
      </c>
      <c r="AU1058" s="38">
        <v>46275</v>
      </c>
      <c r="AV1058" s="39">
        <v>0.60444444444444001</v>
      </c>
    </row>
    <row r="1059" spans="1:48" x14ac:dyDescent="0.35">
      <c r="A1059" t="str">
        <f t="shared" si="16"/>
        <v>GP249817B856</v>
      </c>
      <c r="B1059" s="7" t="s">
        <v>72</v>
      </c>
      <c r="C1059" s="7" t="s">
        <v>852</v>
      </c>
      <c r="D1059" s="7" t="s">
        <v>21</v>
      </c>
      <c r="E1059" s="7" t="s">
        <v>1177</v>
      </c>
      <c r="F1059" s="7" t="s">
        <v>128</v>
      </c>
      <c r="G1059" s="7" t="s">
        <v>130</v>
      </c>
      <c r="H1059" s="7" t="s">
        <v>129</v>
      </c>
      <c r="I1059" s="30">
        <v>2</v>
      </c>
      <c r="J1059" s="7" t="s">
        <v>1177</v>
      </c>
      <c r="K1059" s="7" t="s">
        <v>1178</v>
      </c>
      <c r="L1059" s="7" t="s">
        <v>132</v>
      </c>
      <c r="M1059" s="7" t="s">
        <v>133</v>
      </c>
      <c r="N1059" s="30">
        <v>0</v>
      </c>
      <c r="O1059" s="30">
        <v>0</v>
      </c>
      <c r="P1059" s="30">
        <v>0</v>
      </c>
      <c r="Q1059" s="30">
        <v>0</v>
      </c>
      <c r="R1059" s="29">
        <v>0</v>
      </c>
      <c r="S1059" s="36">
        <v>0</v>
      </c>
      <c r="T1059" s="7" t="s">
        <v>131</v>
      </c>
      <c r="U1059" s="7" t="s">
        <v>853</v>
      </c>
      <c r="V1059" s="7" t="s">
        <v>853</v>
      </c>
      <c r="W1059" s="7" t="s">
        <v>1177</v>
      </c>
      <c r="X1059" s="30">
        <v>1</v>
      </c>
      <c r="Y1059" s="7" t="s">
        <v>1177</v>
      </c>
      <c r="Z1059" s="7" t="s">
        <v>1178</v>
      </c>
      <c r="AA1059" s="30">
        <v>0</v>
      </c>
      <c r="AB1059" s="36">
        <v>0</v>
      </c>
      <c r="AC1059" s="7" t="s">
        <v>1177</v>
      </c>
      <c r="AD1059" s="37">
        <v>0</v>
      </c>
      <c r="AE1059" s="7" t="s">
        <v>1177</v>
      </c>
      <c r="AF1059" s="7" t="s">
        <v>1177</v>
      </c>
      <c r="AG1059" s="7" t="s">
        <v>1177</v>
      </c>
      <c r="AH1059" s="38"/>
      <c r="AI1059" s="36">
        <v>0</v>
      </c>
      <c r="AJ1059" s="7" t="s">
        <v>1193</v>
      </c>
      <c r="AK1059" s="7" t="s">
        <v>1177</v>
      </c>
      <c r="AL1059" s="7" t="s">
        <v>1177</v>
      </c>
      <c r="AM1059" s="7" t="s">
        <v>1177</v>
      </c>
      <c r="AN1059" s="7" t="s">
        <v>3212</v>
      </c>
      <c r="AO1059" s="7" t="s">
        <v>1177</v>
      </c>
      <c r="AP1059" s="7" t="s">
        <v>1177</v>
      </c>
      <c r="AQ1059" s="7" t="s">
        <v>1177</v>
      </c>
      <c r="AR1059" s="29">
        <v>0</v>
      </c>
      <c r="AS1059" s="7" t="s">
        <v>1177</v>
      </c>
      <c r="AT1059" s="7" t="s">
        <v>1363</v>
      </c>
      <c r="AU1059" s="38">
        <v>46275</v>
      </c>
      <c r="AV1059" s="39">
        <v>0.60521990740741005</v>
      </c>
    </row>
    <row r="1060" spans="1:48" x14ac:dyDescent="0.35">
      <c r="A1060" t="str">
        <f t="shared" si="16"/>
        <v>GP249817B857</v>
      </c>
      <c r="B1060" s="7" t="s">
        <v>72</v>
      </c>
      <c r="C1060" s="7" t="s">
        <v>958</v>
      </c>
      <c r="D1060" s="7" t="s">
        <v>23</v>
      </c>
      <c r="E1060" s="7" t="s">
        <v>1177</v>
      </c>
      <c r="F1060" s="7" t="s">
        <v>128</v>
      </c>
      <c r="G1060" s="7" t="s">
        <v>130</v>
      </c>
      <c r="H1060" s="7" t="s">
        <v>129</v>
      </c>
      <c r="I1060" s="30">
        <v>2</v>
      </c>
      <c r="J1060" s="7" t="s">
        <v>1177</v>
      </c>
      <c r="K1060" s="7" t="s">
        <v>1178</v>
      </c>
      <c r="L1060" s="7" t="s">
        <v>132</v>
      </c>
      <c r="M1060" s="7" t="s">
        <v>133</v>
      </c>
      <c r="N1060" s="30">
        <v>0</v>
      </c>
      <c r="O1060" s="30">
        <v>0</v>
      </c>
      <c r="P1060" s="30">
        <v>0</v>
      </c>
      <c r="Q1060" s="30">
        <v>0</v>
      </c>
      <c r="R1060" s="29">
        <v>0</v>
      </c>
      <c r="S1060" s="36">
        <v>0</v>
      </c>
      <c r="T1060" s="7" t="s">
        <v>131</v>
      </c>
      <c r="U1060" s="7" t="s">
        <v>959</v>
      </c>
      <c r="V1060" s="7" t="s">
        <v>959</v>
      </c>
      <c r="W1060" s="7" t="s">
        <v>1177</v>
      </c>
      <c r="X1060" s="30">
        <v>1</v>
      </c>
      <c r="Y1060" s="7" t="s">
        <v>1177</v>
      </c>
      <c r="Z1060" s="7" t="s">
        <v>1178</v>
      </c>
      <c r="AA1060" s="30">
        <v>0</v>
      </c>
      <c r="AB1060" s="36">
        <v>0</v>
      </c>
      <c r="AC1060" s="7" t="s">
        <v>1177</v>
      </c>
      <c r="AD1060" s="37">
        <v>0</v>
      </c>
      <c r="AE1060" s="7" t="s">
        <v>1177</v>
      </c>
      <c r="AF1060" s="7" t="s">
        <v>1177</v>
      </c>
      <c r="AG1060" s="7" t="s">
        <v>1177</v>
      </c>
      <c r="AH1060" s="38"/>
      <c r="AI1060" s="36">
        <v>0</v>
      </c>
      <c r="AJ1060" s="7" t="s">
        <v>1193</v>
      </c>
      <c r="AK1060" s="7" t="s">
        <v>1177</v>
      </c>
      <c r="AL1060" s="7" t="s">
        <v>1177</v>
      </c>
      <c r="AM1060" s="7" t="s">
        <v>1177</v>
      </c>
      <c r="AN1060" s="7" t="s">
        <v>3212</v>
      </c>
      <c r="AO1060" s="7" t="s">
        <v>1177</v>
      </c>
      <c r="AP1060" s="7" t="s">
        <v>1177</v>
      </c>
      <c r="AQ1060" s="7" t="s">
        <v>1177</v>
      </c>
      <c r="AR1060" s="29">
        <v>0</v>
      </c>
      <c r="AS1060" s="7" t="s">
        <v>1177</v>
      </c>
      <c r="AT1060" s="7" t="s">
        <v>1363</v>
      </c>
      <c r="AU1060" s="38">
        <v>46275</v>
      </c>
      <c r="AV1060" s="39">
        <v>0.60526620370369999</v>
      </c>
    </row>
    <row r="1061" spans="1:48" x14ac:dyDescent="0.35">
      <c r="A1061" t="str">
        <f t="shared" si="16"/>
        <v>GP249817B864</v>
      </c>
      <c r="B1061" s="7" t="s">
        <v>72</v>
      </c>
      <c r="C1061" s="7" t="s">
        <v>1010</v>
      </c>
      <c r="D1061" s="7" t="s">
        <v>10</v>
      </c>
      <c r="E1061" s="7" t="s">
        <v>1177</v>
      </c>
      <c r="F1061" s="7" t="s">
        <v>128</v>
      </c>
      <c r="G1061" s="7" t="s">
        <v>130</v>
      </c>
      <c r="H1061" s="7" t="s">
        <v>129</v>
      </c>
      <c r="I1061" s="30">
        <v>2</v>
      </c>
      <c r="J1061" s="7" t="s">
        <v>1177</v>
      </c>
      <c r="K1061" s="7" t="s">
        <v>1178</v>
      </c>
      <c r="L1061" s="7" t="s">
        <v>132</v>
      </c>
      <c r="M1061" s="7" t="s">
        <v>133</v>
      </c>
      <c r="N1061" s="30">
        <v>0</v>
      </c>
      <c r="O1061" s="30">
        <v>0</v>
      </c>
      <c r="P1061" s="30">
        <v>0</v>
      </c>
      <c r="Q1061" s="30">
        <v>0</v>
      </c>
      <c r="R1061" s="29">
        <v>0</v>
      </c>
      <c r="S1061" s="36">
        <v>0</v>
      </c>
      <c r="T1061" s="7" t="s">
        <v>131</v>
      </c>
      <c r="U1061" s="7" t="s">
        <v>1011</v>
      </c>
      <c r="V1061" s="7" t="s">
        <v>1011</v>
      </c>
      <c r="W1061" s="7" t="s">
        <v>1177</v>
      </c>
      <c r="X1061" s="30">
        <v>1</v>
      </c>
      <c r="Y1061" s="7" t="s">
        <v>1177</v>
      </c>
      <c r="Z1061" s="7" t="s">
        <v>1178</v>
      </c>
      <c r="AA1061" s="30">
        <v>0</v>
      </c>
      <c r="AB1061" s="36">
        <v>0</v>
      </c>
      <c r="AC1061" s="7" t="s">
        <v>1177</v>
      </c>
      <c r="AD1061" s="37">
        <v>0</v>
      </c>
      <c r="AE1061" s="7" t="s">
        <v>1177</v>
      </c>
      <c r="AF1061" s="7" t="s">
        <v>1177</v>
      </c>
      <c r="AG1061" s="7" t="s">
        <v>1177</v>
      </c>
      <c r="AH1061" s="38"/>
      <c r="AI1061" s="36">
        <v>0</v>
      </c>
      <c r="AJ1061" s="7" t="s">
        <v>1193</v>
      </c>
      <c r="AK1061" s="7" t="s">
        <v>1177</v>
      </c>
      <c r="AL1061" s="7" t="s">
        <v>1177</v>
      </c>
      <c r="AM1061" s="7" t="s">
        <v>1177</v>
      </c>
      <c r="AN1061" s="7" t="s">
        <v>3212</v>
      </c>
      <c r="AO1061" s="7" t="s">
        <v>1177</v>
      </c>
      <c r="AP1061" s="7" t="s">
        <v>1177</v>
      </c>
      <c r="AQ1061" s="7" t="s">
        <v>1177</v>
      </c>
      <c r="AR1061" s="29">
        <v>0</v>
      </c>
      <c r="AS1061" s="7" t="s">
        <v>1177</v>
      </c>
      <c r="AT1061" s="7" t="s">
        <v>1363</v>
      </c>
      <c r="AU1061" s="38">
        <v>46275</v>
      </c>
      <c r="AV1061" s="39">
        <v>0.60541666666667004</v>
      </c>
    </row>
    <row r="1062" spans="1:48" x14ac:dyDescent="0.35">
      <c r="A1062" t="str">
        <f t="shared" si="16"/>
        <v>GP249817B865</v>
      </c>
      <c r="B1062" s="7" t="s">
        <v>72</v>
      </c>
      <c r="C1062" s="7" t="s">
        <v>1039</v>
      </c>
      <c r="D1062" s="7" t="s">
        <v>7</v>
      </c>
      <c r="E1062" s="7" t="s">
        <v>1177</v>
      </c>
      <c r="F1062" s="7" t="s">
        <v>128</v>
      </c>
      <c r="G1062" s="7" t="s">
        <v>130</v>
      </c>
      <c r="H1062" s="7" t="s">
        <v>129</v>
      </c>
      <c r="I1062" s="30">
        <v>2</v>
      </c>
      <c r="J1062" s="7" t="s">
        <v>1177</v>
      </c>
      <c r="K1062" s="7" t="s">
        <v>1178</v>
      </c>
      <c r="L1062" s="7" t="s">
        <v>132</v>
      </c>
      <c r="M1062" s="7" t="s">
        <v>133</v>
      </c>
      <c r="N1062" s="30">
        <v>0</v>
      </c>
      <c r="O1062" s="30">
        <v>0</v>
      </c>
      <c r="P1062" s="30">
        <v>0</v>
      </c>
      <c r="Q1062" s="30">
        <v>0</v>
      </c>
      <c r="R1062" s="29">
        <v>0</v>
      </c>
      <c r="S1062" s="36">
        <v>0</v>
      </c>
      <c r="T1062" s="7" t="s">
        <v>131</v>
      </c>
      <c r="U1062" s="7" t="s">
        <v>1040</v>
      </c>
      <c r="V1062" s="7" t="s">
        <v>1040</v>
      </c>
      <c r="W1062" s="7" t="s">
        <v>1177</v>
      </c>
      <c r="X1062" s="30">
        <v>1</v>
      </c>
      <c r="Y1062" s="7" t="s">
        <v>1177</v>
      </c>
      <c r="Z1062" s="7" t="s">
        <v>1178</v>
      </c>
      <c r="AA1062" s="30">
        <v>0</v>
      </c>
      <c r="AB1062" s="36">
        <v>0</v>
      </c>
      <c r="AC1062" s="7" t="s">
        <v>1177</v>
      </c>
      <c r="AD1062" s="37">
        <v>0</v>
      </c>
      <c r="AE1062" s="7" t="s">
        <v>1177</v>
      </c>
      <c r="AF1062" s="7" t="s">
        <v>1177</v>
      </c>
      <c r="AG1062" s="7" t="s">
        <v>1177</v>
      </c>
      <c r="AH1062" s="38"/>
      <c r="AI1062" s="36">
        <v>0</v>
      </c>
      <c r="AJ1062" s="7" t="s">
        <v>1193</v>
      </c>
      <c r="AK1062" s="7" t="s">
        <v>1177</v>
      </c>
      <c r="AL1062" s="7" t="s">
        <v>1177</v>
      </c>
      <c r="AM1062" s="7" t="s">
        <v>1177</v>
      </c>
      <c r="AN1062" s="7" t="s">
        <v>3212</v>
      </c>
      <c r="AO1062" s="7" t="s">
        <v>1177</v>
      </c>
      <c r="AP1062" s="7" t="s">
        <v>1177</v>
      </c>
      <c r="AQ1062" s="7" t="s">
        <v>1177</v>
      </c>
      <c r="AR1062" s="29">
        <v>0</v>
      </c>
      <c r="AS1062" s="7" t="s">
        <v>1177</v>
      </c>
      <c r="AT1062" s="7" t="s">
        <v>1363</v>
      </c>
      <c r="AU1062" s="38">
        <v>46275</v>
      </c>
      <c r="AV1062" s="39">
        <v>0.60549768518518998</v>
      </c>
    </row>
    <row r="1063" spans="1:48" x14ac:dyDescent="0.35">
      <c r="A1063" t="str">
        <f t="shared" si="16"/>
        <v>GP249817B867</v>
      </c>
      <c r="B1063" s="7" t="s">
        <v>72</v>
      </c>
      <c r="C1063" s="7" t="s">
        <v>1059</v>
      </c>
      <c r="D1063" s="7" t="s">
        <v>25</v>
      </c>
      <c r="E1063" s="7" t="s">
        <v>1177</v>
      </c>
      <c r="F1063" s="7" t="s">
        <v>128</v>
      </c>
      <c r="G1063" s="7" t="s">
        <v>130</v>
      </c>
      <c r="H1063" s="7" t="s">
        <v>129</v>
      </c>
      <c r="I1063" s="30">
        <v>2</v>
      </c>
      <c r="J1063" s="7" t="s">
        <v>1177</v>
      </c>
      <c r="K1063" s="7" t="s">
        <v>1178</v>
      </c>
      <c r="L1063" s="7" t="s">
        <v>132</v>
      </c>
      <c r="M1063" s="7" t="s">
        <v>133</v>
      </c>
      <c r="N1063" s="30">
        <v>0</v>
      </c>
      <c r="O1063" s="30">
        <v>0</v>
      </c>
      <c r="P1063" s="30">
        <v>0</v>
      </c>
      <c r="Q1063" s="30">
        <v>0</v>
      </c>
      <c r="R1063" s="29">
        <v>0</v>
      </c>
      <c r="S1063" s="36">
        <v>0</v>
      </c>
      <c r="T1063" s="7" t="s">
        <v>131</v>
      </c>
      <c r="U1063" s="7" t="s">
        <v>1060</v>
      </c>
      <c r="V1063" s="7" t="s">
        <v>1060</v>
      </c>
      <c r="W1063" s="7" t="s">
        <v>1177</v>
      </c>
      <c r="X1063" s="30">
        <v>1</v>
      </c>
      <c r="Y1063" s="7" t="s">
        <v>1177</v>
      </c>
      <c r="Z1063" s="7" t="s">
        <v>1178</v>
      </c>
      <c r="AA1063" s="30">
        <v>0</v>
      </c>
      <c r="AB1063" s="36">
        <v>0</v>
      </c>
      <c r="AC1063" s="7" t="s">
        <v>1177</v>
      </c>
      <c r="AD1063" s="37">
        <v>0</v>
      </c>
      <c r="AE1063" s="7" t="s">
        <v>1177</v>
      </c>
      <c r="AF1063" s="7" t="s">
        <v>1177</v>
      </c>
      <c r="AG1063" s="7" t="s">
        <v>1177</v>
      </c>
      <c r="AH1063" s="38"/>
      <c r="AI1063" s="36">
        <v>0</v>
      </c>
      <c r="AJ1063" s="7" t="s">
        <v>1193</v>
      </c>
      <c r="AK1063" s="7" t="s">
        <v>1177</v>
      </c>
      <c r="AL1063" s="7" t="s">
        <v>1177</v>
      </c>
      <c r="AM1063" s="7" t="s">
        <v>1177</v>
      </c>
      <c r="AN1063" s="7" t="s">
        <v>3212</v>
      </c>
      <c r="AO1063" s="7" t="s">
        <v>1177</v>
      </c>
      <c r="AP1063" s="7" t="s">
        <v>1177</v>
      </c>
      <c r="AQ1063" s="7" t="s">
        <v>1177</v>
      </c>
      <c r="AR1063" s="29">
        <v>0</v>
      </c>
      <c r="AS1063" s="7" t="s">
        <v>1177</v>
      </c>
      <c r="AT1063" s="7" t="s">
        <v>1363</v>
      </c>
      <c r="AU1063" s="38">
        <v>46275</v>
      </c>
      <c r="AV1063" s="39">
        <v>0.60569444444443998</v>
      </c>
    </row>
    <row r="1064" spans="1:48" x14ac:dyDescent="0.35">
      <c r="A1064" t="str">
        <f t="shared" si="16"/>
        <v>GP251492B825</v>
      </c>
      <c r="B1064" s="7" t="s">
        <v>580</v>
      </c>
      <c r="C1064" s="7" t="s">
        <v>511</v>
      </c>
      <c r="D1064" s="7" t="s">
        <v>16</v>
      </c>
      <c r="E1064" s="7" t="s">
        <v>1177</v>
      </c>
      <c r="F1064" s="7" t="s">
        <v>128</v>
      </c>
      <c r="G1064" s="7" t="s">
        <v>130</v>
      </c>
      <c r="H1064" s="7" t="s">
        <v>129</v>
      </c>
      <c r="I1064" s="30">
        <v>2</v>
      </c>
      <c r="J1064" s="7" t="s">
        <v>1177</v>
      </c>
      <c r="K1064" s="7" t="s">
        <v>1178</v>
      </c>
      <c r="L1064" s="7" t="s">
        <v>132</v>
      </c>
      <c r="M1064" s="7" t="s">
        <v>133</v>
      </c>
      <c r="N1064" s="30">
        <v>0</v>
      </c>
      <c r="O1064" s="30">
        <v>0</v>
      </c>
      <c r="P1064" s="30">
        <v>0</v>
      </c>
      <c r="Q1064" s="30">
        <v>0</v>
      </c>
      <c r="R1064" s="29">
        <v>0</v>
      </c>
      <c r="S1064" s="36">
        <v>0</v>
      </c>
      <c r="T1064" s="7" t="s">
        <v>131</v>
      </c>
      <c r="U1064" s="7" t="s">
        <v>512</v>
      </c>
      <c r="V1064" s="7" t="s">
        <v>512</v>
      </c>
      <c r="W1064" s="7" t="s">
        <v>1177</v>
      </c>
      <c r="X1064" s="30">
        <v>1</v>
      </c>
      <c r="Y1064" s="7" t="s">
        <v>1177</v>
      </c>
      <c r="Z1064" s="7" t="s">
        <v>1178</v>
      </c>
      <c r="AA1064" s="30">
        <v>0</v>
      </c>
      <c r="AB1064" s="36">
        <v>0</v>
      </c>
      <c r="AC1064" s="7" t="s">
        <v>1177</v>
      </c>
      <c r="AD1064" s="37">
        <v>0</v>
      </c>
      <c r="AE1064" s="7" t="s">
        <v>1177</v>
      </c>
      <c r="AF1064" s="7" t="s">
        <v>1177</v>
      </c>
      <c r="AG1064" s="7" t="s">
        <v>1177</v>
      </c>
      <c r="AH1064" s="38"/>
      <c r="AI1064" s="36">
        <v>0</v>
      </c>
      <c r="AJ1064" s="7" t="s">
        <v>1193</v>
      </c>
      <c r="AK1064" s="7" t="s">
        <v>1177</v>
      </c>
      <c r="AL1064" s="7" t="s">
        <v>1177</v>
      </c>
      <c r="AM1064" s="7" t="s">
        <v>1177</v>
      </c>
      <c r="AN1064" s="7" t="s">
        <v>3212</v>
      </c>
      <c r="AO1064" s="7" t="s">
        <v>1177</v>
      </c>
      <c r="AP1064" s="7" t="s">
        <v>1177</v>
      </c>
      <c r="AQ1064" s="7" t="s">
        <v>1177</v>
      </c>
      <c r="AR1064" s="29">
        <v>0</v>
      </c>
      <c r="AS1064" s="7" t="s">
        <v>1177</v>
      </c>
      <c r="AT1064" s="7" t="s">
        <v>1363</v>
      </c>
      <c r="AU1064" s="38">
        <v>46275</v>
      </c>
      <c r="AV1064" s="39">
        <v>0.62302083333333003</v>
      </c>
    </row>
    <row r="1065" spans="1:48" x14ac:dyDescent="0.35">
      <c r="A1065" t="str">
        <f t="shared" si="16"/>
        <v>GP252242B856</v>
      </c>
      <c r="B1065" s="7" t="s">
        <v>798</v>
      </c>
      <c r="C1065" s="7" t="s">
        <v>852</v>
      </c>
      <c r="D1065" s="7" t="s">
        <v>21</v>
      </c>
      <c r="E1065" s="7" t="s">
        <v>1177</v>
      </c>
      <c r="F1065" s="7" t="s">
        <v>128</v>
      </c>
      <c r="G1065" s="7" t="s">
        <v>130</v>
      </c>
      <c r="H1065" s="7" t="s">
        <v>129</v>
      </c>
      <c r="I1065" s="30">
        <v>2</v>
      </c>
      <c r="J1065" s="7" t="s">
        <v>1177</v>
      </c>
      <c r="K1065" s="7" t="s">
        <v>1178</v>
      </c>
      <c r="L1065" s="7" t="s">
        <v>132</v>
      </c>
      <c r="M1065" s="7" t="s">
        <v>133</v>
      </c>
      <c r="N1065" s="30">
        <v>0</v>
      </c>
      <c r="O1065" s="30">
        <v>0</v>
      </c>
      <c r="P1065" s="30">
        <v>0</v>
      </c>
      <c r="Q1065" s="30">
        <v>0</v>
      </c>
      <c r="R1065" s="29">
        <v>0</v>
      </c>
      <c r="S1065" s="36">
        <v>0</v>
      </c>
      <c r="T1065" s="7" t="s">
        <v>131</v>
      </c>
      <c r="U1065" s="7" t="s">
        <v>853</v>
      </c>
      <c r="V1065" s="7" t="s">
        <v>853</v>
      </c>
      <c r="W1065" s="7" t="s">
        <v>1177</v>
      </c>
      <c r="X1065" s="30">
        <v>1</v>
      </c>
      <c r="Y1065" s="7" t="s">
        <v>1177</v>
      </c>
      <c r="Z1065" s="7" t="s">
        <v>1178</v>
      </c>
      <c r="AA1065" s="30">
        <v>0</v>
      </c>
      <c r="AB1065" s="36">
        <v>0</v>
      </c>
      <c r="AC1065" s="7" t="s">
        <v>1177</v>
      </c>
      <c r="AD1065" s="37">
        <v>0</v>
      </c>
      <c r="AE1065" s="7" t="s">
        <v>1177</v>
      </c>
      <c r="AF1065" s="7" t="s">
        <v>1177</v>
      </c>
      <c r="AG1065" s="7" t="s">
        <v>1177</v>
      </c>
      <c r="AH1065" s="38"/>
      <c r="AI1065" s="36">
        <v>0</v>
      </c>
      <c r="AJ1065" s="7" t="s">
        <v>1193</v>
      </c>
      <c r="AK1065" s="7" t="s">
        <v>1177</v>
      </c>
      <c r="AL1065" s="7" t="s">
        <v>1177</v>
      </c>
      <c r="AM1065" s="7" t="s">
        <v>1177</v>
      </c>
      <c r="AN1065" s="7" t="s">
        <v>3212</v>
      </c>
      <c r="AO1065" s="7" t="s">
        <v>1177</v>
      </c>
      <c r="AP1065" s="7" t="s">
        <v>1177</v>
      </c>
      <c r="AQ1065" s="7" t="s">
        <v>1177</v>
      </c>
      <c r="AR1065" s="29">
        <v>0</v>
      </c>
      <c r="AS1065" s="7" t="s">
        <v>1177</v>
      </c>
      <c r="AT1065" s="7" t="s">
        <v>1363</v>
      </c>
      <c r="AU1065" s="38">
        <v>46275</v>
      </c>
      <c r="AV1065" s="39">
        <v>0.62489583333332999</v>
      </c>
    </row>
    <row r="1066" spans="1:48" x14ac:dyDescent="0.35">
      <c r="A1066" t="str">
        <f t="shared" si="16"/>
        <v>GP252242B857</v>
      </c>
      <c r="B1066" s="7" t="s">
        <v>798</v>
      </c>
      <c r="C1066" s="7" t="s">
        <v>958</v>
      </c>
      <c r="D1066" s="7" t="s">
        <v>23</v>
      </c>
      <c r="E1066" s="7" t="s">
        <v>1177</v>
      </c>
      <c r="F1066" s="7" t="s">
        <v>128</v>
      </c>
      <c r="G1066" s="7" t="s">
        <v>130</v>
      </c>
      <c r="H1066" s="7" t="s">
        <v>129</v>
      </c>
      <c r="I1066" s="30">
        <v>2</v>
      </c>
      <c r="J1066" s="7" t="s">
        <v>1177</v>
      </c>
      <c r="K1066" s="7" t="s">
        <v>1178</v>
      </c>
      <c r="L1066" s="7" t="s">
        <v>132</v>
      </c>
      <c r="M1066" s="7" t="s">
        <v>133</v>
      </c>
      <c r="N1066" s="30">
        <v>0</v>
      </c>
      <c r="O1066" s="30">
        <v>0</v>
      </c>
      <c r="P1066" s="30">
        <v>0</v>
      </c>
      <c r="Q1066" s="30">
        <v>0</v>
      </c>
      <c r="R1066" s="29">
        <v>0</v>
      </c>
      <c r="S1066" s="36">
        <v>0</v>
      </c>
      <c r="T1066" s="7" t="s">
        <v>131</v>
      </c>
      <c r="U1066" s="7" t="s">
        <v>959</v>
      </c>
      <c r="V1066" s="7" t="s">
        <v>959</v>
      </c>
      <c r="W1066" s="7" t="s">
        <v>1177</v>
      </c>
      <c r="X1066" s="30">
        <v>1</v>
      </c>
      <c r="Y1066" s="7" t="s">
        <v>1177</v>
      </c>
      <c r="Z1066" s="7" t="s">
        <v>1178</v>
      </c>
      <c r="AA1066" s="30">
        <v>0</v>
      </c>
      <c r="AB1066" s="36">
        <v>0</v>
      </c>
      <c r="AC1066" s="7" t="s">
        <v>1177</v>
      </c>
      <c r="AD1066" s="37">
        <v>0</v>
      </c>
      <c r="AE1066" s="7" t="s">
        <v>1177</v>
      </c>
      <c r="AF1066" s="7" t="s">
        <v>1177</v>
      </c>
      <c r="AG1066" s="7" t="s">
        <v>1177</v>
      </c>
      <c r="AH1066" s="38"/>
      <c r="AI1066" s="36">
        <v>0</v>
      </c>
      <c r="AJ1066" s="7" t="s">
        <v>1193</v>
      </c>
      <c r="AK1066" s="7" t="s">
        <v>1177</v>
      </c>
      <c r="AL1066" s="7" t="s">
        <v>1177</v>
      </c>
      <c r="AM1066" s="7" t="s">
        <v>1177</v>
      </c>
      <c r="AN1066" s="7" t="s">
        <v>3212</v>
      </c>
      <c r="AO1066" s="7" t="s">
        <v>1177</v>
      </c>
      <c r="AP1066" s="7" t="s">
        <v>1177</v>
      </c>
      <c r="AQ1066" s="7" t="s">
        <v>1177</v>
      </c>
      <c r="AR1066" s="29">
        <v>0</v>
      </c>
      <c r="AS1066" s="7" t="s">
        <v>1177</v>
      </c>
      <c r="AT1066" s="7" t="s">
        <v>1363</v>
      </c>
      <c r="AU1066" s="38">
        <v>46275</v>
      </c>
      <c r="AV1066" s="39">
        <v>0.62494212962963003</v>
      </c>
    </row>
    <row r="1067" spans="1:48" x14ac:dyDescent="0.35">
      <c r="A1067" t="str">
        <f t="shared" si="16"/>
        <v>GP252242B864</v>
      </c>
      <c r="B1067" s="7" t="s">
        <v>798</v>
      </c>
      <c r="C1067" s="7" t="s">
        <v>1010</v>
      </c>
      <c r="D1067" s="7" t="s">
        <v>10</v>
      </c>
      <c r="E1067" s="7" t="s">
        <v>1177</v>
      </c>
      <c r="F1067" s="7" t="s">
        <v>128</v>
      </c>
      <c r="G1067" s="7" t="s">
        <v>130</v>
      </c>
      <c r="H1067" s="7" t="s">
        <v>129</v>
      </c>
      <c r="I1067" s="30">
        <v>2</v>
      </c>
      <c r="J1067" s="7" t="s">
        <v>1177</v>
      </c>
      <c r="K1067" s="7" t="s">
        <v>1178</v>
      </c>
      <c r="L1067" s="7" t="s">
        <v>132</v>
      </c>
      <c r="M1067" s="7" t="s">
        <v>133</v>
      </c>
      <c r="N1067" s="30">
        <v>0</v>
      </c>
      <c r="O1067" s="30">
        <v>0</v>
      </c>
      <c r="P1067" s="30">
        <v>0</v>
      </c>
      <c r="Q1067" s="30">
        <v>0</v>
      </c>
      <c r="R1067" s="29">
        <v>0</v>
      </c>
      <c r="S1067" s="36">
        <v>0</v>
      </c>
      <c r="T1067" s="7" t="s">
        <v>131</v>
      </c>
      <c r="U1067" s="7" t="s">
        <v>1011</v>
      </c>
      <c r="V1067" s="7" t="s">
        <v>1011</v>
      </c>
      <c r="W1067" s="7" t="s">
        <v>1177</v>
      </c>
      <c r="X1067" s="30">
        <v>1</v>
      </c>
      <c r="Y1067" s="7" t="s">
        <v>1177</v>
      </c>
      <c r="Z1067" s="7" t="s">
        <v>1178</v>
      </c>
      <c r="AA1067" s="30">
        <v>0</v>
      </c>
      <c r="AB1067" s="36">
        <v>0</v>
      </c>
      <c r="AC1067" s="7" t="s">
        <v>1177</v>
      </c>
      <c r="AD1067" s="37">
        <v>0</v>
      </c>
      <c r="AE1067" s="7" t="s">
        <v>1177</v>
      </c>
      <c r="AF1067" s="7" t="s">
        <v>1177</v>
      </c>
      <c r="AG1067" s="7" t="s">
        <v>1177</v>
      </c>
      <c r="AH1067" s="38"/>
      <c r="AI1067" s="36">
        <v>0</v>
      </c>
      <c r="AJ1067" s="7" t="s">
        <v>1193</v>
      </c>
      <c r="AK1067" s="7" t="s">
        <v>1177</v>
      </c>
      <c r="AL1067" s="7" t="s">
        <v>1177</v>
      </c>
      <c r="AM1067" s="7" t="s">
        <v>1177</v>
      </c>
      <c r="AN1067" s="7" t="s">
        <v>3212</v>
      </c>
      <c r="AO1067" s="7" t="s">
        <v>1177</v>
      </c>
      <c r="AP1067" s="7" t="s">
        <v>1177</v>
      </c>
      <c r="AQ1067" s="7" t="s">
        <v>1177</v>
      </c>
      <c r="AR1067" s="29">
        <v>0</v>
      </c>
      <c r="AS1067" s="7" t="s">
        <v>1177</v>
      </c>
      <c r="AT1067" s="7" t="s">
        <v>1363</v>
      </c>
      <c r="AU1067" s="38">
        <v>46275</v>
      </c>
      <c r="AV1067" s="39">
        <v>0.62645833333333001</v>
      </c>
    </row>
    <row r="1068" spans="1:48" x14ac:dyDescent="0.35">
      <c r="A1068" t="str">
        <f t="shared" si="16"/>
        <v>GP252242B865</v>
      </c>
      <c r="B1068" s="7" t="s">
        <v>798</v>
      </c>
      <c r="C1068" s="7" t="s">
        <v>1039</v>
      </c>
      <c r="D1068" s="7" t="s">
        <v>7</v>
      </c>
      <c r="E1068" s="7" t="s">
        <v>1177</v>
      </c>
      <c r="F1068" s="7" t="s">
        <v>128</v>
      </c>
      <c r="G1068" s="7" t="s">
        <v>130</v>
      </c>
      <c r="H1068" s="7" t="s">
        <v>129</v>
      </c>
      <c r="I1068" s="30">
        <v>2</v>
      </c>
      <c r="J1068" s="7" t="s">
        <v>1177</v>
      </c>
      <c r="K1068" s="7" t="s">
        <v>1178</v>
      </c>
      <c r="L1068" s="7" t="s">
        <v>132</v>
      </c>
      <c r="M1068" s="7" t="s">
        <v>133</v>
      </c>
      <c r="N1068" s="30">
        <v>0</v>
      </c>
      <c r="O1068" s="30">
        <v>0</v>
      </c>
      <c r="P1068" s="30">
        <v>0</v>
      </c>
      <c r="Q1068" s="30">
        <v>0</v>
      </c>
      <c r="R1068" s="29">
        <v>0</v>
      </c>
      <c r="S1068" s="36">
        <v>0</v>
      </c>
      <c r="T1068" s="7" t="s">
        <v>131</v>
      </c>
      <c r="U1068" s="7" t="s">
        <v>1040</v>
      </c>
      <c r="V1068" s="7" t="s">
        <v>1040</v>
      </c>
      <c r="W1068" s="7" t="s">
        <v>1177</v>
      </c>
      <c r="X1068" s="30">
        <v>1</v>
      </c>
      <c r="Y1068" s="7" t="s">
        <v>1177</v>
      </c>
      <c r="Z1068" s="7" t="s">
        <v>1178</v>
      </c>
      <c r="AA1068" s="30">
        <v>0</v>
      </c>
      <c r="AB1068" s="36">
        <v>0</v>
      </c>
      <c r="AC1068" s="7" t="s">
        <v>1177</v>
      </c>
      <c r="AD1068" s="37">
        <v>0</v>
      </c>
      <c r="AE1068" s="7" t="s">
        <v>1177</v>
      </c>
      <c r="AF1068" s="7" t="s">
        <v>1177</v>
      </c>
      <c r="AG1068" s="7" t="s">
        <v>1177</v>
      </c>
      <c r="AH1068" s="38"/>
      <c r="AI1068" s="36">
        <v>0</v>
      </c>
      <c r="AJ1068" s="7" t="s">
        <v>1193</v>
      </c>
      <c r="AK1068" s="7" t="s">
        <v>1177</v>
      </c>
      <c r="AL1068" s="7" t="s">
        <v>1177</v>
      </c>
      <c r="AM1068" s="7" t="s">
        <v>1177</v>
      </c>
      <c r="AN1068" s="7" t="s">
        <v>3212</v>
      </c>
      <c r="AO1068" s="7" t="s">
        <v>1177</v>
      </c>
      <c r="AP1068" s="7" t="s">
        <v>1177</v>
      </c>
      <c r="AQ1068" s="7" t="s">
        <v>1177</v>
      </c>
      <c r="AR1068" s="29">
        <v>0</v>
      </c>
      <c r="AS1068" s="7" t="s">
        <v>1177</v>
      </c>
      <c r="AT1068" s="7" t="s">
        <v>1363</v>
      </c>
      <c r="AU1068" s="38">
        <v>46275</v>
      </c>
      <c r="AV1068" s="39">
        <v>0.62666666666667004</v>
      </c>
    </row>
    <row r="1069" spans="1:48" x14ac:dyDescent="0.35">
      <c r="A1069" t="str">
        <f t="shared" si="16"/>
        <v>GP252242B867</v>
      </c>
      <c r="B1069" s="7" t="s">
        <v>798</v>
      </c>
      <c r="C1069" s="7" t="s">
        <v>1059</v>
      </c>
      <c r="D1069" s="7" t="s">
        <v>25</v>
      </c>
      <c r="E1069" s="7" t="s">
        <v>1177</v>
      </c>
      <c r="F1069" s="7" t="s">
        <v>128</v>
      </c>
      <c r="G1069" s="7" t="s">
        <v>130</v>
      </c>
      <c r="H1069" s="7" t="s">
        <v>129</v>
      </c>
      <c r="I1069" s="30">
        <v>3</v>
      </c>
      <c r="J1069" s="7" t="s">
        <v>1177</v>
      </c>
      <c r="K1069" s="7" t="s">
        <v>1178</v>
      </c>
      <c r="L1069" s="7" t="s">
        <v>132</v>
      </c>
      <c r="M1069" s="7" t="s">
        <v>133</v>
      </c>
      <c r="N1069" s="30">
        <v>0</v>
      </c>
      <c r="O1069" s="30">
        <v>0</v>
      </c>
      <c r="P1069" s="30">
        <v>0</v>
      </c>
      <c r="Q1069" s="30">
        <v>0</v>
      </c>
      <c r="R1069" s="29">
        <v>0</v>
      </c>
      <c r="S1069" s="36">
        <v>0</v>
      </c>
      <c r="T1069" s="7" t="s">
        <v>131</v>
      </c>
      <c r="U1069" s="7" t="s">
        <v>1060</v>
      </c>
      <c r="V1069" s="7" t="s">
        <v>1060</v>
      </c>
      <c r="W1069" s="7" t="s">
        <v>1177</v>
      </c>
      <c r="X1069" s="30">
        <v>1</v>
      </c>
      <c r="Y1069" s="7" t="s">
        <v>1177</v>
      </c>
      <c r="Z1069" s="7" t="s">
        <v>1178</v>
      </c>
      <c r="AA1069" s="30">
        <v>0</v>
      </c>
      <c r="AB1069" s="36">
        <v>0</v>
      </c>
      <c r="AC1069" s="7" t="s">
        <v>1177</v>
      </c>
      <c r="AD1069" s="37">
        <v>0</v>
      </c>
      <c r="AE1069" s="7" t="s">
        <v>1177</v>
      </c>
      <c r="AF1069" s="7" t="s">
        <v>1177</v>
      </c>
      <c r="AG1069" s="7" t="s">
        <v>1177</v>
      </c>
      <c r="AH1069" s="38"/>
      <c r="AI1069" s="36">
        <v>0</v>
      </c>
      <c r="AJ1069" s="7" t="s">
        <v>1193</v>
      </c>
      <c r="AK1069" s="7" t="s">
        <v>1177</v>
      </c>
      <c r="AL1069" s="7" t="s">
        <v>1177</v>
      </c>
      <c r="AM1069" s="7" t="s">
        <v>1177</v>
      </c>
      <c r="AN1069" s="7" t="s">
        <v>3212</v>
      </c>
      <c r="AO1069" s="7" t="s">
        <v>1177</v>
      </c>
      <c r="AP1069" s="7" t="s">
        <v>1177</v>
      </c>
      <c r="AQ1069" s="7" t="s">
        <v>1177</v>
      </c>
      <c r="AR1069" s="29">
        <v>0</v>
      </c>
      <c r="AS1069" s="7" t="s">
        <v>1177</v>
      </c>
      <c r="AT1069" s="7" t="s">
        <v>1363</v>
      </c>
      <c r="AU1069" s="38">
        <v>46275</v>
      </c>
      <c r="AV1069" s="39">
        <v>0.62736111111111004</v>
      </c>
    </row>
    <row r="1070" spans="1:48" x14ac:dyDescent="0.35">
      <c r="A1070" t="str">
        <f t="shared" si="16"/>
        <v>GP253518B865</v>
      </c>
      <c r="B1070" s="7" t="s">
        <v>1044</v>
      </c>
      <c r="C1070" s="7" t="s">
        <v>1039</v>
      </c>
      <c r="D1070" s="7" t="s">
        <v>7</v>
      </c>
      <c r="E1070" s="7" t="s">
        <v>1177</v>
      </c>
      <c r="F1070" s="7" t="s">
        <v>128</v>
      </c>
      <c r="G1070" s="7" t="s">
        <v>130</v>
      </c>
      <c r="H1070" s="7" t="s">
        <v>129</v>
      </c>
      <c r="I1070" s="30">
        <v>2</v>
      </c>
      <c r="J1070" s="7" t="s">
        <v>1177</v>
      </c>
      <c r="K1070" s="7" t="s">
        <v>1178</v>
      </c>
      <c r="L1070" s="7" t="s">
        <v>132</v>
      </c>
      <c r="M1070" s="7" t="s">
        <v>133</v>
      </c>
      <c r="N1070" s="30">
        <v>0</v>
      </c>
      <c r="O1070" s="30">
        <v>0</v>
      </c>
      <c r="P1070" s="30">
        <v>0</v>
      </c>
      <c r="Q1070" s="30">
        <v>0</v>
      </c>
      <c r="R1070" s="29">
        <v>0</v>
      </c>
      <c r="S1070" s="36">
        <v>0</v>
      </c>
      <c r="T1070" s="7" t="s">
        <v>131</v>
      </c>
      <c r="U1070" s="7" t="s">
        <v>1040</v>
      </c>
      <c r="V1070" s="7" t="s">
        <v>1040</v>
      </c>
      <c r="W1070" s="7" t="s">
        <v>1177</v>
      </c>
      <c r="X1070" s="30">
        <v>1</v>
      </c>
      <c r="Y1070" s="7" t="s">
        <v>1177</v>
      </c>
      <c r="Z1070" s="7" t="s">
        <v>1178</v>
      </c>
      <c r="AA1070" s="30">
        <v>0</v>
      </c>
      <c r="AB1070" s="36">
        <v>0</v>
      </c>
      <c r="AC1070" s="7" t="s">
        <v>1177</v>
      </c>
      <c r="AD1070" s="37">
        <v>0</v>
      </c>
      <c r="AE1070" s="7" t="s">
        <v>1177</v>
      </c>
      <c r="AF1070" s="7" t="s">
        <v>1177</v>
      </c>
      <c r="AG1070" s="7" t="s">
        <v>1177</v>
      </c>
      <c r="AH1070" s="38"/>
      <c r="AI1070" s="36">
        <v>0</v>
      </c>
      <c r="AJ1070" s="7" t="s">
        <v>1193</v>
      </c>
      <c r="AK1070" s="7" t="s">
        <v>1177</v>
      </c>
      <c r="AL1070" s="7" t="s">
        <v>1177</v>
      </c>
      <c r="AM1070" s="7" t="s">
        <v>1177</v>
      </c>
      <c r="AN1070" s="7" t="s">
        <v>3212</v>
      </c>
      <c r="AO1070" s="7" t="s">
        <v>1177</v>
      </c>
      <c r="AP1070" s="7" t="s">
        <v>1177</v>
      </c>
      <c r="AQ1070" s="7" t="s">
        <v>1177</v>
      </c>
      <c r="AR1070" s="29">
        <v>0</v>
      </c>
      <c r="AS1070" s="7" t="s">
        <v>1177</v>
      </c>
      <c r="AT1070" s="7" t="s">
        <v>1363</v>
      </c>
      <c r="AU1070" s="38">
        <v>46275</v>
      </c>
      <c r="AV1070" s="39">
        <v>0.62666666666667004</v>
      </c>
    </row>
    <row r="1071" spans="1:48" x14ac:dyDescent="0.35">
      <c r="A1071" t="str">
        <f t="shared" si="16"/>
        <v>GP253521B865</v>
      </c>
      <c r="B1071" s="7" t="s">
        <v>1045</v>
      </c>
      <c r="C1071" s="7" t="s">
        <v>1039</v>
      </c>
      <c r="D1071" s="7" t="s">
        <v>7</v>
      </c>
      <c r="E1071" s="7" t="s">
        <v>1177</v>
      </c>
      <c r="F1071" s="7" t="s">
        <v>128</v>
      </c>
      <c r="G1071" s="7" t="s">
        <v>130</v>
      </c>
      <c r="H1071" s="7" t="s">
        <v>129</v>
      </c>
      <c r="I1071" s="30">
        <v>2</v>
      </c>
      <c r="J1071" s="7" t="s">
        <v>1177</v>
      </c>
      <c r="K1071" s="7" t="s">
        <v>1178</v>
      </c>
      <c r="L1071" s="7" t="s">
        <v>132</v>
      </c>
      <c r="M1071" s="7" t="s">
        <v>133</v>
      </c>
      <c r="N1071" s="30">
        <v>0</v>
      </c>
      <c r="O1071" s="30">
        <v>0</v>
      </c>
      <c r="P1071" s="30">
        <v>0</v>
      </c>
      <c r="Q1071" s="30">
        <v>0</v>
      </c>
      <c r="R1071" s="29">
        <v>0</v>
      </c>
      <c r="S1071" s="36">
        <v>0</v>
      </c>
      <c r="T1071" s="7" t="s">
        <v>131</v>
      </c>
      <c r="U1071" s="7" t="s">
        <v>1040</v>
      </c>
      <c r="V1071" s="7" t="s">
        <v>1040</v>
      </c>
      <c r="W1071" s="7" t="s">
        <v>1177</v>
      </c>
      <c r="X1071" s="30">
        <v>1</v>
      </c>
      <c r="Y1071" s="7" t="s">
        <v>1177</v>
      </c>
      <c r="Z1071" s="7" t="s">
        <v>1178</v>
      </c>
      <c r="AA1071" s="30">
        <v>0</v>
      </c>
      <c r="AB1071" s="36">
        <v>0</v>
      </c>
      <c r="AC1071" s="7" t="s">
        <v>1177</v>
      </c>
      <c r="AD1071" s="37">
        <v>0</v>
      </c>
      <c r="AE1071" s="7" t="s">
        <v>1177</v>
      </c>
      <c r="AF1071" s="7" t="s">
        <v>1177</v>
      </c>
      <c r="AG1071" s="7" t="s">
        <v>1177</v>
      </c>
      <c r="AH1071" s="38"/>
      <c r="AI1071" s="36">
        <v>0</v>
      </c>
      <c r="AJ1071" s="7" t="s">
        <v>1193</v>
      </c>
      <c r="AK1071" s="7" t="s">
        <v>1177</v>
      </c>
      <c r="AL1071" s="7" t="s">
        <v>1177</v>
      </c>
      <c r="AM1071" s="7" t="s">
        <v>1177</v>
      </c>
      <c r="AN1071" s="7" t="s">
        <v>3212</v>
      </c>
      <c r="AO1071" s="7" t="s">
        <v>1177</v>
      </c>
      <c r="AP1071" s="7" t="s">
        <v>1177</v>
      </c>
      <c r="AQ1071" s="7" t="s">
        <v>1177</v>
      </c>
      <c r="AR1071" s="29">
        <v>0</v>
      </c>
      <c r="AS1071" s="7" t="s">
        <v>1177</v>
      </c>
      <c r="AT1071" s="7" t="s">
        <v>1363</v>
      </c>
      <c r="AU1071" s="38">
        <v>46275</v>
      </c>
      <c r="AV1071" s="39">
        <v>0.62666666666667004</v>
      </c>
    </row>
    <row r="1072" spans="1:48" x14ac:dyDescent="0.35">
      <c r="A1072" t="str">
        <f t="shared" si="16"/>
        <v>GP254074B825</v>
      </c>
      <c r="B1072" s="7" t="s">
        <v>459</v>
      </c>
      <c r="C1072" s="7" t="s">
        <v>511</v>
      </c>
      <c r="D1072" s="7" t="s">
        <v>16</v>
      </c>
      <c r="E1072" s="7" t="s">
        <v>1177</v>
      </c>
      <c r="F1072" s="7" t="s">
        <v>128</v>
      </c>
      <c r="G1072" s="7" t="s">
        <v>130</v>
      </c>
      <c r="H1072" s="7" t="s">
        <v>129</v>
      </c>
      <c r="I1072" s="30">
        <v>2</v>
      </c>
      <c r="J1072" s="7" t="s">
        <v>1177</v>
      </c>
      <c r="K1072" s="7" t="s">
        <v>1178</v>
      </c>
      <c r="L1072" s="7" t="s">
        <v>132</v>
      </c>
      <c r="M1072" s="7" t="s">
        <v>133</v>
      </c>
      <c r="N1072" s="30">
        <v>0</v>
      </c>
      <c r="O1072" s="30">
        <v>0</v>
      </c>
      <c r="P1072" s="30">
        <v>0</v>
      </c>
      <c r="Q1072" s="30">
        <v>0</v>
      </c>
      <c r="R1072" s="29">
        <v>0</v>
      </c>
      <c r="S1072" s="36">
        <v>0</v>
      </c>
      <c r="T1072" s="7" t="s">
        <v>131</v>
      </c>
      <c r="U1072" s="7" t="s">
        <v>512</v>
      </c>
      <c r="V1072" s="7" t="s">
        <v>512</v>
      </c>
      <c r="W1072" s="7" t="s">
        <v>1177</v>
      </c>
      <c r="X1072" s="30">
        <v>1</v>
      </c>
      <c r="Y1072" s="7" t="s">
        <v>1177</v>
      </c>
      <c r="Z1072" s="7" t="s">
        <v>1178</v>
      </c>
      <c r="AA1072" s="30">
        <v>0</v>
      </c>
      <c r="AB1072" s="36">
        <v>0</v>
      </c>
      <c r="AC1072" s="7" t="s">
        <v>1177</v>
      </c>
      <c r="AD1072" s="37">
        <v>0</v>
      </c>
      <c r="AE1072" s="7" t="s">
        <v>1177</v>
      </c>
      <c r="AF1072" s="7" t="s">
        <v>1177</v>
      </c>
      <c r="AG1072" s="7" t="s">
        <v>1177</v>
      </c>
      <c r="AH1072" s="38"/>
      <c r="AI1072" s="36">
        <v>0</v>
      </c>
      <c r="AJ1072" s="7" t="s">
        <v>1193</v>
      </c>
      <c r="AK1072" s="7" t="s">
        <v>1177</v>
      </c>
      <c r="AL1072" s="7" t="s">
        <v>1177</v>
      </c>
      <c r="AM1072" s="7" t="s">
        <v>1177</v>
      </c>
      <c r="AN1072" s="7" t="s">
        <v>3212</v>
      </c>
      <c r="AO1072" s="7" t="s">
        <v>1177</v>
      </c>
      <c r="AP1072" s="7" t="s">
        <v>1177</v>
      </c>
      <c r="AQ1072" s="7" t="s">
        <v>1177</v>
      </c>
      <c r="AR1072" s="29">
        <v>0</v>
      </c>
      <c r="AS1072" s="7" t="s">
        <v>1177</v>
      </c>
      <c r="AT1072" s="7" t="s">
        <v>1363</v>
      </c>
      <c r="AU1072" s="38">
        <v>46275</v>
      </c>
      <c r="AV1072" s="39">
        <v>0.62302083333333003</v>
      </c>
    </row>
    <row r="1073" spans="1:48" x14ac:dyDescent="0.35">
      <c r="A1073" t="str">
        <f t="shared" si="16"/>
        <v>GP254103B857</v>
      </c>
      <c r="B1073" s="7" t="s">
        <v>799</v>
      </c>
      <c r="C1073" s="7" t="s">
        <v>958</v>
      </c>
      <c r="D1073" s="7" t="s">
        <v>23</v>
      </c>
      <c r="E1073" s="7" t="s">
        <v>1177</v>
      </c>
      <c r="F1073" s="7" t="s">
        <v>128</v>
      </c>
      <c r="G1073" s="7" t="s">
        <v>130</v>
      </c>
      <c r="H1073" s="7" t="s">
        <v>129</v>
      </c>
      <c r="I1073" s="30">
        <v>1</v>
      </c>
      <c r="J1073" s="7" t="s">
        <v>1177</v>
      </c>
      <c r="K1073" s="7" t="s">
        <v>1178</v>
      </c>
      <c r="L1073" s="7" t="s">
        <v>132</v>
      </c>
      <c r="M1073" s="7" t="s">
        <v>133</v>
      </c>
      <c r="N1073" s="30">
        <v>0</v>
      </c>
      <c r="O1073" s="30">
        <v>0</v>
      </c>
      <c r="P1073" s="30">
        <v>0</v>
      </c>
      <c r="Q1073" s="30">
        <v>0</v>
      </c>
      <c r="R1073" s="29">
        <v>0</v>
      </c>
      <c r="S1073" s="36">
        <v>0</v>
      </c>
      <c r="T1073" s="7" t="s">
        <v>131</v>
      </c>
      <c r="U1073" s="7" t="s">
        <v>959</v>
      </c>
      <c r="V1073" s="7" t="s">
        <v>959</v>
      </c>
      <c r="W1073" s="7" t="s">
        <v>1177</v>
      </c>
      <c r="X1073" s="30">
        <v>1</v>
      </c>
      <c r="Y1073" s="7" t="s">
        <v>1177</v>
      </c>
      <c r="Z1073" s="7" t="s">
        <v>1178</v>
      </c>
      <c r="AA1073" s="30">
        <v>0</v>
      </c>
      <c r="AB1073" s="36">
        <v>0</v>
      </c>
      <c r="AC1073" s="7" t="s">
        <v>1177</v>
      </c>
      <c r="AD1073" s="37">
        <v>0</v>
      </c>
      <c r="AE1073" s="7" t="s">
        <v>1177</v>
      </c>
      <c r="AF1073" s="7" t="s">
        <v>1177</v>
      </c>
      <c r="AG1073" s="7" t="s">
        <v>1177</v>
      </c>
      <c r="AH1073" s="38"/>
      <c r="AI1073" s="36">
        <v>0</v>
      </c>
      <c r="AJ1073" s="7" t="s">
        <v>1193</v>
      </c>
      <c r="AK1073" s="7" t="s">
        <v>1177</v>
      </c>
      <c r="AL1073" s="7" t="s">
        <v>1177</v>
      </c>
      <c r="AM1073" s="7" t="s">
        <v>1177</v>
      </c>
      <c r="AN1073" s="7" t="s">
        <v>3212</v>
      </c>
      <c r="AO1073" s="7" t="s">
        <v>1177</v>
      </c>
      <c r="AP1073" s="7" t="s">
        <v>1177</v>
      </c>
      <c r="AQ1073" s="7" t="s">
        <v>1177</v>
      </c>
      <c r="AR1073" s="29">
        <v>0</v>
      </c>
      <c r="AS1073" s="7" t="s">
        <v>1177</v>
      </c>
      <c r="AT1073" s="7" t="s">
        <v>1363</v>
      </c>
      <c r="AU1073" s="38">
        <v>46275</v>
      </c>
      <c r="AV1073" s="39">
        <v>0.62491898148147995</v>
      </c>
    </row>
    <row r="1074" spans="1:48" x14ac:dyDescent="0.35">
      <c r="A1074" t="str">
        <f t="shared" si="16"/>
        <v>GP254103B867</v>
      </c>
      <c r="B1074" s="7" t="s">
        <v>799</v>
      </c>
      <c r="C1074" s="7" t="s">
        <v>1059</v>
      </c>
      <c r="D1074" s="7" t="s">
        <v>25</v>
      </c>
      <c r="E1074" s="7" t="s">
        <v>1177</v>
      </c>
      <c r="F1074" s="7" t="s">
        <v>128</v>
      </c>
      <c r="G1074" s="7" t="s">
        <v>130</v>
      </c>
      <c r="H1074" s="7" t="s">
        <v>129</v>
      </c>
      <c r="I1074" s="30">
        <v>2</v>
      </c>
      <c r="J1074" s="7" t="s">
        <v>1177</v>
      </c>
      <c r="K1074" s="7" t="s">
        <v>1178</v>
      </c>
      <c r="L1074" s="7" t="s">
        <v>132</v>
      </c>
      <c r="M1074" s="7" t="s">
        <v>133</v>
      </c>
      <c r="N1074" s="30">
        <v>0</v>
      </c>
      <c r="O1074" s="30">
        <v>0</v>
      </c>
      <c r="P1074" s="30">
        <v>0</v>
      </c>
      <c r="Q1074" s="30">
        <v>0</v>
      </c>
      <c r="R1074" s="29">
        <v>0</v>
      </c>
      <c r="S1074" s="36">
        <v>0</v>
      </c>
      <c r="T1074" s="7" t="s">
        <v>131</v>
      </c>
      <c r="U1074" s="7" t="s">
        <v>1060</v>
      </c>
      <c r="V1074" s="7" t="s">
        <v>1060</v>
      </c>
      <c r="W1074" s="7" t="s">
        <v>1177</v>
      </c>
      <c r="X1074" s="30">
        <v>1</v>
      </c>
      <c r="Y1074" s="7" t="s">
        <v>1177</v>
      </c>
      <c r="Z1074" s="7" t="s">
        <v>1178</v>
      </c>
      <c r="AA1074" s="30">
        <v>0</v>
      </c>
      <c r="AB1074" s="36">
        <v>0</v>
      </c>
      <c r="AC1074" s="7" t="s">
        <v>1177</v>
      </c>
      <c r="AD1074" s="37">
        <v>0</v>
      </c>
      <c r="AE1074" s="7" t="s">
        <v>1177</v>
      </c>
      <c r="AF1074" s="7" t="s">
        <v>1177</v>
      </c>
      <c r="AG1074" s="7" t="s">
        <v>1177</v>
      </c>
      <c r="AH1074" s="38"/>
      <c r="AI1074" s="36">
        <v>0</v>
      </c>
      <c r="AJ1074" s="7" t="s">
        <v>1193</v>
      </c>
      <c r="AK1074" s="7" t="s">
        <v>1177</v>
      </c>
      <c r="AL1074" s="7" t="s">
        <v>1177</v>
      </c>
      <c r="AM1074" s="7" t="s">
        <v>1177</v>
      </c>
      <c r="AN1074" s="7" t="s">
        <v>3212</v>
      </c>
      <c r="AO1074" s="7" t="s">
        <v>1177</v>
      </c>
      <c r="AP1074" s="7" t="s">
        <v>1177</v>
      </c>
      <c r="AQ1074" s="7" t="s">
        <v>1177</v>
      </c>
      <c r="AR1074" s="29">
        <v>0</v>
      </c>
      <c r="AS1074" s="7" t="s">
        <v>1177</v>
      </c>
      <c r="AT1074" s="7" t="s">
        <v>1363</v>
      </c>
      <c r="AU1074" s="38">
        <v>46275</v>
      </c>
      <c r="AV1074" s="39">
        <v>0.62736111111111004</v>
      </c>
    </row>
    <row r="1075" spans="1:48" x14ac:dyDescent="0.35">
      <c r="A1075" t="str">
        <f t="shared" si="16"/>
        <v>GP254104B856</v>
      </c>
      <c r="B1075" s="7" t="s">
        <v>871</v>
      </c>
      <c r="C1075" s="7" t="s">
        <v>852</v>
      </c>
      <c r="D1075" s="7" t="s">
        <v>21</v>
      </c>
      <c r="E1075" s="7" t="s">
        <v>1177</v>
      </c>
      <c r="F1075" s="7" t="s">
        <v>128</v>
      </c>
      <c r="G1075" s="7" t="s">
        <v>130</v>
      </c>
      <c r="H1075" s="7" t="s">
        <v>129</v>
      </c>
      <c r="I1075" s="30">
        <v>2</v>
      </c>
      <c r="J1075" s="7" t="s">
        <v>1177</v>
      </c>
      <c r="K1075" s="7" t="s">
        <v>1178</v>
      </c>
      <c r="L1075" s="7" t="s">
        <v>132</v>
      </c>
      <c r="M1075" s="7" t="s">
        <v>133</v>
      </c>
      <c r="N1075" s="30">
        <v>0</v>
      </c>
      <c r="O1075" s="30">
        <v>0</v>
      </c>
      <c r="P1075" s="30">
        <v>0</v>
      </c>
      <c r="Q1075" s="30">
        <v>0</v>
      </c>
      <c r="R1075" s="29">
        <v>0</v>
      </c>
      <c r="S1075" s="36">
        <v>0</v>
      </c>
      <c r="T1075" s="7" t="s">
        <v>131</v>
      </c>
      <c r="U1075" s="7" t="s">
        <v>853</v>
      </c>
      <c r="V1075" s="7" t="s">
        <v>853</v>
      </c>
      <c r="W1075" s="7" t="s">
        <v>1177</v>
      </c>
      <c r="X1075" s="30">
        <v>1</v>
      </c>
      <c r="Y1075" s="7" t="s">
        <v>1177</v>
      </c>
      <c r="Z1075" s="7" t="s">
        <v>1178</v>
      </c>
      <c r="AA1075" s="30">
        <v>0</v>
      </c>
      <c r="AB1075" s="36">
        <v>0</v>
      </c>
      <c r="AC1075" s="7" t="s">
        <v>1177</v>
      </c>
      <c r="AD1075" s="37">
        <v>0</v>
      </c>
      <c r="AE1075" s="7" t="s">
        <v>1177</v>
      </c>
      <c r="AF1075" s="7" t="s">
        <v>1177</v>
      </c>
      <c r="AG1075" s="7" t="s">
        <v>1177</v>
      </c>
      <c r="AH1075" s="38"/>
      <c r="AI1075" s="36">
        <v>0</v>
      </c>
      <c r="AJ1075" s="7" t="s">
        <v>1193</v>
      </c>
      <c r="AK1075" s="7" t="s">
        <v>1177</v>
      </c>
      <c r="AL1075" s="7" t="s">
        <v>1177</v>
      </c>
      <c r="AM1075" s="7" t="s">
        <v>1177</v>
      </c>
      <c r="AN1075" s="7" t="s">
        <v>3212</v>
      </c>
      <c r="AO1075" s="7" t="s">
        <v>1177</v>
      </c>
      <c r="AP1075" s="7" t="s">
        <v>1177</v>
      </c>
      <c r="AQ1075" s="7" t="s">
        <v>1177</v>
      </c>
      <c r="AR1075" s="29">
        <v>0</v>
      </c>
      <c r="AS1075" s="7" t="s">
        <v>1177</v>
      </c>
      <c r="AT1075" s="7" t="s">
        <v>1363</v>
      </c>
      <c r="AU1075" s="38">
        <v>46275</v>
      </c>
      <c r="AV1075" s="39">
        <v>0.62489583333332999</v>
      </c>
    </row>
    <row r="1076" spans="1:48" x14ac:dyDescent="0.35">
      <c r="A1076" t="str">
        <f t="shared" si="16"/>
        <v>GP254146B856</v>
      </c>
      <c r="B1076" s="7" t="s">
        <v>74</v>
      </c>
      <c r="C1076" s="7" t="s">
        <v>852</v>
      </c>
      <c r="D1076" s="7" t="s">
        <v>21</v>
      </c>
      <c r="E1076" s="7" t="s">
        <v>1177</v>
      </c>
      <c r="F1076" s="7" t="s">
        <v>128</v>
      </c>
      <c r="G1076" s="7" t="s">
        <v>130</v>
      </c>
      <c r="H1076" s="7" t="s">
        <v>129</v>
      </c>
      <c r="I1076" s="30">
        <v>2</v>
      </c>
      <c r="J1076" s="7" t="s">
        <v>1177</v>
      </c>
      <c r="K1076" s="7" t="s">
        <v>1178</v>
      </c>
      <c r="L1076" s="7" t="s">
        <v>132</v>
      </c>
      <c r="M1076" s="7" t="s">
        <v>133</v>
      </c>
      <c r="N1076" s="30">
        <v>0</v>
      </c>
      <c r="O1076" s="30">
        <v>0</v>
      </c>
      <c r="P1076" s="30">
        <v>0</v>
      </c>
      <c r="Q1076" s="30">
        <v>0</v>
      </c>
      <c r="R1076" s="29">
        <v>0</v>
      </c>
      <c r="S1076" s="36">
        <v>0</v>
      </c>
      <c r="T1076" s="7" t="s">
        <v>131</v>
      </c>
      <c r="U1076" s="7" t="s">
        <v>853</v>
      </c>
      <c r="V1076" s="7" t="s">
        <v>853</v>
      </c>
      <c r="W1076" s="7" t="s">
        <v>1177</v>
      </c>
      <c r="X1076" s="30">
        <v>1</v>
      </c>
      <c r="Y1076" s="7" t="s">
        <v>1177</v>
      </c>
      <c r="Z1076" s="7" t="s">
        <v>1178</v>
      </c>
      <c r="AA1076" s="30">
        <v>0</v>
      </c>
      <c r="AB1076" s="36">
        <v>0</v>
      </c>
      <c r="AC1076" s="7" t="s">
        <v>1177</v>
      </c>
      <c r="AD1076" s="37">
        <v>0</v>
      </c>
      <c r="AE1076" s="7" t="s">
        <v>1177</v>
      </c>
      <c r="AF1076" s="7" t="s">
        <v>1177</v>
      </c>
      <c r="AG1076" s="7" t="s">
        <v>1177</v>
      </c>
      <c r="AH1076" s="38"/>
      <c r="AI1076" s="36">
        <v>0</v>
      </c>
      <c r="AJ1076" s="7" t="s">
        <v>1193</v>
      </c>
      <c r="AK1076" s="7" t="s">
        <v>1177</v>
      </c>
      <c r="AL1076" s="7" t="s">
        <v>1177</v>
      </c>
      <c r="AM1076" s="7" t="s">
        <v>1177</v>
      </c>
      <c r="AN1076" s="7" t="s">
        <v>3212</v>
      </c>
      <c r="AO1076" s="7" t="s">
        <v>1177</v>
      </c>
      <c r="AP1076" s="7" t="s">
        <v>1177</v>
      </c>
      <c r="AQ1076" s="7" t="s">
        <v>1177</v>
      </c>
      <c r="AR1076" s="29">
        <v>0</v>
      </c>
      <c r="AS1076" s="7" t="s">
        <v>1177</v>
      </c>
      <c r="AT1076" s="7" t="s">
        <v>1363</v>
      </c>
      <c r="AU1076" s="38">
        <v>46275</v>
      </c>
      <c r="AV1076" s="39">
        <v>0.62487268518519001</v>
      </c>
    </row>
    <row r="1077" spans="1:48" x14ac:dyDescent="0.35">
      <c r="A1077" t="str">
        <f t="shared" si="16"/>
        <v>GP254146B857</v>
      </c>
      <c r="B1077" s="7" t="s">
        <v>74</v>
      </c>
      <c r="C1077" s="7" t="s">
        <v>958</v>
      </c>
      <c r="D1077" s="7" t="s">
        <v>23</v>
      </c>
      <c r="E1077" s="7" t="s">
        <v>1177</v>
      </c>
      <c r="F1077" s="7" t="s">
        <v>128</v>
      </c>
      <c r="G1077" s="7" t="s">
        <v>130</v>
      </c>
      <c r="H1077" s="7" t="s">
        <v>129</v>
      </c>
      <c r="I1077" s="30">
        <v>1</v>
      </c>
      <c r="J1077" s="7" t="s">
        <v>1177</v>
      </c>
      <c r="K1077" s="7" t="s">
        <v>1178</v>
      </c>
      <c r="L1077" s="7" t="s">
        <v>132</v>
      </c>
      <c r="M1077" s="7" t="s">
        <v>133</v>
      </c>
      <c r="N1077" s="30">
        <v>0</v>
      </c>
      <c r="O1077" s="30">
        <v>0</v>
      </c>
      <c r="P1077" s="30">
        <v>0</v>
      </c>
      <c r="Q1077" s="30">
        <v>0</v>
      </c>
      <c r="R1077" s="29">
        <v>0</v>
      </c>
      <c r="S1077" s="36">
        <v>0</v>
      </c>
      <c r="T1077" s="7" t="s">
        <v>131</v>
      </c>
      <c r="U1077" s="7" t="s">
        <v>959</v>
      </c>
      <c r="V1077" s="7" t="s">
        <v>959</v>
      </c>
      <c r="W1077" s="7" t="s">
        <v>1177</v>
      </c>
      <c r="X1077" s="30">
        <v>1</v>
      </c>
      <c r="Y1077" s="7" t="s">
        <v>1177</v>
      </c>
      <c r="Z1077" s="7" t="s">
        <v>1178</v>
      </c>
      <c r="AA1077" s="30">
        <v>0</v>
      </c>
      <c r="AB1077" s="36">
        <v>0</v>
      </c>
      <c r="AC1077" s="7" t="s">
        <v>1177</v>
      </c>
      <c r="AD1077" s="37">
        <v>0</v>
      </c>
      <c r="AE1077" s="7" t="s">
        <v>1177</v>
      </c>
      <c r="AF1077" s="7" t="s">
        <v>1177</v>
      </c>
      <c r="AG1077" s="7" t="s">
        <v>1177</v>
      </c>
      <c r="AH1077" s="38"/>
      <c r="AI1077" s="36">
        <v>0</v>
      </c>
      <c r="AJ1077" s="7" t="s">
        <v>1193</v>
      </c>
      <c r="AK1077" s="7" t="s">
        <v>1177</v>
      </c>
      <c r="AL1077" s="7" t="s">
        <v>1177</v>
      </c>
      <c r="AM1077" s="7" t="s">
        <v>1177</v>
      </c>
      <c r="AN1077" s="7" t="s">
        <v>3212</v>
      </c>
      <c r="AO1077" s="7" t="s">
        <v>1177</v>
      </c>
      <c r="AP1077" s="7" t="s">
        <v>1177</v>
      </c>
      <c r="AQ1077" s="7" t="s">
        <v>1177</v>
      </c>
      <c r="AR1077" s="29">
        <v>0</v>
      </c>
      <c r="AS1077" s="7" t="s">
        <v>1177</v>
      </c>
      <c r="AT1077" s="7" t="s">
        <v>1363</v>
      </c>
      <c r="AU1077" s="38">
        <v>46275</v>
      </c>
      <c r="AV1077" s="39">
        <v>0.62491898148147995</v>
      </c>
    </row>
    <row r="1078" spans="1:48" x14ac:dyDescent="0.35">
      <c r="A1078" t="str">
        <f t="shared" si="16"/>
        <v>GP254146B867</v>
      </c>
      <c r="B1078" s="7" t="s">
        <v>74</v>
      </c>
      <c r="C1078" s="7" t="s">
        <v>1059</v>
      </c>
      <c r="D1078" s="7" t="s">
        <v>25</v>
      </c>
      <c r="E1078" s="7" t="s">
        <v>1177</v>
      </c>
      <c r="F1078" s="7" t="s">
        <v>128</v>
      </c>
      <c r="G1078" s="7" t="s">
        <v>130</v>
      </c>
      <c r="H1078" s="7" t="s">
        <v>129</v>
      </c>
      <c r="I1078" s="30">
        <v>2</v>
      </c>
      <c r="J1078" s="7" t="s">
        <v>1177</v>
      </c>
      <c r="K1078" s="7" t="s">
        <v>1178</v>
      </c>
      <c r="L1078" s="7" t="s">
        <v>132</v>
      </c>
      <c r="M1078" s="7" t="s">
        <v>133</v>
      </c>
      <c r="N1078" s="30">
        <v>0</v>
      </c>
      <c r="O1078" s="30">
        <v>0</v>
      </c>
      <c r="P1078" s="30">
        <v>0</v>
      </c>
      <c r="Q1078" s="30">
        <v>0</v>
      </c>
      <c r="R1078" s="29">
        <v>0</v>
      </c>
      <c r="S1078" s="36">
        <v>0</v>
      </c>
      <c r="T1078" s="7" t="s">
        <v>131</v>
      </c>
      <c r="U1078" s="7" t="s">
        <v>1060</v>
      </c>
      <c r="V1078" s="7" t="s">
        <v>1060</v>
      </c>
      <c r="W1078" s="7" t="s">
        <v>1177</v>
      </c>
      <c r="X1078" s="30">
        <v>1</v>
      </c>
      <c r="Y1078" s="7" t="s">
        <v>1177</v>
      </c>
      <c r="Z1078" s="7" t="s">
        <v>1178</v>
      </c>
      <c r="AA1078" s="30">
        <v>0</v>
      </c>
      <c r="AB1078" s="36">
        <v>0</v>
      </c>
      <c r="AC1078" s="7" t="s">
        <v>1177</v>
      </c>
      <c r="AD1078" s="37">
        <v>0</v>
      </c>
      <c r="AE1078" s="7" t="s">
        <v>1177</v>
      </c>
      <c r="AF1078" s="7" t="s">
        <v>1177</v>
      </c>
      <c r="AG1078" s="7" t="s">
        <v>1177</v>
      </c>
      <c r="AH1078" s="38"/>
      <c r="AI1078" s="36">
        <v>0</v>
      </c>
      <c r="AJ1078" s="7" t="s">
        <v>1193</v>
      </c>
      <c r="AK1078" s="7" t="s">
        <v>1177</v>
      </c>
      <c r="AL1078" s="7" t="s">
        <v>1177</v>
      </c>
      <c r="AM1078" s="7" t="s">
        <v>1177</v>
      </c>
      <c r="AN1078" s="7" t="s">
        <v>3212</v>
      </c>
      <c r="AO1078" s="7" t="s">
        <v>1177</v>
      </c>
      <c r="AP1078" s="7" t="s">
        <v>1177</v>
      </c>
      <c r="AQ1078" s="7" t="s">
        <v>1177</v>
      </c>
      <c r="AR1078" s="29">
        <v>0</v>
      </c>
      <c r="AS1078" s="7" t="s">
        <v>1177</v>
      </c>
      <c r="AT1078" s="7" t="s">
        <v>1363</v>
      </c>
      <c r="AU1078" s="38">
        <v>46275</v>
      </c>
      <c r="AV1078" s="39">
        <v>0.62736111111111004</v>
      </c>
    </row>
    <row r="1079" spans="1:48" x14ac:dyDescent="0.35">
      <c r="A1079" t="str">
        <f t="shared" si="16"/>
        <v>GP254148B825</v>
      </c>
      <c r="B1079" s="7" t="s">
        <v>325</v>
      </c>
      <c r="C1079" s="7" t="s">
        <v>511</v>
      </c>
      <c r="D1079" s="7" t="s">
        <v>16</v>
      </c>
      <c r="E1079" s="7" t="s">
        <v>1177</v>
      </c>
      <c r="F1079" s="7" t="s">
        <v>128</v>
      </c>
      <c r="G1079" s="7" t="s">
        <v>130</v>
      </c>
      <c r="H1079" s="7" t="s">
        <v>129</v>
      </c>
      <c r="I1079" s="30">
        <v>2</v>
      </c>
      <c r="J1079" s="7" t="s">
        <v>1177</v>
      </c>
      <c r="K1079" s="7" t="s">
        <v>1178</v>
      </c>
      <c r="L1079" s="7" t="s">
        <v>132</v>
      </c>
      <c r="M1079" s="7" t="s">
        <v>133</v>
      </c>
      <c r="N1079" s="30">
        <v>0</v>
      </c>
      <c r="O1079" s="30">
        <v>0</v>
      </c>
      <c r="P1079" s="30">
        <v>0</v>
      </c>
      <c r="Q1079" s="30">
        <v>0</v>
      </c>
      <c r="R1079" s="29">
        <v>0</v>
      </c>
      <c r="S1079" s="36">
        <v>0</v>
      </c>
      <c r="T1079" s="7" t="s">
        <v>131</v>
      </c>
      <c r="U1079" s="7" t="s">
        <v>512</v>
      </c>
      <c r="V1079" s="7" t="s">
        <v>512</v>
      </c>
      <c r="W1079" s="7" t="s">
        <v>1177</v>
      </c>
      <c r="X1079" s="30">
        <v>1</v>
      </c>
      <c r="Y1079" s="7" t="s">
        <v>1177</v>
      </c>
      <c r="Z1079" s="7" t="s">
        <v>1178</v>
      </c>
      <c r="AA1079" s="30">
        <v>0</v>
      </c>
      <c r="AB1079" s="36">
        <v>0</v>
      </c>
      <c r="AC1079" s="7" t="s">
        <v>1177</v>
      </c>
      <c r="AD1079" s="37">
        <v>0</v>
      </c>
      <c r="AE1079" s="7" t="s">
        <v>1177</v>
      </c>
      <c r="AF1079" s="7" t="s">
        <v>1177</v>
      </c>
      <c r="AG1079" s="7" t="s">
        <v>1177</v>
      </c>
      <c r="AH1079" s="38"/>
      <c r="AI1079" s="36">
        <v>0</v>
      </c>
      <c r="AJ1079" s="7" t="s">
        <v>1193</v>
      </c>
      <c r="AK1079" s="7" t="s">
        <v>1177</v>
      </c>
      <c r="AL1079" s="7" t="s">
        <v>1177</v>
      </c>
      <c r="AM1079" s="7" t="s">
        <v>1177</v>
      </c>
      <c r="AN1079" s="7" t="s">
        <v>3212</v>
      </c>
      <c r="AO1079" s="7" t="s">
        <v>1177</v>
      </c>
      <c r="AP1079" s="7" t="s">
        <v>1177</v>
      </c>
      <c r="AQ1079" s="7" t="s">
        <v>1177</v>
      </c>
      <c r="AR1079" s="29">
        <v>0</v>
      </c>
      <c r="AS1079" s="7" t="s">
        <v>1177</v>
      </c>
      <c r="AT1079" s="7" t="s">
        <v>1363</v>
      </c>
      <c r="AU1079" s="38">
        <v>46275</v>
      </c>
      <c r="AV1079" s="39">
        <v>0.62302083333333003</v>
      </c>
    </row>
    <row r="1080" spans="1:48" x14ac:dyDescent="0.35">
      <c r="A1080" t="str">
        <f t="shared" si="16"/>
        <v>GP254148B832</v>
      </c>
      <c r="B1080" s="7" t="s">
        <v>325</v>
      </c>
      <c r="C1080" s="7" t="s">
        <v>653</v>
      </c>
      <c r="D1080" s="7" t="s">
        <v>19</v>
      </c>
      <c r="E1080" s="7" t="s">
        <v>1177</v>
      </c>
      <c r="F1080" s="7" t="s">
        <v>128</v>
      </c>
      <c r="G1080" s="7" t="s">
        <v>130</v>
      </c>
      <c r="H1080" s="7" t="s">
        <v>129</v>
      </c>
      <c r="I1080" s="30">
        <v>3</v>
      </c>
      <c r="J1080" s="7" t="s">
        <v>1177</v>
      </c>
      <c r="K1080" s="7" t="s">
        <v>1178</v>
      </c>
      <c r="L1080" s="7" t="s">
        <v>132</v>
      </c>
      <c r="M1080" s="7" t="s">
        <v>133</v>
      </c>
      <c r="N1080" s="30">
        <v>0</v>
      </c>
      <c r="O1080" s="30">
        <v>0</v>
      </c>
      <c r="P1080" s="30">
        <v>0</v>
      </c>
      <c r="Q1080" s="30">
        <v>0</v>
      </c>
      <c r="R1080" s="29">
        <v>0</v>
      </c>
      <c r="S1080" s="36">
        <v>0</v>
      </c>
      <c r="T1080" s="7" t="s">
        <v>131</v>
      </c>
      <c r="U1080" s="7" t="s">
        <v>654</v>
      </c>
      <c r="V1080" s="7" t="s">
        <v>654</v>
      </c>
      <c r="W1080" s="7" t="s">
        <v>1177</v>
      </c>
      <c r="X1080" s="30">
        <v>1</v>
      </c>
      <c r="Y1080" s="7" t="s">
        <v>1177</v>
      </c>
      <c r="Z1080" s="7" t="s">
        <v>1178</v>
      </c>
      <c r="AA1080" s="30">
        <v>0</v>
      </c>
      <c r="AB1080" s="36">
        <v>0</v>
      </c>
      <c r="AC1080" s="7" t="s">
        <v>1177</v>
      </c>
      <c r="AD1080" s="37">
        <v>0</v>
      </c>
      <c r="AE1080" s="7" t="s">
        <v>1177</v>
      </c>
      <c r="AF1080" s="7" t="s">
        <v>1177</v>
      </c>
      <c r="AG1080" s="7" t="s">
        <v>1177</v>
      </c>
      <c r="AH1080" s="38"/>
      <c r="AI1080" s="36">
        <v>0</v>
      </c>
      <c r="AJ1080" s="7" t="s">
        <v>1193</v>
      </c>
      <c r="AK1080" s="7" t="s">
        <v>1177</v>
      </c>
      <c r="AL1080" s="7" t="s">
        <v>1177</v>
      </c>
      <c r="AM1080" s="7" t="s">
        <v>1177</v>
      </c>
      <c r="AN1080" s="7" t="s">
        <v>3212</v>
      </c>
      <c r="AO1080" s="7" t="s">
        <v>1177</v>
      </c>
      <c r="AP1080" s="7" t="s">
        <v>1177</v>
      </c>
      <c r="AQ1080" s="7" t="s">
        <v>1177</v>
      </c>
      <c r="AR1080" s="29">
        <v>0</v>
      </c>
      <c r="AS1080" s="7" t="s">
        <v>1177</v>
      </c>
      <c r="AT1080" s="7" t="s">
        <v>1363</v>
      </c>
      <c r="AU1080" s="38">
        <v>46275</v>
      </c>
      <c r="AV1080" s="39">
        <v>0.62335648148148004</v>
      </c>
    </row>
    <row r="1081" spans="1:48" x14ac:dyDescent="0.35">
      <c r="A1081" t="str">
        <f t="shared" si="16"/>
        <v>GP254148B833</v>
      </c>
      <c r="B1081" s="7" t="s">
        <v>325</v>
      </c>
      <c r="C1081" s="7" t="s">
        <v>698</v>
      </c>
      <c r="D1081" s="7" t="s">
        <v>697</v>
      </c>
      <c r="E1081" s="7" t="s">
        <v>1177</v>
      </c>
      <c r="F1081" s="7" t="s">
        <v>128</v>
      </c>
      <c r="G1081" s="7" t="s">
        <v>130</v>
      </c>
      <c r="H1081" s="7" t="s">
        <v>129</v>
      </c>
      <c r="I1081" s="30">
        <v>2</v>
      </c>
      <c r="J1081" s="7" t="s">
        <v>1177</v>
      </c>
      <c r="K1081" s="7" t="s">
        <v>1178</v>
      </c>
      <c r="L1081" s="7" t="s">
        <v>132</v>
      </c>
      <c r="M1081" s="7" t="s">
        <v>133</v>
      </c>
      <c r="N1081" s="30">
        <v>0</v>
      </c>
      <c r="O1081" s="30">
        <v>0</v>
      </c>
      <c r="P1081" s="30">
        <v>0</v>
      </c>
      <c r="Q1081" s="30">
        <v>0</v>
      </c>
      <c r="R1081" s="29">
        <v>0</v>
      </c>
      <c r="S1081" s="36">
        <v>0</v>
      </c>
      <c r="T1081" s="7" t="s">
        <v>131</v>
      </c>
      <c r="U1081" s="7" t="s">
        <v>699</v>
      </c>
      <c r="V1081" s="7" t="s">
        <v>699</v>
      </c>
      <c r="W1081" s="7" t="s">
        <v>1177</v>
      </c>
      <c r="X1081" s="30">
        <v>1</v>
      </c>
      <c r="Y1081" s="7" t="s">
        <v>1177</v>
      </c>
      <c r="Z1081" s="7" t="s">
        <v>1178</v>
      </c>
      <c r="AA1081" s="30">
        <v>0</v>
      </c>
      <c r="AB1081" s="36">
        <v>0</v>
      </c>
      <c r="AC1081" s="7" t="s">
        <v>1177</v>
      </c>
      <c r="AD1081" s="37">
        <v>0</v>
      </c>
      <c r="AE1081" s="7" t="s">
        <v>1177</v>
      </c>
      <c r="AF1081" s="7" t="s">
        <v>1177</v>
      </c>
      <c r="AG1081" s="7" t="s">
        <v>1177</v>
      </c>
      <c r="AH1081" s="38"/>
      <c r="AI1081" s="36">
        <v>0</v>
      </c>
      <c r="AJ1081" s="7" t="s">
        <v>1193</v>
      </c>
      <c r="AK1081" s="7" t="s">
        <v>1177</v>
      </c>
      <c r="AL1081" s="7" t="s">
        <v>1177</v>
      </c>
      <c r="AM1081" s="7" t="s">
        <v>1177</v>
      </c>
      <c r="AN1081" s="7" t="s">
        <v>3212</v>
      </c>
      <c r="AO1081" s="7" t="s">
        <v>1177</v>
      </c>
      <c r="AP1081" s="7" t="s">
        <v>1177</v>
      </c>
      <c r="AQ1081" s="7" t="s">
        <v>1177</v>
      </c>
      <c r="AR1081" s="29">
        <v>0</v>
      </c>
      <c r="AS1081" s="7" t="s">
        <v>1177</v>
      </c>
      <c r="AT1081" s="7" t="s">
        <v>1363</v>
      </c>
      <c r="AU1081" s="38">
        <v>46275</v>
      </c>
      <c r="AV1081" s="39">
        <v>0.62347222222221998</v>
      </c>
    </row>
    <row r="1082" spans="1:48" x14ac:dyDescent="0.35">
      <c r="A1082" t="str">
        <f t="shared" si="16"/>
        <v>GP254148B838</v>
      </c>
      <c r="B1082" s="7" t="s">
        <v>325</v>
      </c>
      <c r="C1082" s="7" t="s">
        <v>744</v>
      </c>
      <c r="D1082" s="7" t="s">
        <v>48</v>
      </c>
      <c r="E1082" s="7" t="s">
        <v>1177</v>
      </c>
      <c r="F1082" s="7" t="s">
        <v>128</v>
      </c>
      <c r="G1082" s="7" t="s">
        <v>130</v>
      </c>
      <c r="H1082" s="7" t="s">
        <v>129</v>
      </c>
      <c r="I1082" s="30">
        <v>1</v>
      </c>
      <c r="J1082" s="7" t="s">
        <v>1177</v>
      </c>
      <c r="K1082" s="7" t="s">
        <v>1178</v>
      </c>
      <c r="L1082" s="7" t="s">
        <v>132</v>
      </c>
      <c r="M1082" s="7" t="s">
        <v>133</v>
      </c>
      <c r="N1082" s="30">
        <v>0</v>
      </c>
      <c r="O1082" s="30">
        <v>0</v>
      </c>
      <c r="P1082" s="30">
        <v>0</v>
      </c>
      <c r="Q1082" s="30">
        <v>0</v>
      </c>
      <c r="R1082" s="29">
        <v>0</v>
      </c>
      <c r="S1082" s="36">
        <v>0</v>
      </c>
      <c r="T1082" s="7" t="s">
        <v>131</v>
      </c>
      <c r="U1082" s="7" t="s">
        <v>745</v>
      </c>
      <c r="V1082" s="7" t="s">
        <v>745</v>
      </c>
      <c r="W1082" s="7" t="s">
        <v>1177</v>
      </c>
      <c r="X1082" s="30">
        <v>1</v>
      </c>
      <c r="Y1082" s="7" t="s">
        <v>1177</v>
      </c>
      <c r="Z1082" s="7" t="s">
        <v>1178</v>
      </c>
      <c r="AA1082" s="30">
        <v>0</v>
      </c>
      <c r="AB1082" s="36">
        <v>0</v>
      </c>
      <c r="AC1082" s="7" t="s">
        <v>1177</v>
      </c>
      <c r="AD1082" s="37">
        <v>0</v>
      </c>
      <c r="AE1082" s="7" t="s">
        <v>1177</v>
      </c>
      <c r="AF1082" s="7" t="s">
        <v>1177</v>
      </c>
      <c r="AG1082" s="7" t="s">
        <v>1177</v>
      </c>
      <c r="AH1082" s="38"/>
      <c r="AI1082" s="36">
        <v>0</v>
      </c>
      <c r="AJ1082" s="7" t="s">
        <v>1193</v>
      </c>
      <c r="AK1082" s="7" t="s">
        <v>1177</v>
      </c>
      <c r="AL1082" s="7" t="s">
        <v>1177</v>
      </c>
      <c r="AM1082" s="7" t="s">
        <v>1177</v>
      </c>
      <c r="AN1082" s="7" t="s">
        <v>3212</v>
      </c>
      <c r="AO1082" s="7" t="s">
        <v>1177</v>
      </c>
      <c r="AP1082" s="7" t="s">
        <v>1177</v>
      </c>
      <c r="AQ1082" s="7" t="s">
        <v>1177</v>
      </c>
      <c r="AR1082" s="29">
        <v>0</v>
      </c>
      <c r="AS1082" s="7" t="s">
        <v>1177</v>
      </c>
      <c r="AT1082" s="7" t="s">
        <v>1363</v>
      </c>
      <c r="AU1082" s="38">
        <v>46275</v>
      </c>
      <c r="AV1082" s="39">
        <v>0.62400462962962999</v>
      </c>
    </row>
    <row r="1083" spans="1:48" x14ac:dyDescent="0.35">
      <c r="A1083" t="str">
        <f t="shared" si="16"/>
        <v>GP254676B856</v>
      </c>
      <c r="B1083" s="7" t="s">
        <v>872</v>
      </c>
      <c r="C1083" s="7" t="s">
        <v>852</v>
      </c>
      <c r="D1083" s="7" t="s">
        <v>21</v>
      </c>
      <c r="E1083" s="7" t="s">
        <v>1177</v>
      </c>
      <c r="F1083" s="7" t="s">
        <v>128</v>
      </c>
      <c r="G1083" s="7" t="s">
        <v>130</v>
      </c>
      <c r="H1083" s="7" t="s">
        <v>129</v>
      </c>
      <c r="I1083" s="30">
        <v>2</v>
      </c>
      <c r="J1083" s="7" t="s">
        <v>1177</v>
      </c>
      <c r="K1083" s="7" t="s">
        <v>1178</v>
      </c>
      <c r="L1083" s="7" t="s">
        <v>132</v>
      </c>
      <c r="M1083" s="7" t="s">
        <v>133</v>
      </c>
      <c r="N1083" s="30">
        <v>0</v>
      </c>
      <c r="O1083" s="30">
        <v>0</v>
      </c>
      <c r="P1083" s="30">
        <v>0</v>
      </c>
      <c r="Q1083" s="30">
        <v>0</v>
      </c>
      <c r="R1083" s="29">
        <v>0</v>
      </c>
      <c r="S1083" s="36">
        <v>0</v>
      </c>
      <c r="T1083" s="7" t="s">
        <v>131</v>
      </c>
      <c r="U1083" s="7" t="s">
        <v>853</v>
      </c>
      <c r="V1083" s="7" t="s">
        <v>853</v>
      </c>
      <c r="W1083" s="7" t="s">
        <v>1177</v>
      </c>
      <c r="X1083" s="30">
        <v>1</v>
      </c>
      <c r="Y1083" s="7" t="s">
        <v>1177</v>
      </c>
      <c r="Z1083" s="7" t="s">
        <v>1178</v>
      </c>
      <c r="AA1083" s="30">
        <v>0</v>
      </c>
      <c r="AB1083" s="36">
        <v>0</v>
      </c>
      <c r="AC1083" s="7" t="s">
        <v>1177</v>
      </c>
      <c r="AD1083" s="37">
        <v>0</v>
      </c>
      <c r="AE1083" s="7" t="s">
        <v>1177</v>
      </c>
      <c r="AF1083" s="7" t="s">
        <v>1177</v>
      </c>
      <c r="AG1083" s="7" t="s">
        <v>1177</v>
      </c>
      <c r="AH1083" s="38"/>
      <c r="AI1083" s="36">
        <v>0</v>
      </c>
      <c r="AJ1083" s="7" t="s">
        <v>1193</v>
      </c>
      <c r="AK1083" s="7" t="s">
        <v>1177</v>
      </c>
      <c r="AL1083" s="7" t="s">
        <v>1177</v>
      </c>
      <c r="AM1083" s="7" t="s">
        <v>1177</v>
      </c>
      <c r="AN1083" s="7" t="s">
        <v>3212</v>
      </c>
      <c r="AO1083" s="7" t="s">
        <v>1177</v>
      </c>
      <c r="AP1083" s="7" t="s">
        <v>1177</v>
      </c>
      <c r="AQ1083" s="7" t="s">
        <v>1177</v>
      </c>
      <c r="AR1083" s="29">
        <v>0</v>
      </c>
      <c r="AS1083" s="7" t="s">
        <v>1177</v>
      </c>
      <c r="AT1083" s="7" t="s">
        <v>1363</v>
      </c>
      <c r="AU1083" s="38">
        <v>46275</v>
      </c>
      <c r="AV1083" s="39">
        <v>0.62487268518519001</v>
      </c>
    </row>
    <row r="1084" spans="1:48" x14ac:dyDescent="0.35">
      <c r="A1084" t="str">
        <f t="shared" si="16"/>
        <v>GP254676B864</v>
      </c>
      <c r="B1084" s="7" t="s">
        <v>872</v>
      </c>
      <c r="C1084" s="7" t="s">
        <v>1010</v>
      </c>
      <c r="D1084" s="7" t="s">
        <v>10</v>
      </c>
      <c r="E1084" s="7" t="s">
        <v>1177</v>
      </c>
      <c r="F1084" s="7" t="s">
        <v>128</v>
      </c>
      <c r="G1084" s="7" t="s">
        <v>130</v>
      </c>
      <c r="H1084" s="7" t="s">
        <v>129</v>
      </c>
      <c r="I1084" s="30">
        <v>2</v>
      </c>
      <c r="J1084" s="7" t="s">
        <v>1177</v>
      </c>
      <c r="K1084" s="7" t="s">
        <v>1178</v>
      </c>
      <c r="L1084" s="7" t="s">
        <v>132</v>
      </c>
      <c r="M1084" s="7" t="s">
        <v>133</v>
      </c>
      <c r="N1084" s="30">
        <v>0</v>
      </c>
      <c r="O1084" s="30">
        <v>0</v>
      </c>
      <c r="P1084" s="30">
        <v>0</v>
      </c>
      <c r="Q1084" s="30">
        <v>0</v>
      </c>
      <c r="R1084" s="29">
        <v>0</v>
      </c>
      <c r="S1084" s="36">
        <v>0</v>
      </c>
      <c r="T1084" s="7" t="s">
        <v>131</v>
      </c>
      <c r="U1084" s="7" t="s">
        <v>1011</v>
      </c>
      <c r="V1084" s="7" t="s">
        <v>1011</v>
      </c>
      <c r="W1084" s="7" t="s">
        <v>1177</v>
      </c>
      <c r="X1084" s="30">
        <v>1</v>
      </c>
      <c r="Y1084" s="7" t="s">
        <v>1177</v>
      </c>
      <c r="Z1084" s="7" t="s">
        <v>1178</v>
      </c>
      <c r="AA1084" s="30">
        <v>0</v>
      </c>
      <c r="AB1084" s="36">
        <v>0</v>
      </c>
      <c r="AC1084" s="7" t="s">
        <v>1177</v>
      </c>
      <c r="AD1084" s="37">
        <v>0</v>
      </c>
      <c r="AE1084" s="7" t="s">
        <v>1177</v>
      </c>
      <c r="AF1084" s="7" t="s">
        <v>1177</v>
      </c>
      <c r="AG1084" s="7" t="s">
        <v>1177</v>
      </c>
      <c r="AH1084" s="38"/>
      <c r="AI1084" s="36">
        <v>0</v>
      </c>
      <c r="AJ1084" s="7" t="s">
        <v>1193</v>
      </c>
      <c r="AK1084" s="7" t="s">
        <v>1177</v>
      </c>
      <c r="AL1084" s="7" t="s">
        <v>1177</v>
      </c>
      <c r="AM1084" s="7" t="s">
        <v>1177</v>
      </c>
      <c r="AN1084" s="7" t="s">
        <v>3212</v>
      </c>
      <c r="AO1084" s="7" t="s">
        <v>1177</v>
      </c>
      <c r="AP1084" s="7" t="s">
        <v>1177</v>
      </c>
      <c r="AQ1084" s="7" t="s">
        <v>1177</v>
      </c>
      <c r="AR1084" s="29">
        <v>0</v>
      </c>
      <c r="AS1084" s="7" t="s">
        <v>1177</v>
      </c>
      <c r="AT1084" s="7" t="s">
        <v>1363</v>
      </c>
      <c r="AU1084" s="38">
        <v>46275</v>
      </c>
      <c r="AV1084" s="39">
        <v>0.62649305555556001</v>
      </c>
    </row>
    <row r="1085" spans="1:48" x14ac:dyDescent="0.35">
      <c r="A1085" t="str">
        <f t="shared" si="16"/>
        <v>GP254914B825</v>
      </c>
      <c r="B1085" s="7" t="s">
        <v>581</v>
      </c>
      <c r="C1085" s="7" t="s">
        <v>511</v>
      </c>
      <c r="D1085" s="7" t="s">
        <v>16</v>
      </c>
      <c r="E1085" s="7" t="s">
        <v>1177</v>
      </c>
      <c r="F1085" s="7" t="s">
        <v>128</v>
      </c>
      <c r="G1085" s="7" t="s">
        <v>130</v>
      </c>
      <c r="H1085" s="7" t="s">
        <v>129</v>
      </c>
      <c r="I1085" s="30">
        <v>40</v>
      </c>
      <c r="J1085" s="7" t="s">
        <v>1177</v>
      </c>
      <c r="K1085" s="7" t="s">
        <v>1178</v>
      </c>
      <c r="L1085" s="7" t="s">
        <v>132</v>
      </c>
      <c r="M1085" s="7" t="s">
        <v>133</v>
      </c>
      <c r="N1085" s="30">
        <v>0</v>
      </c>
      <c r="O1085" s="30">
        <v>0</v>
      </c>
      <c r="P1085" s="30">
        <v>0</v>
      </c>
      <c r="Q1085" s="30">
        <v>0</v>
      </c>
      <c r="R1085" s="29">
        <v>0</v>
      </c>
      <c r="S1085" s="36">
        <v>0</v>
      </c>
      <c r="T1085" s="7" t="s">
        <v>131</v>
      </c>
      <c r="U1085" s="7" t="s">
        <v>512</v>
      </c>
      <c r="V1085" s="7" t="s">
        <v>512</v>
      </c>
      <c r="W1085" s="7" t="s">
        <v>1177</v>
      </c>
      <c r="X1085" s="30">
        <v>10</v>
      </c>
      <c r="Y1085" s="7" t="s">
        <v>1177</v>
      </c>
      <c r="Z1085" s="7" t="s">
        <v>1178</v>
      </c>
      <c r="AA1085" s="30">
        <v>0</v>
      </c>
      <c r="AB1085" s="36">
        <v>0</v>
      </c>
      <c r="AC1085" s="7" t="s">
        <v>1177</v>
      </c>
      <c r="AD1085" s="37">
        <v>0</v>
      </c>
      <c r="AE1085" s="7" t="s">
        <v>1177</v>
      </c>
      <c r="AF1085" s="7" t="s">
        <v>1177</v>
      </c>
      <c r="AG1085" s="7" t="s">
        <v>1177</v>
      </c>
      <c r="AH1085" s="38"/>
      <c r="AI1085" s="36">
        <v>0</v>
      </c>
      <c r="AJ1085" s="7" t="s">
        <v>1193</v>
      </c>
      <c r="AK1085" s="7" t="s">
        <v>1177</v>
      </c>
      <c r="AL1085" s="7" t="s">
        <v>1177</v>
      </c>
      <c r="AM1085" s="7" t="s">
        <v>1177</v>
      </c>
      <c r="AN1085" s="7" t="s">
        <v>3212</v>
      </c>
      <c r="AO1085" s="7" t="s">
        <v>1177</v>
      </c>
      <c r="AP1085" s="7" t="s">
        <v>1177</v>
      </c>
      <c r="AQ1085" s="7" t="s">
        <v>1177</v>
      </c>
      <c r="AR1085" s="29">
        <v>0</v>
      </c>
      <c r="AS1085" s="7" t="s">
        <v>1177</v>
      </c>
      <c r="AT1085" s="7" t="s">
        <v>1363</v>
      </c>
      <c r="AU1085" s="38">
        <v>46275</v>
      </c>
      <c r="AV1085" s="39">
        <v>0.6034837962963</v>
      </c>
    </row>
    <row r="1086" spans="1:48" x14ac:dyDescent="0.35">
      <c r="A1086" t="str">
        <f t="shared" si="16"/>
        <v>GP254914B838</v>
      </c>
      <c r="B1086" s="7" t="s">
        <v>581</v>
      </c>
      <c r="C1086" s="7" t="s">
        <v>744</v>
      </c>
      <c r="D1086" s="7" t="s">
        <v>48</v>
      </c>
      <c r="E1086" s="7" t="s">
        <v>1177</v>
      </c>
      <c r="F1086" s="7" t="s">
        <v>128</v>
      </c>
      <c r="G1086" s="7" t="s">
        <v>130</v>
      </c>
      <c r="H1086" s="7" t="s">
        <v>129</v>
      </c>
      <c r="I1086" s="30">
        <v>2</v>
      </c>
      <c r="J1086" s="7" t="s">
        <v>1177</v>
      </c>
      <c r="K1086" s="7" t="s">
        <v>1178</v>
      </c>
      <c r="L1086" s="7" t="s">
        <v>132</v>
      </c>
      <c r="M1086" s="7" t="s">
        <v>133</v>
      </c>
      <c r="N1086" s="30">
        <v>0</v>
      </c>
      <c r="O1086" s="30">
        <v>0</v>
      </c>
      <c r="P1086" s="30">
        <v>0</v>
      </c>
      <c r="Q1086" s="30">
        <v>0</v>
      </c>
      <c r="R1086" s="29">
        <v>0</v>
      </c>
      <c r="S1086" s="36">
        <v>0</v>
      </c>
      <c r="T1086" s="7" t="s">
        <v>131</v>
      </c>
      <c r="U1086" s="7" t="s">
        <v>745</v>
      </c>
      <c r="V1086" s="7" t="s">
        <v>745</v>
      </c>
      <c r="W1086" s="7" t="s">
        <v>1177</v>
      </c>
      <c r="X1086" s="30">
        <v>1</v>
      </c>
      <c r="Y1086" s="7" t="s">
        <v>1177</v>
      </c>
      <c r="Z1086" s="7" t="s">
        <v>1178</v>
      </c>
      <c r="AA1086" s="30">
        <v>0</v>
      </c>
      <c r="AB1086" s="36">
        <v>0</v>
      </c>
      <c r="AC1086" s="7" t="s">
        <v>1177</v>
      </c>
      <c r="AD1086" s="37">
        <v>0</v>
      </c>
      <c r="AE1086" s="7" t="s">
        <v>1177</v>
      </c>
      <c r="AF1086" s="7" t="s">
        <v>1177</v>
      </c>
      <c r="AG1086" s="7" t="s">
        <v>1177</v>
      </c>
      <c r="AH1086" s="38"/>
      <c r="AI1086" s="36">
        <v>0</v>
      </c>
      <c r="AJ1086" s="7" t="s">
        <v>1193</v>
      </c>
      <c r="AK1086" s="7" t="s">
        <v>1177</v>
      </c>
      <c r="AL1086" s="7" t="s">
        <v>1177</v>
      </c>
      <c r="AM1086" s="7" t="s">
        <v>1177</v>
      </c>
      <c r="AN1086" s="7" t="s">
        <v>3212</v>
      </c>
      <c r="AO1086" s="7" t="s">
        <v>1177</v>
      </c>
      <c r="AP1086" s="7" t="s">
        <v>1177</v>
      </c>
      <c r="AQ1086" s="7" t="s">
        <v>1177</v>
      </c>
      <c r="AR1086" s="29">
        <v>0</v>
      </c>
      <c r="AS1086" s="7" t="s">
        <v>1177</v>
      </c>
      <c r="AT1086" s="7" t="s">
        <v>1363</v>
      </c>
      <c r="AU1086" s="38">
        <v>46275</v>
      </c>
      <c r="AV1086" s="39">
        <v>0.60446759259258998</v>
      </c>
    </row>
    <row r="1087" spans="1:48" x14ac:dyDescent="0.35">
      <c r="A1087" t="str">
        <f t="shared" si="16"/>
        <v>GP254914B864</v>
      </c>
      <c r="B1087" s="7" t="s">
        <v>581</v>
      </c>
      <c r="C1087" s="7" t="s">
        <v>1010</v>
      </c>
      <c r="D1087" s="7" t="s">
        <v>10</v>
      </c>
      <c r="E1087" s="7" t="s">
        <v>1177</v>
      </c>
      <c r="F1087" s="7" t="s">
        <v>128</v>
      </c>
      <c r="G1087" s="7" t="s">
        <v>130</v>
      </c>
      <c r="H1087" s="7" t="s">
        <v>129</v>
      </c>
      <c r="I1087" s="30">
        <v>15</v>
      </c>
      <c r="J1087" s="7" t="s">
        <v>1177</v>
      </c>
      <c r="K1087" s="7" t="s">
        <v>1178</v>
      </c>
      <c r="L1087" s="7" t="s">
        <v>132</v>
      </c>
      <c r="M1087" s="7" t="s">
        <v>133</v>
      </c>
      <c r="N1087" s="30">
        <v>0</v>
      </c>
      <c r="O1087" s="30">
        <v>0</v>
      </c>
      <c r="P1087" s="30">
        <v>0</v>
      </c>
      <c r="Q1087" s="30">
        <v>0</v>
      </c>
      <c r="R1087" s="29">
        <v>0</v>
      </c>
      <c r="S1087" s="36">
        <v>0</v>
      </c>
      <c r="T1087" s="7" t="s">
        <v>131</v>
      </c>
      <c r="U1087" s="7" t="s">
        <v>1011</v>
      </c>
      <c r="V1087" s="7" t="s">
        <v>1011</v>
      </c>
      <c r="W1087" s="7" t="s">
        <v>1177</v>
      </c>
      <c r="X1087" s="30">
        <v>4</v>
      </c>
      <c r="Y1087" s="7" t="s">
        <v>1177</v>
      </c>
      <c r="Z1087" s="7" t="s">
        <v>1178</v>
      </c>
      <c r="AA1087" s="30">
        <v>0</v>
      </c>
      <c r="AB1087" s="36">
        <v>0</v>
      </c>
      <c r="AC1087" s="7" t="s">
        <v>1177</v>
      </c>
      <c r="AD1087" s="37">
        <v>0</v>
      </c>
      <c r="AE1087" s="7" t="s">
        <v>1177</v>
      </c>
      <c r="AF1087" s="7" t="s">
        <v>1177</v>
      </c>
      <c r="AG1087" s="7" t="s">
        <v>1177</v>
      </c>
      <c r="AH1087" s="38"/>
      <c r="AI1087" s="36">
        <v>0</v>
      </c>
      <c r="AJ1087" s="7" t="s">
        <v>1193</v>
      </c>
      <c r="AK1087" s="7" t="s">
        <v>1177</v>
      </c>
      <c r="AL1087" s="7" t="s">
        <v>1177</v>
      </c>
      <c r="AM1087" s="7" t="s">
        <v>1177</v>
      </c>
      <c r="AN1087" s="7" t="s">
        <v>3212</v>
      </c>
      <c r="AO1087" s="7" t="s">
        <v>1177</v>
      </c>
      <c r="AP1087" s="7" t="s">
        <v>1177</v>
      </c>
      <c r="AQ1087" s="7" t="s">
        <v>1177</v>
      </c>
      <c r="AR1087" s="29">
        <v>0</v>
      </c>
      <c r="AS1087" s="7" t="s">
        <v>1177</v>
      </c>
      <c r="AT1087" s="7" t="s">
        <v>1363</v>
      </c>
      <c r="AU1087" s="38">
        <v>46275</v>
      </c>
      <c r="AV1087" s="39">
        <v>0.60541666666667004</v>
      </c>
    </row>
    <row r="1088" spans="1:48" x14ac:dyDescent="0.35">
      <c r="A1088" t="str">
        <f t="shared" si="16"/>
        <v>GP255063B857</v>
      </c>
      <c r="B1088" s="7" t="s">
        <v>495</v>
      </c>
      <c r="C1088" s="7" t="s">
        <v>958</v>
      </c>
      <c r="D1088" s="7" t="s">
        <v>23</v>
      </c>
      <c r="E1088" s="7" t="s">
        <v>1177</v>
      </c>
      <c r="F1088" s="7" t="s">
        <v>128</v>
      </c>
      <c r="G1088" s="7" t="s">
        <v>130</v>
      </c>
      <c r="H1088" s="7" t="s">
        <v>129</v>
      </c>
      <c r="I1088" s="30">
        <v>2</v>
      </c>
      <c r="J1088" s="7" t="s">
        <v>1177</v>
      </c>
      <c r="K1088" s="7" t="s">
        <v>1178</v>
      </c>
      <c r="L1088" s="7" t="s">
        <v>132</v>
      </c>
      <c r="M1088" s="7" t="s">
        <v>133</v>
      </c>
      <c r="N1088" s="30">
        <v>0</v>
      </c>
      <c r="O1088" s="30">
        <v>0</v>
      </c>
      <c r="P1088" s="30">
        <v>0</v>
      </c>
      <c r="Q1088" s="30">
        <v>0</v>
      </c>
      <c r="R1088" s="29">
        <v>0</v>
      </c>
      <c r="S1088" s="36">
        <v>0</v>
      </c>
      <c r="T1088" s="7" t="s">
        <v>131</v>
      </c>
      <c r="U1088" s="7" t="s">
        <v>959</v>
      </c>
      <c r="V1088" s="7" t="s">
        <v>959</v>
      </c>
      <c r="W1088" s="7" t="s">
        <v>1177</v>
      </c>
      <c r="X1088" s="30">
        <v>1</v>
      </c>
      <c r="Y1088" s="7" t="s">
        <v>1177</v>
      </c>
      <c r="Z1088" s="7" t="s">
        <v>1178</v>
      </c>
      <c r="AA1088" s="30">
        <v>0</v>
      </c>
      <c r="AB1088" s="36">
        <v>0</v>
      </c>
      <c r="AC1088" s="7" t="s">
        <v>1177</v>
      </c>
      <c r="AD1088" s="37">
        <v>0</v>
      </c>
      <c r="AE1088" s="7" t="s">
        <v>1177</v>
      </c>
      <c r="AF1088" s="7" t="s">
        <v>1177</v>
      </c>
      <c r="AG1088" s="7" t="s">
        <v>1177</v>
      </c>
      <c r="AH1088" s="38"/>
      <c r="AI1088" s="36">
        <v>0</v>
      </c>
      <c r="AJ1088" s="7" t="s">
        <v>1193</v>
      </c>
      <c r="AK1088" s="7" t="s">
        <v>1177</v>
      </c>
      <c r="AL1088" s="7" t="s">
        <v>1177</v>
      </c>
      <c r="AM1088" s="7" t="s">
        <v>1177</v>
      </c>
      <c r="AN1088" s="7" t="s">
        <v>3212</v>
      </c>
      <c r="AO1088" s="7" t="s">
        <v>1177</v>
      </c>
      <c r="AP1088" s="7" t="s">
        <v>1177</v>
      </c>
      <c r="AQ1088" s="7" t="s">
        <v>1177</v>
      </c>
      <c r="AR1088" s="29">
        <v>0</v>
      </c>
      <c r="AS1088" s="7" t="s">
        <v>1177</v>
      </c>
      <c r="AT1088" s="7" t="s">
        <v>1363</v>
      </c>
      <c r="AU1088" s="38">
        <v>46275</v>
      </c>
      <c r="AV1088" s="39">
        <v>0.62491898148147995</v>
      </c>
    </row>
    <row r="1089" spans="1:48" x14ac:dyDescent="0.35">
      <c r="A1089" t="str">
        <f t="shared" si="16"/>
        <v>GP255063B867</v>
      </c>
      <c r="B1089" s="7" t="s">
        <v>495</v>
      </c>
      <c r="C1089" s="7" t="s">
        <v>1059</v>
      </c>
      <c r="D1089" s="7" t="s">
        <v>25</v>
      </c>
      <c r="E1089" s="7" t="s">
        <v>1177</v>
      </c>
      <c r="F1089" s="7" t="s">
        <v>128</v>
      </c>
      <c r="G1089" s="7" t="s">
        <v>130</v>
      </c>
      <c r="H1089" s="7" t="s">
        <v>129</v>
      </c>
      <c r="I1089" s="30">
        <v>2</v>
      </c>
      <c r="J1089" s="7" t="s">
        <v>1177</v>
      </c>
      <c r="K1089" s="7" t="s">
        <v>1178</v>
      </c>
      <c r="L1089" s="7" t="s">
        <v>132</v>
      </c>
      <c r="M1089" s="7" t="s">
        <v>133</v>
      </c>
      <c r="N1089" s="30">
        <v>0</v>
      </c>
      <c r="O1089" s="30">
        <v>0</v>
      </c>
      <c r="P1089" s="30">
        <v>0</v>
      </c>
      <c r="Q1089" s="30">
        <v>0</v>
      </c>
      <c r="R1089" s="29">
        <v>0</v>
      </c>
      <c r="S1089" s="36">
        <v>0</v>
      </c>
      <c r="T1089" s="7" t="s">
        <v>131</v>
      </c>
      <c r="U1089" s="7" t="s">
        <v>1060</v>
      </c>
      <c r="V1089" s="7" t="s">
        <v>1060</v>
      </c>
      <c r="W1089" s="7" t="s">
        <v>1177</v>
      </c>
      <c r="X1089" s="30">
        <v>1</v>
      </c>
      <c r="Y1089" s="7" t="s">
        <v>1177</v>
      </c>
      <c r="Z1089" s="7" t="s">
        <v>1178</v>
      </c>
      <c r="AA1089" s="30">
        <v>0</v>
      </c>
      <c r="AB1089" s="36">
        <v>0</v>
      </c>
      <c r="AC1089" s="7" t="s">
        <v>1177</v>
      </c>
      <c r="AD1089" s="37">
        <v>0</v>
      </c>
      <c r="AE1089" s="7" t="s">
        <v>1177</v>
      </c>
      <c r="AF1089" s="7" t="s">
        <v>1177</v>
      </c>
      <c r="AG1089" s="7" t="s">
        <v>1177</v>
      </c>
      <c r="AH1089" s="38"/>
      <c r="AI1089" s="36">
        <v>0</v>
      </c>
      <c r="AJ1089" s="7" t="s">
        <v>1193</v>
      </c>
      <c r="AK1089" s="7" t="s">
        <v>1177</v>
      </c>
      <c r="AL1089" s="7" t="s">
        <v>1177</v>
      </c>
      <c r="AM1089" s="7" t="s">
        <v>1177</v>
      </c>
      <c r="AN1089" s="7" t="s">
        <v>3212</v>
      </c>
      <c r="AO1089" s="7" t="s">
        <v>1177</v>
      </c>
      <c r="AP1089" s="7" t="s">
        <v>1177</v>
      </c>
      <c r="AQ1089" s="7" t="s">
        <v>1177</v>
      </c>
      <c r="AR1089" s="29">
        <v>0</v>
      </c>
      <c r="AS1089" s="7" t="s">
        <v>1177</v>
      </c>
      <c r="AT1089" s="7" t="s">
        <v>1363</v>
      </c>
      <c r="AU1089" s="38">
        <v>46275</v>
      </c>
      <c r="AV1089" s="39">
        <v>0.62736111111111004</v>
      </c>
    </row>
    <row r="1090" spans="1:48" x14ac:dyDescent="0.35">
      <c r="A1090" t="str">
        <f t="shared" si="16"/>
        <v>GP255064B857</v>
      </c>
      <c r="B1090" s="7" t="s">
        <v>415</v>
      </c>
      <c r="C1090" s="7" t="s">
        <v>958</v>
      </c>
      <c r="D1090" s="7" t="s">
        <v>23</v>
      </c>
      <c r="E1090" s="7" t="s">
        <v>1177</v>
      </c>
      <c r="F1090" s="7" t="s">
        <v>128</v>
      </c>
      <c r="G1090" s="7" t="s">
        <v>130</v>
      </c>
      <c r="H1090" s="7" t="s">
        <v>129</v>
      </c>
      <c r="I1090" s="30">
        <v>2</v>
      </c>
      <c r="J1090" s="7" t="s">
        <v>1177</v>
      </c>
      <c r="K1090" s="7" t="s">
        <v>1178</v>
      </c>
      <c r="L1090" s="7" t="s">
        <v>132</v>
      </c>
      <c r="M1090" s="7" t="s">
        <v>133</v>
      </c>
      <c r="N1090" s="30">
        <v>0</v>
      </c>
      <c r="O1090" s="30">
        <v>0</v>
      </c>
      <c r="P1090" s="30">
        <v>0</v>
      </c>
      <c r="Q1090" s="30">
        <v>0</v>
      </c>
      <c r="R1090" s="29">
        <v>0</v>
      </c>
      <c r="S1090" s="36">
        <v>0</v>
      </c>
      <c r="T1090" s="7" t="s">
        <v>131</v>
      </c>
      <c r="U1090" s="7" t="s">
        <v>959</v>
      </c>
      <c r="V1090" s="7" t="s">
        <v>959</v>
      </c>
      <c r="W1090" s="7" t="s">
        <v>1177</v>
      </c>
      <c r="X1090" s="30">
        <v>1</v>
      </c>
      <c r="Y1090" s="7" t="s">
        <v>1177</v>
      </c>
      <c r="Z1090" s="7" t="s">
        <v>1178</v>
      </c>
      <c r="AA1090" s="30">
        <v>0</v>
      </c>
      <c r="AB1090" s="36">
        <v>0</v>
      </c>
      <c r="AC1090" s="7" t="s">
        <v>1177</v>
      </c>
      <c r="AD1090" s="37">
        <v>0</v>
      </c>
      <c r="AE1090" s="7" t="s">
        <v>1177</v>
      </c>
      <c r="AF1090" s="7" t="s">
        <v>1177</v>
      </c>
      <c r="AG1090" s="7" t="s">
        <v>1177</v>
      </c>
      <c r="AH1090" s="38"/>
      <c r="AI1090" s="36">
        <v>0</v>
      </c>
      <c r="AJ1090" s="7" t="s">
        <v>1193</v>
      </c>
      <c r="AK1090" s="7" t="s">
        <v>1177</v>
      </c>
      <c r="AL1090" s="7" t="s">
        <v>1177</v>
      </c>
      <c r="AM1090" s="7" t="s">
        <v>1177</v>
      </c>
      <c r="AN1090" s="7" t="s">
        <v>3212</v>
      </c>
      <c r="AO1090" s="7" t="s">
        <v>1177</v>
      </c>
      <c r="AP1090" s="7" t="s">
        <v>1177</v>
      </c>
      <c r="AQ1090" s="7" t="s">
        <v>1177</v>
      </c>
      <c r="AR1090" s="29">
        <v>0</v>
      </c>
      <c r="AS1090" s="7" t="s">
        <v>1177</v>
      </c>
      <c r="AT1090" s="7" t="s">
        <v>1363</v>
      </c>
      <c r="AU1090" s="38">
        <v>46275</v>
      </c>
      <c r="AV1090" s="39">
        <v>0.62491898148147995</v>
      </c>
    </row>
    <row r="1091" spans="1:48" x14ac:dyDescent="0.35">
      <c r="A1091" t="str">
        <f t="shared" ref="A1091:A1154" si="17">_xlfn.CONCAT(B1091,D1091)</f>
        <v>GP255064B867</v>
      </c>
      <c r="B1091" s="7" t="s">
        <v>415</v>
      </c>
      <c r="C1091" s="7" t="s">
        <v>1059</v>
      </c>
      <c r="D1091" s="7" t="s">
        <v>25</v>
      </c>
      <c r="E1091" s="7" t="s">
        <v>1177</v>
      </c>
      <c r="F1091" s="7" t="s">
        <v>128</v>
      </c>
      <c r="G1091" s="7" t="s">
        <v>130</v>
      </c>
      <c r="H1091" s="7" t="s">
        <v>129</v>
      </c>
      <c r="I1091" s="30">
        <v>2</v>
      </c>
      <c r="J1091" s="7" t="s">
        <v>1177</v>
      </c>
      <c r="K1091" s="7" t="s">
        <v>1178</v>
      </c>
      <c r="L1091" s="7" t="s">
        <v>132</v>
      </c>
      <c r="M1091" s="7" t="s">
        <v>133</v>
      </c>
      <c r="N1091" s="30">
        <v>0</v>
      </c>
      <c r="O1091" s="30">
        <v>0</v>
      </c>
      <c r="P1091" s="30">
        <v>0</v>
      </c>
      <c r="Q1091" s="30">
        <v>0</v>
      </c>
      <c r="R1091" s="29">
        <v>0</v>
      </c>
      <c r="S1091" s="36">
        <v>0</v>
      </c>
      <c r="T1091" s="7" t="s">
        <v>131</v>
      </c>
      <c r="U1091" s="7" t="s">
        <v>1060</v>
      </c>
      <c r="V1091" s="7" t="s">
        <v>1060</v>
      </c>
      <c r="W1091" s="7" t="s">
        <v>1177</v>
      </c>
      <c r="X1091" s="30">
        <v>1</v>
      </c>
      <c r="Y1091" s="7" t="s">
        <v>1177</v>
      </c>
      <c r="Z1091" s="7" t="s">
        <v>1178</v>
      </c>
      <c r="AA1091" s="30">
        <v>0</v>
      </c>
      <c r="AB1091" s="36">
        <v>0</v>
      </c>
      <c r="AC1091" s="7" t="s">
        <v>1177</v>
      </c>
      <c r="AD1091" s="37">
        <v>0</v>
      </c>
      <c r="AE1091" s="7" t="s">
        <v>1177</v>
      </c>
      <c r="AF1091" s="7" t="s">
        <v>1177</v>
      </c>
      <c r="AG1091" s="7" t="s">
        <v>1177</v>
      </c>
      <c r="AH1091" s="38"/>
      <c r="AI1091" s="36">
        <v>0</v>
      </c>
      <c r="AJ1091" s="7" t="s">
        <v>1193</v>
      </c>
      <c r="AK1091" s="7" t="s">
        <v>1177</v>
      </c>
      <c r="AL1091" s="7" t="s">
        <v>1177</v>
      </c>
      <c r="AM1091" s="7" t="s">
        <v>1177</v>
      </c>
      <c r="AN1091" s="7" t="s">
        <v>3212</v>
      </c>
      <c r="AO1091" s="7" t="s">
        <v>1177</v>
      </c>
      <c r="AP1091" s="7" t="s">
        <v>1177</v>
      </c>
      <c r="AQ1091" s="7" t="s">
        <v>1177</v>
      </c>
      <c r="AR1091" s="29">
        <v>0</v>
      </c>
      <c r="AS1091" s="7" t="s">
        <v>1177</v>
      </c>
      <c r="AT1091" s="7" t="s">
        <v>1363</v>
      </c>
      <c r="AU1091" s="38">
        <v>46275</v>
      </c>
      <c r="AV1091" s="39">
        <v>0.62736111111111004</v>
      </c>
    </row>
    <row r="1092" spans="1:48" x14ac:dyDescent="0.35">
      <c r="A1092" t="str">
        <f t="shared" si="17"/>
        <v>GP255390B864</v>
      </c>
      <c r="B1092" s="7" t="s">
        <v>460</v>
      </c>
      <c r="C1092" s="7" t="s">
        <v>1010</v>
      </c>
      <c r="D1092" s="7" t="s">
        <v>10</v>
      </c>
      <c r="E1092" s="7" t="s">
        <v>1177</v>
      </c>
      <c r="F1092" s="7" t="s">
        <v>128</v>
      </c>
      <c r="G1092" s="7" t="s">
        <v>130</v>
      </c>
      <c r="H1092" s="7" t="s">
        <v>129</v>
      </c>
      <c r="I1092" s="30">
        <v>1</v>
      </c>
      <c r="J1092" s="7" t="s">
        <v>1177</v>
      </c>
      <c r="K1092" s="7" t="s">
        <v>1178</v>
      </c>
      <c r="L1092" s="7" t="s">
        <v>132</v>
      </c>
      <c r="M1092" s="7" t="s">
        <v>133</v>
      </c>
      <c r="N1092" s="30">
        <v>0</v>
      </c>
      <c r="O1092" s="30">
        <v>0</v>
      </c>
      <c r="P1092" s="30">
        <v>0</v>
      </c>
      <c r="Q1092" s="30">
        <v>0</v>
      </c>
      <c r="R1092" s="29">
        <v>0</v>
      </c>
      <c r="S1092" s="36">
        <v>0</v>
      </c>
      <c r="T1092" s="7" t="s">
        <v>131</v>
      </c>
      <c r="U1092" s="7" t="s">
        <v>1011</v>
      </c>
      <c r="V1092" s="7" t="s">
        <v>1011</v>
      </c>
      <c r="W1092" s="7" t="s">
        <v>1177</v>
      </c>
      <c r="X1092" s="30">
        <v>1</v>
      </c>
      <c r="Y1092" s="7" t="s">
        <v>1177</v>
      </c>
      <c r="Z1092" s="7" t="s">
        <v>1178</v>
      </c>
      <c r="AA1092" s="30">
        <v>0</v>
      </c>
      <c r="AB1092" s="36">
        <v>0</v>
      </c>
      <c r="AC1092" s="7" t="s">
        <v>1177</v>
      </c>
      <c r="AD1092" s="37">
        <v>0</v>
      </c>
      <c r="AE1092" s="7" t="s">
        <v>1177</v>
      </c>
      <c r="AF1092" s="7" t="s">
        <v>1177</v>
      </c>
      <c r="AG1092" s="7" t="s">
        <v>1177</v>
      </c>
      <c r="AH1092" s="38"/>
      <c r="AI1092" s="36">
        <v>0</v>
      </c>
      <c r="AJ1092" s="7" t="s">
        <v>1193</v>
      </c>
      <c r="AK1092" s="7" t="s">
        <v>1177</v>
      </c>
      <c r="AL1092" s="7" t="s">
        <v>1177</v>
      </c>
      <c r="AM1092" s="7" t="s">
        <v>1177</v>
      </c>
      <c r="AN1092" s="7" t="s">
        <v>3212</v>
      </c>
      <c r="AO1092" s="7" t="s">
        <v>1177</v>
      </c>
      <c r="AP1092" s="7" t="s">
        <v>1177</v>
      </c>
      <c r="AQ1092" s="7" t="s">
        <v>1177</v>
      </c>
      <c r="AR1092" s="29">
        <v>0</v>
      </c>
      <c r="AS1092" s="7" t="s">
        <v>1177</v>
      </c>
      <c r="AT1092" s="7" t="s">
        <v>1363</v>
      </c>
      <c r="AU1092" s="38">
        <v>46275</v>
      </c>
      <c r="AV1092" s="39">
        <v>0.62649305555556001</v>
      </c>
    </row>
    <row r="1093" spans="1:48" x14ac:dyDescent="0.35">
      <c r="A1093" t="str">
        <f t="shared" si="17"/>
        <v>GP255390B865</v>
      </c>
      <c r="B1093" s="7" t="s">
        <v>460</v>
      </c>
      <c r="C1093" s="7" t="s">
        <v>1039</v>
      </c>
      <c r="D1093" s="7" t="s">
        <v>7</v>
      </c>
      <c r="E1093" s="7" t="s">
        <v>1177</v>
      </c>
      <c r="F1093" s="7" t="s">
        <v>128</v>
      </c>
      <c r="G1093" s="7" t="s">
        <v>130</v>
      </c>
      <c r="H1093" s="7" t="s">
        <v>129</v>
      </c>
      <c r="I1093" s="30">
        <v>1</v>
      </c>
      <c r="J1093" s="7" t="s">
        <v>1177</v>
      </c>
      <c r="K1093" s="7" t="s">
        <v>1178</v>
      </c>
      <c r="L1093" s="7" t="s">
        <v>132</v>
      </c>
      <c r="M1093" s="7" t="s">
        <v>133</v>
      </c>
      <c r="N1093" s="30">
        <v>0</v>
      </c>
      <c r="O1093" s="30">
        <v>0</v>
      </c>
      <c r="P1093" s="30">
        <v>0</v>
      </c>
      <c r="Q1093" s="30">
        <v>0</v>
      </c>
      <c r="R1093" s="29">
        <v>0</v>
      </c>
      <c r="S1093" s="36">
        <v>0</v>
      </c>
      <c r="T1093" s="7" t="s">
        <v>131</v>
      </c>
      <c r="U1093" s="7" t="s">
        <v>1040</v>
      </c>
      <c r="V1093" s="7" t="s">
        <v>1040</v>
      </c>
      <c r="W1093" s="7" t="s">
        <v>1177</v>
      </c>
      <c r="X1093" s="30">
        <v>1</v>
      </c>
      <c r="Y1093" s="7" t="s">
        <v>1177</v>
      </c>
      <c r="Z1093" s="7" t="s">
        <v>1178</v>
      </c>
      <c r="AA1093" s="30">
        <v>0</v>
      </c>
      <c r="AB1093" s="36">
        <v>0</v>
      </c>
      <c r="AC1093" s="7" t="s">
        <v>1177</v>
      </c>
      <c r="AD1093" s="37">
        <v>0</v>
      </c>
      <c r="AE1093" s="7" t="s">
        <v>1177</v>
      </c>
      <c r="AF1093" s="7" t="s">
        <v>1177</v>
      </c>
      <c r="AG1093" s="7" t="s">
        <v>1177</v>
      </c>
      <c r="AH1093" s="38"/>
      <c r="AI1093" s="36">
        <v>0</v>
      </c>
      <c r="AJ1093" s="7" t="s">
        <v>1193</v>
      </c>
      <c r="AK1093" s="7" t="s">
        <v>1177</v>
      </c>
      <c r="AL1093" s="7" t="s">
        <v>1177</v>
      </c>
      <c r="AM1093" s="7" t="s">
        <v>1177</v>
      </c>
      <c r="AN1093" s="7" t="s">
        <v>3212</v>
      </c>
      <c r="AO1093" s="7" t="s">
        <v>1177</v>
      </c>
      <c r="AP1093" s="7" t="s">
        <v>1177</v>
      </c>
      <c r="AQ1093" s="7" t="s">
        <v>1177</v>
      </c>
      <c r="AR1093" s="29">
        <v>0</v>
      </c>
      <c r="AS1093" s="7" t="s">
        <v>1177</v>
      </c>
      <c r="AT1093" s="7" t="s">
        <v>1363</v>
      </c>
      <c r="AU1093" s="38">
        <v>46275</v>
      </c>
      <c r="AV1093" s="39">
        <v>0.62666666666667004</v>
      </c>
    </row>
    <row r="1094" spans="1:48" x14ac:dyDescent="0.35">
      <c r="A1094" t="str">
        <f t="shared" si="17"/>
        <v>GP255390B867</v>
      </c>
      <c r="B1094" s="7" t="s">
        <v>460</v>
      </c>
      <c r="C1094" s="7" t="s">
        <v>1059</v>
      </c>
      <c r="D1094" s="7" t="s">
        <v>25</v>
      </c>
      <c r="E1094" s="7" t="s">
        <v>1177</v>
      </c>
      <c r="F1094" s="7" t="s">
        <v>128</v>
      </c>
      <c r="G1094" s="7" t="s">
        <v>130</v>
      </c>
      <c r="H1094" s="7" t="s">
        <v>129</v>
      </c>
      <c r="I1094" s="30">
        <v>2</v>
      </c>
      <c r="J1094" s="7" t="s">
        <v>1177</v>
      </c>
      <c r="K1094" s="7" t="s">
        <v>1178</v>
      </c>
      <c r="L1094" s="7" t="s">
        <v>132</v>
      </c>
      <c r="M1094" s="7" t="s">
        <v>133</v>
      </c>
      <c r="N1094" s="30">
        <v>0</v>
      </c>
      <c r="O1094" s="30">
        <v>0</v>
      </c>
      <c r="P1094" s="30">
        <v>0</v>
      </c>
      <c r="Q1094" s="30">
        <v>0</v>
      </c>
      <c r="R1094" s="29">
        <v>0</v>
      </c>
      <c r="S1094" s="36">
        <v>0</v>
      </c>
      <c r="T1094" s="7" t="s">
        <v>131</v>
      </c>
      <c r="U1094" s="7" t="s">
        <v>1060</v>
      </c>
      <c r="V1094" s="7" t="s">
        <v>1060</v>
      </c>
      <c r="W1094" s="7" t="s">
        <v>1177</v>
      </c>
      <c r="X1094" s="30">
        <v>1</v>
      </c>
      <c r="Y1094" s="7" t="s">
        <v>1177</v>
      </c>
      <c r="Z1094" s="7" t="s">
        <v>1178</v>
      </c>
      <c r="AA1094" s="30">
        <v>0</v>
      </c>
      <c r="AB1094" s="36">
        <v>0</v>
      </c>
      <c r="AC1094" s="7" t="s">
        <v>1177</v>
      </c>
      <c r="AD1094" s="37">
        <v>0</v>
      </c>
      <c r="AE1094" s="7" t="s">
        <v>1177</v>
      </c>
      <c r="AF1094" s="7" t="s">
        <v>1177</v>
      </c>
      <c r="AG1094" s="7" t="s">
        <v>1177</v>
      </c>
      <c r="AH1094" s="38"/>
      <c r="AI1094" s="36">
        <v>0</v>
      </c>
      <c r="AJ1094" s="7" t="s">
        <v>1193</v>
      </c>
      <c r="AK1094" s="7" t="s">
        <v>1177</v>
      </c>
      <c r="AL1094" s="7" t="s">
        <v>1177</v>
      </c>
      <c r="AM1094" s="7" t="s">
        <v>1177</v>
      </c>
      <c r="AN1094" s="7" t="s">
        <v>3212</v>
      </c>
      <c r="AO1094" s="7" t="s">
        <v>1177</v>
      </c>
      <c r="AP1094" s="7" t="s">
        <v>1177</v>
      </c>
      <c r="AQ1094" s="7" t="s">
        <v>1177</v>
      </c>
      <c r="AR1094" s="29">
        <v>0</v>
      </c>
      <c r="AS1094" s="7" t="s">
        <v>1177</v>
      </c>
      <c r="AT1094" s="7" t="s">
        <v>1363</v>
      </c>
      <c r="AU1094" s="38">
        <v>46275</v>
      </c>
      <c r="AV1094" s="39">
        <v>0.62736111111111004</v>
      </c>
    </row>
    <row r="1095" spans="1:48" x14ac:dyDescent="0.35">
      <c r="A1095" t="str">
        <f t="shared" si="17"/>
        <v>GP255506B832</v>
      </c>
      <c r="B1095" s="7" t="s">
        <v>479</v>
      </c>
      <c r="C1095" s="7" t="s">
        <v>653</v>
      </c>
      <c r="D1095" s="7" t="s">
        <v>19</v>
      </c>
      <c r="E1095" s="7" t="s">
        <v>1177</v>
      </c>
      <c r="F1095" s="7" t="s">
        <v>128</v>
      </c>
      <c r="G1095" s="7" t="s">
        <v>130</v>
      </c>
      <c r="H1095" s="7" t="s">
        <v>129</v>
      </c>
      <c r="I1095" s="30">
        <v>2</v>
      </c>
      <c r="J1095" s="7" t="s">
        <v>1177</v>
      </c>
      <c r="K1095" s="7" t="s">
        <v>1178</v>
      </c>
      <c r="L1095" s="7" t="s">
        <v>132</v>
      </c>
      <c r="M1095" s="7" t="s">
        <v>133</v>
      </c>
      <c r="N1095" s="30">
        <v>0</v>
      </c>
      <c r="O1095" s="30">
        <v>0</v>
      </c>
      <c r="P1095" s="30">
        <v>0</v>
      </c>
      <c r="Q1095" s="30">
        <v>0</v>
      </c>
      <c r="R1095" s="29">
        <v>0</v>
      </c>
      <c r="S1095" s="36">
        <v>0</v>
      </c>
      <c r="T1095" s="7" t="s">
        <v>131</v>
      </c>
      <c r="U1095" s="7" t="s">
        <v>654</v>
      </c>
      <c r="V1095" s="7" t="s">
        <v>654</v>
      </c>
      <c r="W1095" s="7" t="s">
        <v>1177</v>
      </c>
      <c r="X1095" s="30">
        <v>1</v>
      </c>
      <c r="Y1095" s="7" t="s">
        <v>1177</v>
      </c>
      <c r="Z1095" s="7" t="s">
        <v>1178</v>
      </c>
      <c r="AA1095" s="30">
        <v>0</v>
      </c>
      <c r="AB1095" s="36">
        <v>0</v>
      </c>
      <c r="AC1095" s="7" t="s">
        <v>1177</v>
      </c>
      <c r="AD1095" s="37">
        <v>0</v>
      </c>
      <c r="AE1095" s="7" t="s">
        <v>1177</v>
      </c>
      <c r="AF1095" s="7" t="s">
        <v>1177</v>
      </c>
      <c r="AG1095" s="7" t="s">
        <v>1177</v>
      </c>
      <c r="AH1095" s="38"/>
      <c r="AI1095" s="36">
        <v>0</v>
      </c>
      <c r="AJ1095" s="7" t="s">
        <v>1193</v>
      </c>
      <c r="AK1095" s="7" t="s">
        <v>1177</v>
      </c>
      <c r="AL1095" s="7" t="s">
        <v>1177</v>
      </c>
      <c r="AM1095" s="7" t="s">
        <v>1177</v>
      </c>
      <c r="AN1095" s="7" t="s">
        <v>3212</v>
      </c>
      <c r="AO1095" s="7" t="s">
        <v>1177</v>
      </c>
      <c r="AP1095" s="7" t="s">
        <v>1177</v>
      </c>
      <c r="AQ1095" s="7" t="s">
        <v>1177</v>
      </c>
      <c r="AR1095" s="29">
        <v>0</v>
      </c>
      <c r="AS1095" s="7" t="s">
        <v>1177</v>
      </c>
      <c r="AT1095" s="7" t="s">
        <v>1363</v>
      </c>
      <c r="AU1095" s="38">
        <v>46275</v>
      </c>
      <c r="AV1095" s="39">
        <v>0.62333333333332996</v>
      </c>
    </row>
    <row r="1096" spans="1:48" x14ac:dyDescent="0.35">
      <c r="A1096" t="str">
        <f t="shared" si="17"/>
        <v>GP255506B833</v>
      </c>
      <c r="B1096" s="7" t="s">
        <v>479</v>
      </c>
      <c r="C1096" s="7" t="s">
        <v>698</v>
      </c>
      <c r="D1096" s="7" t="s">
        <v>697</v>
      </c>
      <c r="E1096" s="7" t="s">
        <v>1177</v>
      </c>
      <c r="F1096" s="7" t="s">
        <v>128</v>
      </c>
      <c r="G1096" s="7" t="s">
        <v>130</v>
      </c>
      <c r="H1096" s="7" t="s">
        <v>129</v>
      </c>
      <c r="I1096" s="30">
        <v>2</v>
      </c>
      <c r="J1096" s="7" t="s">
        <v>1177</v>
      </c>
      <c r="K1096" s="7" t="s">
        <v>1178</v>
      </c>
      <c r="L1096" s="7" t="s">
        <v>132</v>
      </c>
      <c r="M1096" s="7" t="s">
        <v>133</v>
      </c>
      <c r="N1096" s="30">
        <v>0</v>
      </c>
      <c r="O1096" s="30">
        <v>0</v>
      </c>
      <c r="P1096" s="30">
        <v>0</v>
      </c>
      <c r="Q1096" s="30">
        <v>0</v>
      </c>
      <c r="R1096" s="29">
        <v>0</v>
      </c>
      <c r="S1096" s="36">
        <v>0</v>
      </c>
      <c r="T1096" s="7" t="s">
        <v>131</v>
      </c>
      <c r="U1096" s="7" t="s">
        <v>699</v>
      </c>
      <c r="V1096" s="7" t="s">
        <v>699</v>
      </c>
      <c r="W1096" s="7" t="s">
        <v>1177</v>
      </c>
      <c r="X1096" s="30">
        <v>1</v>
      </c>
      <c r="Y1096" s="7" t="s">
        <v>1177</v>
      </c>
      <c r="Z1096" s="7" t="s">
        <v>1178</v>
      </c>
      <c r="AA1096" s="30">
        <v>0</v>
      </c>
      <c r="AB1096" s="36">
        <v>0</v>
      </c>
      <c r="AC1096" s="7" t="s">
        <v>1177</v>
      </c>
      <c r="AD1096" s="37">
        <v>0</v>
      </c>
      <c r="AE1096" s="7" t="s">
        <v>1177</v>
      </c>
      <c r="AF1096" s="7" t="s">
        <v>1177</v>
      </c>
      <c r="AG1096" s="7" t="s">
        <v>1177</v>
      </c>
      <c r="AH1096" s="38"/>
      <c r="AI1096" s="36">
        <v>0</v>
      </c>
      <c r="AJ1096" s="7" t="s">
        <v>1193</v>
      </c>
      <c r="AK1096" s="7" t="s">
        <v>1177</v>
      </c>
      <c r="AL1096" s="7" t="s">
        <v>1177</v>
      </c>
      <c r="AM1096" s="7" t="s">
        <v>1177</v>
      </c>
      <c r="AN1096" s="7" t="s">
        <v>3212</v>
      </c>
      <c r="AO1096" s="7" t="s">
        <v>1177</v>
      </c>
      <c r="AP1096" s="7" t="s">
        <v>1177</v>
      </c>
      <c r="AQ1096" s="7" t="s">
        <v>1177</v>
      </c>
      <c r="AR1096" s="29">
        <v>0</v>
      </c>
      <c r="AS1096" s="7" t="s">
        <v>1177</v>
      </c>
      <c r="AT1096" s="7" t="s">
        <v>1363</v>
      </c>
      <c r="AU1096" s="38">
        <v>46275</v>
      </c>
      <c r="AV1096" s="39">
        <v>0.62350694444443999</v>
      </c>
    </row>
    <row r="1097" spans="1:48" x14ac:dyDescent="0.35">
      <c r="A1097" t="str">
        <f t="shared" si="17"/>
        <v>GP261693B825</v>
      </c>
      <c r="B1097" s="7" t="s">
        <v>283</v>
      </c>
      <c r="C1097" s="7" t="s">
        <v>511</v>
      </c>
      <c r="D1097" s="7" t="s">
        <v>16</v>
      </c>
      <c r="E1097" s="7" t="s">
        <v>1177</v>
      </c>
      <c r="F1097" s="7" t="s">
        <v>128</v>
      </c>
      <c r="G1097" s="7" t="s">
        <v>130</v>
      </c>
      <c r="H1097" s="7" t="s">
        <v>129</v>
      </c>
      <c r="I1097" s="30">
        <v>2</v>
      </c>
      <c r="J1097" s="7" t="s">
        <v>1177</v>
      </c>
      <c r="K1097" s="7" t="s">
        <v>1178</v>
      </c>
      <c r="L1097" s="7" t="s">
        <v>132</v>
      </c>
      <c r="M1097" s="7" t="s">
        <v>133</v>
      </c>
      <c r="N1097" s="30">
        <v>0</v>
      </c>
      <c r="O1097" s="30">
        <v>0</v>
      </c>
      <c r="P1097" s="30">
        <v>0</v>
      </c>
      <c r="Q1097" s="30">
        <v>0</v>
      </c>
      <c r="R1097" s="29">
        <v>0</v>
      </c>
      <c r="S1097" s="36">
        <v>0</v>
      </c>
      <c r="T1097" s="7" t="s">
        <v>131</v>
      </c>
      <c r="U1097" s="7" t="s">
        <v>512</v>
      </c>
      <c r="V1097" s="7" t="s">
        <v>512</v>
      </c>
      <c r="W1097" s="7" t="s">
        <v>1177</v>
      </c>
      <c r="X1097" s="30">
        <v>1</v>
      </c>
      <c r="Y1097" s="7" t="s">
        <v>1177</v>
      </c>
      <c r="Z1097" s="7" t="s">
        <v>1178</v>
      </c>
      <c r="AA1097" s="30">
        <v>0</v>
      </c>
      <c r="AB1097" s="36">
        <v>0</v>
      </c>
      <c r="AC1097" s="7" t="s">
        <v>1177</v>
      </c>
      <c r="AD1097" s="37">
        <v>0</v>
      </c>
      <c r="AE1097" s="7" t="s">
        <v>1177</v>
      </c>
      <c r="AF1097" s="7" t="s">
        <v>1177</v>
      </c>
      <c r="AG1097" s="7" t="s">
        <v>1177</v>
      </c>
      <c r="AH1097" s="38"/>
      <c r="AI1097" s="36">
        <v>0</v>
      </c>
      <c r="AJ1097" s="7" t="s">
        <v>1193</v>
      </c>
      <c r="AK1097" s="7" t="s">
        <v>1177</v>
      </c>
      <c r="AL1097" s="7" t="s">
        <v>1177</v>
      </c>
      <c r="AM1097" s="7" t="s">
        <v>1177</v>
      </c>
      <c r="AN1097" s="7" t="s">
        <v>3212</v>
      </c>
      <c r="AO1097" s="7" t="s">
        <v>1177</v>
      </c>
      <c r="AP1097" s="7" t="s">
        <v>1177</v>
      </c>
      <c r="AQ1097" s="7" t="s">
        <v>1177</v>
      </c>
      <c r="AR1097" s="29">
        <v>0</v>
      </c>
      <c r="AS1097" s="7" t="s">
        <v>1177</v>
      </c>
      <c r="AT1097" s="7" t="s">
        <v>1363</v>
      </c>
      <c r="AU1097" s="38">
        <v>46275</v>
      </c>
      <c r="AV1097" s="39">
        <v>0.60347222222221997</v>
      </c>
    </row>
    <row r="1098" spans="1:48" x14ac:dyDescent="0.35">
      <c r="A1098" t="str">
        <f t="shared" si="17"/>
        <v>GP261693B832</v>
      </c>
      <c r="B1098" s="7" t="s">
        <v>283</v>
      </c>
      <c r="C1098" s="7" t="s">
        <v>653</v>
      </c>
      <c r="D1098" s="7" t="s">
        <v>19</v>
      </c>
      <c r="E1098" s="7" t="s">
        <v>1177</v>
      </c>
      <c r="F1098" s="7" t="s">
        <v>128</v>
      </c>
      <c r="G1098" s="7" t="s">
        <v>130</v>
      </c>
      <c r="H1098" s="7" t="s">
        <v>129</v>
      </c>
      <c r="I1098" s="30">
        <v>2</v>
      </c>
      <c r="J1098" s="7" t="s">
        <v>1177</v>
      </c>
      <c r="K1098" s="7" t="s">
        <v>1178</v>
      </c>
      <c r="L1098" s="7" t="s">
        <v>132</v>
      </c>
      <c r="M1098" s="7" t="s">
        <v>133</v>
      </c>
      <c r="N1098" s="30">
        <v>0</v>
      </c>
      <c r="O1098" s="30">
        <v>0</v>
      </c>
      <c r="P1098" s="30">
        <v>0</v>
      </c>
      <c r="Q1098" s="30">
        <v>0</v>
      </c>
      <c r="R1098" s="29">
        <v>0</v>
      </c>
      <c r="S1098" s="36">
        <v>0</v>
      </c>
      <c r="T1098" s="7" t="s">
        <v>131</v>
      </c>
      <c r="U1098" s="7" t="s">
        <v>654</v>
      </c>
      <c r="V1098" s="7" t="s">
        <v>654</v>
      </c>
      <c r="W1098" s="7" t="s">
        <v>1177</v>
      </c>
      <c r="X1098" s="30">
        <v>1</v>
      </c>
      <c r="Y1098" s="7" t="s">
        <v>1177</v>
      </c>
      <c r="Z1098" s="7" t="s">
        <v>1178</v>
      </c>
      <c r="AA1098" s="30">
        <v>0</v>
      </c>
      <c r="AB1098" s="36">
        <v>0</v>
      </c>
      <c r="AC1098" s="7" t="s">
        <v>1177</v>
      </c>
      <c r="AD1098" s="37">
        <v>0</v>
      </c>
      <c r="AE1098" s="7" t="s">
        <v>1177</v>
      </c>
      <c r="AF1098" s="7" t="s">
        <v>1177</v>
      </c>
      <c r="AG1098" s="7" t="s">
        <v>1177</v>
      </c>
      <c r="AH1098" s="38"/>
      <c r="AI1098" s="36">
        <v>0</v>
      </c>
      <c r="AJ1098" s="7" t="s">
        <v>1193</v>
      </c>
      <c r="AK1098" s="7" t="s">
        <v>1177</v>
      </c>
      <c r="AL1098" s="7" t="s">
        <v>1177</v>
      </c>
      <c r="AM1098" s="7" t="s">
        <v>1177</v>
      </c>
      <c r="AN1098" s="7" t="s">
        <v>3212</v>
      </c>
      <c r="AO1098" s="7" t="s">
        <v>1177</v>
      </c>
      <c r="AP1098" s="7" t="s">
        <v>1177</v>
      </c>
      <c r="AQ1098" s="7" t="s">
        <v>1177</v>
      </c>
      <c r="AR1098" s="29">
        <v>0</v>
      </c>
      <c r="AS1098" s="7" t="s">
        <v>1177</v>
      </c>
      <c r="AT1098" s="7" t="s">
        <v>1363</v>
      </c>
      <c r="AU1098" s="38">
        <v>46275</v>
      </c>
      <c r="AV1098" s="39">
        <v>0.60384259259258999</v>
      </c>
    </row>
    <row r="1099" spans="1:48" x14ac:dyDescent="0.35">
      <c r="A1099" t="str">
        <f t="shared" si="17"/>
        <v>GP261693B833</v>
      </c>
      <c r="B1099" s="7" t="s">
        <v>283</v>
      </c>
      <c r="C1099" s="7" t="s">
        <v>698</v>
      </c>
      <c r="D1099" s="7" t="s">
        <v>697</v>
      </c>
      <c r="E1099" s="7" t="s">
        <v>1177</v>
      </c>
      <c r="F1099" s="7" t="s">
        <v>128</v>
      </c>
      <c r="G1099" s="7" t="s">
        <v>130</v>
      </c>
      <c r="H1099" s="7" t="s">
        <v>129</v>
      </c>
      <c r="I1099" s="30">
        <v>2</v>
      </c>
      <c r="J1099" s="7" t="s">
        <v>1177</v>
      </c>
      <c r="K1099" s="7" t="s">
        <v>1178</v>
      </c>
      <c r="L1099" s="7" t="s">
        <v>132</v>
      </c>
      <c r="M1099" s="7" t="s">
        <v>133</v>
      </c>
      <c r="N1099" s="30">
        <v>0</v>
      </c>
      <c r="O1099" s="30">
        <v>0</v>
      </c>
      <c r="P1099" s="30">
        <v>0</v>
      </c>
      <c r="Q1099" s="30">
        <v>0</v>
      </c>
      <c r="R1099" s="29">
        <v>0</v>
      </c>
      <c r="S1099" s="36">
        <v>0</v>
      </c>
      <c r="T1099" s="7" t="s">
        <v>131</v>
      </c>
      <c r="U1099" s="7" t="s">
        <v>699</v>
      </c>
      <c r="V1099" s="7" t="s">
        <v>699</v>
      </c>
      <c r="W1099" s="7" t="s">
        <v>1177</v>
      </c>
      <c r="X1099" s="30">
        <v>1</v>
      </c>
      <c r="Y1099" s="7" t="s">
        <v>1177</v>
      </c>
      <c r="Z1099" s="7" t="s">
        <v>1178</v>
      </c>
      <c r="AA1099" s="30">
        <v>0</v>
      </c>
      <c r="AB1099" s="36">
        <v>0</v>
      </c>
      <c r="AC1099" s="7" t="s">
        <v>1177</v>
      </c>
      <c r="AD1099" s="37">
        <v>0</v>
      </c>
      <c r="AE1099" s="7" t="s">
        <v>1177</v>
      </c>
      <c r="AF1099" s="7" t="s">
        <v>1177</v>
      </c>
      <c r="AG1099" s="7" t="s">
        <v>1177</v>
      </c>
      <c r="AH1099" s="38"/>
      <c r="AI1099" s="36">
        <v>0</v>
      </c>
      <c r="AJ1099" s="7" t="s">
        <v>1193</v>
      </c>
      <c r="AK1099" s="7" t="s">
        <v>1177</v>
      </c>
      <c r="AL1099" s="7" t="s">
        <v>1177</v>
      </c>
      <c r="AM1099" s="7" t="s">
        <v>1177</v>
      </c>
      <c r="AN1099" s="7" t="s">
        <v>3212</v>
      </c>
      <c r="AO1099" s="7" t="s">
        <v>1177</v>
      </c>
      <c r="AP1099" s="7" t="s">
        <v>1177</v>
      </c>
      <c r="AQ1099" s="7" t="s">
        <v>1177</v>
      </c>
      <c r="AR1099" s="29">
        <v>0</v>
      </c>
      <c r="AS1099" s="7" t="s">
        <v>1177</v>
      </c>
      <c r="AT1099" s="7" t="s">
        <v>1363</v>
      </c>
      <c r="AU1099" s="38">
        <v>46275</v>
      </c>
      <c r="AV1099" s="39">
        <v>0.60396990740740997</v>
      </c>
    </row>
    <row r="1100" spans="1:48" x14ac:dyDescent="0.35">
      <c r="A1100" t="str">
        <f t="shared" si="17"/>
        <v>GP262029B825</v>
      </c>
      <c r="B1100" s="7" t="s">
        <v>326</v>
      </c>
      <c r="C1100" s="7" t="s">
        <v>511</v>
      </c>
      <c r="D1100" s="7" t="s">
        <v>16</v>
      </c>
      <c r="E1100" s="7" t="s">
        <v>1177</v>
      </c>
      <c r="F1100" s="7" t="s">
        <v>128</v>
      </c>
      <c r="G1100" s="7" t="s">
        <v>130</v>
      </c>
      <c r="H1100" s="7" t="s">
        <v>129</v>
      </c>
      <c r="I1100" s="30">
        <v>2</v>
      </c>
      <c r="J1100" s="7" t="s">
        <v>1177</v>
      </c>
      <c r="K1100" s="7" t="s">
        <v>1178</v>
      </c>
      <c r="L1100" s="7" t="s">
        <v>132</v>
      </c>
      <c r="M1100" s="7" t="s">
        <v>133</v>
      </c>
      <c r="N1100" s="30">
        <v>0</v>
      </c>
      <c r="O1100" s="30">
        <v>0</v>
      </c>
      <c r="P1100" s="30">
        <v>0</v>
      </c>
      <c r="Q1100" s="30">
        <v>0</v>
      </c>
      <c r="R1100" s="29">
        <v>0</v>
      </c>
      <c r="S1100" s="36">
        <v>0</v>
      </c>
      <c r="T1100" s="7" t="s">
        <v>131</v>
      </c>
      <c r="U1100" s="7" t="s">
        <v>512</v>
      </c>
      <c r="V1100" s="7" t="s">
        <v>512</v>
      </c>
      <c r="W1100" s="7" t="s">
        <v>1177</v>
      </c>
      <c r="X1100" s="30">
        <v>1</v>
      </c>
      <c r="Y1100" s="7" t="s">
        <v>1177</v>
      </c>
      <c r="Z1100" s="7" t="s">
        <v>1178</v>
      </c>
      <c r="AA1100" s="30">
        <v>0</v>
      </c>
      <c r="AB1100" s="36">
        <v>0</v>
      </c>
      <c r="AC1100" s="7" t="s">
        <v>1177</v>
      </c>
      <c r="AD1100" s="37">
        <v>0</v>
      </c>
      <c r="AE1100" s="7" t="s">
        <v>1177</v>
      </c>
      <c r="AF1100" s="7" t="s">
        <v>1177</v>
      </c>
      <c r="AG1100" s="7" t="s">
        <v>1177</v>
      </c>
      <c r="AH1100" s="38"/>
      <c r="AI1100" s="36">
        <v>0</v>
      </c>
      <c r="AJ1100" s="7" t="s">
        <v>1193</v>
      </c>
      <c r="AK1100" s="7" t="s">
        <v>1177</v>
      </c>
      <c r="AL1100" s="7" t="s">
        <v>1177</v>
      </c>
      <c r="AM1100" s="7" t="s">
        <v>1177</v>
      </c>
      <c r="AN1100" s="7" t="s">
        <v>3212</v>
      </c>
      <c r="AO1100" s="7" t="s">
        <v>1177</v>
      </c>
      <c r="AP1100" s="7" t="s">
        <v>1177</v>
      </c>
      <c r="AQ1100" s="7" t="s">
        <v>1177</v>
      </c>
      <c r="AR1100" s="29">
        <v>0</v>
      </c>
      <c r="AS1100" s="7" t="s">
        <v>1177</v>
      </c>
      <c r="AT1100" s="7" t="s">
        <v>1363</v>
      </c>
      <c r="AU1100" s="38">
        <v>46275</v>
      </c>
      <c r="AV1100" s="39">
        <v>0.62304398148147999</v>
      </c>
    </row>
    <row r="1101" spans="1:48" x14ac:dyDescent="0.35">
      <c r="A1101" t="str">
        <f t="shared" si="17"/>
        <v>GP262131B838</v>
      </c>
      <c r="B1101" s="7" t="s">
        <v>757</v>
      </c>
      <c r="C1101" s="7" t="s">
        <v>744</v>
      </c>
      <c r="D1101" s="7" t="s">
        <v>48</v>
      </c>
      <c r="E1101" s="7" t="s">
        <v>1177</v>
      </c>
      <c r="F1101" s="7" t="s">
        <v>128</v>
      </c>
      <c r="G1101" s="7" t="s">
        <v>130</v>
      </c>
      <c r="H1101" s="7" t="s">
        <v>129</v>
      </c>
      <c r="I1101" s="30">
        <v>2</v>
      </c>
      <c r="J1101" s="7" t="s">
        <v>1177</v>
      </c>
      <c r="K1101" s="7" t="s">
        <v>1178</v>
      </c>
      <c r="L1101" s="7" t="s">
        <v>132</v>
      </c>
      <c r="M1101" s="7" t="s">
        <v>133</v>
      </c>
      <c r="N1101" s="30">
        <v>0</v>
      </c>
      <c r="O1101" s="30">
        <v>0</v>
      </c>
      <c r="P1101" s="30">
        <v>0</v>
      </c>
      <c r="Q1101" s="30">
        <v>0</v>
      </c>
      <c r="R1101" s="29">
        <v>0</v>
      </c>
      <c r="S1101" s="36">
        <v>0</v>
      </c>
      <c r="T1101" s="7" t="s">
        <v>131</v>
      </c>
      <c r="U1101" s="7" t="s">
        <v>745</v>
      </c>
      <c r="V1101" s="7" t="s">
        <v>745</v>
      </c>
      <c r="W1101" s="7" t="s">
        <v>1177</v>
      </c>
      <c r="X1101" s="30">
        <v>1</v>
      </c>
      <c r="Y1101" s="7" t="s">
        <v>1177</v>
      </c>
      <c r="Z1101" s="7" t="s">
        <v>1178</v>
      </c>
      <c r="AA1101" s="30">
        <v>0</v>
      </c>
      <c r="AB1101" s="36">
        <v>0</v>
      </c>
      <c r="AC1101" s="7" t="s">
        <v>1177</v>
      </c>
      <c r="AD1101" s="37">
        <v>0</v>
      </c>
      <c r="AE1101" s="7" t="s">
        <v>1177</v>
      </c>
      <c r="AF1101" s="7" t="s">
        <v>1177</v>
      </c>
      <c r="AG1101" s="7" t="s">
        <v>1177</v>
      </c>
      <c r="AH1101" s="38"/>
      <c r="AI1101" s="36">
        <v>0</v>
      </c>
      <c r="AJ1101" s="7" t="s">
        <v>1193</v>
      </c>
      <c r="AK1101" s="7" t="s">
        <v>1177</v>
      </c>
      <c r="AL1101" s="7" t="s">
        <v>1177</v>
      </c>
      <c r="AM1101" s="7" t="s">
        <v>1177</v>
      </c>
      <c r="AN1101" s="7" t="s">
        <v>3212</v>
      </c>
      <c r="AO1101" s="7" t="s">
        <v>1177</v>
      </c>
      <c r="AP1101" s="7" t="s">
        <v>1177</v>
      </c>
      <c r="AQ1101" s="7" t="s">
        <v>1177</v>
      </c>
      <c r="AR1101" s="29">
        <v>0</v>
      </c>
      <c r="AS1101" s="7" t="s">
        <v>1177</v>
      </c>
      <c r="AT1101" s="7" t="s">
        <v>1363</v>
      </c>
      <c r="AU1101" s="38">
        <v>46275</v>
      </c>
      <c r="AV1101" s="39">
        <v>0.62400462962962999</v>
      </c>
    </row>
    <row r="1102" spans="1:48" x14ac:dyDescent="0.35">
      <c r="A1102" t="str">
        <f t="shared" si="17"/>
        <v>GP262132B864</v>
      </c>
      <c r="B1102" s="7" t="s">
        <v>1020</v>
      </c>
      <c r="C1102" s="7" t="s">
        <v>1010</v>
      </c>
      <c r="D1102" s="7" t="s">
        <v>10</v>
      </c>
      <c r="E1102" s="7" t="s">
        <v>1177</v>
      </c>
      <c r="F1102" s="7" t="s">
        <v>128</v>
      </c>
      <c r="G1102" s="7" t="s">
        <v>130</v>
      </c>
      <c r="H1102" s="7" t="s">
        <v>129</v>
      </c>
      <c r="I1102" s="30">
        <v>1</v>
      </c>
      <c r="J1102" s="7" t="s">
        <v>1177</v>
      </c>
      <c r="K1102" s="7" t="s">
        <v>1178</v>
      </c>
      <c r="L1102" s="7" t="s">
        <v>132</v>
      </c>
      <c r="M1102" s="7" t="s">
        <v>133</v>
      </c>
      <c r="N1102" s="30">
        <v>0</v>
      </c>
      <c r="O1102" s="30">
        <v>0</v>
      </c>
      <c r="P1102" s="30">
        <v>0</v>
      </c>
      <c r="Q1102" s="30">
        <v>0</v>
      </c>
      <c r="R1102" s="29">
        <v>0</v>
      </c>
      <c r="S1102" s="36">
        <v>0</v>
      </c>
      <c r="T1102" s="7" t="s">
        <v>131</v>
      </c>
      <c r="U1102" s="7" t="s">
        <v>1011</v>
      </c>
      <c r="V1102" s="7" t="s">
        <v>1011</v>
      </c>
      <c r="W1102" s="7" t="s">
        <v>1177</v>
      </c>
      <c r="X1102" s="30">
        <v>1</v>
      </c>
      <c r="Y1102" s="7" t="s">
        <v>1177</v>
      </c>
      <c r="Z1102" s="7" t="s">
        <v>1178</v>
      </c>
      <c r="AA1102" s="30">
        <v>0</v>
      </c>
      <c r="AB1102" s="36">
        <v>0</v>
      </c>
      <c r="AC1102" s="7" t="s">
        <v>1177</v>
      </c>
      <c r="AD1102" s="37">
        <v>0</v>
      </c>
      <c r="AE1102" s="7" t="s">
        <v>1177</v>
      </c>
      <c r="AF1102" s="7" t="s">
        <v>1177</v>
      </c>
      <c r="AG1102" s="7" t="s">
        <v>1177</v>
      </c>
      <c r="AH1102" s="38"/>
      <c r="AI1102" s="36">
        <v>0</v>
      </c>
      <c r="AJ1102" s="7" t="s">
        <v>1193</v>
      </c>
      <c r="AK1102" s="7" t="s">
        <v>1177</v>
      </c>
      <c r="AL1102" s="7" t="s">
        <v>1177</v>
      </c>
      <c r="AM1102" s="7" t="s">
        <v>1177</v>
      </c>
      <c r="AN1102" s="7" t="s">
        <v>3212</v>
      </c>
      <c r="AO1102" s="7" t="s">
        <v>1177</v>
      </c>
      <c r="AP1102" s="7" t="s">
        <v>1177</v>
      </c>
      <c r="AQ1102" s="7" t="s">
        <v>1177</v>
      </c>
      <c r="AR1102" s="29">
        <v>0</v>
      </c>
      <c r="AS1102" s="7" t="s">
        <v>1177</v>
      </c>
      <c r="AT1102" s="7" t="s">
        <v>1363</v>
      </c>
      <c r="AU1102" s="38">
        <v>46275</v>
      </c>
      <c r="AV1102" s="39">
        <v>0.62649305555556001</v>
      </c>
    </row>
    <row r="1103" spans="1:48" x14ac:dyDescent="0.35">
      <c r="A1103" t="str">
        <f t="shared" si="17"/>
        <v>GP262132B865</v>
      </c>
      <c r="B1103" s="7" t="s">
        <v>1020</v>
      </c>
      <c r="C1103" s="7" t="s">
        <v>1039</v>
      </c>
      <c r="D1103" s="7" t="s">
        <v>7</v>
      </c>
      <c r="E1103" s="7" t="s">
        <v>1177</v>
      </c>
      <c r="F1103" s="7" t="s">
        <v>128</v>
      </c>
      <c r="G1103" s="7" t="s">
        <v>130</v>
      </c>
      <c r="H1103" s="7" t="s">
        <v>129</v>
      </c>
      <c r="I1103" s="30">
        <v>1</v>
      </c>
      <c r="J1103" s="7" t="s">
        <v>1177</v>
      </c>
      <c r="K1103" s="7" t="s">
        <v>1178</v>
      </c>
      <c r="L1103" s="7" t="s">
        <v>132</v>
      </c>
      <c r="M1103" s="7" t="s">
        <v>133</v>
      </c>
      <c r="N1103" s="30">
        <v>0</v>
      </c>
      <c r="O1103" s="30">
        <v>0</v>
      </c>
      <c r="P1103" s="30">
        <v>0</v>
      </c>
      <c r="Q1103" s="30">
        <v>0</v>
      </c>
      <c r="R1103" s="29">
        <v>0</v>
      </c>
      <c r="S1103" s="36">
        <v>0</v>
      </c>
      <c r="T1103" s="7" t="s">
        <v>131</v>
      </c>
      <c r="U1103" s="7" t="s">
        <v>1040</v>
      </c>
      <c r="V1103" s="7" t="s">
        <v>1040</v>
      </c>
      <c r="W1103" s="7" t="s">
        <v>1177</v>
      </c>
      <c r="X1103" s="30">
        <v>1</v>
      </c>
      <c r="Y1103" s="7" t="s">
        <v>1177</v>
      </c>
      <c r="Z1103" s="7" t="s">
        <v>1178</v>
      </c>
      <c r="AA1103" s="30">
        <v>0</v>
      </c>
      <c r="AB1103" s="36">
        <v>0</v>
      </c>
      <c r="AC1103" s="7" t="s">
        <v>1177</v>
      </c>
      <c r="AD1103" s="37">
        <v>0</v>
      </c>
      <c r="AE1103" s="7" t="s">
        <v>1177</v>
      </c>
      <c r="AF1103" s="7" t="s">
        <v>1177</v>
      </c>
      <c r="AG1103" s="7" t="s">
        <v>1177</v>
      </c>
      <c r="AH1103" s="38"/>
      <c r="AI1103" s="36">
        <v>0</v>
      </c>
      <c r="AJ1103" s="7" t="s">
        <v>1193</v>
      </c>
      <c r="AK1103" s="7" t="s">
        <v>1177</v>
      </c>
      <c r="AL1103" s="7" t="s">
        <v>1177</v>
      </c>
      <c r="AM1103" s="7" t="s">
        <v>1177</v>
      </c>
      <c r="AN1103" s="7" t="s">
        <v>3212</v>
      </c>
      <c r="AO1103" s="7" t="s">
        <v>1177</v>
      </c>
      <c r="AP1103" s="7" t="s">
        <v>1177</v>
      </c>
      <c r="AQ1103" s="7" t="s">
        <v>1177</v>
      </c>
      <c r="AR1103" s="29">
        <v>0</v>
      </c>
      <c r="AS1103" s="7" t="s">
        <v>1177</v>
      </c>
      <c r="AT1103" s="7" t="s">
        <v>1363</v>
      </c>
      <c r="AU1103" s="38">
        <v>46275</v>
      </c>
      <c r="AV1103" s="39">
        <v>0.62666666666667004</v>
      </c>
    </row>
    <row r="1104" spans="1:48" x14ac:dyDescent="0.35">
      <c r="A1104" t="str">
        <f t="shared" si="17"/>
        <v>GP262631B832</v>
      </c>
      <c r="B1104" s="7" t="s">
        <v>676</v>
      </c>
      <c r="C1104" s="7" t="s">
        <v>653</v>
      </c>
      <c r="D1104" s="7" t="s">
        <v>19</v>
      </c>
      <c r="E1104" s="7" t="s">
        <v>1177</v>
      </c>
      <c r="F1104" s="7" t="s">
        <v>128</v>
      </c>
      <c r="G1104" s="7" t="s">
        <v>130</v>
      </c>
      <c r="H1104" s="7" t="s">
        <v>129</v>
      </c>
      <c r="I1104" s="30">
        <v>2</v>
      </c>
      <c r="J1104" s="7" t="s">
        <v>1177</v>
      </c>
      <c r="K1104" s="7" t="s">
        <v>1178</v>
      </c>
      <c r="L1104" s="7" t="s">
        <v>132</v>
      </c>
      <c r="M1104" s="7" t="s">
        <v>133</v>
      </c>
      <c r="N1104" s="30">
        <v>0</v>
      </c>
      <c r="O1104" s="30">
        <v>0</v>
      </c>
      <c r="P1104" s="30">
        <v>0</v>
      </c>
      <c r="Q1104" s="30">
        <v>0</v>
      </c>
      <c r="R1104" s="29">
        <v>0</v>
      </c>
      <c r="S1104" s="36">
        <v>0</v>
      </c>
      <c r="T1104" s="7" t="s">
        <v>131</v>
      </c>
      <c r="U1104" s="7" t="s">
        <v>654</v>
      </c>
      <c r="V1104" s="7" t="s">
        <v>654</v>
      </c>
      <c r="W1104" s="7" t="s">
        <v>1177</v>
      </c>
      <c r="X1104" s="30">
        <v>1</v>
      </c>
      <c r="Y1104" s="7" t="s">
        <v>1177</v>
      </c>
      <c r="Z1104" s="7" t="s">
        <v>1178</v>
      </c>
      <c r="AA1104" s="30">
        <v>0</v>
      </c>
      <c r="AB1104" s="36">
        <v>0</v>
      </c>
      <c r="AC1104" s="7" t="s">
        <v>1177</v>
      </c>
      <c r="AD1104" s="37">
        <v>0</v>
      </c>
      <c r="AE1104" s="7" t="s">
        <v>1177</v>
      </c>
      <c r="AF1104" s="7" t="s">
        <v>1177</v>
      </c>
      <c r="AG1104" s="7" t="s">
        <v>1177</v>
      </c>
      <c r="AH1104" s="38"/>
      <c r="AI1104" s="36">
        <v>0</v>
      </c>
      <c r="AJ1104" s="7" t="s">
        <v>1193</v>
      </c>
      <c r="AK1104" s="7" t="s">
        <v>1177</v>
      </c>
      <c r="AL1104" s="7" t="s">
        <v>1177</v>
      </c>
      <c r="AM1104" s="7" t="s">
        <v>1177</v>
      </c>
      <c r="AN1104" s="7" t="s">
        <v>3212</v>
      </c>
      <c r="AO1104" s="7" t="s">
        <v>1177</v>
      </c>
      <c r="AP1104" s="7" t="s">
        <v>1177</v>
      </c>
      <c r="AQ1104" s="7" t="s">
        <v>1177</v>
      </c>
      <c r="AR1104" s="29">
        <v>0</v>
      </c>
      <c r="AS1104" s="7" t="s">
        <v>1177</v>
      </c>
      <c r="AT1104" s="7" t="s">
        <v>1363</v>
      </c>
      <c r="AU1104" s="38">
        <v>46275</v>
      </c>
      <c r="AV1104" s="39">
        <v>0.62333333333332996</v>
      </c>
    </row>
    <row r="1105" spans="1:48" x14ac:dyDescent="0.35">
      <c r="A1105" t="str">
        <f t="shared" si="17"/>
        <v>GP262631B833</v>
      </c>
      <c r="B1105" s="7" t="s">
        <v>676</v>
      </c>
      <c r="C1105" s="7" t="s">
        <v>698</v>
      </c>
      <c r="D1105" s="7" t="s">
        <v>697</v>
      </c>
      <c r="E1105" s="7" t="s">
        <v>1177</v>
      </c>
      <c r="F1105" s="7" t="s">
        <v>128</v>
      </c>
      <c r="G1105" s="7" t="s">
        <v>130</v>
      </c>
      <c r="H1105" s="7" t="s">
        <v>129</v>
      </c>
      <c r="I1105" s="30">
        <v>4</v>
      </c>
      <c r="J1105" s="7" t="s">
        <v>1177</v>
      </c>
      <c r="K1105" s="7" t="s">
        <v>1178</v>
      </c>
      <c r="L1105" s="7" t="s">
        <v>132</v>
      </c>
      <c r="M1105" s="7" t="s">
        <v>133</v>
      </c>
      <c r="N1105" s="30">
        <v>0</v>
      </c>
      <c r="O1105" s="30">
        <v>0</v>
      </c>
      <c r="P1105" s="30">
        <v>0</v>
      </c>
      <c r="Q1105" s="30">
        <v>0</v>
      </c>
      <c r="R1105" s="29">
        <v>0</v>
      </c>
      <c r="S1105" s="36">
        <v>0</v>
      </c>
      <c r="T1105" s="7" t="s">
        <v>131</v>
      </c>
      <c r="U1105" s="7" t="s">
        <v>699</v>
      </c>
      <c r="V1105" s="7" t="s">
        <v>699</v>
      </c>
      <c r="W1105" s="7" t="s">
        <v>1177</v>
      </c>
      <c r="X1105" s="30">
        <v>1</v>
      </c>
      <c r="Y1105" s="7" t="s">
        <v>1177</v>
      </c>
      <c r="Z1105" s="7" t="s">
        <v>1178</v>
      </c>
      <c r="AA1105" s="30">
        <v>0</v>
      </c>
      <c r="AB1105" s="36">
        <v>0</v>
      </c>
      <c r="AC1105" s="7" t="s">
        <v>1177</v>
      </c>
      <c r="AD1105" s="37">
        <v>0</v>
      </c>
      <c r="AE1105" s="7" t="s">
        <v>1177</v>
      </c>
      <c r="AF1105" s="7" t="s">
        <v>1177</v>
      </c>
      <c r="AG1105" s="7" t="s">
        <v>1177</v>
      </c>
      <c r="AH1105" s="38"/>
      <c r="AI1105" s="36">
        <v>0</v>
      </c>
      <c r="AJ1105" s="7" t="s">
        <v>1193</v>
      </c>
      <c r="AK1105" s="7" t="s">
        <v>1177</v>
      </c>
      <c r="AL1105" s="7" t="s">
        <v>1177</v>
      </c>
      <c r="AM1105" s="7" t="s">
        <v>1177</v>
      </c>
      <c r="AN1105" s="7" t="s">
        <v>3212</v>
      </c>
      <c r="AO1105" s="7" t="s">
        <v>1177</v>
      </c>
      <c r="AP1105" s="7" t="s">
        <v>1177</v>
      </c>
      <c r="AQ1105" s="7" t="s">
        <v>1177</v>
      </c>
      <c r="AR1105" s="29">
        <v>0</v>
      </c>
      <c r="AS1105" s="7" t="s">
        <v>1177</v>
      </c>
      <c r="AT1105" s="7" t="s">
        <v>1363</v>
      </c>
      <c r="AU1105" s="38">
        <v>46275</v>
      </c>
      <c r="AV1105" s="39">
        <v>0.62350694444443999</v>
      </c>
    </row>
    <row r="1106" spans="1:48" x14ac:dyDescent="0.35">
      <c r="A1106" t="str">
        <f t="shared" si="17"/>
        <v>GP262708B832</v>
      </c>
      <c r="B1106" s="7" t="s">
        <v>284</v>
      </c>
      <c r="C1106" s="7" t="s">
        <v>653</v>
      </c>
      <c r="D1106" s="7" t="s">
        <v>19</v>
      </c>
      <c r="E1106" s="7" t="s">
        <v>1177</v>
      </c>
      <c r="F1106" s="7" t="s">
        <v>128</v>
      </c>
      <c r="G1106" s="7" t="s">
        <v>130</v>
      </c>
      <c r="H1106" s="7" t="s">
        <v>129</v>
      </c>
      <c r="I1106" s="30">
        <v>2</v>
      </c>
      <c r="J1106" s="7" t="s">
        <v>1177</v>
      </c>
      <c r="K1106" s="7" t="s">
        <v>1178</v>
      </c>
      <c r="L1106" s="7" t="s">
        <v>132</v>
      </c>
      <c r="M1106" s="7" t="s">
        <v>133</v>
      </c>
      <c r="N1106" s="30">
        <v>0</v>
      </c>
      <c r="O1106" s="30">
        <v>0</v>
      </c>
      <c r="P1106" s="30">
        <v>0</v>
      </c>
      <c r="Q1106" s="30">
        <v>0</v>
      </c>
      <c r="R1106" s="29">
        <v>0</v>
      </c>
      <c r="S1106" s="36">
        <v>0</v>
      </c>
      <c r="T1106" s="7" t="s">
        <v>131</v>
      </c>
      <c r="U1106" s="7" t="s">
        <v>654</v>
      </c>
      <c r="V1106" s="7" t="s">
        <v>654</v>
      </c>
      <c r="W1106" s="7" t="s">
        <v>1177</v>
      </c>
      <c r="X1106" s="30">
        <v>1</v>
      </c>
      <c r="Y1106" s="7" t="s">
        <v>1177</v>
      </c>
      <c r="Z1106" s="7" t="s">
        <v>1178</v>
      </c>
      <c r="AA1106" s="30">
        <v>0</v>
      </c>
      <c r="AB1106" s="36">
        <v>0</v>
      </c>
      <c r="AC1106" s="7" t="s">
        <v>1177</v>
      </c>
      <c r="AD1106" s="37">
        <v>0</v>
      </c>
      <c r="AE1106" s="7" t="s">
        <v>1177</v>
      </c>
      <c r="AF1106" s="7" t="s">
        <v>1177</v>
      </c>
      <c r="AG1106" s="7" t="s">
        <v>1177</v>
      </c>
      <c r="AH1106" s="38"/>
      <c r="AI1106" s="36">
        <v>0</v>
      </c>
      <c r="AJ1106" s="7" t="s">
        <v>1193</v>
      </c>
      <c r="AK1106" s="7" t="s">
        <v>1177</v>
      </c>
      <c r="AL1106" s="7" t="s">
        <v>1177</v>
      </c>
      <c r="AM1106" s="7" t="s">
        <v>1177</v>
      </c>
      <c r="AN1106" s="7" t="s">
        <v>3212</v>
      </c>
      <c r="AO1106" s="7" t="s">
        <v>1177</v>
      </c>
      <c r="AP1106" s="7" t="s">
        <v>1177</v>
      </c>
      <c r="AQ1106" s="7" t="s">
        <v>1177</v>
      </c>
      <c r="AR1106" s="29">
        <v>0</v>
      </c>
      <c r="AS1106" s="7" t="s">
        <v>1177</v>
      </c>
      <c r="AT1106" s="7" t="s">
        <v>1363</v>
      </c>
      <c r="AU1106" s="38">
        <v>46275</v>
      </c>
      <c r="AV1106" s="39">
        <v>0.62333333333332996</v>
      </c>
    </row>
    <row r="1107" spans="1:48" x14ac:dyDescent="0.35">
      <c r="A1107" t="str">
        <f t="shared" si="17"/>
        <v>GP262709B825</v>
      </c>
      <c r="B1107" s="7" t="s">
        <v>582</v>
      </c>
      <c r="C1107" s="7" t="s">
        <v>511</v>
      </c>
      <c r="D1107" s="7" t="s">
        <v>16</v>
      </c>
      <c r="E1107" s="7" t="s">
        <v>1177</v>
      </c>
      <c r="F1107" s="7" t="s">
        <v>128</v>
      </c>
      <c r="G1107" s="7" t="s">
        <v>130</v>
      </c>
      <c r="H1107" s="7" t="s">
        <v>129</v>
      </c>
      <c r="I1107" s="30">
        <v>2</v>
      </c>
      <c r="J1107" s="7" t="s">
        <v>1177</v>
      </c>
      <c r="K1107" s="7" t="s">
        <v>1178</v>
      </c>
      <c r="L1107" s="7" t="s">
        <v>132</v>
      </c>
      <c r="M1107" s="7" t="s">
        <v>133</v>
      </c>
      <c r="N1107" s="30">
        <v>0</v>
      </c>
      <c r="O1107" s="30">
        <v>0</v>
      </c>
      <c r="P1107" s="30">
        <v>0</v>
      </c>
      <c r="Q1107" s="30">
        <v>0</v>
      </c>
      <c r="R1107" s="29">
        <v>0</v>
      </c>
      <c r="S1107" s="36">
        <v>0</v>
      </c>
      <c r="T1107" s="7" t="s">
        <v>131</v>
      </c>
      <c r="U1107" s="7" t="s">
        <v>512</v>
      </c>
      <c r="V1107" s="7" t="s">
        <v>512</v>
      </c>
      <c r="W1107" s="7" t="s">
        <v>1177</v>
      </c>
      <c r="X1107" s="30">
        <v>1</v>
      </c>
      <c r="Y1107" s="7" t="s">
        <v>1177</v>
      </c>
      <c r="Z1107" s="7" t="s">
        <v>1178</v>
      </c>
      <c r="AA1107" s="30">
        <v>0</v>
      </c>
      <c r="AB1107" s="36">
        <v>0</v>
      </c>
      <c r="AC1107" s="7" t="s">
        <v>1177</v>
      </c>
      <c r="AD1107" s="37">
        <v>0</v>
      </c>
      <c r="AE1107" s="7" t="s">
        <v>1177</v>
      </c>
      <c r="AF1107" s="7" t="s">
        <v>1177</v>
      </c>
      <c r="AG1107" s="7" t="s">
        <v>1177</v>
      </c>
      <c r="AH1107" s="38"/>
      <c r="AI1107" s="36">
        <v>0</v>
      </c>
      <c r="AJ1107" s="7" t="s">
        <v>1193</v>
      </c>
      <c r="AK1107" s="7" t="s">
        <v>1177</v>
      </c>
      <c r="AL1107" s="7" t="s">
        <v>1177</v>
      </c>
      <c r="AM1107" s="7" t="s">
        <v>1177</v>
      </c>
      <c r="AN1107" s="7" t="s">
        <v>3212</v>
      </c>
      <c r="AO1107" s="7" t="s">
        <v>1177</v>
      </c>
      <c r="AP1107" s="7" t="s">
        <v>1177</v>
      </c>
      <c r="AQ1107" s="7" t="s">
        <v>1177</v>
      </c>
      <c r="AR1107" s="29">
        <v>0</v>
      </c>
      <c r="AS1107" s="7" t="s">
        <v>1177</v>
      </c>
      <c r="AT1107" s="7" t="s">
        <v>1363</v>
      </c>
      <c r="AU1107" s="38">
        <v>46275</v>
      </c>
      <c r="AV1107" s="39">
        <v>0.6034837962963</v>
      </c>
    </row>
    <row r="1108" spans="1:48" x14ac:dyDescent="0.35">
      <c r="A1108" t="str">
        <f t="shared" si="17"/>
        <v>GP262709B838</v>
      </c>
      <c r="B1108" s="7" t="s">
        <v>582</v>
      </c>
      <c r="C1108" s="7" t="s">
        <v>744</v>
      </c>
      <c r="D1108" s="7" t="s">
        <v>48</v>
      </c>
      <c r="E1108" s="7" t="s">
        <v>1177</v>
      </c>
      <c r="F1108" s="7" t="s">
        <v>128</v>
      </c>
      <c r="G1108" s="7" t="s">
        <v>130</v>
      </c>
      <c r="H1108" s="7" t="s">
        <v>129</v>
      </c>
      <c r="I1108" s="30">
        <v>1</v>
      </c>
      <c r="J1108" s="7" t="s">
        <v>1177</v>
      </c>
      <c r="K1108" s="7" t="s">
        <v>1178</v>
      </c>
      <c r="L1108" s="7" t="s">
        <v>132</v>
      </c>
      <c r="M1108" s="7" t="s">
        <v>133</v>
      </c>
      <c r="N1108" s="30">
        <v>0</v>
      </c>
      <c r="O1108" s="30">
        <v>0</v>
      </c>
      <c r="P1108" s="30">
        <v>0</v>
      </c>
      <c r="Q1108" s="30">
        <v>0</v>
      </c>
      <c r="R1108" s="29">
        <v>0</v>
      </c>
      <c r="S1108" s="36">
        <v>0</v>
      </c>
      <c r="T1108" s="7" t="s">
        <v>131</v>
      </c>
      <c r="U1108" s="7" t="s">
        <v>745</v>
      </c>
      <c r="V1108" s="7" t="s">
        <v>745</v>
      </c>
      <c r="W1108" s="7" t="s">
        <v>1177</v>
      </c>
      <c r="X1108" s="30">
        <v>1</v>
      </c>
      <c r="Y1108" s="7" t="s">
        <v>1177</v>
      </c>
      <c r="Z1108" s="7" t="s">
        <v>1178</v>
      </c>
      <c r="AA1108" s="30">
        <v>0</v>
      </c>
      <c r="AB1108" s="36">
        <v>0</v>
      </c>
      <c r="AC1108" s="7" t="s">
        <v>1177</v>
      </c>
      <c r="AD1108" s="37">
        <v>0</v>
      </c>
      <c r="AE1108" s="7" t="s">
        <v>1177</v>
      </c>
      <c r="AF1108" s="7" t="s">
        <v>1177</v>
      </c>
      <c r="AG1108" s="7" t="s">
        <v>1177</v>
      </c>
      <c r="AH1108" s="38"/>
      <c r="AI1108" s="36">
        <v>0</v>
      </c>
      <c r="AJ1108" s="7" t="s">
        <v>1193</v>
      </c>
      <c r="AK1108" s="7" t="s">
        <v>1177</v>
      </c>
      <c r="AL1108" s="7" t="s">
        <v>1177</v>
      </c>
      <c r="AM1108" s="7" t="s">
        <v>1177</v>
      </c>
      <c r="AN1108" s="7" t="s">
        <v>3212</v>
      </c>
      <c r="AO1108" s="7" t="s">
        <v>1177</v>
      </c>
      <c r="AP1108" s="7" t="s">
        <v>1177</v>
      </c>
      <c r="AQ1108" s="7" t="s">
        <v>1177</v>
      </c>
      <c r="AR1108" s="29">
        <v>0</v>
      </c>
      <c r="AS1108" s="7" t="s">
        <v>1177</v>
      </c>
      <c r="AT1108" s="7" t="s">
        <v>1363</v>
      </c>
      <c r="AU1108" s="38">
        <v>46275</v>
      </c>
      <c r="AV1108" s="39">
        <v>0.60438657407407004</v>
      </c>
    </row>
    <row r="1109" spans="1:48" x14ac:dyDescent="0.35">
      <c r="A1109" t="str">
        <f t="shared" si="17"/>
        <v>GP263048B838</v>
      </c>
      <c r="B1109" s="7" t="s">
        <v>327</v>
      </c>
      <c r="C1109" s="7" t="s">
        <v>744</v>
      </c>
      <c r="D1109" s="7" t="s">
        <v>48</v>
      </c>
      <c r="E1109" s="7" t="s">
        <v>1177</v>
      </c>
      <c r="F1109" s="7" t="s">
        <v>128</v>
      </c>
      <c r="G1109" s="7" t="s">
        <v>130</v>
      </c>
      <c r="H1109" s="7" t="s">
        <v>129</v>
      </c>
      <c r="I1109" s="30">
        <v>2</v>
      </c>
      <c r="J1109" s="7" t="s">
        <v>1177</v>
      </c>
      <c r="K1109" s="7" t="s">
        <v>1178</v>
      </c>
      <c r="L1109" s="7" t="s">
        <v>132</v>
      </c>
      <c r="M1109" s="7" t="s">
        <v>133</v>
      </c>
      <c r="N1109" s="30">
        <v>0</v>
      </c>
      <c r="O1109" s="30">
        <v>0</v>
      </c>
      <c r="P1109" s="30">
        <v>0</v>
      </c>
      <c r="Q1109" s="30">
        <v>0</v>
      </c>
      <c r="R1109" s="29">
        <v>0</v>
      </c>
      <c r="S1109" s="36">
        <v>0</v>
      </c>
      <c r="T1109" s="7" t="s">
        <v>131</v>
      </c>
      <c r="U1109" s="7" t="s">
        <v>745</v>
      </c>
      <c r="V1109" s="7" t="s">
        <v>745</v>
      </c>
      <c r="W1109" s="7" t="s">
        <v>1177</v>
      </c>
      <c r="X1109" s="30">
        <v>1</v>
      </c>
      <c r="Y1109" s="7" t="s">
        <v>1177</v>
      </c>
      <c r="Z1109" s="7" t="s">
        <v>1178</v>
      </c>
      <c r="AA1109" s="30">
        <v>0</v>
      </c>
      <c r="AB1109" s="36">
        <v>0</v>
      </c>
      <c r="AC1109" s="7" t="s">
        <v>1177</v>
      </c>
      <c r="AD1109" s="37">
        <v>0</v>
      </c>
      <c r="AE1109" s="7" t="s">
        <v>1177</v>
      </c>
      <c r="AF1109" s="7" t="s">
        <v>1177</v>
      </c>
      <c r="AG1109" s="7" t="s">
        <v>1177</v>
      </c>
      <c r="AH1109" s="38"/>
      <c r="AI1109" s="36">
        <v>0</v>
      </c>
      <c r="AJ1109" s="7" t="s">
        <v>1193</v>
      </c>
      <c r="AK1109" s="7" t="s">
        <v>1177</v>
      </c>
      <c r="AL1109" s="7" t="s">
        <v>1177</v>
      </c>
      <c r="AM1109" s="7" t="s">
        <v>1177</v>
      </c>
      <c r="AN1109" s="7" t="s">
        <v>3212</v>
      </c>
      <c r="AO1109" s="7" t="s">
        <v>1177</v>
      </c>
      <c r="AP1109" s="7" t="s">
        <v>1177</v>
      </c>
      <c r="AQ1109" s="7" t="s">
        <v>1177</v>
      </c>
      <c r="AR1109" s="29">
        <v>0</v>
      </c>
      <c r="AS1109" s="7" t="s">
        <v>1177</v>
      </c>
      <c r="AT1109" s="7" t="s">
        <v>1363</v>
      </c>
      <c r="AU1109" s="38">
        <v>46275</v>
      </c>
      <c r="AV1109" s="39">
        <v>0.62400462962962999</v>
      </c>
    </row>
    <row r="1110" spans="1:48" x14ac:dyDescent="0.35">
      <c r="A1110" t="str">
        <f t="shared" si="17"/>
        <v>GP263480B865</v>
      </c>
      <c r="B1110" s="7" t="s">
        <v>1046</v>
      </c>
      <c r="C1110" s="7" t="s">
        <v>1039</v>
      </c>
      <c r="D1110" s="7" t="s">
        <v>7</v>
      </c>
      <c r="E1110" s="7" t="s">
        <v>1177</v>
      </c>
      <c r="F1110" s="7" t="s">
        <v>128</v>
      </c>
      <c r="G1110" s="7" t="s">
        <v>130</v>
      </c>
      <c r="H1110" s="7" t="s">
        <v>129</v>
      </c>
      <c r="I1110" s="30">
        <v>2</v>
      </c>
      <c r="J1110" s="7" t="s">
        <v>1177</v>
      </c>
      <c r="K1110" s="7" t="s">
        <v>1178</v>
      </c>
      <c r="L1110" s="7" t="s">
        <v>132</v>
      </c>
      <c r="M1110" s="7" t="s">
        <v>133</v>
      </c>
      <c r="N1110" s="30">
        <v>0</v>
      </c>
      <c r="O1110" s="30">
        <v>0</v>
      </c>
      <c r="P1110" s="30">
        <v>0</v>
      </c>
      <c r="Q1110" s="30">
        <v>0</v>
      </c>
      <c r="R1110" s="29">
        <v>0</v>
      </c>
      <c r="S1110" s="36">
        <v>0</v>
      </c>
      <c r="T1110" s="7" t="s">
        <v>131</v>
      </c>
      <c r="U1110" s="7" t="s">
        <v>1040</v>
      </c>
      <c r="V1110" s="7" t="s">
        <v>1040</v>
      </c>
      <c r="W1110" s="7" t="s">
        <v>1177</v>
      </c>
      <c r="X1110" s="30">
        <v>1</v>
      </c>
      <c r="Y1110" s="7" t="s">
        <v>1177</v>
      </c>
      <c r="Z1110" s="7" t="s">
        <v>1178</v>
      </c>
      <c r="AA1110" s="30">
        <v>0</v>
      </c>
      <c r="AB1110" s="36">
        <v>0</v>
      </c>
      <c r="AC1110" s="7" t="s">
        <v>1177</v>
      </c>
      <c r="AD1110" s="37">
        <v>0</v>
      </c>
      <c r="AE1110" s="7" t="s">
        <v>1177</v>
      </c>
      <c r="AF1110" s="7" t="s">
        <v>1177</v>
      </c>
      <c r="AG1110" s="7" t="s">
        <v>1177</v>
      </c>
      <c r="AH1110" s="38"/>
      <c r="AI1110" s="36">
        <v>0</v>
      </c>
      <c r="AJ1110" s="7" t="s">
        <v>1193</v>
      </c>
      <c r="AK1110" s="7" t="s">
        <v>1177</v>
      </c>
      <c r="AL1110" s="7" t="s">
        <v>1177</v>
      </c>
      <c r="AM1110" s="7" t="s">
        <v>1177</v>
      </c>
      <c r="AN1110" s="7" t="s">
        <v>3212</v>
      </c>
      <c r="AO1110" s="7" t="s">
        <v>1177</v>
      </c>
      <c r="AP1110" s="7" t="s">
        <v>1177</v>
      </c>
      <c r="AQ1110" s="7" t="s">
        <v>1177</v>
      </c>
      <c r="AR1110" s="29">
        <v>0</v>
      </c>
      <c r="AS1110" s="7" t="s">
        <v>1177</v>
      </c>
      <c r="AT1110" s="7" t="s">
        <v>1363</v>
      </c>
      <c r="AU1110" s="38">
        <v>46275</v>
      </c>
      <c r="AV1110" s="39">
        <v>0.62666666666667004</v>
      </c>
    </row>
    <row r="1111" spans="1:48" x14ac:dyDescent="0.35">
      <c r="A1111" t="str">
        <f t="shared" si="17"/>
        <v>GP263929B825</v>
      </c>
      <c r="B1111" s="7" t="s">
        <v>583</v>
      </c>
      <c r="C1111" s="7" t="s">
        <v>511</v>
      </c>
      <c r="D1111" s="7" t="s">
        <v>16</v>
      </c>
      <c r="E1111" s="7" t="s">
        <v>1177</v>
      </c>
      <c r="F1111" s="7" t="s">
        <v>128</v>
      </c>
      <c r="G1111" s="7" t="s">
        <v>130</v>
      </c>
      <c r="H1111" s="7" t="s">
        <v>129</v>
      </c>
      <c r="I1111" s="30">
        <v>2</v>
      </c>
      <c r="J1111" s="7" t="s">
        <v>1177</v>
      </c>
      <c r="K1111" s="7" t="s">
        <v>1178</v>
      </c>
      <c r="L1111" s="7" t="s">
        <v>132</v>
      </c>
      <c r="M1111" s="7" t="s">
        <v>133</v>
      </c>
      <c r="N1111" s="30">
        <v>0</v>
      </c>
      <c r="O1111" s="30">
        <v>0</v>
      </c>
      <c r="P1111" s="30">
        <v>0</v>
      </c>
      <c r="Q1111" s="30">
        <v>0</v>
      </c>
      <c r="R1111" s="29">
        <v>0</v>
      </c>
      <c r="S1111" s="36">
        <v>0</v>
      </c>
      <c r="T1111" s="7" t="s">
        <v>131</v>
      </c>
      <c r="U1111" s="7" t="s">
        <v>512</v>
      </c>
      <c r="V1111" s="7" t="s">
        <v>512</v>
      </c>
      <c r="W1111" s="7" t="s">
        <v>1177</v>
      </c>
      <c r="X1111" s="30">
        <v>1</v>
      </c>
      <c r="Y1111" s="7" t="s">
        <v>1177</v>
      </c>
      <c r="Z1111" s="7" t="s">
        <v>1178</v>
      </c>
      <c r="AA1111" s="30">
        <v>0</v>
      </c>
      <c r="AB1111" s="36">
        <v>0</v>
      </c>
      <c r="AC1111" s="7" t="s">
        <v>1177</v>
      </c>
      <c r="AD1111" s="37">
        <v>0</v>
      </c>
      <c r="AE1111" s="7" t="s">
        <v>1177</v>
      </c>
      <c r="AF1111" s="7" t="s">
        <v>1177</v>
      </c>
      <c r="AG1111" s="7" t="s">
        <v>1177</v>
      </c>
      <c r="AH1111" s="38"/>
      <c r="AI1111" s="36">
        <v>0</v>
      </c>
      <c r="AJ1111" s="7" t="s">
        <v>1193</v>
      </c>
      <c r="AK1111" s="7" t="s">
        <v>1177</v>
      </c>
      <c r="AL1111" s="7" t="s">
        <v>1177</v>
      </c>
      <c r="AM1111" s="7" t="s">
        <v>1177</v>
      </c>
      <c r="AN1111" s="7" t="s">
        <v>3212</v>
      </c>
      <c r="AO1111" s="7" t="s">
        <v>1177</v>
      </c>
      <c r="AP1111" s="7" t="s">
        <v>1177</v>
      </c>
      <c r="AQ1111" s="7" t="s">
        <v>1177</v>
      </c>
      <c r="AR1111" s="29">
        <v>0</v>
      </c>
      <c r="AS1111" s="7" t="s">
        <v>1177</v>
      </c>
      <c r="AT1111" s="7" t="s">
        <v>1363</v>
      </c>
      <c r="AU1111" s="38">
        <v>46275</v>
      </c>
      <c r="AV1111" s="39">
        <v>0.62304398148147999</v>
      </c>
    </row>
    <row r="1112" spans="1:48" x14ac:dyDescent="0.35">
      <c r="A1112" t="str">
        <f t="shared" si="17"/>
        <v>GP263929B832</v>
      </c>
      <c r="B1112" s="7" t="s">
        <v>583</v>
      </c>
      <c r="C1112" s="7" t="s">
        <v>653</v>
      </c>
      <c r="D1112" s="7" t="s">
        <v>19</v>
      </c>
      <c r="E1112" s="7" t="s">
        <v>1177</v>
      </c>
      <c r="F1112" s="7" t="s">
        <v>128</v>
      </c>
      <c r="G1112" s="7" t="s">
        <v>130</v>
      </c>
      <c r="H1112" s="7" t="s">
        <v>129</v>
      </c>
      <c r="I1112" s="30">
        <v>2</v>
      </c>
      <c r="J1112" s="7" t="s">
        <v>1177</v>
      </c>
      <c r="K1112" s="7" t="s">
        <v>1178</v>
      </c>
      <c r="L1112" s="7" t="s">
        <v>132</v>
      </c>
      <c r="M1112" s="7" t="s">
        <v>133</v>
      </c>
      <c r="N1112" s="30">
        <v>0</v>
      </c>
      <c r="O1112" s="30">
        <v>0</v>
      </c>
      <c r="P1112" s="30">
        <v>0</v>
      </c>
      <c r="Q1112" s="30">
        <v>0</v>
      </c>
      <c r="R1112" s="29">
        <v>0</v>
      </c>
      <c r="S1112" s="36">
        <v>0</v>
      </c>
      <c r="T1112" s="7" t="s">
        <v>131</v>
      </c>
      <c r="U1112" s="7" t="s">
        <v>654</v>
      </c>
      <c r="V1112" s="7" t="s">
        <v>654</v>
      </c>
      <c r="W1112" s="7" t="s">
        <v>1177</v>
      </c>
      <c r="X1112" s="30">
        <v>1</v>
      </c>
      <c r="Y1112" s="7" t="s">
        <v>1177</v>
      </c>
      <c r="Z1112" s="7" t="s">
        <v>1178</v>
      </c>
      <c r="AA1112" s="30">
        <v>0</v>
      </c>
      <c r="AB1112" s="36">
        <v>0</v>
      </c>
      <c r="AC1112" s="7" t="s">
        <v>1177</v>
      </c>
      <c r="AD1112" s="37">
        <v>0</v>
      </c>
      <c r="AE1112" s="7" t="s">
        <v>1177</v>
      </c>
      <c r="AF1112" s="7" t="s">
        <v>1177</v>
      </c>
      <c r="AG1112" s="7" t="s">
        <v>1177</v>
      </c>
      <c r="AH1112" s="38"/>
      <c r="AI1112" s="36">
        <v>0</v>
      </c>
      <c r="AJ1112" s="7" t="s">
        <v>1193</v>
      </c>
      <c r="AK1112" s="7" t="s">
        <v>1177</v>
      </c>
      <c r="AL1112" s="7" t="s">
        <v>1177</v>
      </c>
      <c r="AM1112" s="7" t="s">
        <v>1177</v>
      </c>
      <c r="AN1112" s="7" t="s">
        <v>3212</v>
      </c>
      <c r="AO1112" s="7" t="s">
        <v>1177</v>
      </c>
      <c r="AP1112" s="7" t="s">
        <v>1177</v>
      </c>
      <c r="AQ1112" s="7" t="s">
        <v>1177</v>
      </c>
      <c r="AR1112" s="29">
        <v>0</v>
      </c>
      <c r="AS1112" s="7" t="s">
        <v>1177</v>
      </c>
      <c r="AT1112" s="7" t="s">
        <v>1363</v>
      </c>
      <c r="AU1112" s="38">
        <v>46275</v>
      </c>
      <c r="AV1112" s="39">
        <v>0.62333333333332996</v>
      </c>
    </row>
    <row r="1113" spans="1:48" x14ac:dyDescent="0.35">
      <c r="A1113" t="str">
        <f t="shared" si="17"/>
        <v>GP265201B856</v>
      </c>
      <c r="B1113" s="7" t="s">
        <v>873</v>
      </c>
      <c r="C1113" s="7" t="s">
        <v>852</v>
      </c>
      <c r="D1113" s="7" t="s">
        <v>21</v>
      </c>
      <c r="E1113" s="7" t="s">
        <v>1177</v>
      </c>
      <c r="F1113" s="7" t="s">
        <v>128</v>
      </c>
      <c r="G1113" s="7" t="s">
        <v>130</v>
      </c>
      <c r="H1113" s="7" t="s">
        <v>129</v>
      </c>
      <c r="I1113" s="30">
        <v>2</v>
      </c>
      <c r="J1113" s="7" t="s">
        <v>1177</v>
      </c>
      <c r="K1113" s="7" t="s">
        <v>1178</v>
      </c>
      <c r="L1113" s="7" t="s">
        <v>132</v>
      </c>
      <c r="M1113" s="7" t="s">
        <v>133</v>
      </c>
      <c r="N1113" s="30">
        <v>0</v>
      </c>
      <c r="O1113" s="30">
        <v>0</v>
      </c>
      <c r="P1113" s="30">
        <v>0</v>
      </c>
      <c r="Q1113" s="30">
        <v>0</v>
      </c>
      <c r="R1113" s="29">
        <v>0</v>
      </c>
      <c r="S1113" s="36">
        <v>0</v>
      </c>
      <c r="T1113" s="7" t="s">
        <v>131</v>
      </c>
      <c r="U1113" s="7" t="s">
        <v>853</v>
      </c>
      <c r="V1113" s="7" t="s">
        <v>853</v>
      </c>
      <c r="W1113" s="7" t="s">
        <v>1177</v>
      </c>
      <c r="X1113" s="30">
        <v>1</v>
      </c>
      <c r="Y1113" s="7" t="s">
        <v>1177</v>
      </c>
      <c r="Z1113" s="7" t="s">
        <v>1178</v>
      </c>
      <c r="AA1113" s="30">
        <v>0</v>
      </c>
      <c r="AB1113" s="36">
        <v>0</v>
      </c>
      <c r="AC1113" s="7" t="s">
        <v>1177</v>
      </c>
      <c r="AD1113" s="37">
        <v>0</v>
      </c>
      <c r="AE1113" s="7" t="s">
        <v>1177</v>
      </c>
      <c r="AF1113" s="7" t="s">
        <v>1177</v>
      </c>
      <c r="AG1113" s="7" t="s">
        <v>1177</v>
      </c>
      <c r="AH1113" s="38"/>
      <c r="AI1113" s="36">
        <v>0</v>
      </c>
      <c r="AJ1113" s="7" t="s">
        <v>1193</v>
      </c>
      <c r="AK1113" s="7" t="s">
        <v>1177</v>
      </c>
      <c r="AL1113" s="7" t="s">
        <v>1177</v>
      </c>
      <c r="AM1113" s="7" t="s">
        <v>1177</v>
      </c>
      <c r="AN1113" s="7" t="s">
        <v>3212</v>
      </c>
      <c r="AO1113" s="7" t="s">
        <v>1177</v>
      </c>
      <c r="AP1113" s="7" t="s">
        <v>1177</v>
      </c>
      <c r="AQ1113" s="7" t="s">
        <v>1177</v>
      </c>
      <c r="AR1113" s="29">
        <v>0</v>
      </c>
      <c r="AS1113" s="7" t="s">
        <v>1177</v>
      </c>
      <c r="AT1113" s="7" t="s">
        <v>1363</v>
      </c>
      <c r="AU1113" s="38">
        <v>46275</v>
      </c>
      <c r="AV1113" s="39">
        <v>0.62487268518519001</v>
      </c>
    </row>
    <row r="1114" spans="1:48" x14ac:dyDescent="0.35">
      <c r="A1114" t="str">
        <f t="shared" si="17"/>
        <v>GP265201B867</v>
      </c>
      <c r="B1114" s="7" t="s">
        <v>873</v>
      </c>
      <c r="C1114" s="7" t="s">
        <v>1059</v>
      </c>
      <c r="D1114" s="7" t="s">
        <v>25</v>
      </c>
      <c r="E1114" s="7" t="s">
        <v>1177</v>
      </c>
      <c r="F1114" s="7" t="s">
        <v>128</v>
      </c>
      <c r="G1114" s="7" t="s">
        <v>130</v>
      </c>
      <c r="H1114" s="7" t="s">
        <v>129</v>
      </c>
      <c r="I1114" s="30">
        <v>4</v>
      </c>
      <c r="J1114" s="7" t="s">
        <v>1177</v>
      </c>
      <c r="K1114" s="7" t="s">
        <v>1178</v>
      </c>
      <c r="L1114" s="7" t="s">
        <v>132</v>
      </c>
      <c r="M1114" s="7" t="s">
        <v>133</v>
      </c>
      <c r="N1114" s="30">
        <v>0</v>
      </c>
      <c r="O1114" s="30">
        <v>0</v>
      </c>
      <c r="P1114" s="30">
        <v>0</v>
      </c>
      <c r="Q1114" s="30">
        <v>0</v>
      </c>
      <c r="R1114" s="29">
        <v>0</v>
      </c>
      <c r="S1114" s="36">
        <v>0</v>
      </c>
      <c r="T1114" s="7" t="s">
        <v>131</v>
      </c>
      <c r="U1114" s="7" t="s">
        <v>1060</v>
      </c>
      <c r="V1114" s="7" t="s">
        <v>1060</v>
      </c>
      <c r="W1114" s="7" t="s">
        <v>1177</v>
      </c>
      <c r="X1114" s="30">
        <v>1</v>
      </c>
      <c r="Y1114" s="7" t="s">
        <v>1177</v>
      </c>
      <c r="Z1114" s="7" t="s">
        <v>1178</v>
      </c>
      <c r="AA1114" s="30">
        <v>0</v>
      </c>
      <c r="AB1114" s="36">
        <v>0</v>
      </c>
      <c r="AC1114" s="7" t="s">
        <v>1177</v>
      </c>
      <c r="AD1114" s="37">
        <v>0</v>
      </c>
      <c r="AE1114" s="7" t="s">
        <v>1177</v>
      </c>
      <c r="AF1114" s="7" t="s">
        <v>1177</v>
      </c>
      <c r="AG1114" s="7" t="s">
        <v>1177</v>
      </c>
      <c r="AH1114" s="38"/>
      <c r="AI1114" s="36">
        <v>0</v>
      </c>
      <c r="AJ1114" s="7" t="s">
        <v>1193</v>
      </c>
      <c r="AK1114" s="7" t="s">
        <v>1177</v>
      </c>
      <c r="AL1114" s="7" t="s">
        <v>1177</v>
      </c>
      <c r="AM1114" s="7" t="s">
        <v>1177</v>
      </c>
      <c r="AN1114" s="7" t="s">
        <v>3212</v>
      </c>
      <c r="AO1114" s="7" t="s">
        <v>1177</v>
      </c>
      <c r="AP1114" s="7" t="s">
        <v>1177</v>
      </c>
      <c r="AQ1114" s="7" t="s">
        <v>1177</v>
      </c>
      <c r="AR1114" s="29">
        <v>0</v>
      </c>
      <c r="AS1114" s="7" t="s">
        <v>1177</v>
      </c>
      <c r="AT1114" s="7" t="s">
        <v>1363</v>
      </c>
      <c r="AU1114" s="38">
        <v>46275</v>
      </c>
      <c r="AV1114" s="39">
        <v>0.62736111111111004</v>
      </c>
    </row>
    <row r="1115" spans="1:48" x14ac:dyDescent="0.35">
      <c r="A1115" t="str">
        <f t="shared" si="17"/>
        <v>GP265262B867</v>
      </c>
      <c r="B1115" s="7" t="s">
        <v>800</v>
      </c>
      <c r="C1115" s="7" t="s">
        <v>1059</v>
      </c>
      <c r="D1115" s="7" t="s">
        <v>25</v>
      </c>
      <c r="E1115" s="7" t="s">
        <v>1177</v>
      </c>
      <c r="F1115" s="7" t="s">
        <v>128</v>
      </c>
      <c r="G1115" s="7" t="s">
        <v>130</v>
      </c>
      <c r="H1115" s="7" t="s">
        <v>129</v>
      </c>
      <c r="I1115" s="30">
        <v>2</v>
      </c>
      <c r="J1115" s="7" t="s">
        <v>1177</v>
      </c>
      <c r="K1115" s="7" t="s">
        <v>1178</v>
      </c>
      <c r="L1115" s="7" t="s">
        <v>132</v>
      </c>
      <c r="M1115" s="7" t="s">
        <v>133</v>
      </c>
      <c r="N1115" s="30">
        <v>0</v>
      </c>
      <c r="O1115" s="30">
        <v>0</v>
      </c>
      <c r="P1115" s="30">
        <v>0</v>
      </c>
      <c r="Q1115" s="30">
        <v>0</v>
      </c>
      <c r="R1115" s="29">
        <v>0</v>
      </c>
      <c r="S1115" s="36">
        <v>0</v>
      </c>
      <c r="T1115" s="7" t="s">
        <v>131</v>
      </c>
      <c r="U1115" s="7" t="s">
        <v>1060</v>
      </c>
      <c r="V1115" s="7" t="s">
        <v>1060</v>
      </c>
      <c r="W1115" s="7" t="s">
        <v>1177</v>
      </c>
      <c r="X1115" s="30">
        <v>1</v>
      </c>
      <c r="Y1115" s="7" t="s">
        <v>1177</v>
      </c>
      <c r="Z1115" s="7" t="s">
        <v>1178</v>
      </c>
      <c r="AA1115" s="30">
        <v>0</v>
      </c>
      <c r="AB1115" s="36">
        <v>0</v>
      </c>
      <c r="AC1115" s="7" t="s">
        <v>1177</v>
      </c>
      <c r="AD1115" s="37">
        <v>0</v>
      </c>
      <c r="AE1115" s="7" t="s">
        <v>1177</v>
      </c>
      <c r="AF1115" s="7" t="s">
        <v>1177</v>
      </c>
      <c r="AG1115" s="7" t="s">
        <v>1177</v>
      </c>
      <c r="AH1115" s="38"/>
      <c r="AI1115" s="36">
        <v>0</v>
      </c>
      <c r="AJ1115" s="7" t="s">
        <v>1193</v>
      </c>
      <c r="AK1115" s="7" t="s">
        <v>1177</v>
      </c>
      <c r="AL1115" s="7" t="s">
        <v>1177</v>
      </c>
      <c r="AM1115" s="7" t="s">
        <v>1177</v>
      </c>
      <c r="AN1115" s="7" t="s">
        <v>3212</v>
      </c>
      <c r="AO1115" s="7" t="s">
        <v>1177</v>
      </c>
      <c r="AP1115" s="7" t="s">
        <v>1177</v>
      </c>
      <c r="AQ1115" s="7" t="s">
        <v>1177</v>
      </c>
      <c r="AR1115" s="29">
        <v>0</v>
      </c>
      <c r="AS1115" s="7" t="s">
        <v>1177</v>
      </c>
      <c r="AT1115" s="7" t="s">
        <v>1363</v>
      </c>
      <c r="AU1115" s="38">
        <v>46275</v>
      </c>
      <c r="AV1115" s="39">
        <v>0.62736111111111004</v>
      </c>
    </row>
    <row r="1116" spans="1:48" x14ac:dyDescent="0.35">
      <c r="A1116" t="str">
        <f t="shared" si="17"/>
        <v>GP265383B838</v>
      </c>
      <c r="B1116" s="7" t="s">
        <v>736</v>
      </c>
      <c r="C1116" s="7" t="s">
        <v>744</v>
      </c>
      <c r="D1116" s="7" t="s">
        <v>48</v>
      </c>
      <c r="E1116" s="7" t="s">
        <v>1177</v>
      </c>
      <c r="F1116" s="7" t="s">
        <v>128</v>
      </c>
      <c r="G1116" s="7" t="s">
        <v>130</v>
      </c>
      <c r="H1116" s="7" t="s">
        <v>129</v>
      </c>
      <c r="I1116" s="30">
        <v>1</v>
      </c>
      <c r="J1116" s="7" t="s">
        <v>1177</v>
      </c>
      <c r="K1116" s="7" t="s">
        <v>1178</v>
      </c>
      <c r="L1116" s="7" t="s">
        <v>132</v>
      </c>
      <c r="M1116" s="7" t="s">
        <v>133</v>
      </c>
      <c r="N1116" s="30">
        <v>0</v>
      </c>
      <c r="O1116" s="30">
        <v>0</v>
      </c>
      <c r="P1116" s="30">
        <v>0</v>
      </c>
      <c r="Q1116" s="30">
        <v>0</v>
      </c>
      <c r="R1116" s="29">
        <v>0</v>
      </c>
      <c r="S1116" s="36">
        <v>0</v>
      </c>
      <c r="T1116" s="7" t="s">
        <v>131</v>
      </c>
      <c r="U1116" s="7" t="s">
        <v>745</v>
      </c>
      <c r="V1116" s="7" t="s">
        <v>745</v>
      </c>
      <c r="W1116" s="7" t="s">
        <v>1177</v>
      </c>
      <c r="X1116" s="30">
        <v>1</v>
      </c>
      <c r="Y1116" s="7" t="s">
        <v>1177</v>
      </c>
      <c r="Z1116" s="7" t="s">
        <v>1178</v>
      </c>
      <c r="AA1116" s="30">
        <v>0</v>
      </c>
      <c r="AB1116" s="36">
        <v>0</v>
      </c>
      <c r="AC1116" s="7" t="s">
        <v>1177</v>
      </c>
      <c r="AD1116" s="37">
        <v>0</v>
      </c>
      <c r="AE1116" s="7" t="s">
        <v>1177</v>
      </c>
      <c r="AF1116" s="7" t="s">
        <v>1177</v>
      </c>
      <c r="AG1116" s="7" t="s">
        <v>1177</v>
      </c>
      <c r="AH1116" s="38"/>
      <c r="AI1116" s="36">
        <v>0</v>
      </c>
      <c r="AJ1116" s="7" t="s">
        <v>1193</v>
      </c>
      <c r="AK1116" s="7" t="s">
        <v>1177</v>
      </c>
      <c r="AL1116" s="7" t="s">
        <v>1177</v>
      </c>
      <c r="AM1116" s="7" t="s">
        <v>1177</v>
      </c>
      <c r="AN1116" s="7" t="s">
        <v>3212</v>
      </c>
      <c r="AO1116" s="7" t="s">
        <v>1177</v>
      </c>
      <c r="AP1116" s="7" t="s">
        <v>1177</v>
      </c>
      <c r="AQ1116" s="7" t="s">
        <v>1177</v>
      </c>
      <c r="AR1116" s="29">
        <v>0</v>
      </c>
      <c r="AS1116" s="7" t="s">
        <v>1177</v>
      </c>
      <c r="AT1116" s="7" t="s">
        <v>1363</v>
      </c>
      <c r="AU1116" s="38">
        <v>46275</v>
      </c>
      <c r="AV1116" s="39">
        <v>0.60438657407407004</v>
      </c>
    </row>
    <row r="1117" spans="1:48" x14ac:dyDescent="0.35">
      <c r="A1117" t="str">
        <f t="shared" si="17"/>
        <v>GP266089B857</v>
      </c>
      <c r="B1117" s="7" t="s">
        <v>646</v>
      </c>
      <c r="C1117" s="7" t="s">
        <v>958</v>
      </c>
      <c r="D1117" s="7" t="s">
        <v>23</v>
      </c>
      <c r="E1117" s="7" t="s">
        <v>1177</v>
      </c>
      <c r="F1117" s="7" t="s">
        <v>128</v>
      </c>
      <c r="G1117" s="7" t="s">
        <v>130</v>
      </c>
      <c r="H1117" s="7" t="s">
        <v>129</v>
      </c>
      <c r="I1117" s="30">
        <v>2</v>
      </c>
      <c r="J1117" s="7" t="s">
        <v>1177</v>
      </c>
      <c r="K1117" s="7" t="s">
        <v>1178</v>
      </c>
      <c r="L1117" s="7" t="s">
        <v>132</v>
      </c>
      <c r="M1117" s="7" t="s">
        <v>133</v>
      </c>
      <c r="N1117" s="30">
        <v>0</v>
      </c>
      <c r="O1117" s="30">
        <v>0</v>
      </c>
      <c r="P1117" s="30">
        <v>0</v>
      </c>
      <c r="Q1117" s="30">
        <v>0</v>
      </c>
      <c r="R1117" s="29">
        <v>0</v>
      </c>
      <c r="S1117" s="36">
        <v>0</v>
      </c>
      <c r="T1117" s="7" t="s">
        <v>131</v>
      </c>
      <c r="U1117" s="7" t="s">
        <v>959</v>
      </c>
      <c r="V1117" s="7" t="s">
        <v>959</v>
      </c>
      <c r="W1117" s="7" t="s">
        <v>1177</v>
      </c>
      <c r="X1117" s="30">
        <v>1</v>
      </c>
      <c r="Y1117" s="7" t="s">
        <v>1177</v>
      </c>
      <c r="Z1117" s="7" t="s">
        <v>1178</v>
      </c>
      <c r="AA1117" s="30">
        <v>0</v>
      </c>
      <c r="AB1117" s="36">
        <v>0</v>
      </c>
      <c r="AC1117" s="7" t="s">
        <v>1177</v>
      </c>
      <c r="AD1117" s="37">
        <v>0</v>
      </c>
      <c r="AE1117" s="7" t="s">
        <v>1177</v>
      </c>
      <c r="AF1117" s="7" t="s">
        <v>1177</v>
      </c>
      <c r="AG1117" s="7" t="s">
        <v>1177</v>
      </c>
      <c r="AH1117" s="38"/>
      <c r="AI1117" s="36">
        <v>0</v>
      </c>
      <c r="AJ1117" s="7" t="s">
        <v>1193</v>
      </c>
      <c r="AK1117" s="7" t="s">
        <v>1177</v>
      </c>
      <c r="AL1117" s="7" t="s">
        <v>1177</v>
      </c>
      <c r="AM1117" s="7" t="s">
        <v>1177</v>
      </c>
      <c r="AN1117" s="7" t="s">
        <v>3212</v>
      </c>
      <c r="AO1117" s="7" t="s">
        <v>1177</v>
      </c>
      <c r="AP1117" s="7" t="s">
        <v>1177</v>
      </c>
      <c r="AQ1117" s="7" t="s">
        <v>1177</v>
      </c>
      <c r="AR1117" s="29">
        <v>0</v>
      </c>
      <c r="AS1117" s="7" t="s">
        <v>1177</v>
      </c>
      <c r="AT1117" s="7" t="s">
        <v>1363</v>
      </c>
      <c r="AU1117" s="38">
        <v>46275</v>
      </c>
      <c r="AV1117" s="39">
        <v>0.62491898148147995</v>
      </c>
    </row>
    <row r="1118" spans="1:48" x14ac:dyDescent="0.35">
      <c r="A1118" t="str">
        <f t="shared" si="17"/>
        <v>GP266089B865</v>
      </c>
      <c r="B1118" s="7" t="s">
        <v>646</v>
      </c>
      <c r="C1118" s="7" t="s">
        <v>1039</v>
      </c>
      <c r="D1118" s="7" t="s">
        <v>7</v>
      </c>
      <c r="E1118" s="7" t="s">
        <v>1177</v>
      </c>
      <c r="F1118" s="7" t="s">
        <v>128</v>
      </c>
      <c r="G1118" s="7" t="s">
        <v>130</v>
      </c>
      <c r="H1118" s="7" t="s">
        <v>129</v>
      </c>
      <c r="I1118" s="30">
        <v>1</v>
      </c>
      <c r="J1118" s="7" t="s">
        <v>1177</v>
      </c>
      <c r="K1118" s="7" t="s">
        <v>1178</v>
      </c>
      <c r="L1118" s="7" t="s">
        <v>132</v>
      </c>
      <c r="M1118" s="7" t="s">
        <v>133</v>
      </c>
      <c r="N1118" s="30">
        <v>0</v>
      </c>
      <c r="O1118" s="30">
        <v>0</v>
      </c>
      <c r="P1118" s="30">
        <v>0</v>
      </c>
      <c r="Q1118" s="30">
        <v>0</v>
      </c>
      <c r="R1118" s="29">
        <v>0</v>
      </c>
      <c r="S1118" s="36">
        <v>0</v>
      </c>
      <c r="T1118" s="7" t="s">
        <v>131</v>
      </c>
      <c r="U1118" s="7" t="s">
        <v>1040</v>
      </c>
      <c r="V1118" s="7" t="s">
        <v>1040</v>
      </c>
      <c r="W1118" s="7" t="s">
        <v>1177</v>
      </c>
      <c r="X1118" s="30">
        <v>1</v>
      </c>
      <c r="Y1118" s="7" t="s">
        <v>1177</v>
      </c>
      <c r="Z1118" s="7" t="s">
        <v>1178</v>
      </c>
      <c r="AA1118" s="30">
        <v>0</v>
      </c>
      <c r="AB1118" s="36">
        <v>0</v>
      </c>
      <c r="AC1118" s="7" t="s">
        <v>1177</v>
      </c>
      <c r="AD1118" s="37">
        <v>0</v>
      </c>
      <c r="AE1118" s="7" t="s">
        <v>1177</v>
      </c>
      <c r="AF1118" s="7" t="s">
        <v>1177</v>
      </c>
      <c r="AG1118" s="7" t="s">
        <v>1177</v>
      </c>
      <c r="AH1118" s="38"/>
      <c r="AI1118" s="36">
        <v>0</v>
      </c>
      <c r="AJ1118" s="7" t="s">
        <v>1193</v>
      </c>
      <c r="AK1118" s="7" t="s">
        <v>1177</v>
      </c>
      <c r="AL1118" s="7" t="s">
        <v>1177</v>
      </c>
      <c r="AM1118" s="7" t="s">
        <v>1177</v>
      </c>
      <c r="AN1118" s="7" t="s">
        <v>3212</v>
      </c>
      <c r="AO1118" s="7" t="s">
        <v>1177</v>
      </c>
      <c r="AP1118" s="7" t="s">
        <v>1177</v>
      </c>
      <c r="AQ1118" s="7" t="s">
        <v>1177</v>
      </c>
      <c r="AR1118" s="29">
        <v>0</v>
      </c>
      <c r="AS1118" s="7" t="s">
        <v>1177</v>
      </c>
      <c r="AT1118" s="7" t="s">
        <v>1363</v>
      </c>
      <c r="AU1118" s="38">
        <v>46275</v>
      </c>
      <c r="AV1118" s="39">
        <v>0.62666666666667004</v>
      </c>
    </row>
    <row r="1119" spans="1:48" x14ac:dyDescent="0.35">
      <c r="A1119" t="str">
        <f t="shared" si="17"/>
        <v>GP267019B825</v>
      </c>
      <c r="B1119" s="7" t="s">
        <v>584</v>
      </c>
      <c r="C1119" s="7" t="s">
        <v>511</v>
      </c>
      <c r="D1119" s="7" t="s">
        <v>16</v>
      </c>
      <c r="E1119" s="7" t="s">
        <v>1177</v>
      </c>
      <c r="F1119" s="7" t="s">
        <v>128</v>
      </c>
      <c r="G1119" s="7" t="s">
        <v>130</v>
      </c>
      <c r="H1119" s="7" t="s">
        <v>129</v>
      </c>
      <c r="I1119" s="30">
        <v>2</v>
      </c>
      <c r="J1119" s="7" t="s">
        <v>1177</v>
      </c>
      <c r="K1119" s="7" t="s">
        <v>1178</v>
      </c>
      <c r="L1119" s="7" t="s">
        <v>132</v>
      </c>
      <c r="M1119" s="7" t="s">
        <v>133</v>
      </c>
      <c r="N1119" s="30">
        <v>0</v>
      </c>
      <c r="O1119" s="30">
        <v>0</v>
      </c>
      <c r="P1119" s="30">
        <v>0</v>
      </c>
      <c r="Q1119" s="30">
        <v>0</v>
      </c>
      <c r="R1119" s="29">
        <v>0</v>
      </c>
      <c r="S1119" s="36">
        <v>0</v>
      </c>
      <c r="T1119" s="7" t="s">
        <v>131</v>
      </c>
      <c r="U1119" s="7" t="s">
        <v>512</v>
      </c>
      <c r="V1119" s="7" t="s">
        <v>512</v>
      </c>
      <c r="W1119" s="7" t="s">
        <v>1177</v>
      </c>
      <c r="X1119" s="30">
        <v>1</v>
      </c>
      <c r="Y1119" s="7" t="s">
        <v>1177</v>
      </c>
      <c r="Z1119" s="7" t="s">
        <v>1178</v>
      </c>
      <c r="AA1119" s="30">
        <v>0</v>
      </c>
      <c r="AB1119" s="36">
        <v>0</v>
      </c>
      <c r="AC1119" s="7" t="s">
        <v>1177</v>
      </c>
      <c r="AD1119" s="37">
        <v>0</v>
      </c>
      <c r="AE1119" s="7" t="s">
        <v>1177</v>
      </c>
      <c r="AF1119" s="7" t="s">
        <v>1177</v>
      </c>
      <c r="AG1119" s="7" t="s">
        <v>1177</v>
      </c>
      <c r="AH1119" s="38"/>
      <c r="AI1119" s="36">
        <v>0</v>
      </c>
      <c r="AJ1119" s="7" t="s">
        <v>1193</v>
      </c>
      <c r="AK1119" s="7" t="s">
        <v>1177</v>
      </c>
      <c r="AL1119" s="7" t="s">
        <v>1177</v>
      </c>
      <c r="AM1119" s="7" t="s">
        <v>1177</v>
      </c>
      <c r="AN1119" s="7" t="s">
        <v>3212</v>
      </c>
      <c r="AO1119" s="7" t="s">
        <v>1177</v>
      </c>
      <c r="AP1119" s="7" t="s">
        <v>1177</v>
      </c>
      <c r="AQ1119" s="7" t="s">
        <v>1177</v>
      </c>
      <c r="AR1119" s="29">
        <v>0</v>
      </c>
      <c r="AS1119" s="7" t="s">
        <v>1177</v>
      </c>
      <c r="AT1119" s="7" t="s">
        <v>1363</v>
      </c>
      <c r="AU1119" s="38">
        <v>46275</v>
      </c>
      <c r="AV1119" s="39">
        <v>0.62304398148147999</v>
      </c>
    </row>
    <row r="1120" spans="1:48" x14ac:dyDescent="0.35">
      <c r="A1120" t="str">
        <f t="shared" si="17"/>
        <v>GP267020B825</v>
      </c>
      <c r="B1120" s="7" t="s">
        <v>585</v>
      </c>
      <c r="C1120" s="7" t="s">
        <v>511</v>
      </c>
      <c r="D1120" s="7" t="s">
        <v>16</v>
      </c>
      <c r="E1120" s="7" t="s">
        <v>1177</v>
      </c>
      <c r="F1120" s="7" t="s">
        <v>128</v>
      </c>
      <c r="G1120" s="7" t="s">
        <v>130</v>
      </c>
      <c r="H1120" s="7" t="s">
        <v>129</v>
      </c>
      <c r="I1120" s="30">
        <v>2</v>
      </c>
      <c r="J1120" s="7" t="s">
        <v>1177</v>
      </c>
      <c r="K1120" s="7" t="s">
        <v>1178</v>
      </c>
      <c r="L1120" s="7" t="s">
        <v>132</v>
      </c>
      <c r="M1120" s="7" t="s">
        <v>133</v>
      </c>
      <c r="N1120" s="30">
        <v>0</v>
      </c>
      <c r="O1120" s="30">
        <v>0</v>
      </c>
      <c r="P1120" s="30">
        <v>0</v>
      </c>
      <c r="Q1120" s="30">
        <v>0</v>
      </c>
      <c r="R1120" s="29">
        <v>0</v>
      </c>
      <c r="S1120" s="36">
        <v>0</v>
      </c>
      <c r="T1120" s="7" t="s">
        <v>131</v>
      </c>
      <c r="U1120" s="7" t="s">
        <v>512</v>
      </c>
      <c r="V1120" s="7" t="s">
        <v>512</v>
      </c>
      <c r="W1120" s="7" t="s">
        <v>1177</v>
      </c>
      <c r="X1120" s="30">
        <v>1</v>
      </c>
      <c r="Y1120" s="7" t="s">
        <v>1177</v>
      </c>
      <c r="Z1120" s="7" t="s">
        <v>1178</v>
      </c>
      <c r="AA1120" s="30">
        <v>0</v>
      </c>
      <c r="AB1120" s="36">
        <v>0</v>
      </c>
      <c r="AC1120" s="7" t="s">
        <v>1177</v>
      </c>
      <c r="AD1120" s="37">
        <v>0</v>
      </c>
      <c r="AE1120" s="7" t="s">
        <v>1177</v>
      </c>
      <c r="AF1120" s="7" t="s">
        <v>1177</v>
      </c>
      <c r="AG1120" s="7" t="s">
        <v>1177</v>
      </c>
      <c r="AH1120" s="38"/>
      <c r="AI1120" s="36">
        <v>0</v>
      </c>
      <c r="AJ1120" s="7" t="s">
        <v>1193</v>
      </c>
      <c r="AK1120" s="7" t="s">
        <v>1177</v>
      </c>
      <c r="AL1120" s="7" t="s">
        <v>1177</v>
      </c>
      <c r="AM1120" s="7" t="s">
        <v>1177</v>
      </c>
      <c r="AN1120" s="7" t="s">
        <v>3212</v>
      </c>
      <c r="AO1120" s="7" t="s">
        <v>1177</v>
      </c>
      <c r="AP1120" s="7" t="s">
        <v>1177</v>
      </c>
      <c r="AQ1120" s="7" t="s">
        <v>1177</v>
      </c>
      <c r="AR1120" s="29">
        <v>0</v>
      </c>
      <c r="AS1120" s="7" t="s">
        <v>1177</v>
      </c>
      <c r="AT1120" s="7" t="s">
        <v>1363</v>
      </c>
      <c r="AU1120" s="38">
        <v>46275</v>
      </c>
      <c r="AV1120" s="39">
        <v>0.62304398148147999</v>
      </c>
    </row>
    <row r="1121" spans="1:48" x14ac:dyDescent="0.35">
      <c r="A1121" t="str">
        <f t="shared" si="17"/>
        <v>GP267022B825</v>
      </c>
      <c r="B1121" s="7" t="s">
        <v>586</v>
      </c>
      <c r="C1121" s="7" t="s">
        <v>511</v>
      </c>
      <c r="D1121" s="7" t="s">
        <v>16</v>
      </c>
      <c r="E1121" s="7" t="s">
        <v>1177</v>
      </c>
      <c r="F1121" s="7" t="s">
        <v>128</v>
      </c>
      <c r="G1121" s="7" t="s">
        <v>130</v>
      </c>
      <c r="H1121" s="7" t="s">
        <v>129</v>
      </c>
      <c r="I1121" s="30">
        <v>2</v>
      </c>
      <c r="J1121" s="7" t="s">
        <v>1177</v>
      </c>
      <c r="K1121" s="7" t="s">
        <v>1178</v>
      </c>
      <c r="L1121" s="7" t="s">
        <v>132</v>
      </c>
      <c r="M1121" s="7" t="s">
        <v>133</v>
      </c>
      <c r="N1121" s="30">
        <v>0</v>
      </c>
      <c r="O1121" s="30">
        <v>0</v>
      </c>
      <c r="P1121" s="30">
        <v>0</v>
      </c>
      <c r="Q1121" s="30">
        <v>0</v>
      </c>
      <c r="R1121" s="29">
        <v>0</v>
      </c>
      <c r="S1121" s="36">
        <v>0</v>
      </c>
      <c r="T1121" s="7" t="s">
        <v>131</v>
      </c>
      <c r="U1121" s="7" t="s">
        <v>512</v>
      </c>
      <c r="V1121" s="7" t="s">
        <v>512</v>
      </c>
      <c r="W1121" s="7" t="s">
        <v>1177</v>
      </c>
      <c r="X1121" s="30">
        <v>1</v>
      </c>
      <c r="Y1121" s="7" t="s">
        <v>1177</v>
      </c>
      <c r="Z1121" s="7" t="s">
        <v>1178</v>
      </c>
      <c r="AA1121" s="30">
        <v>0</v>
      </c>
      <c r="AB1121" s="36">
        <v>0</v>
      </c>
      <c r="AC1121" s="7" t="s">
        <v>1177</v>
      </c>
      <c r="AD1121" s="37">
        <v>0</v>
      </c>
      <c r="AE1121" s="7" t="s">
        <v>1177</v>
      </c>
      <c r="AF1121" s="7" t="s">
        <v>1177</v>
      </c>
      <c r="AG1121" s="7" t="s">
        <v>1177</v>
      </c>
      <c r="AH1121" s="38"/>
      <c r="AI1121" s="36">
        <v>0</v>
      </c>
      <c r="AJ1121" s="7" t="s">
        <v>1193</v>
      </c>
      <c r="AK1121" s="7" t="s">
        <v>1177</v>
      </c>
      <c r="AL1121" s="7" t="s">
        <v>1177</v>
      </c>
      <c r="AM1121" s="7" t="s">
        <v>1177</v>
      </c>
      <c r="AN1121" s="7" t="s">
        <v>3212</v>
      </c>
      <c r="AO1121" s="7" t="s">
        <v>1177</v>
      </c>
      <c r="AP1121" s="7" t="s">
        <v>1177</v>
      </c>
      <c r="AQ1121" s="7" t="s">
        <v>1177</v>
      </c>
      <c r="AR1121" s="29">
        <v>0</v>
      </c>
      <c r="AS1121" s="7" t="s">
        <v>1177</v>
      </c>
      <c r="AT1121" s="7" t="s">
        <v>1363</v>
      </c>
      <c r="AU1121" s="38">
        <v>46275</v>
      </c>
      <c r="AV1121" s="39">
        <v>0.62304398148147999</v>
      </c>
    </row>
    <row r="1122" spans="1:48" x14ac:dyDescent="0.35">
      <c r="A1122" t="str">
        <f t="shared" si="17"/>
        <v>GP267023B825</v>
      </c>
      <c r="B1122" s="7" t="s">
        <v>587</v>
      </c>
      <c r="C1122" s="7" t="s">
        <v>511</v>
      </c>
      <c r="D1122" s="7" t="s">
        <v>16</v>
      </c>
      <c r="E1122" s="7" t="s">
        <v>1177</v>
      </c>
      <c r="F1122" s="7" t="s">
        <v>128</v>
      </c>
      <c r="G1122" s="7" t="s">
        <v>130</v>
      </c>
      <c r="H1122" s="7" t="s">
        <v>129</v>
      </c>
      <c r="I1122" s="30">
        <v>2</v>
      </c>
      <c r="J1122" s="7" t="s">
        <v>1177</v>
      </c>
      <c r="K1122" s="7" t="s">
        <v>1178</v>
      </c>
      <c r="L1122" s="7" t="s">
        <v>132</v>
      </c>
      <c r="M1122" s="7" t="s">
        <v>133</v>
      </c>
      <c r="N1122" s="30">
        <v>0</v>
      </c>
      <c r="O1122" s="30">
        <v>0</v>
      </c>
      <c r="P1122" s="30">
        <v>0</v>
      </c>
      <c r="Q1122" s="30">
        <v>0</v>
      </c>
      <c r="R1122" s="29">
        <v>0</v>
      </c>
      <c r="S1122" s="36">
        <v>0</v>
      </c>
      <c r="T1122" s="7" t="s">
        <v>131</v>
      </c>
      <c r="U1122" s="7" t="s">
        <v>512</v>
      </c>
      <c r="V1122" s="7" t="s">
        <v>512</v>
      </c>
      <c r="W1122" s="7" t="s">
        <v>1177</v>
      </c>
      <c r="X1122" s="30">
        <v>1</v>
      </c>
      <c r="Y1122" s="7" t="s">
        <v>1177</v>
      </c>
      <c r="Z1122" s="7" t="s">
        <v>1178</v>
      </c>
      <c r="AA1122" s="30">
        <v>0</v>
      </c>
      <c r="AB1122" s="36">
        <v>0</v>
      </c>
      <c r="AC1122" s="7" t="s">
        <v>1177</v>
      </c>
      <c r="AD1122" s="37">
        <v>0</v>
      </c>
      <c r="AE1122" s="7" t="s">
        <v>1177</v>
      </c>
      <c r="AF1122" s="7" t="s">
        <v>1177</v>
      </c>
      <c r="AG1122" s="7" t="s">
        <v>1177</v>
      </c>
      <c r="AH1122" s="38"/>
      <c r="AI1122" s="36">
        <v>0</v>
      </c>
      <c r="AJ1122" s="7" t="s">
        <v>1193</v>
      </c>
      <c r="AK1122" s="7" t="s">
        <v>1177</v>
      </c>
      <c r="AL1122" s="7" t="s">
        <v>1177</v>
      </c>
      <c r="AM1122" s="7" t="s">
        <v>1177</v>
      </c>
      <c r="AN1122" s="7" t="s">
        <v>3212</v>
      </c>
      <c r="AO1122" s="7" t="s">
        <v>1177</v>
      </c>
      <c r="AP1122" s="7" t="s">
        <v>1177</v>
      </c>
      <c r="AQ1122" s="7" t="s">
        <v>1177</v>
      </c>
      <c r="AR1122" s="29">
        <v>0</v>
      </c>
      <c r="AS1122" s="7" t="s">
        <v>1177</v>
      </c>
      <c r="AT1122" s="7" t="s">
        <v>1363</v>
      </c>
      <c r="AU1122" s="38">
        <v>46275</v>
      </c>
      <c r="AV1122" s="39">
        <v>0.62304398148147999</v>
      </c>
    </row>
    <row r="1123" spans="1:48" x14ac:dyDescent="0.35">
      <c r="A1123" t="str">
        <f t="shared" si="17"/>
        <v>GP267023B832</v>
      </c>
      <c r="B1123" s="7" t="s">
        <v>587</v>
      </c>
      <c r="C1123" s="7" t="s">
        <v>653</v>
      </c>
      <c r="D1123" s="7" t="s">
        <v>19</v>
      </c>
      <c r="E1123" s="7" t="s">
        <v>1177</v>
      </c>
      <c r="F1123" s="7" t="s">
        <v>128</v>
      </c>
      <c r="G1123" s="7" t="s">
        <v>130</v>
      </c>
      <c r="H1123" s="7" t="s">
        <v>129</v>
      </c>
      <c r="I1123" s="30">
        <v>2</v>
      </c>
      <c r="J1123" s="7" t="s">
        <v>1177</v>
      </c>
      <c r="K1123" s="7" t="s">
        <v>1178</v>
      </c>
      <c r="L1123" s="7" t="s">
        <v>132</v>
      </c>
      <c r="M1123" s="7" t="s">
        <v>133</v>
      </c>
      <c r="N1123" s="30">
        <v>0</v>
      </c>
      <c r="O1123" s="30">
        <v>0</v>
      </c>
      <c r="P1123" s="30">
        <v>0</v>
      </c>
      <c r="Q1123" s="30">
        <v>0</v>
      </c>
      <c r="R1123" s="29">
        <v>0</v>
      </c>
      <c r="S1123" s="36">
        <v>0</v>
      </c>
      <c r="T1123" s="7" t="s">
        <v>131</v>
      </c>
      <c r="U1123" s="7" t="s">
        <v>654</v>
      </c>
      <c r="V1123" s="7" t="s">
        <v>654</v>
      </c>
      <c r="W1123" s="7" t="s">
        <v>1177</v>
      </c>
      <c r="X1123" s="30">
        <v>1</v>
      </c>
      <c r="Y1123" s="7" t="s">
        <v>1177</v>
      </c>
      <c r="Z1123" s="7" t="s">
        <v>1178</v>
      </c>
      <c r="AA1123" s="30">
        <v>0</v>
      </c>
      <c r="AB1123" s="36">
        <v>0</v>
      </c>
      <c r="AC1123" s="7" t="s">
        <v>1177</v>
      </c>
      <c r="AD1123" s="37">
        <v>0</v>
      </c>
      <c r="AE1123" s="7" t="s">
        <v>1177</v>
      </c>
      <c r="AF1123" s="7" t="s">
        <v>1177</v>
      </c>
      <c r="AG1123" s="7" t="s">
        <v>1177</v>
      </c>
      <c r="AH1123" s="38"/>
      <c r="AI1123" s="36">
        <v>0</v>
      </c>
      <c r="AJ1123" s="7" t="s">
        <v>1193</v>
      </c>
      <c r="AK1123" s="7" t="s">
        <v>1177</v>
      </c>
      <c r="AL1123" s="7" t="s">
        <v>1177</v>
      </c>
      <c r="AM1123" s="7" t="s">
        <v>1177</v>
      </c>
      <c r="AN1123" s="7" t="s">
        <v>3212</v>
      </c>
      <c r="AO1123" s="7" t="s">
        <v>1177</v>
      </c>
      <c r="AP1123" s="7" t="s">
        <v>1177</v>
      </c>
      <c r="AQ1123" s="7" t="s">
        <v>1177</v>
      </c>
      <c r="AR1123" s="29">
        <v>0</v>
      </c>
      <c r="AS1123" s="7" t="s">
        <v>1177</v>
      </c>
      <c r="AT1123" s="7" t="s">
        <v>1363</v>
      </c>
      <c r="AU1123" s="38">
        <v>46275</v>
      </c>
      <c r="AV1123" s="39">
        <v>0.62333333333332996</v>
      </c>
    </row>
    <row r="1124" spans="1:48" x14ac:dyDescent="0.35">
      <c r="A1124" t="str">
        <f t="shared" si="17"/>
        <v>GP267024B825</v>
      </c>
      <c r="B1124" s="7" t="s">
        <v>588</v>
      </c>
      <c r="C1124" s="7" t="s">
        <v>511</v>
      </c>
      <c r="D1124" s="7" t="s">
        <v>16</v>
      </c>
      <c r="E1124" s="7" t="s">
        <v>1177</v>
      </c>
      <c r="F1124" s="7" t="s">
        <v>128</v>
      </c>
      <c r="G1124" s="7" t="s">
        <v>130</v>
      </c>
      <c r="H1124" s="7" t="s">
        <v>129</v>
      </c>
      <c r="I1124" s="30">
        <v>2</v>
      </c>
      <c r="J1124" s="7" t="s">
        <v>1177</v>
      </c>
      <c r="K1124" s="7" t="s">
        <v>1178</v>
      </c>
      <c r="L1124" s="7" t="s">
        <v>132</v>
      </c>
      <c r="M1124" s="7" t="s">
        <v>133</v>
      </c>
      <c r="N1124" s="30">
        <v>0</v>
      </c>
      <c r="O1124" s="30">
        <v>0</v>
      </c>
      <c r="P1124" s="30">
        <v>0</v>
      </c>
      <c r="Q1124" s="30">
        <v>0</v>
      </c>
      <c r="R1124" s="29">
        <v>0</v>
      </c>
      <c r="S1124" s="36">
        <v>0</v>
      </c>
      <c r="T1124" s="7" t="s">
        <v>131</v>
      </c>
      <c r="U1124" s="7" t="s">
        <v>512</v>
      </c>
      <c r="V1124" s="7" t="s">
        <v>512</v>
      </c>
      <c r="W1124" s="7" t="s">
        <v>1177</v>
      </c>
      <c r="X1124" s="30">
        <v>1</v>
      </c>
      <c r="Y1124" s="7" t="s">
        <v>1177</v>
      </c>
      <c r="Z1124" s="7" t="s">
        <v>1178</v>
      </c>
      <c r="AA1124" s="30">
        <v>0</v>
      </c>
      <c r="AB1124" s="36">
        <v>0</v>
      </c>
      <c r="AC1124" s="7" t="s">
        <v>1177</v>
      </c>
      <c r="AD1124" s="37">
        <v>0</v>
      </c>
      <c r="AE1124" s="7" t="s">
        <v>1177</v>
      </c>
      <c r="AF1124" s="7" t="s">
        <v>1177</v>
      </c>
      <c r="AG1124" s="7" t="s">
        <v>1177</v>
      </c>
      <c r="AH1124" s="38"/>
      <c r="AI1124" s="36">
        <v>0</v>
      </c>
      <c r="AJ1124" s="7" t="s">
        <v>1193</v>
      </c>
      <c r="AK1124" s="7" t="s">
        <v>1177</v>
      </c>
      <c r="AL1124" s="7" t="s">
        <v>1177</v>
      </c>
      <c r="AM1124" s="7" t="s">
        <v>1177</v>
      </c>
      <c r="AN1124" s="7" t="s">
        <v>3212</v>
      </c>
      <c r="AO1124" s="7" t="s">
        <v>1177</v>
      </c>
      <c r="AP1124" s="7" t="s">
        <v>1177</v>
      </c>
      <c r="AQ1124" s="7" t="s">
        <v>1177</v>
      </c>
      <c r="AR1124" s="29">
        <v>0</v>
      </c>
      <c r="AS1124" s="7" t="s">
        <v>1177</v>
      </c>
      <c r="AT1124" s="7" t="s">
        <v>1363</v>
      </c>
      <c r="AU1124" s="38">
        <v>46275</v>
      </c>
      <c r="AV1124" s="39">
        <v>0.62304398148147999</v>
      </c>
    </row>
    <row r="1125" spans="1:48" x14ac:dyDescent="0.35">
      <c r="A1125" t="str">
        <f t="shared" si="17"/>
        <v>GP267025B825</v>
      </c>
      <c r="B1125" s="7" t="s">
        <v>285</v>
      </c>
      <c r="C1125" s="7" t="s">
        <v>511</v>
      </c>
      <c r="D1125" s="7" t="s">
        <v>16</v>
      </c>
      <c r="E1125" s="7" t="s">
        <v>1177</v>
      </c>
      <c r="F1125" s="7" t="s">
        <v>128</v>
      </c>
      <c r="G1125" s="7" t="s">
        <v>130</v>
      </c>
      <c r="H1125" s="7" t="s">
        <v>129</v>
      </c>
      <c r="I1125" s="30">
        <v>2</v>
      </c>
      <c r="J1125" s="7" t="s">
        <v>1177</v>
      </c>
      <c r="K1125" s="7" t="s">
        <v>1178</v>
      </c>
      <c r="L1125" s="7" t="s">
        <v>132</v>
      </c>
      <c r="M1125" s="7" t="s">
        <v>133</v>
      </c>
      <c r="N1125" s="30">
        <v>0</v>
      </c>
      <c r="O1125" s="30">
        <v>0</v>
      </c>
      <c r="P1125" s="30">
        <v>0</v>
      </c>
      <c r="Q1125" s="30">
        <v>0</v>
      </c>
      <c r="R1125" s="29">
        <v>0</v>
      </c>
      <c r="S1125" s="36">
        <v>0</v>
      </c>
      <c r="T1125" s="7" t="s">
        <v>131</v>
      </c>
      <c r="U1125" s="7" t="s">
        <v>512</v>
      </c>
      <c r="V1125" s="7" t="s">
        <v>512</v>
      </c>
      <c r="W1125" s="7" t="s">
        <v>1177</v>
      </c>
      <c r="X1125" s="30">
        <v>1</v>
      </c>
      <c r="Y1125" s="7" t="s">
        <v>1177</v>
      </c>
      <c r="Z1125" s="7" t="s">
        <v>1178</v>
      </c>
      <c r="AA1125" s="30">
        <v>0</v>
      </c>
      <c r="AB1125" s="36">
        <v>0</v>
      </c>
      <c r="AC1125" s="7" t="s">
        <v>1177</v>
      </c>
      <c r="AD1125" s="37">
        <v>0</v>
      </c>
      <c r="AE1125" s="7" t="s">
        <v>1177</v>
      </c>
      <c r="AF1125" s="7" t="s">
        <v>1177</v>
      </c>
      <c r="AG1125" s="7" t="s">
        <v>1177</v>
      </c>
      <c r="AH1125" s="38"/>
      <c r="AI1125" s="36">
        <v>0</v>
      </c>
      <c r="AJ1125" s="7" t="s">
        <v>1193</v>
      </c>
      <c r="AK1125" s="7" t="s">
        <v>1177</v>
      </c>
      <c r="AL1125" s="7" t="s">
        <v>1177</v>
      </c>
      <c r="AM1125" s="7" t="s">
        <v>1177</v>
      </c>
      <c r="AN1125" s="7" t="s">
        <v>3212</v>
      </c>
      <c r="AO1125" s="7" t="s">
        <v>1177</v>
      </c>
      <c r="AP1125" s="7" t="s">
        <v>1177</v>
      </c>
      <c r="AQ1125" s="7" t="s">
        <v>1177</v>
      </c>
      <c r="AR1125" s="29">
        <v>0</v>
      </c>
      <c r="AS1125" s="7" t="s">
        <v>1177</v>
      </c>
      <c r="AT1125" s="7" t="s">
        <v>1363</v>
      </c>
      <c r="AU1125" s="38">
        <v>46275</v>
      </c>
      <c r="AV1125" s="39">
        <v>0.62304398148147999</v>
      </c>
    </row>
    <row r="1126" spans="1:48" x14ac:dyDescent="0.35">
      <c r="A1126" t="str">
        <f t="shared" si="17"/>
        <v>GP267025B832</v>
      </c>
      <c r="B1126" s="7" t="s">
        <v>285</v>
      </c>
      <c r="C1126" s="7" t="s">
        <v>653</v>
      </c>
      <c r="D1126" s="7" t="s">
        <v>19</v>
      </c>
      <c r="E1126" s="7" t="s">
        <v>1177</v>
      </c>
      <c r="F1126" s="7" t="s">
        <v>128</v>
      </c>
      <c r="G1126" s="7" t="s">
        <v>130</v>
      </c>
      <c r="H1126" s="7" t="s">
        <v>129</v>
      </c>
      <c r="I1126" s="30">
        <v>2</v>
      </c>
      <c r="J1126" s="7" t="s">
        <v>1177</v>
      </c>
      <c r="K1126" s="7" t="s">
        <v>1178</v>
      </c>
      <c r="L1126" s="7" t="s">
        <v>132</v>
      </c>
      <c r="M1126" s="7" t="s">
        <v>133</v>
      </c>
      <c r="N1126" s="30">
        <v>0</v>
      </c>
      <c r="O1126" s="30">
        <v>0</v>
      </c>
      <c r="P1126" s="30">
        <v>0</v>
      </c>
      <c r="Q1126" s="30">
        <v>0</v>
      </c>
      <c r="R1126" s="29">
        <v>0</v>
      </c>
      <c r="S1126" s="36">
        <v>0</v>
      </c>
      <c r="T1126" s="7" t="s">
        <v>131</v>
      </c>
      <c r="U1126" s="7" t="s">
        <v>654</v>
      </c>
      <c r="V1126" s="7" t="s">
        <v>654</v>
      </c>
      <c r="W1126" s="7" t="s">
        <v>1177</v>
      </c>
      <c r="X1126" s="30">
        <v>1</v>
      </c>
      <c r="Y1126" s="7" t="s">
        <v>1177</v>
      </c>
      <c r="Z1126" s="7" t="s">
        <v>1178</v>
      </c>
      <c r="AA1126" s="30">
        <v>0</v>
      </c>
      <c r="AB1126" s="36">
        <v>0</v>
      </c>
      <c r="AC1126" s="7" t="s">
        <v>1177</v>
      </c>
      <c r="AD1126" s="37">
        <v>0</v>
      </c>
      <c r="AE1126" s="7" t="s">
        <v>1177</v>
      </c>
      <c r="AF1126" s="7" t="s">
        <v>1177</v>
      </c>
      <c r="AG1126" s="7" t="s">
        <v>1177</v>
      </c>
      <c r="AH1126" s="38"/>
      <c r="AI1126" s="36">
        <v>0</v>
      </c>
      <c r="AJ1126" s="7" t="s">
        <v>1193</v>
      </c>
      <c r="AK1126" s="7" t="s">
        <v>1177</v>
      </c>
      <c r="AL1126" s="7" t="s">
        <v>1177</v>
      </c>
      <c r="AM1126" s="7" t="s">
        <v>1177</v>
      </c>
      <c r="AN1126" s="7" t="s">
        <v>3212</v>
      </c>
      <c r="AO1126" s="7" t="s">
        <v>1177</v>
      </c>
      <c r="AP1126" s="7" t="s">
        <v>1177</v>
      </c>
      <c r="AQ1126" s="7" t="s">
        <v>1177</v>
      </c>
      <c r="AR1126" s="29">
        <v>0</v>
      </c>
      <c r="AS1126" s="7" t="s">
        <v>1177</v>
      </c>
      <c r="AT1126" s="7" t="s">
        <v>1363</v>
      </c>
      <c r="AU1126" s="38">
        <v>46275</v>
      </c>
      <c r="AV1126" s="39">
        <v>0.62333333333332996</v>
      </c>
    </row>
    <row r="1127" spans="1:48" x14ac:dyDescent="0.35">
      <c r="A1127" t="str">
        <f t="shared" si="17"/>
        <v>GP268205B825</v>
      </c>
      <c r="B1127" s="7" t="s">
        <v>496</v>
      </c>
      <c r="C1127" s="7" t="s">
        <v>511</v>
      </c>
      <c r="D1127" s="7" t="s">
        <v>16</v>
      </c>
      <c r="E1127" s="7" t="s">
        <v>1177</v>
      </c>
      <c r="F1127" s="7" t="s">
        <v>128</v>
      </c>
      <c r="G1127" s="7" t="s">
        <v>130</v>
      </c>
      <c r="H1127" s="7" t="s">
        <v>129</v>
      </c>
      <c r="I1127" s="30">
        <v>2</v>
      </c>
      <c r="J1127" s="7" t="s">
        <v>1177</v>
      </c>
      <c r="K1127" s="7" t="s">
        <v>1178</v>
      </c>
      <c r="L1127" s="7" t="s">
        <v>132</v>
      </c>
      <c r="M1127" s="7" t="s">
        <v>133</v>
      </c>
      <c r="N1127" s="30">
        <v>0</v>
      </c>
      <c r="O1127" s="30">
        <v>0</v>
      </c>
      <c r="P1127" s="30">
        <v>0</v>
      </c>
      <c r="Q1127" s="30">
        <v>0</v>
      </c>
      <c r="R1127" s="29">
        <v>0</v>
      </c>
      <c r="S1127" s="36">
        <v>0</v>
      </c>
      <c r="T1127" s="7" t="s">
        <v>131</v>
      </c>
      <c r="U1127" s="7" t="s">
        <v>512</v>
      </c>
      <c r="V1127" s="7" t="s">
        <v>512</v>
      </c>
      <c r="W1127" s="7" t="s">
        <v>1177</v>
      </c>
      <c r="X1127" s="30">
        <v>1</v>
      </c>
      <c r="Y1127" s="7" t="s">
        <v>1177</v>
      </c>
      <c r="Z1127" s="7" t="s">
        <v>1178</v>
      </c>
      <c r="AA1127" s="30">
        <v>0</v>
      </c>
      <c r="AB1127" s="36">
        <v>0</v>
      </c>
      <c r="AC1127" s="7" t="s">
        <v>1177</v>
      </c>
      <c r="AD1127" s="37">
        <v>0</v>
      </c>
      <c r="AE1127" s="7" t="s">
        <v>1177</v>
      </c>
      <c r="AF1127" s="7" t="s">
        <v>1177</v>
      </c>
      <c r="AG1127" s="7" t="s">
        <v>1177</v>
      </c>
      <c r="AH1127" s="38"/>
      <c r="AI1127" s="36">
        <v>0</v>
      </c>
      <c r="AJ1127" s="7" t="s">
        <v>1193</v>
      </c>
      <c r="AK1127" s="7" t="s">
        <v>1177</v>
      </c>
      <c r="AL1127" s="7" t="s">
        <v>1177</v>
      </c>
      <c r="AM1127" s="7" t="s">
        <v>1177</v>
      </c>
      <c r="AN1127" s="7" t="s">
        <v>3212</v>
      </c>
      <c r="AO1127" s="7" t="s">
        <v>1177</v>
      </c>
      <c r="AP1127" s="7" t="s">
        <v>1177</v>
      </c>
      <c r="AQ1127" s="7" t="s">
        <v>1177</v>
      </c>
      <c r="AR1127" s="29">
        <v>0</v>
      </c>
      <c r="AS1127" s="7" t="s">
        <v>1177</v>
      </c>
      <c r="AT1127" s="7" t="s">
        <v>1363</v>
      </c>
      <c r="AU1127" s="38">
        <v>46275</v>
      </c>
      <c r="AV1127" s="39">
        <v>0.62304398148147999</v>
      </c>
    </row>
    <row r="1128" spans="1:48" x14ac:dyDescent="0.35">
      <c r="A1128" t="str">
        <f t="shared" si="17"/>
        <v>GP268205B832</v>
      </c>
      <c r="B1128" s="7" t="s">
        <v>496</v>
      </c>
      <c r="C1128" s="7" t="s">
        <v>653</v>
      </c>
      <c r="D1128" s="7" t="s">
        <v>19</v>
      </c>
      <c r="E1128" s="7" t="s">
        <v>1177</v>
      </c>
      <c r="F1128" s="7" t="s">
        <v>128</v>
      </c>
      <c r="G1128" s="7" t="s">
        <v>130</v>
      </c>
      <c r="H1128" s="7" t="s">
        <v>129</v>
      </c>
      <c r="I1128" s="30">
        <v>2</v>
      </c>
      <c r="J1128" s="7" t="s">
        <v>1177</v>
      </c>
      <c r="K1128" s="7" t="s">
        <v>1178</v>
      </c>
      <c r="L1128" s="7" t="s">
        <v>132</v>
      </c>
      <c r="M1128" s="7" t="s">
        <v>133</v>
      </c>
      <c r="N1128" s="30">
        <v>0</v>
      </c>
      <c r="O1128" s="30">
        <v>0</v>
      </c>
      <c r="P1128" s="30">
        <v>0</v>
      </c>
      <c r="Q1128" s="30">
        <v>0</v>
      </c>
      <c r="R1128" s="29">
        <v>0</v>
      </c>
      <c r="S1128" s="36">
        <v>0</v>
      </c>
      <c r="T1128" s="7" t="s">
        <v>131</v>
      </c>
      <c r="U1128" s="7" t="s">
        <v>654</v>
      </c>
      <c r="V1128" s="7" t="s">
        <v>654</v>
      </c>
      <c r="W1128" s="7" t="s">
        <v>1177</v>
      </c>
      <c r="X1128" s="30">
        <v>1</v>
      </c>
      <c r="Y1128" s="7" t="s">
        <v>1177</v>
      </c>
      <c r="Z1128" s="7" t="s">
        <v>1178</v>
      </c>
      <c r="AA1128" s="30">
        <v>0</v>
      </c>
      <c r="AB1128" s="36">
        <v>0</v>
      </c>
      <c r="AC1128" s="7" t="s">
        <v>1177</v>
      </c>
      <c r="AD1128" s="37">
        <v>0</v>
      </c>
      <c r="AE1128" s="7" t="s">
        <v>1177</v>
      </c>
      <c r="AF1128" s="7" t="s">
        <v>1177</v>
      </c>
      <c r="AG1128" s="7" t="s">
        <v>1177</v>
      </c>
      <c r="AH1128" s="38"/>
      <c r="AI1128" s="36">
        <v>0</v>
      </c>
      <c r="AJ1128" s="7" t="s">
        <v>1193</v>
      </c>
      <c r="AK1128" s="7" t="s">
        <v>1177</v>
      </c>
      <c r="AL1128" s="7" t="s">
        <v>1177</v>
      </c>
      <c r="AM1128" s="7" t="s">
        <v>1177</v>
      </c>
      <c r="AN1128" s="7" t="s">
        <v>3212</v>
      </c>
      <c r="AO1128" s="7" t="s">
        <v>1177</v>
      </c>
      <c r="AP1128" s="7" t="s">
        <v>1177</v>
      </c>
      <c r="AQ1128" s="7" t="s">
        <v>1177</v>
      </c>
      <c r="AR1128" s="29">
        <v>0</v>
      </c>
      <c r="AS1128" s="7" t="s">
        <v>1177</v>
      </c>
      <c r="AT1128" s="7" t="s">
        <v>1363</v>
      </c>
      <c r="AU1128" s="38">
        <v>46275</v>
      </c>
      <c r="AV1128" s="39">
        <v>0.62334490740741</v>
      </c>
    </row>
    <row r="1129" spans="1:48" x14ac:dyDescent="0.35">
      <c r="A1129" t="str">
        <f t="shared" si="17"/>
        <v>GP268206B857</v>
      </c>
      <c r="B1129" s="7" t="s">
        <v>975</v>
      </c>
      <c r="C1129" s="7" t="s">
        <v>958</v>
      </c>
      <c r="D1129" s="7" t="s">
        <v>23</v>
      </c>
      <c r="E1129" s="7" t="s">
        <v>1177</v>
      </c>
      <c r="F1129" s="7" t="s">
        <v>128</v>
      </c>
      <c r="G1129" s="7" t="s">
        <v>130</v>
      </c>
      <c r="H1129" s="7" t="s">
        <v>129</v>
      </c>
      <c r="I1129" s="30">
        <v>1</v>
      </c>
      <c r="J1129" s="7" t="s">
        <v>1177</v>
      </c>
      <c r="K1129" s="7" t="s">
        <v>1178</v>
      </c>
      <c r="L1129" s="7" t="s">
        <v>132</v>
      </c>
      <c r="M1129" s="7" t="s">
        <v>133</v>
      </c>
      <c r="N1129" s="30">
        <v>0</v>
      </c>
      <c r="O1129" s="30">
        <v>0</v>
      </c>
      <c r="P1129" s="30">
        <v>0</v>
      </c>
      <c r="Q1129" s="30">
        <v>0</v>
      </c>
      <c r="R1129" s="29">
        <v>0</v>
      </c>
      <c r="S1129" s="36">
        <v>0</v>
      </c>
      <c r="T1129" s="7" t="s">
        <v>131</v>
      </c>
      <c r="U1129" s="7" t="s">
        <v>959</v>
      </c>
      <c r="V1129" s="7" t="s">
        <v>959</v>
      </c>
      <c r="W1129" s="7" t="s">
        <v>1177</v>
      </c>
      <c r="X1129" s="30">
        <v>1</v>
      </c>
      <c r="Y1129" s="7" t="s">
        <v>1177</v>
      </c>
      <c r="Z1129" s="7" t="s">
        <v>1178</v>
      </c>
      <c r="AA1129" s="30">
        <v>0</v>
      </c>
      <c r="AB1129" s="36">
        <v>0</v>
      </c>
      <c r="AC1129" s="7" t="s">
        <v>1177</v>
      </c>
      <c r="AD1129" s="37">
        <v>0</v>
      </c>
      <c r="AE1129" s="7" t="s">
        <v>1177</v>
      </c>
      <c r="AF1129" s="7" t="s">
        <v>1177</v>
      </c>
      <c r="AG1129" s="7" t="s">
        <v>1177</v>
      </c>
      <c r="AH1129" s="38"/>
      <c r="AI1129" s="36">
        <v>0</v>
      </c>
      <c r="AJ1129" s="7" t="s">
        <v>1193</v>
      </c>
      <c r="AK1129" s="7" t="s">
        <v>1177</v>
      </c>
      <c r="AL1129" s="7" t="s">
        <v>1177</v>
      </c>
      <c r="AM1129" s="7" t="s">
        <v>1177</v>
      </c>
      <c r="AN1129" s="7" t="s">
        <v>3212</v>
      </c>
      <c r="AO1129" s="7" t="s">
        <v>1177</v>
      </c>
      <c r="AP1129" s="7" t="s">
        <v>1177</v>
      </c>
      <c r="AQ1129" s="7" t="s">
        <v>1177</v>
      </c>
      <c r="AR1129" s="29">
        <v>0</v>
      </c>
      <c r="AS1129" s="7" t="s">
        <v>1177</v>
      </c>
      <c r="AT1129" s="7" t="s">
        <v>1363</v>
      </c>
      <c r="AU1129" s="38">
        <v>46275</v>
      </c>
      <c r="AV1129" s="39">
        <v>0.62491898148147995</v>
      </c>
    </row>
    <row r="1130" spans="1:48" x14ac:dyDescent="0.35">
      <c r="A1130" t="str">
        <f t="shared" si="17"/>
        <v>GP268208B825</v>
      </c>
      <c r="B1130" s="7" t="s">
        <v>497</v>
      </c>
      <c r="C1130" s="7" t="s">
        <v>511</v>
      </c>
      <c r="D1130" s="7" t="s">
        <v>16</v>
      </c>
      <c r="E1130" s="7" t="s">
        <v>1177</v>
      </c>
      <c r="F1130" s="7" t="s">
        <v>134</v>
      </c>
      <c r="G1130" s="7" t="s">
        <v>130</v>
      </c>
      <c r="H1130" s="7" t="s">
        <v>129</v>
      </c>
      <c r="I1130" s="30">
        <v>2</v>
      </c>
      <c r="J1130" s="7" t="s">
        <v>1177</v>
      </c>
      <c r="K1130" s="7" t="s">
        <v>1178</v>
      </c>
      <c r="L1130" s="7" t="s">
        <v>132</v>
      </c>
      <c r="M1130" s="7" t="s">
        <v>133</v>
      </c>
      <c r="N1130" s="30">
        <v>0</v>
      </c>
      <c r="O1130" s="30">
        <v>0</v>
      </c>
      <c r="P1130" s="30">
        <v>0</v>
      </c>
      <c r="Q1130" s="30">
        <v>0</v>
      </c>
      <c r="R1130" s="29">
        <v>0</v>
      </c>
      <c r="S1130" s="36">
        <v>0</v>
      </c>
      <c r="T1130" s="7" t="s">
        <v>131</v>
      </c>
      <c r="U1130" s="7" t="s">
        <v>512</v>
      </c>
      <c r="V1130" s="7" t="s">
        <v>512</v>
      </c>
      <c r="W1130" s="7" t="s">
        <v>1177</v>
      </c>
      <c r="X1130" s="30">
        <v>2</v>
      </c>
      <c r="Y1130" s="7" t="s">
        <v>1177</v>
      </c>
      <c r="Z1130" s="7" t="s">
        <v>1178</v>
      </c>
      <c r="AA1130" s="30">
        <v>0</v>
      </c>
      <c r="AB1130" s="36">
        <v>0</v>
      </c>
      <c r="AC1130" s="7" t="s">
        <v>1177</v>
      </c>
      <c r="AD1130" s="37">
        <v>0</v>
      </c>
      <c r="AE1130" s="7" t="s">
        <v>1177</v>
      </c>
      <c r="AF1130" s="7" t="s">
        <v>1177</v>
      </c>
      <c r="AG1130" s="7" t="s">
        <v>1177</v>
      </c>
      <c r="AH1130" s="38"/>
      <c r="AI1130" s="36">
        <v>0</v>
      </c>
      <c r="AJ1130" s="7" t="s">
        <v>1193</v>
      </c>
      <c r="AK1130" s="7" t="s">
        <v>1177</v>
      </c>
      <c r="AL1130" s="7" t="s">
        <v>1177</v>
      </c>
      <c r="AM1130" s="7" t="s">
        <v>1177</v>
      </c>
      <c r="AN1130" s="7" t="s">
        <v>3212</v>
      </c>
      <c r="AO1130" s="7" t="s">
        <v>1177</v>
      </c>
      <c r="AP1130" s="7" t="s">
        <v>1177</v>
      </c>
      <c r="AQ1130" s="7" t="s">
        <v>1177</v>
      </c>
      <c r="AR1130" s="29">
        <v>0</v>
      </c>
      <c r="AS1130" s="7" t="s">
        <v>1177</v>
      </c>
      <c r="AT1130" s="7" t="s">
        <v>1363</v>
      </c>
      <c r="AU1130" s="38">
        <v>46275</v>
      </c>
      <c r="AV1130" s="39">
        <v>0.60351851851852001</v>
      </c>
    </row>
    <row r="1131" spans="1:48" x14ac:dyDescent="0.35">
      <c r="A1131" t="str">
        <f t="shared" si="17"/>
        <v>GP268208B832</v>
      </c>
      <c r="B1131" s="7" t="s">
        <v>497</v>
      </c>
      <c r="C1131" s="7" t="s">
        <v>653</v>
      </c>
      <c r="D1131" s="7" t="s">
        <v>19</v>
      </c>
      <c r="E1131" s="7" t="s">
        <v>1177</v>
      </c>
      <c r="F1131" s="7" t="s">
        <v>134</v>
      </c>
      <c r="G1131" s="7" t="s">
        <v>130</v>
      </c>
      <c r="H1131" s="7" t="s">
        <v>129</v>
      </c>
      <c r="I1131" s="30">
        <v>2</v>
      </c>
      <c r="J1131" s="7" t="s">
        <v>1177</v>
      </c>
      <c r="K1131" s="7" t="s">
        <v>1178</v>
      </c>
      <c r="L1131" s="7" t="s">
        <v>132</v>
      </c>
      <c r="M1131" s="7" t="s">
        <v>133</v>
      </c>
      <c r="N1131" s="30">
        <v>0</v>
      </c>
      <c r="O1131" s="30">
        <v>0</v>
      </c>
      <c r="P1131" s="30">
        <v>0</v>
      </c>
      <c r="Q1131" s="30">
        <v>0</v>
      </c>
      <c r="R1131" s="29">
        <v>0</v>
      </c>
      <c r="S1131" s="36">
        <v>0</v>
      </c>
      <c r="T1131" s="7" t="s">
        <v>131</v>
      </c>
      <c r="U1131" s="7" t="s">
        <v>654</v>
      </c>
      <c r="V1131" s="7" t="s">
        <v>654</v>
      </c>
      <c r="W1131" s="7" t="s">
        <v>1177</v>
      </c>
      <c r="X1131" s="30">
        <v>2</v>
      </c>
      <c r="Y1131" s="7" t="s">
        <v>1177</v>
      </c>
      <c r="Z1131" s="7" t="s">
        <v>1178</v>
      </c>
      <c r="AA1131" s="30">
        <v>0</v>
      </c>
      <c r="AB1131" s="36">
        <v>0</v>
      </c>
      <c r="AC1131" s="7" t="s">
        <v>1177</v>
      </c>
      <c r="AD1131" s="37">
        <v>0</v>
      </c>
      <c r="AE1131" s="7" t="s">
        <v>1177</v>
      </c>
      <c r="AF1131" s="7" t="s">
        <v>1177</v>
      </c>
      <c r="AG1131" s="7" t="s">
        <v>1177</v>
      </c>
      <c r="AH1131" s="38"/>
      <c r="AI1131" s="36">
        <v>0</v>
      </c>
      <c r="AJ1131" s="7" t="s">
        <v>1193</v>
      </c>
      <c r="AK1131" s="7" t="s">
        <v>1177</v>
      </c>
      <c r="AL1131" s="7" t="s">
        <v>1177</v>
      </c>
      <c r="AM1131" s="7" t="s">
        <v>1177</v>
      </c>
      <c r="AN1131" s="7" t="s">
        <v>3212</v>
      </c>
      <c r="AO1131" s="7" t="s">
        <v>1177</v>
      </c>
      <c r="AP1131" s="7" t="s">
        <v>1177</v>
      </c>
      <c r="AQ1131" s="7" t="s">
        <v>1177</v>
      </c>
      <c r="AR1131" s="29">
        <v>0</v>
      </c>
      <c r="AS1131" s="7" t="s">
        <v>1177</v>
      </c>
      <c r="AT1131" s="7" t="s">
        <v>1363</v>
      </c>
      <c r="AU1131" s="38">
        <v>46275</v>
      </c>
      <c r="AV1131" s="39">
        <v>0.60386574074073995</v>
      </c>
    </row>
    <row r="1132" spans="1:48" x14ac:dyDescent="0.35">
      <c r="A1132" t="str">
        <f t="shared" si="17"/>
        <v>GP268224B825</v>
      </c>
      <c r="B1132" s="7" t="s">
        <v>499</v>
      </c>
      <c r="C1132" s="7" t="s">
        <v>511</v>
      </c>
      <c r="D1132" s="7" t="s">
        <v>16</v>
      </c>
      <c r="E1132" s="7" t="s">
        <v>1177</v>
      </c>
      <c r="F1132" s="7" t="s">
        <v>128</v>
      </c>
      <c r="G1132" s="7" t="s">
        <v>130</v>
      </c>
      <c r="H1132" s="7" t="s">
        <v>129</v>
      </c>
      <c r="I1132" s="30">
        <v>2</v>
      </c>
      <c r="J1132" s="7" t="s">
        <v>1177</v>
      </c>
      <c r="K1132" s="7" t="s">
        <v>1178</v>
      </c>
      <c r="L1132" s="7" t="s">
        <v>132</v>
      </c>
      <c r="M1132" s="7" t="s">
        <v>133</v>
      </c>
      <c r="N1132" s="30">
        <v>0</v>
      </c>
      <c r="O1132" s="30">
        <v>0</v>
      </c>
      <c r="P1132" s="30">
        <v>0</v>
      </c>
      <c r="Q1132" s="30">
        <v>0</v>
      </c>
      <c r="R1132" s="29">
        <v>0</v>
      </c>
      <c r="S1132" s="36">
        <v>0</v>
      </c>
      <c r="T1132" s="7" t="s">
        <v>131</v>
      </c>
      <c r="U1132" s="7" t="s">
        <v>512</v>
      </c>
      <c r="V1132" s="7" t="s">
        <v>512</v>
      </c>
      <c r="W1132" s="7" t="s">
        <v>1177</v>
      </c>
      <c r="X1132" s="30">
        <v>1</v>
      </c>
      <c r="Y1132" s="7" t="s">
        <v>1177</v>
      </c>
      <c r="Z1132" s="7" t="s">
        <v>1178</v>
      </c>
      <c r="AA1132" s="30">
        <v>0</v>
      </c>
      <c r="AB1132" s="36">
        <v>0</v>
      </c>
      <c r="AC1132" s="7" t="s">
        <v>1177</v>
      </c>
      <c r="AD1132" s="37">
        <v>0</v>
      </c>
      <c r="AE1132" s="7" t="s">
        <v>1177</v>
      </c>
      <c r="AF1132" s="7" t="s">
        <v>1177</v>
      </c>
      <c r="AG1132" s="7" t="s">
        <v>1177</v>
      </c>
      <c r="AH1132" s="38"/>
      <c r="AI1132" s="36">
        <v>0</v>
      </c>
      <c r="AJ1132" s="7" t="s">
        <v>1193</v>
      </c>
      <c r="AK1132" s="7" t="s">
        <v>1177</v>
      </c>
      <c r="AL1132" s="7" t="s">
        <v>1177</v>
      </c>
      <c r="AM1132" s="7" t="s">
        <v>1177</v>
      </c>
      <c r="AN1132" s="7" t="s">
        <v>3212</v>
      </c>
      <c r="AO1132" s="7" t="s">
        <v>1177</v>
      </c>
      <c r="AP1132" s="7" t="s">
        <v>1177</v>
      </c>
      <c r="AQ1132" s="7" t="s">
        <v>1177</v>
      </c>
      <c r="AR1132" s="29">
        <v>0</v>
      </c>
      <c r="AS1132" s="7" t="s">
        <v>1177</v>
      </c>
      <c r="AT1132" s="7" t="s">
        <v>1363</v>
      </c>
      <c r="AU1132" s="38">
        <v>46275</v>
      </c>
      <c r="AV1132" s="39">
        <v>0.62304398148147999</v>
      </c>
    </row>
    <row r="1133" spans="1:48" x14ac:dyDescent="0.35">
      <c r="A1133" t="str">
        <f t="shared" si="17"/>
        <v>GP268224B838</v>
      </c>
      <c r="B1133" s="7" t="s">
        <v>499</v>
      </c>
      <c r="C1133" s="7" t="s">
        <v>744</v>
      </c>
      <c r="D1133" s="7" t="s">
        <v>48</v>
      </c>
      <c r="E1133" s="7" t="s">
        <v>1177</v>
      </c>
      <c r="F1133" s="7" t="s">
        <v>128</v>
      </c>
      <c r="G1133" s="7" t="s">
        <v>130</v>
      </c>
      <c r="H1133" s="7" t="s">
        <v>129</v>
      </c>
      <c r="I1133" s="30">
        <v>2</v>
      </c>
      <c r="J1133" s="7" t="s">
        <v>1177</v>
      </c>
      <c r="K1133" s="7" t="s">
        <v>1178</v>
      </c>
      <c r="L1133" s="7" t="s">
        <v>132</v>
      </c>
      <c r="M1133" s="7" t="s">
        <v>133</v>
      </c>
      <c r="N1133" s="30">
        <v>0</v>
      </c>
      <c r="O1133" s="30">
        <v>0</v>
      </c>
      <c r="P1133" s="30">
        <v>0</v>
      </c>
      <c r="Q1133" s="30">
        <v>0</v>
      </c>
      <c r="R1133" s="29">
        <v>0</v>
      </c>
      <c r="S1133" s="36">
        <v>0</v>
      </c>
      <c r="T1133" s="7" t="s">
        <v>131</v>
      </c>
      <c r="U1133" s="7" t="s">
        <v>745</v>
      </c>
      <c r="V1133" s="7" t="s">
        <v>745</v>
      </c>
      <c r="W1133" s="7" t="s">
        <v>1177</v>
      </c>
      <c r="X1133" s="30">
        <v>1</v>
      </c>
      <c r="Y1133" s="7" t="s">
        <v>1177</v>
      </c>
      <c r="Z1133" s="7" t="s">
        <v>1178</v>
      </c>
      <c r="AA1133" s="30">
        <v>0</v>
      </c>
      <c r="AB1133" s="36">
        <v>0</v>
      </c>
      <c r="AC1133" s="7" t="s">
        <v>1177</v>
      </c>
      <c r="AD1133" s="37">
        <v>0</v>
      </c>
      <c r="AE1133" s="7" t="s">
        <v>1177</v>
      </c>
      <c r="AF1133" s="7" t="s">
        <v>1177</v>
      </c>
      <c r="AG1133" s="7" t="s">
        <v>1177</v>
      </c>
      <c r="AH1133" s="38"/>
      <c r="AI1133" s="36">
        <v>0</v>
      </c>
      <c r="AJ1133" s="7" t="s">
        <v>1193</v>
      </c>
      <c r="AK1133" s="7" t="s">
        <v>1177</v>
      </c>
      <c r="AL1133" s="7" t="s">
        <v>1177</v>
      </c>
      <c r="AM1133" s="7" t="s">
        <v>1177</v>
      </c>
      <c r="AN1133" s="7" t="s">
        <v>3212</v>
      </c>
      <c r="AO1133" s="7" t="s">
        <v>1177</v>
      </c>
      <c r="AP1133" s="7" t="s">
        <v>1177</v>
      </c>
      <c r="AQ1133" s="7" t="s">
        <v>1177</v>
      </c>
      <c r="AR1133" s="29">
        <v>0</v>
      </c>
      <c r="AS1133" s="7" t="s">
        <v>1177</v>
      </c>
      <c r="AT1133" s="7" t="s">
        <v>1363</v>
      </c>
      <c r="AU1133" s="38">
        <v>46275</v>
      </c>
      <c r="AV1133" s="39">
        <v>0.62400462962962999</v>
      </c>
    </row>
    <row r="1134" spans="1:48" x14ac:dyDescent="0.35">
      <c r="A1134" t="str">
        <f t="shared" si="17"/>
        <v>GP268236B825</v>
      </c>
      <c r="B1134" s="7" t="s">
        <v>500</v>
      </c>
      <c r="C1134" s="7" t="s">
        <v>511</v>
      </c>
      <c r="D1134" s="7" t="s">
        <v>16</v>
      </c>
      <c r="E1134" s="7" t="s">
        <v>1177</v>
      </c>
      <c r="F1134" s="7" t="s">
        <v>128</v>
      </c>
      <c r="G1134" s="7" t="s">
        <v>130</v>
      </c>
      <c r="H1134" s="7" t="s">
        <v>129</v>
      </c>
      <c r="I1134" s="30">
        <v>2</v>
      </c>
      <c r="J1134" s="7" t="s">
        <v>1177</v>
      </c>
      <c r="K1134" s="7" t="s">
        <v>1178</v>
      </c>
      <c r="L1134" s="7" t="s">
        <v>132</v>
      </c>
      <c r="M1134" s="7" t="s">
        <v>133</v>
      </c>
      <c r="N1134" s="30">
        <v>0</v>
      </c>
      <c r="O1134" s="30">
        <v>0</v>
      </c>
      <c r="P1134" s="30">
        <v>0</v>
      </c>
      <c r="Q1134" s="30">
        <v>0</v>
      </c>
      <c r="R1134" s="29">
        <v>0</v>
      </c>
      <c r="S1134" s="36">
        <v>0</v>
      </c>
      <c r="T1134" s="7" t="s">
        <v>131</v>
      </c>
      <c r="U1134" s="7" t="s">
        <v>512</v>
      </c>
      <c r="V1134" s="7" t="s">
        <v>512</v>
      </c>
      <c r="W1134" s="7" t="s">
        <v>1177</v>
      </c>
      <c r="X1134" s="30">
        <v>1</v>
      </c>
      <c r="Y1134" s="7" t="s">
        <v>1177</v>
      </c>
      <c r="Z1134" s="7" t="s">
        <v>1178</v>
      </c>
      <c r="AA1134" s="30">
        <v>0</v>
      </c>
      <c r="AB1134" s="36">
        <v>0</v>
      </c>
      <c r="AC1134" s="7" t="s">
        <v>1177</v>
      </c>
      <c r="AD1134" s="37">
        <v>0</v>
      </c>
      <c r="AE1134" s="7" t="s">
        <v>1177</v>
      </c>
      <c r="AF1134" s="7" t="s">
        <v>1177</v>
      </c>
      <c r="AG1134" s="7" t="s">
        <v>1177</v>
      </c>
      <c r="AH1134" s="38"/>
      <c r="AI1134" s="36">
        <v>0</v>
      </c>
      <c r="AJ1134" s="7" t="s">
        <v>1193</v>
      </c>
      <c r="AK1134" s="7" t="s">
        <v>1177</v>
      </c>
      <c r="AL1134" s="7" t="s">
        <v>1177</v>
      </c>
      <c r="AM1134" s="7" t="s">
        <v>1177</v>
      </c>
      <c r="AN1134" s="7" t="s">
        <v>3212</v>
      </c>
      <c r="AO1134" s="7" t="s">
        <v>1177</v>
      </c>
      <c r="AP1134" s="7" t="s">
        <v>1177</v>
      </c>
      <c r="AQ1134" s="7" t="s">
        <v>1177</v>
      </c>
      <c r="AR1134" s="29">
        <v>0</v>
      </c>
      <c r="AS1134" s="7" t="s">
        <v>1177</v>
      </c>
      <c r="AT1134" s="7" t="s">
        <v>1363</v>
      </c>
      <c r="AU1134" s="38">
        <v>46275</v>
      </c>
      <c r="AV1134" s="39">
        <v>0.62304398148147999</v>
      </c>
    </row>
    <row r="1135" spans="1:48" x14ac:dyDescent="0.35">
      <c r="A1135" t="str">
        <f t="shared" si="17"/>
        <v>GP268236B857</v>
      </c>
      <c r="B1135" s="7" t="s">
        <v>500</v>
      </c>
      <c r="C1135" s="7" t="s">
        <v>958</v>
      </c>
      <c r="D1135" s="7" t="s">
        <v>23</v>
      </c>
      <c r="E1135" s="7" t="s">
        <v>1177</v>
      </c>
      <c r="F1135" s="7" t="s">
        <v>128</v>
      </c>
      <c r="G1135" s="7" t="s">
        <v>130</v>
      </c>
      <c r="H1135" s="7" t="s">
        <v>129</v>
      </c>
      <c r="I1135" s="30">
        <v>2</v>
      </c>
      <c r="J1135" s="7" t="s">
        <v>1177</v>
      </c>
      <c r="K1135" s="7" t="s">
        <v>1178</v>
      </c>
      <c r="L1135" s="7" t="s">
        <v>132</v>
      </c>
      <c r="M1135" s="7" t="s">
        <v>133</v>
      </c>
      <c r="N1135" s="30">
        <v>0</v>
      </c>
      <c r="O1135" s="30">
        <v>0</v>
      </c>
      <c r="P1135" s="30">
        <v>0</v>
      </c>
      <c r="Q1135" s="30">
        <v>0</v>
      </c>
      <c r="R1135" s="29">
        <v>0</v>
      </c>
      <c r="S1135" s="36">
        <v>0</v>
      </c>
      <c r="T1135" s="7" t="s">
        <v>131</v>
      </c>
      <c r="U1135" s="7" t="s">
        <v>959</v>
      </c>
      <c r="V1135" s="7" t="s">
        <v>959</v>
      </c>
      <c r="W1135" s="7" t="s">
        <v>1177</v>
      </c>
      <c r="X1135" s="30">
        <v>1</v>
      </c>
      <c r="Y1135" s="7" t="s">
        <v>1177</v>
      </c>
      <c r="Z1135" s="7" t="s">
        <v>1178</v>
      </c>
      <c r="AA1135" s="30">
        <v>0</v>
      </c>
      <c r="AB1135" s="36">
        <v>0</v>
      </c>
      <c r="AC1135" s="7" t="s">
        <v>1177</v>
      </c>
      <c r="AD1135" s="37">
        <v>0</v>
      </c>
      <c r="AE1135" s="7" t="s">
        <v>1177</v>
      </c>
      <c r="AF1135" s="7" t="s">
        <v>1177</v>
      </c>
      <c r="AG1135" s="7" t="s">
        <v>1177</v>
      </c>
      <c r="AH1135" s="38"/>
      <c r="AI1135" s="36">
        <v>0</v>
      </c>
      <c r="AJ1135" s="7" t="s">
        <v>1193</v>
      </c>
      <c r="AK1135" s="7" t="s">
        <v>1177</v>
      </c>
      <c r="AL1135" s="7" t="s">
        <v>1177</v>
      </c>
      <c r="AM1135" s="7" t="s">
        <v>1177</v>
      </c>
      <c r="AN1135" s="7" t="s">
        <v>3212</v>
      </c>
      <c r="AO1135" s="7" t="s">
        <v>1177</v>
      </c>
      <c r="AP1135" s="7" t="s">
        <v>1177</v>
      </c>
      <c r="AQ1135" s="7" t="s">
        <v>1177</v>
      </c>
      <c r="AR1135" s="29">
        <v>0</v>
      </c>
      <c r="AS1135" s="7" t="s">
        <v>1177</v>
      </c>
      <c r="AT1135" s="7" t="s">
        <v>1363</v>
      </c>
      <c r="AU1135" s="38">
        <v>46275</v>
      </c>
      <c r="AV1135" s="39">
        <v>0.62491898148147995</v>
      </c>
    </row>
    <row r="1136" spans="1:48" x14ac:dyDescent="0.35">
      <c r="A1136" t="str">
        <f t="shared" si="17"/>
        <v>GP268238B857</v>
      </c>
      <c r="B1136" s="7" t="s">
        <v>976</v>
      </c>
      <c r="C1136" s="7" t="s">
        <v>958</v>
      </c>
      <c r="D1136" s="7" t="s">
        <v>23</v>
      </c>
      <c r="E1136" s="7" t="s">
        <v>1177</v>
      </c>
      <c r="F1136" s="7" t="s">
        <v>128</v>
      </c>
      <c r="G1136" s="7" t="s">
        <v>130</v>
      </c>
      <c r="H1136" s="7" t="s">
        <v>129</v>
      </c>
      <c r="I1136" s="30">
        <v>1</v>
      </c>
      <c r="J1136" s="7" t="s">
        <v>1177</v>
      </c>
      <c r="K1136" s="7" t="s">
        <v>1178</v>
      </c>
      <c r="L1136" s="7" t="s">
        <v>132</v>
      </c>
      <c r="M1136" s="7" t="s">
        <v>133</v>
      </c>
      <c r="N1136" s="30">
        <v>0</v>
      </c>
      <c r="O1136" s="30">
        <v>0</v>
      </c>
      <c r="P1136" s="30">
        <v>0</v>
      </c>
      <c r="Q1136" s="30">
        <v>0</v>
      </c>
      <c r="R1136" s="29">
        <v>0</v>
      </c>
      <c r="S1136" s="36">
        <v>0</v>
      </c>
      <c r="T1136" s="7" t="s">
        <v>131</v>
      </c>
      <c r="U1136" s="7" t="s">
        <v>959</v>
      </c>
      <c r="V1136" s="7" t="s">
        <v>959</v>
      </c>
      <c r="W1136" s="7" t="s">
        <v>1177</v>
      </c>
      <c r="X1136" s="30">
        <v>1</v>
      </c>
      <c r="Y1136" s="7" t="s">
        <v>1177</v>
      </c>
      <c r="Z1136" s="7" t="s">
        <v>1178</v>
      </c>
      <c r="AA1136" s="30">
        <v>0</v>
      </c>
      <c r="AB1136" s="36">
        <v>0</v>
      </c>
      <c r="AC1136" s="7" t="s">
        <v>1177</v>
      </c>
      <c r="AD1136" s="37">
        <v>0</v>
      </c>
      <c r="AE1136" s="7" t="s">
        <v>1177</v>
      </c>
      <c r="AF1136" s="7" t="s">
        <v>1177</v>
      </c>
      <c r="AG1136" s="7" t="s">
        <v>1177</v>
      </c>
      <c r="AH1136" s="38"/>
      <c r="AI1136" s="36">
        <v>0</v>
      </c>
      <c r="AJ1136" s="7" t="s">
        <v>1193</v>
      </c>
      <c r="AK1136" s="7" t="s">
        <v>1177</v>
      </c>
      <c r="AL1136" s="7" t="s">
        <v>1177</v>
      </c>
      <c r="AM1136" s="7" t="s">
        <v>1177</v>
      </c>
      <c r="AN1136" s="7" t="s">
        <v>3212</v>
      </c>
      <c r="AO1136" s="7" t="s">
        <v>1177</v>
      </c>
      <c r="AP1136" s="7" t="s">
        <v>1177</v>
      </c>
      <c r="AQ1136" s="7" t="s">
        <v>1177</v>
      </c>
      <c r="AR1136" s="29">
        <v>0</v>
      </c>
      <c r="AS1136" s="7" t="s">
        <v>1177</v>
      </c>
      <c r="AT1136" s="7" t="s">
        <v>1363</v>
      </c>
      <c r="AU1136" s="38">
        <v>46275</v>
      </c>
      <c r="AV1136" s="39">
        <v>0.62490740740741002</v>
      </c>
    </row>
    <row r="1137" spans="1:48" x14ac:dyDescent="0.35">
      <c r="A1137" t="str">
        <f t="shared" si="17"/>
        <v>GP268260B865</v>
      </c>
      <c r="B1137" s="7" t="s">
        <v>737</v>
      </c>
      <c r="C1137" s="7" t="s">
        <v>1039</v>
      </c>
      <c r="D1137" s="7" t="s">
        <v>7</v>
      </c>
      <c r="E1137" s="7" t="s">
        <v>1177</v>
      </c>
      <c r="F1137" s="7" t="s">
        <v>128</v>
      </c>
      <c r="G1137" s="7" t="s">
        <v>130</v>
      </c>
      <c r="H1137" s="7" t="s">
        <v>129</v>
      </c>
      <c r="I1137" s="30">
        <v>2</v>
      </c>
      <c r="J1137" s="7" t="s">
        <v>1177</v>
      </c>
      <c r="K1137" s="7" t="s">
        <v>1178</v>
      </c>
      <c r="L1137" s="7" t="s">
        <v>132</v>
      </c>
      <c r="M1137" s="7" t="s">
        <v>133</v>
      </c>
      <c r="N1137" s="30">
        <v>0</v>
      </c>
      <c r="O1137" s="30">
        <v>0</v>
      </c>
      <c r="P1137" s="30">
        <v>0</v>
      </c>
      <c r="Q1137" s="30">
        <v>0</v>
      </c>
      <c r="R1137" s="29">
        <v>0</v>
      </c>
      <c r="S1137" s="36">
        <v>0</v>
      </c>
      <c r="T1137" s="7" t="s">
        <v>131</v>
      </c>
      <c r="U1137" s="7" t="s">
        <v>1040</v>
      </c>
      <c r="V1137" s="7" t="s">
        <v>1040</v>
      </c>
      <c r="W1137" s="7" t="s">
        <v>1177</v>
      </c>
      <c r="X1137" s="30">
        <v>1</v>
      </c>
      <c r="Y1137" s="7" t="s">
        <v>1177</v>
      </c>
      <c r="Z1137" s="7" t="s">
        <v>1178</v>
      </c>
      <c r="AA1137" s="30">
        <v>0</v>
      </c>
      <c r="AB1137" s="36">
        <v>0</v>
      </c>
      <c r="AC1137" s="7" t="s">
        <v>1177</v>
      </c>
      <c r="AD1137" s="37">
        <v>0</v>
      </c>
      <c r="AE1137" s="7" t="s">
        <v>1177</v>
      </c>
      <c r="AF1137" s="7" t="s">
        <v>1177</v>
      </c>
      <c r="AG1137" s="7" t="s">
        <v>1177</v>
      </c>
      <c r="AH1137" s="38"/>
      <c r="AI1137" s="36">
        <v>0</v>
      </c>
      <c r="AJ1137" s="7" t="s">
        <v>1193</v>
      </c>
      <c r="AK1137" s="7" t="s">
        <v>1177</v>
      </c>
      <c r="AL1137" s="7" t="s">
        <v>1177</v>
      </c>
      <c r="AM1137" s="7" t="s">
        <v>1177</v>
      </c>
      <c r="AN1137" s="7" t="s">
        <v>3212</v>
      </c>
      <c r="AO1137" s="7" t="s">
        <v>1177</v>
      </c>
      <c r="AP1137" s="7" t="s">
        <v>1177</v>
      </c>
      <c r="AQ1137" s="7" t="s">
        <v>1177</v>
      </c>
      <c r="AR1137" s="29">
        <v>0</v>
      </c>
      <c r="AS1137" s="7" t="s">
        <v>1177</v>
      </c>
      <c r="AT1137" s="7" t="s">
        <v>1363</v>
      </c>
      <c r="AU1137" s="38">
        <v>46275</v>
      </c>
      <c r="AV1137" s="39">
        <v>0.62666666666667004</v>
      </c>
    </row>
    <row r="1138" spans="1:48" x14ac:dyDescent="0.35">
      <c r="A1138" t="str">
        <f t="shared" si="17"/>
        <v>GP268260B867</v>
      </c>
      <c r="B1138" s="7" t="s">
        <v>737</v>
      </c>
      <c r="C1138" s="7" t="s">
        <v>1059</v>
      </c>
      <c r="D1138" s="7" t="s">
        <v>25</v>
      </c>
      <c r="E1138" s="7" t="s">
        <v>1177</v>
      </c>
      <c r="F1138" s="7" t="s">
        <v>128</v>
      </c>
      <c r="G1138" s="7" t="s">
        <v>130</v>
      </c>
      <c r="H1138" s="7" t="s">
        <v>129</v>
      </c>
      <c r="I1138" s="30">
        <v>2</v>
      </c>
      <c r="J1138" s="7" t="s">
        <v>1177</v>
      </c>
      <c r="K1138" s="7" t="s">
        <v>1178</v>
      </c>
      <c r="L1138" s="7" t="s">
        <v>132</v>
      </c>
      <c r="M1138" s="7" t="s">
        <v>133</v>
      </c>
      <c r="N1138" s="30">
        <v>0</v>
      </c>
      <c r="O1138" s="30">
        <v>0</v>
      </c>
      <c r="P1138" s="30">
        <v>0</v>
      </c>
      <c r="Q1138" s="30">
        <v>0</v>
      </c>
      <c r="R1138" s="29">
        <v>0</v>
      </c>
      <c r="S1138" s="36">
        <v>0</v>
      </c>
      <c r="T1138" s="7" t="s">
        <v>131</v>
      </c>
      <c r="U1138" s="7" t="s">
        <v>1060</v>
      </c>
      <c r="V1138" s="7" t="s">
        <v>1060</v>
      </c>
      <c r="W1138" s="7" t="s">
        <v>1177</v>
      </c>
      <c r="X1138" s="30">
        <v>1</v>
      </c>
      <c r="Y1138" s="7" t="s">
        <v>1177</v>
      </c>
      <c r="Z1138" s="7" t="s">
        <v>1178</v>
      </c>
      <c r="AA1138" s="30">
        <v>0</v>
      </c>
      <c r="AB1138" s="36">
        <v>0</v>
      </c>
      <c r="AC1138" s="7" t="s">
        <v>1177</v>
      </c>
      <c r="AD1138" s="37">
        <v>0</v>
      </c>
      <c r="AE1138" s="7" t="s">
        <v>1177</v>
      </c>
      <c r="AF1138" s="7" t="s">
        <v>1177</v>
      </c>
      <c r="AG1138" s="7" t="s">
        <v>1177</v>
      </c>
      <c r="AH1138" s="38"/>
      <c r="AI1138" s="36">
        <v>0</v>
      </c>
      <c r="AJ1138" s="7" t="s">
        <v>1193</v>
      </c>
      <c r="AK1138" s="7" t="s">
        <v>1177</v>
      </c>
      <c r="AL1138" s="7" t="s">
        <v>1177</v>
      </c>
      <c r="AM1138" s="7" t="s">
        <v>1177</v>
      </c>
      <c r="AN1138" s="7" t="s">
        <v>3212</v>
      </c>
      <c r="AO1138" s="7" t="s">
        <v>1177</v>
      </c>
      <c r="AP1138" s="7" t="s">
        <v>1177</v>
      </c>
      <c r="AQ1138" s="7" t="s">
        <v>1177</v>
      </c>
      <c r="AR1138" s="29">
        <v>0</v>
      </c>
      <c r="AS1138" s="7" t="s">
        <v>1177</v>
      </c>
      <c r="AT1138" s="7" t="s">
        <v>1363</v>
      </c>
      <c r="AU1138" s="38">
        <v>46275</v>
      </c>
      <c r="AV1138" s="39">
        <v>0.62712962962963004</v>
      </c>
    </row>
    <row r="1139" spans="1:48" x14ac:dyDescent="0.35">
      <c r="A1139" t="str">
        <f t="shared" si="17"/>
        <v>GP268263B856</v>
      </c>
      <c r="B1139" s="7" t="s">
        <v>875</v>
      </c>
      <c r="C1139" s="7" t="s">
        <v>852</v>
      </c>
      <c r="D1139" s="7" t="s">
        <v>21</v>
      </c>
      <c r="E1139" s="7" t="s">
        <v>1177</v>
      </c>
      <c r="F1139" s="7" t="s">
        <v>128</v>
      </c>
      <c r="G1139" s="7" t="s">
        <v>130</v>
      </c>
      <c r="H1139" s="7" t="s">
        <v>129</v>
      </c>
      <c r="I1139" s="30">
        <v>2</v>
      </c>
      <c r="J1139" s="7" t="s">
        <v>1177</v>
      </c>
      <c r="K1139" s="7" t="s">
        <v>1178</v>
      </c>
      <c r="L1139" s="7" t="s">
        <v>132</v>
      </c>
      <c r="M1139" s="7" t="s">
        <v>133</v>
      </c>
      <c r="N1139" s="30">
        <v>0</v>
      </c>
      <c r="O1139" s="30">
        <v>0</v>
      </c>
      <c r="P1139" s="30">
        <v>0</v>
      </c>
      <c r="Q1139" s="30">
        <v>0</v>
      </c>
      <c r="R1139" s="29">
        <v>0</v>
      </c>
      <c r="S1139" s="36">
        <v>0</v>
      </c>
      <c r="T1139" s="7" t="s">
        <v>131</v>
      </c>
      <c r="U1139" s="7" t="s">
        <v>853</v>
      </c>
      <c r="V1139" s="7" t="s">
        <v>853</v>
      </c>
      <c r="W1139" s="7" t="s">
        <v>1177</v>
      </c>
      <c r="X1139" s="30">
        <v>1</v>
      </c>
      <c r="Y1139" s="7" t="s">
        <v>1177</v>
      </c>
      <c r="Z1139" s="7" t="s">
        <v>1178</v>
      </c>
      <c r="AA1139" s="30">
        <v>0</v>
      </c>
      <c r="AB1139" s="36">
        <v>0</v>
      </c>
      <c r="AC1139" s="7" t="s">
        <v>1177</v>
      </c>
      <c r="AD1139" s="37">
        <v>0</v>
      </c>
      <c r="AE1139" s="7" t="s">
        <v>1177</v>
      </c>
      <c r="AF1139" s="7" t="s">
        <v>1177</v>
      </c>
      <c r="AG1139" s="7" t="s">
        <v>1177</v>
      </c>
      <c r="AH1139" s="38"/>
      <c r="AI1139" s="36">
        <v>0</v>
      </c>
      <c r="AJ1139" s="7" t="s">
        <v>1193</v>
      </c>
      <c r="AK1139" s="7" t="s">
        <v>1177</v>
      </c>
      <c r="AL1139" s="7" t="s">
        <v>1177</v>
      </c>
      <c r="AM1139" s="7" t="s">
        <v>1177</v>
      </c>
      <c r="AN1139" s="7" t="s">
        <v>3212</v>
      </c>
      <c r="AO1139" s="7" t="s">
        <v>1177</v>
      </c>
      <c r="AP1139" s="7" t="s">
        <v>1177</v>
      </c>
      <c r="AQ1139" s="7" t="s">
        <v>1177</v>
      </c>
      <c r="AR1139" s="29">
        <v>0</v>
      </c>
      <c r="AS1139" s="7" t="s">
        <v>1177</v>
      </c>
      <c r="AT1139" s="7" t="s">
        <v>1363</v>
      </c>
      <c r="AU1139" s="38">
        <v>46275</v>
      </c>
      <c r="AV1139" s="39">
        <v>0.62487268518519001</v>
      </c>
    </row>
    <row r="1140" spans="1:48" x14ac:dyDescent="0.35">
      <c r="A1140" t="str">
        <f t="shared" si="17"/>
        <v>GP268269B825</v>
      </c>
      <c r="B1140" s="7" t="s">
        <v>589</v>
      </c>
      <c r="C1140" s="7" t="s">
        <v>511</v>
      </c>
      <c r="D1140" s="7" t="s">
        <v>16</v>
      </c>
      <c r="E1140" s="7" t="s">
        <v>1177</v>
      </c>
      <c r="F1140" s="7" t="s">
        <v>128</v>
      </c>
      <c r="G1140" s="7" t="s">
        <v>130</v>
      </c>
      <c r="H1140" s="7" t="s">
        <v>129</v>
      </c>
      <c r="I1140" s="30">
        <v>2</v>
      </c>
      <c r="J1140" s="7" t="s">
        <v>1177</v>
      </c>
      <c r="K1140" s="7" t="s">
        <v>1178</v>
      </c>
      <c r="L1140" s="7" t="s">
        <v>132</v>
      </c>
      <c r="M1140" s="7" t="s">
        <v>133</v>
      </c>
      <c r="N1140" s="30">
        <v>0</v>
      </c>
      <c r="O1140" s="30">
        <v>0</v>
      </c>
      <c r="P1140" s="30">
        <v>0</v>
      </c>
      <c r="Q1140" s="30">
        <v>0</v>
      </c>
      <c r="R1140" s="29">
        <v>0</v>
      </c>
      <c r="S1140" s="36">
        <v>0</v>
      </c>
      <c r="T1140" s="7" t="s">
        <v>131</v>
      </c>
      <c r="U1140" s="7" t="s">
        <v>512</v>
      </c>
      <c r="V1140" s="7" t="s">
        <v>512</v>
      </c>
      <c r="W1140" s="7" t="s">
        <v>1177</v>
      </c>
      <c r="X1140" s="30">
        <v>1</v>
      </c>
      <c r="Y1140" s="7" t="s">
        <v>1177</v>
      </c>
      <c r="Z1140" s="7" t="s">
        <v>1178</v>
      </c>
      <c r="AA1140" s="30">
        <v>0</v>
      </c>
      <c r="AB1140" s="36">
        <v>0</v>
      </c>
      <c r="AC1140" s="7" t="s">
        <v>1177</v>
      </c>
      <c r="AD1140" s="37">
        <v>0</v>
      </c>
      <c r="AE1140" s="7" t="s">
        <v>1177</v>
      </c>
      <c r="AF1140" s="7" t="s">
        <v>1177</v>
      </c>
      <c r="AG1140" s="7" t="s">
        <v>1177</v>
      </c>
      <c r="AH1140" s="38"/>
      <c r="AI1140" s="36">
        <v>0</v>
      </c>
      <c r="AJ1140" s="7" t="s">
        <v>1193</v>
      </c>
      <c r="AK1140" s="7" t="s">
        <v>1177</v>
      </c>
      <c r="AL1140" s="7" t="s">
        <v>1177</v>
      </c>
      <c r="AM1140" s="7" t="s">
        <v>1177</v>
      </c>
      <c r="AN1140" s="7" t="s">
        <v>3212</v>
      </c>
      <c r="AO1140" s="7" t="s">
        <v>1177</v>
      </c>
      <c r="AP1140" s="7" t="s">
        <v>1177</v>
      </c>
      <c r="AQ1140" s="7" t="s">
        <v>1177</v>
      </c>
      <c r="AR1140" s="29">
        <v>0</v>
      </c>
      <c r="AS1140" s="7" t="s">
        <v>1177</v>
      </c>
      <c r="AT1140" s="7" t="s">
        <v>1363</v>
      </c>
      <c r="AU1140" s="38">
        <v>46275</v>
      </c>
      <c r="AV1140" s="39">
        <v>0.62304398148147999</v>
      </c>
    </row>
    <row r="1141" spans="1:48" x14ac:dyDescent="0.35">
      <c r="A1141" t="str">
        <f t="shared" si="17"/>
        <v>GP268270B825</v>
      </c>
      <c r="B1141" s="7" t="s">
        <v>501</v>
      </c>
      <c r="C1141" s="7" t="s">
        <v>511</v>
      </c>
      <c r="D1141" s="7" t="s">
        <v>16</v>
      </c>
      <c r="E1141" s="7" t="s">
        <v>1177</v>
      </c>
      <c r="F1141" s="7" t="s">
        <v>134</v>
      </c>
      <c r="G1141" s="7" t="s">
        <v>130</v>
      </c>
      <c r="H1141" s="7" t="s">
        <v>129</v>
      </c>
      <c r="I1141" s="30">
        <v>2</v>
      </c>
      <c r="J1141" s="7" t="s">
        <v>1177</v>
      </c>
      <c r="K1141" s="7" t="s">
        <v>1178</v>
      </c>
      <c r="L1141" s="7" t="s">
        <v>132</v>
      </c>
      <c r="M1141" s="7" t="s">
        <v>133</v>
      </c>
      <c r="N1141" s="30">
        <v>0</v>
      </c>
      <c r="O1141" s="30">
        <v>0</v>
      </c>
      <c r="P1141" s="30">
        <v>0</v>
      </c>
      <c r="Q1141" s="30">
        <v>0</v>
      </c>
      <c r="R1141" s="29">
        <v>0</v>
      </c>
      <c r="S1141" s="36">
        <v>0</v>
      </c>
      <c r="T1141" s="7" t="s">
        <v>131</v>
      </c>
      <c r="U1141" s="7" t="s">
        <v>512</v>
      </c>
      <c r="V1141" s="7" t="s">
        <v>512</v>
      </c>
      <c r="W1141" s="7" t="s">
        <v>1177</v>
      </c>
      <c r="X1141" s="30">
        <v>2</v>
      </c>
      <c r="Y1141" s="7" t="s">
        <v>1177</v>
      </c>
      <c r="Z1141" s="7" t="s">
        <v>1178</v>
      </c>
      <c r="AA1141" s="30">
        <v>0</v>
      </c>
      <c r="AB1141" s="36">
        <v>0</v>
      </c>
      <c r="AC1141" s="7" t="s">
        <v>1177</v>
      </c>
      <c r="AD1141" s="37">
        <v>0</v>
      </c>
      <c r="AE1141" s="7" t="s">
        <v>1177</v>
      </c>
      <c r="AF1141" s="7" t="s">
        <v>1177</v>
      </c>
      <c r="AG1141" s="7" t="s">
        <v>1177</v>
      </c>
      <c r="AH1141" s="38"/>
      <c r="AI1141" s="36">
        <v>0</v>
      </c>
      <c r="AJ1141" s="7" t="s">
        <v>1193</v>
      </c>
      <c r="AK1141" s="7" t="s">
        <v>1177</v>
      </c>
      <c r="AL1141" s="7" t="s">
        <v>1177</v>
      </c>
      <c r="AM1141" s="7" t="s">
        <v>1177</v>
      </c>
      <c r="AN1141" s="7" t="s">
        <v>3212</v>
      </c>
      <c r="AO1141" s="7" t="s">
        <v>1177</v>
      </c>
      <c r="AP1141" s="7" t="s">
        <v>1177</v>
      </c>
      <c r="AQ1141" s="7" t="s">
        <v>1177</v>
      </c>
      <c r="AR1141" s="29">
        <v>0</v>
      </c>
      <c r="AS1141" s="7" t="s">
        <v>1177</v>
      </c>
      <c r="AT1141" s="7" t="s">
        <v>1363</v>
      </c>
      <c r="AU1141" s="38">
        <v>46275</v>
      </c>
      <c r="AV1141" s="39">
        <v>0.60351851851852001</v>
      </c>
    </row>
    <row r="1142" spans="1:48" x14ac:dyDescent="0.35">
      <c r="A1142" t="str">
        <f t="shared" si="17"/>
        <v>GP268270B832</v>
      </c>
      <c r="B1142" s="7" t="s">
        <v>501</v>
      </c>
      <c r="C1142" s="7" t="s">
        <v>653</v>
      </c>
      <c r="D1142" s="7" t="s">
        <v>19</v>
      </c>
      <c r="E1142" s="7" t="s">
        <v>1177</v>
      </c>
      <c r="F1142" s="7" t="s">
        <v>134</v>
      </c>
      <c r="G1142" s="7" t="s">
        <v>130</v>
      </c>
      <c r="H1142" s="7" t="s">
        <v>129</v>
      </c>
      <c r="I1142" s="30">
        <v>2</v>
      </c>
      <c r="J1142" s="7" t="s">
        <v>1177</v>
      </c>
      <c r="K1142" s="7" t="s">
        <v>1178</v>
      </c>
      <c r="L1142" s="7" t="s">
        <v>132</v>
      </c>
      <c r="M1142" s="7" t="s">
        <v>133</v>
      </c>
      <c r="N1142" s="30">
        <v>0</v>
      </c>
      <c r="O1142" s="30">
        <v>0</v>
      </c>
      <c r="P1142" s="30">
        <v>0</v>
      </c>
      <c r="Q1142" s="30">
        <v>0</v>
      </c>
      <c r="R1142" s="29">
        <v>0</v>
      </c>
      <c r="S1142" s="36">
        <v>0</v>
      </c>
      <c r="T1142" s="7" t="s">
        <v>131</v>
      </c>
      <c r="U1142" s="7" t="s">
        <v>654</v>
      </c>
      <c r="V1142" s="7" t="s">
        <v>654</v>
      </c>
      <c r="W1142" s="7" t="s">
        <v>1177</v>
      </c>
      <c r="X1142" s="30">
        <v>2</v>
      </c>
      <c r="Y1142" s="7" t="s">
        <v>1177</v>
      </c>
      <c r="Z1142" s="7" t="s">
        <v>1178</v>
      </c>
      <c r="AA1142" s="30">
        <v>0</v>
      </c>
      <c r="AB1142" s="36">
        <v>0</v>
      </c>
      <c r="AC1142" s="7" t="s">
        <v>1177</v>
      </c>
      <c r="AD1142" s="37">
        <v>0</v>
      </c>
      <c r="AE1142" s="7" t="s">
        <v>1177</v>
      </c>
      <c r="AF1142" s="7" t="s">
        <v>1177</v>
      </c>
      <c r="AG1142" s="7" t="s">
        <v>1177</v>
      </c>
      <c r="AH1142" s="38"/>
      <c r="AI1142" s="36">
        <v>0</v>
      </c>
      <c r="AJ1142" s="7" t="s">
        <v>1193</v>
      </c>
      <c r="AK1142" s="7" t="s">
        <v>1177</v>
      </c>
      <c r="AL1142" s="7" t="s">
        <v>1177</v>
      </c>
      <c r="AM1142" s="7" t="s">
        <v>1177</v>
      </c>
      <c r="AN1142" s="7" t="s">
        <v>3212</v>
      </c>
      <c r="AO1142" s="7" t="s">
        <v>1177</v>
      </c>
      <c r="AP1142" s="7" t="s">
        <v>1177</v>
      </c>
      <c r="AQ1142" s="7" t="s">
        <v>1177</v>
      </c>
      <c r="AR1142" s="29">
        <v>0</v>
      </c>
      <c r="AS1142" s="7" t="s">
        <v>1177</v>
      </c>
      <c r="AT1142" s="7" t="s">
        <v>1363</v>
      </c>
      <c r="AU1142" s="38">
        <v>46275</v>
      </c>
      <c r="AV1142" s="39">
        <v>0.60386574074073995</v>
      </c>
    </row>
    <row r="1143" spans="1:48" x14ac:dyDescent="0.35">
      <c r="A1143" t="str">
        <f t="shared" si="17"/>
        <v>GP268284B857</v>
      </c>
      <c r="B1143" s="7" t="s">
        <v>977</v>
      </c>
      <c r="C1143" s="7" t="s">
        <v>958</v>
      </c>
      <c r="D1143" s="7" t="s">
        <v>23</v>
      </c>
      <c r="E1143" s="7" t="s">
        <v>1177</v>
      </c>
      <c r="F1143" s="7" t="s">
        <v>128</v>
      </c>
      <c r="G1143" s="7" t="s">
        <v>130</v>
      </c>
      <c r="H1143" s="7" t="s">
        <v>129</v>
      </c>
      <c r="I1143" s="30">
        <v>1</v>
      </c>
      <c r="J1143" s="7" t="s">
        <v>1177</v>
      </c>
      <c r="K1143" s="7" t="s">
        <v>1178</v>
      </c>
      <c r="L1143" s="7" t="s">
        <v>132</v>
      </c>
      <c r="M1143" s="7" t="s">
        <v>133</v>
      </c>
      <c r="N1143" s="30">
        <v>0</v>
      </c>
      <c r="O1143" s="30">
        <v>0</v>
      </c>
      <c r="P1143" s="30">
        <v>0</v>
      </c>
      <c r="Q1143" s="30">
        <v>0</v>
      </c>
      <c r="R1143" s="29">
        <v>0</v>
      </c>
      <c r="S1143" s="36">
        <v>0</v>
      </c>
      <c r="T1143" s="7" t="s">
        <v>131</v>
      </c>
      <c r="U1143" s="7" t="s">
        <v>959</v>
      </c>
      <c r="V1143" s="7" t="s">
        <v>959</v>
      </c>
      <c r="W1143" s="7" t="s">
        <v>1177</v>
      </c>
      <c r="X1143" s="30">
        <v>1</v>
      </c>
      <c r="Y1143" s="7" t="s">
        <v>1177</v>
      </c>
      <c r="Z1143" s="7" t="s">
        <v>1178</v>
      </c>
      <c r="AA1143" s="30">
        <v>0</v>
      </c>
      <c r="AB1143" s="36">
        <v>0</v>
      </c>
      <c r="AC1143" s="7" t="s">
        <v>1177</v>
      </c>
      <c r="AD1143" s="37">
        <v>0</v>
      </c>
      <c r="AE1143" s="7" t="s">
        <v>1177</v>
      </c>
      <c r="AF1143" s="7" t="s">
        <v>1177</v>
      </c>
      <c r="AG1143" s="7" t="s">
        <v>1177</v>
      </c>
      <c r="AH1143" s="38"/>
      <c r="AI1143" s="36">
        <v>0</v>
      </c>
      <c r="AJ1143" s="7" t="s">
        <v>1193</v>
      </c>
      <c r="AK1143" s="7" t="s">
        <v>1177</v>
      </c>
      <c r="AL1143" s="7" t="s">
        <v>1177</v>
      </c>
      <c r="AM1143" s="7" t="s">
        <v>1177</v>
      </c>
      <c r="AN1143" s="7" t="s">
        <v>3212</v>
      </c>
      <c r="AO1143" s="7" t="s">
        <v>1177</v>
      </c>
      <c r="AP1143" s="7" t="s">
        <v>1177</v>
      </c>
      <c r="AQ1143" s="7" t="s">
        <v>1177</v>
      </c>
      <c r="AR1143" s="29">
        <v>0</v>
      </c>
      <c r="AS1143" s="7" t="s">
        <v>1177</v>
      </c>
      <c r="AT1143" s="7" t="s">
        <v>1363</v>
      </c>
      <c r="AU1143" s="38">
        <v>46275</v>
      </c>
      <c r="AV1143" s="39">
        <v>0.62490740740741002</v>
      </c>
    </row>
    <row r="1144" spans="1:48" x14ac:dyDescent="0.35">
      <c r="A1144" t="str">
        <f t="shared" si="17"/>
        <v>GP268284B867</v>
      </c>
      <c r="B1144" s="7" t="s">
        <v>977</v>
      </c>
      <c r="C1144" s="7" t="s">
        <v>1059</v>
      </c>
      <c r="D1144" s="7" t="s">
        <v>25</v>
      </c>
      <c r="E1144" s="7" t="s">
        <v>1177</v>
      </c>
      <c r="F1144" s="7" t="s">
        <v>128</v>
      </c>
      <c r="G1144" s="7" t="s">
        <v>130</v>
      </c>
      <c r="H1144" s="7" t="s">
        <v>129</v>
      </c>
      <c r="I1144" s="30">
        <v>1</v>
      </c>
      <c r="J1144" s="7" t="s">
        <v>1177</v>
      </c>
      <c r="K1144" s="7" t="s">
        <v>1178</v>
      </c>
      <c r="L1144" s="7" t="s">
        <v>132</v>
      </c>
      <c r="M1144" s="7" t="s">
        <v>133</v>
      </c>
      <c r="N1144" s="30">
        <v>0</v>
      </c>
      <c r="O1144" s="30">
        <v>0</v>
      </c>
      <c r="P1144" s="30">
        <v>0</v>
      </c>
      <c r="Q1144" s="30">
        <v>0</v>
      </c>
      <c r="R1144" s="29">
        <v>0</v>
      </c>
      <c r="S1144" s="36">
        <v>0</v>
      </c>
      <c r="T1144" s="7" t="s">
        <v>131</v>
      </c>
      <c r="U1144" s="7" t="s">
        <v>1060</v>
      </c>
      <c r="V1144" s="7" t="s">
        <v>1060</v>
      </c>
      <c r="W1144" s="7" t="s">
        <v>1177</v>
      </c>
      <c r="X1144" s="30">
        <v>1</v>
      </c>
      <c r="Y1144" s="7" t="s">
        <v>1177</v>
      </c>
      <c r="Z1144" s="7" t="s">
        <v>1178</v>
      </c>
      <c r="AA1144" s="30">
        <v>0</v>
      </c>
      <c r="AB1144" s="36">
        <v>0</v>
      </c>
      <c r="AC1144" s="7" t="s">
        <v>1177</v>
      </c>
      <c r="AD1144" s="37">
        <v>0</v>
      </c>
      <c r="AE1144" s="7" t="s">
        <v>1177</v>
      </c>
      <c r="AF1144" s="7" t="s">
        <v>1177</v>
      </c>
      <c r="AG1144" s="7" t="s">
        <v>1177</v>
      </c>
      <c r="AH1144" s="38"/>
      <c r="AI1144" s="36">
        <v>0</v>
      </c>
      <c r="AJ1144" s="7" t="s">
        <v>1193</v>
      </c>
      <c r="AK1144" s="7" t="s">
        <v>1177</v>
      </c>
      <c r="AL1144" s="7" t="s">
        <v>1177</v>
      </c>
      <c r="AM1144" s="7" t="s">
        <v>1177</v>
      </c>
      <c r="AN1144" s="7" t="s">
        <v>3212</v>
      </c>
      <c r="AO1144" s="7" t="s">
        <v>1177</v>
      </c>
      <c r="AP1144" s="7" t="s">
        <v>1177</v>
      </c>
      <c r="AQ1144" s="7" t="s">
        <v>1177</v>
      </c>
      <c r="AR1144" s="29">
        <v>0</v>
      </c>
      <c r="AS1144" s="7" t="s">
        <v>1177</v>
      </c>
      <c r="AT1144" s="7" t="s">
        <v>1363</v>
      </c>
      <c r="AU1144" s="38">
        <v>46275</v>
      </c>
      <c r="AV1144" s="39">
        <v>0.62711805555555999</v>
      </c>
    </row>
    <row r="1145" spans="1:48" x14ac:dyDescent="0.35">
      <c r="A1145" t="str">
        <f t="shared" si="17"/>
        <v>GP268629B838</v>
      </c>
      <c r="B1145" s="7" t="s">
        <v>758</v>
      </c>
      <c r="C1145" s="7" t="s">
        <v>744</v>
      </c>
      <c r="D1145" s="7" t="s">
        <v>48</v>
      </c>
      <c r="E1145" s="7" t="s">
        <v>1177</v>
      </c>
      <c r="F1145" s="7" t="s">
        <v>128</v>
      </c>
      <c r="G1145" s="7" t="s">
        <v>130</v>
      </c>
      <c r="H1145" s="7" t="s">
        <v>129</v>
      </c>
      <c r="I1145" s="30">
        <v>2</v>
      </c>
      <c r="J1145" s="7" t="s">
        <v>1177</v>
      </c>
      <c r="K1145" s="7" t="s">
        <v>1178</v>
      </c>
      <c r="L1145" s="7" t="s">
        <v>132</v>
      </c>
      <c r="M1145" s="7" t="s">
        <v>133</v>
      </c>
      <c r="N1145" s="30">
        <v>0</v>
      </c>
      <c r="O1145" s="30">
        <v>0</v>
      </c>
      <c r="P1145" s="30">
        <v>0</v>
      </c>
      <c r="Q1145" s="30">
        <v>0</v>
      </c>
      <c r="R1145" s="29">
        <v>0</v>
      </c>
      <c r="S1145" s="36">
        <v>0</v>
      </c>
      <c r="T1145" s="7" t="s">
        <v>131</v>
      </c>
      <c r="U1145" s="7" t="s">
        <v>745</v>
      </c>
      <c r="V1145" s="7" t="s">
        <v>745</v>
      </c>
      <c r="W1145" s="7" t="s">
        <v>1177</v>
      </c>
      <c r="X1145" s="30">
        <v>1</v>
      </c>
      <c r="Y1145" s="7" t="s">
        <v>1177</v>
      </c>
      <c r="Z1145" s="7" t="s">
        <v>1178</v>
      </c>
      <c r="AA1145" s="30">
        <v>0</v>
      </c>
      <c r="AB1145" s="36">
        <v>0</v>
      </c>
      <c r="AC1145" s="7" t="s">
        <v>1177</v>
      </c>
      <c r="AD1145" s="37">
        <v>0</v>
      </c>
      <c r="AE1145" s="7" t="s">
        <v>1177</v>
      </c>
      <c r="AF1145" s="7" t="s">
        <v>1177</v>
      </c>
      <c r="AG1145" s="7" t="s">
        <v>1177</v>
      </c>
      <c r="AH1145" s="38"/>
      <c r="AI1145" s="36">
        <v>0</v>
      </c>
      <c r="AJ1145" s="7" t="s">
        <v>1193</v>
      </c>
      <c r="AK1145" s="7" t="s">
        <v>1177</v>
      </c>
      <c r="AL1145" s="7" t="s">
        <v>1177</v>
      </c>
      <c r="AM1145" s="7" t="s">
        <v>1177</v>
      </c>
      <c r="AN1145" s="7" t="s">
        <v>3212</v>
      </c>
      <c r="AO1145" s="7" t="s">
        <v>1177</v>
      </c>
      <c r="AP1145" s="7" t="s">
        <v>1177</v>
      </c>
      <c r="AQ1145" s="7" t="s">
        <v>1177</v>
      </c>
      <c r="AR1145" s="29">
        <v>0</v>
      </c>
      <c r="AS1145" s="7" t="s">
        <v>1177</v>
      </c>
      <c r="AT1145" s="7" t="s">
        <v>1363</v>
      </c>
      <c r="AU1145" s="38">
        <v>46275</v>
      </c>
      <c r="AV1145" s="39">
        <v>0.62400462962962999</v>
      </c>
    </row>
    <row r="1146" spans="1:48" x14ac:dyDescent="0.35">
      <c r="A1146" t="str">
        <f t="shared" si="17"/>
        <v>GP268651B825</v>
      </c>
      <c r="B1146" s="7" t="s">
        <v>329</v>
      </c>
      <c r="C1146" s="7" t="s">
        <v>511</v>
      </c>
      <c r="D1146" s="7" t="s">
        <v>16</v>
      </c>
      <c r="E1146" s="7" t="s">
        <v>1177</v>
      </c>
      <c r="F1146" s="7" t="s">
        <v>134</v>
      </c>
      <c r="G1146" s="7" t="s">
        <v>130</v>
      </c>
      <c r="H1146" s="7" t="s">
        <v>129</v>
      </c>
      <c r="I1146" s="30">
        <v>5</v>
      </c>
      <c r="J1146" s="7" t="s">
        <v>1177</v>
      </c>
      <c r="K1146" s="7" t="s">
        <v>1178</v>
      </c>
      <c r="L1146" s="7" t="s">
        <v>132</v>
      </c>
      <c r="M1146" s="7" t="s">
        <v>133</v>
      </c>
      <c r="N1146" s="30">
        <v>0</v>
      </c>
      <c r="O1146" s="30">
        <v>0</v>
      </c>
      <c r="P1146" s="30">
        <v>0</v>
      </c>
      <c r="Q1146" s="30">
        <v>0</v>
      </c>
      <c r="R1146" s="29">
        <v>0</v>
      </c>
      <c r="S1146" s="36">
        <v>0</v>
      </c>
      <c r="T1146" s="7" t="s">
        <v>131</v>
      </c>
      <c r="U1146" s="7" t="s">
        <v>512</v>
      </c>
      <c r="V1146" s="7" t="s">
        <v>512</v>
      </c>
      <c r="W1146" s="7" t="s">
        <v>1177</v>
      </c>
      <c r="X1146" s="30">
        <v>5</v>
      </c>
      <c r="Y1146" s="7" t="s">
        <v>1177</v>
      </c>
      <c r="Z1146" s="7" t="s">
        <v>1178</v>
      </c>
      <c r="AA1146" s="30">
        <v>0</v>
      </c>
      <c r="AB1146" s="36">
        <v>0</v>
      </c>
      <c r="AC1146" s="7" t="s">
        <v>1177</v>
      </c>
      <c r="AD1146" s="37">
        <v>0</v>
      </c>
      <c r="AE1146" s="7" t="s">
        <v>1177</v>
      </c>
      <c r="AF1146" s="7" t="s">
        <v>1177</v>
      </c>
      <c r="AG1146" s="7" t="s">
        <v>1177</v>
      </c>
      <c r="AH1146" s="38"/>
      <c r="AI1146" s="36">
        <v>0</v>
      </c>
      <c r="AJ1146" s="7" t="s">
        <v>1193</v>
      </c>
      <c r="AK1146" s="7" t="s">
        <v>1177</v>
      </c>
      <c r="AL1146" s="7" t="s">
        <v>1177</v>
      </c>
      <c r="AM1146" s="7" t="s">
        <v>1177</v>
      </c>
      <c r="AN1146" s="7" t="s">
        <v>3212</v>
      </c>
      <c r="AO1146" s="7" t="s">
        <v>1177</v>
      </c>
      <c r="AP1146" s="7" t="s">
        <v>1177</v>
      </c>
      <c r="AQ1146" s="7" t="s">
        <v>1177</v>
      </c>
      <c r="AR1146" s="29">
        <v>0</v>
      </c>
      <c r="AS1146" s="7" t="s">
        <v>1177</v>
      </c>
      <c r="AT1146" s="7" t="s">
        <v>1363</v>
      </c>
      <c r="AU1146" s="38">
        <v>46275</v>
      </c>
      <c r="AV1146" s="39">
        <v>0.60350694444443997</v>
      </c>
    </row>
    <row r="1147" spans="1:48" x14ac:dyDescent="0.35">
      <c r="A1147" t="str">
        <f t="shared" si="17"/>
        <v>GP268651B832</v>
      </c>
      <c r="B1147" s="7" t="s">
        <v>329</v>
      </c>
      <c r="C1147" s="7" t="s">
        <v>653</v>
      </c>
      <c r="D1147" s="7" t="s">
        <v>19</v>
      </c>
      <c r="E1147" s="7" t="s">
        <v>1177</v>
      </c>
      <c r="F1147" s="7" t="s">
        <v>134</v>
      </c>
      <c r="G1147" s="7" t="s">
        <v>130</v>
      </c>
      <c r="H1147" s="7" t="s">
        <v>129</v>
      </c>
      <c r="I1147" s="30">
        <v>3</v>
      </c>
      <c r="J1147" s="7" t="s">
        <v>1177</v>
      </c>
      <c r="K1147" s="7" t="s">
        <v>1178</v>
      </c>
      <c r="L1147" s="7" t="s">
        <v>132</v>
      </c>
      <c r="M1147" s="7" t="s">
        <v>133</v>
      </c>
      <c r="N1147" s="30">
        <v>0</v>
      </c>
      <c r="O1147" s="30">
        <v>0</v>
      </c>
      <c r="P1147" s="30">
        <v>0</v>
      </c>
      <c r="Q1147" s="30">
        <v>0</v>
      </c>
      <c r="R1147" s="29">
        <v>0</v>
      </c>
      <c r="S1147" s="36">
        <v>0</v>
      </c>
      <c r="T1147" s="7" t="s">
        <v>131</v>
      </c>
      <c r="U1147" s="7" t="s">
        <v>654</v>
      </c>
      <c r="V1147" s="7" t="s">
        <v>654</v>
      </c>
      <c r="W1147" s="7" t="s">
        <v>1177</v>
      </c>
      <c r="X1147" s="30">
        <v>3</v>
      </c>
      <c r="Y1147" s="7" t="s">
        <v>1177</v>
      </c>
      <c r="Z1147" s="7" t="s">
        <v>1178</v>
      </c>
      <c r="AA1147" s="30">
        <v>0</v>
      </c>
      <c r="AB1147" s="36">
        <v>0</v>
      </c>
      <c r="AC1147" s="7" t="s">
        <v>1177</v>
      </c>
      <c r="AD1147" s="37">
        <v>0</v>
      </c>
      <c r="AE1147" s="7" t="s">
        <v>1177</v>
      </c>
      <c r="AF1147" s="7" t="s">
        <v>1177</v>
      </c>
      <c r="AG1147" s="7" t="s">
        <v>1177</v>
      </c>
      <c r="AH1147" s="38"/>
      <c r="AI1147" s="36">
        <v>0</v>
      </c>
      <c r="AJ1147" s="7" t="s">
        <v>1193</v>
      </c>
      <c r="AK1147" s="7" t="s">
        <v>1177</v>
      </c>
      <c r="AL1147" s="7" t="s">
        <v>1177</v>
      </c>
      <c r="AM1147" s="7" t="s">
        <v>1177</v>
      </c>
      <c r="AN1147" s="7" t="s">
        <v>3212</v>
      </c>
      <c r="AO1147" s="7" t="s">
        <v>1177</v>
      </c>
      <c r="AP1147" s="7" t="s">
        <v>1177</v>
      </c>
      <c r="AQ1147" s="7" t="s">
        <v>1177</v>
      </c>
      <c r="AR1147" s="29">
        <v>0</v>
      </c>
      <c r="AS1147" s="7" t="s">
        <v>1177</v>
      </c>
      <c r="AT1147" s="7" t="s">
        <v>1363</v>
      </c>
      <c r="AU1147" s="38">
        <v>46275</v>
      </c>
      <c r="AV1147" s="39">
        <v>0.60390046296295996</v>
      </c>
    </row>
    <row r="1148" spans="1:48" x14ac:dyDescent="0.35">
      <c r="A1148" t="str">
        <f t="shared" si="17"/>
        <v>GP268651B833</v>
      </c>
      <c r="B1148" s="7" t="s">
        <v>329</v>
      </c>
      <c r="C1148" s="7" t="s">
        <v>698</v>
      </c>
      <c r="D1148" s="7" t="s">
        <v>697</v>
      </c>
      <c r="E1148" s="7" t="s">
        <v>1177</v>
      </c>
      <c r="F1148" s="7" t="s">
        <v>134</v>
      </c>
      <c r="G1148" s="7" t="s">
        <v>130</v>
      </c>
      <c r="H1148" s="7" t="s">
        <v>129</v>
      </c>
      <c r="I1148" s="30">
        <v>8</v>
      </c>
      <c r="J1148" s="7" t="s">
        <v>1177</v>
      </c>
      <c r="K1148" s="7" t="s">
        <v>1178</v>
      </c>
      <c r="L1148" s="7" t="s">
        <v>132</v>
      </c>
      <c r="M1148" s="7" t="s">
        <v>133</v>
      </c>
      <c r="N1148" s="30">
        <v>0</v>
      </c>
      <c r="O1148" s="30">
        <v>0</v>
      </c>
      <c r="P1148" s="30">
        <v>0</v>
      </c>
      <c r="Q1148" s="30">
        <v>0</v>
      </c>
      <c r="R1148" s="29">
        <v>0</v>
      </c>
      <c r="S1148" s="36">
        <v>0</v>
      </c>
      <c r="T1148" s="7" t="s">
        <v>131</v>
      </c>
      <c r="U1148" s="7" t="s">
        <v>699</v>
      </c>
      <c r="V1148" s="7" t="s">
        <v>699</v>
      </c>
      <c r="W1148" s="7" t="s">
        <v>1177</v>
      </c>
      <c r="X1148" s="30">
        <v>8</v>
      </c>
      <c r="Y1148" s="7" t="s">
        <v>1177</v>
      </c>
      <c r="Z1148" s="7" t="s">
        <v>1178</v>
      </c>
      <c r="AA1148" s="30">
        <v>0</v>
      </c>
      <c r="AB1148" s="36">
        <v>0</v>
      </c>
      <c r="AC1148" s="7" t="s">
        <v>1177</v>
      </c>
      <c r="AD1148" s="37">
        <v>0</v>
      </c>
      <c r="AE1148" s="7" t="s">
        <v>1177</v>
      </c>
      <c r="AF1148" s="7" t="s">
        <v>1177</v>
      </c>
      <c r="AG1148" s="7" t="s">
        <v>1177</v>
      </c>
      <c r="AH1148" s="38"/>
      <c r="AI1148" s="36">
        <v>0</v>
      </c>
      <c r="AJ1148" s="7" t="s">
        <v>1193</v>
      </c>
      <c r="AK1148" s="7" t="s">
        <v>1177</v>
      </c>
      <c r="AL1148" s="7" t="s">
        <v>1177</v>
      </c>
      <c r="AM1148" s="7" t="s">
        <v>1177</v>
      </c>
      <c r="AN1148" s="7" t="s">
        <v>3212</v>
      </c>
      <c r="AO1148" s="7" t="s">
        <v>1177</v>
      </c>
      <c r="AP1148" s="7" t="s">
        <v>1177</v>
      </c>
      <c r="AQ1148" s="7" t="s">
        <v>1177</v>
      </c>
      <c r="AR1148" s="29">
        <v>0</v>
      </c>
      <c r="AS1148" s="7" t="s">
        <v>1177</v>
      </c>
      <c r="AT1148" s="7" t="s">
        <v>1363</v>
      </c>
      <c r="AU1148" s="38">
        <v>46275</v>
      </c>
      <c r="AV1148" s="39">
        <v>0.60396990740740997</v>
      </c>
    </row>
    <row r="1149" spans="1:48" x14ac:dyDescent="0.35">
      <c r="A1149" t="str">
        <f t="shared" si="17"/>
        <v>GP268651B838</v>
      </c>
      <c r="B1149" s="7" t="s">
        <v>329</v>
      </c>
      <c r="C1149" s="7" t="s">
        <v>744</v>
      </c>
      <c r="D1149" s="7" t="s">
        <v>48</v>
      </c>
      <c r="E1149" s="7" t="s">
        <v>1177</v>
      </c>
      <c r="F1149" s="7" t="s">
        <v>134</v>
      </c>
      <c r="G1149" s="7" t="s">
        <v>130</v>
      </c>
      <c r="H1149" s="7" t="s">
        <v>129</v>
      </c>
      <c r="I1149" s="30">
        <v>26</v>
      </c>
      <c r="J1149" s="7" t="s">
        <v>1177</v>
      </c>
      <c r="K1149" s="7" t="s">
        <v>1178</v>
      </c>
      <c r="L1149" s="7" t="s">
        <v>132</v>
      </c>
      <c r="M1149" s="7" t="s">
        <v>133</v>
      </c>
      <c r="N1149" s="30">
        <v>0</v>
      </c>
      <c r="O1149" s="30">
        <v>0</v>
      </c>
      <c r="P1149" s="30">
        <v>0</v>
      </c>
      <c r="Q1149" s="30">
        <v>0</v>
      </c>
      <c r="R1149" s="29">
        <v>0</v>
      </c>
      <c r="S1149" s="36">
        <v>0</v>
      </c>
      <c r="T1149" s="7" t="s">
        <v>131</v>
      </c>
      <c r="U1149" s="7" t="s">
        <v>745</v>
      </c>
      <c r="V1149" s="7" t="s">
        <v>745</v>
      </c>
      <c r="W1149" s="7" t="s">
        <v>1177</v>
      </c>
      <c r="X1149" s="30">
        <v>26</v>
      </c>
      <c r="Y1149" s="7" t="s">
        <v>1177</v>
      </c>
      <c r="Z1149" s="7" t="s">
        <v>1178</v>
      </c>
      <c r="AA1149" s="30">
        <v>0</v>
      </c>
      <c r="AB1149" s="36">
        <v>0</v>
      </c>
      <c r="AC1149" s="7" t="s">
        <v>1177</v>
      </c>
      <c r="AD1149" s="37">
        <v>0</v>
      </c>
      <c r="AE1149" s="7" t="s">
        <v>1177</v>
      </c>
      <c r="AF1149" s="7" t="s">
        <v>1177</v>
      </c>
      <c r="AG1149" s="7" t="s">
        <v>1177</v>
      </c>
      <c r="AH1149" s="38"/>
      <c r="AI1149" s="36">
        <v>0</v>
      </c>
      <c r="AJ1149" s="7" t="s">
        <v>1193</v>
      </c>
      <c r="AK1149" s="7" t="s">
        <v>1177</v>
      </c>
      <c r="AL1149" s="7" t="s">
        <v>1177</v>
      </c>
      <c r="AM1149" s="7" t="s">
        <v>1177</v>
      </c>
      <c r="AN1149" s="7" t="s">
        <v>3212</v>
      </c>
      <c r="AO1149" s="7" t="s">
        <v>1177</v>
      </c>
      <c r="AP1149" s="7" t="s">
        <v>1177</v>
      </c>
      <c r="AQ1149" s="7" t="s">
        <v>1177</v>
      </c>
      <c r="AR1149" s="29">
        <v>0</v>
      </c>
      <c r="AS1149" s="7" t="s">
        <v>1177</v>
      </c>
      <c r="AT1149" s="7" t="s">
        <v>1363</v>
      </c>
      <c r="AU1149" s="38">
        <v>46275</v>
      </c>
      <c r="AV1149" s="39">
        <v>0.60443287037036997</v>
      </c>
    </row>
    <row r="1150" spans="1:48" x14ac:dyDescent="0.35">
      <c r="A1150" t="str">
        <f t="shared" si="17"/>
        <v>GP269250B832</v>
      </c>
      <c r="B1150" s="7" t="s">
        <v>76</v>
      </c>
      <c r="C1150" s="7" t="s">
        <v>653</v>
      </c>
      <c r="D1150" s="7" t="s">
        <v>19</v>
      </c>
      <c r="E1150" s="7" t="s">
        <v>1177</v>
      </c>
      <c r="F1150" s="7" t="s">
        <v>128</v>
      </c>
      <c r="G1150" s="7" t="s">
        <v>130</v>
      </c>
      <c r="H1150" s="7" t="s">
        <v>129</v>
      </c>
      <c r="I1150" s="30">
        <v>2</v>
      </c>
      <c r="J1150" s="7" t="s">
        <v>1177</v>
      </c>
      <c r="K1150" s="7" t="s">
        <v>1178</v>
      </c>
      <c r="L1150" s="7" t="s">
        <v>132</v>
      </c>
      <c r="M1150" s="7" t="s">
        <v>133</v>
      </c>
      <c r="N1150" s="30">
        <v>0</v>
      </c>
      <c r="O1150" s="30">
        <v>0</v>
      </c>
      <c r="P1150" s="30">
        <v>0</v>
      </c>
      <c r="Q1150" s="30">
        <v>0</v>
      </c>
      <c r="R1150" s="29">
        <v>0</v>
      </c>
      <c r="S1150" s="36">
        <v>0</v>
      </c>
      <c r="T1150" s="7" t="s">
        <v>131</v>
      </c>
      <c r="U1150" s="7" t="s">
        <v>654</v>
      </c>
      <c r="V1150" s="7" t="s">
        <v>654</v>
      </c>
      <c r="W1150" s="7" t="s">
        <v>1177</v>
      </c>
      <c r="X1150" s="30">
        <v>1</v>
      </c>
      <c r="Y1150" s="7" t="s">
        <v>1177</v>
      </c>
      <c r="Z1150" s="7" t="s">
        <v>1178</v>
      </c>
      <c r="AA1150" s="30">
        <v>0</v>
      </c>
      <c r="AB1150" s="36">
        <v>0</v>
      </c>
      <c r="AC1150" s="7" t="s">
        <v>1177</v>
      </c>
      <c r="AD1150" s="37">
        <v>0</v>
      </c>
      <c r="AE1150" s="7" t="s">
        <v>1177</v>
      </c>
      <c r="AF1150" s="7" t="s">
        <v>1177</v>
      </c>
      <c r="AG1150" s="7" t="s">
        <v>1177</v>
      </c>
      <c r="AH1150" s="38"/>
      <c r="AI1150" s="36">
        <v>0</v>
      </c>
      <c r="AJ1150" s="7" t="s">
        <v>1193</v>
      </c>
      <c r="AK1150" s="7" t="s">
        <v>1177</v>
      </c>
      <c r="AL1150" s="7" t="s">
        <v>1177</v>
      </c>
      <c r="AM1150" s="7" t="s">
        <v>1177</v>
      </c>
      <c r="AN1150" s="7" t="s">
        <v>3212</v>
      </c>
      <c r="AO1150" s="7" t="s">
        <v>1177</v>
      </c>
      <c r="AP1150" s="7" t="s">
        <v>1177</v>
      </c>
      <c r="AQ1150" s="7" t="s">
        <v>1177</v>
      </c>
      <c r="AR1150" s="29">
        <v>0</v>
      </c>
      <c r="AS1150" s="7" t="s">
        <v>1177</v>
      </c>
      <c r="AT1150" s="7" t="s">
        <v>1363</v>
      </c>
      <c r="AU1150" s="38">
        <v>46275</v>
      </c>
      <c r="AV1150" s="39">
        <v>0.62334490740741</v>
      </c>
    </row>
    <row r="1151" spans="1:48" x14ac:dyDescent="0.35">
      <c r="A1151" t="str">
        <f t="shared" si="17"/>
        <v>GP269250B833</v>
      </c>
      <c r="B1151" s="7" t="s">
        <v>76</v>
      </c>
      <c r="C1151" s="7" t="s">
        <v>698</v>
      </c>
      <c r="D1151" s="7" t="s">
        <v>697</v>
      </c>
      <c r="E1151" s="7" t="s">
        <v>1177</v>
      </c>
      <c r="F1151" s="7" t="s">
        <v>128</v>
      </c>
      <c r="G1151" s="7" t="s">
        <v>130</v>
      </c>
      <c r="H1151" s="7" t="s">
        <v>129</v>
      </c>
      <c r="I1151" s="30">
        <v>2</v>
      </c>
      <c r="J1151" s="7" t="s">
        <v>1177</v>
      </c>
      <c r="K1151" s="7" t="s">
        <v>1178</v>
      </c>
      <c r="L1151" s="7" t="s">
        <v>132</v>
      </c>
      <c r="M1151" s="7" t="s">
        <v>133</v>
      </c>
      <c r="N1151" s="30">
        <v>0</v>
      </c>
      <c r="O1151" s="30">
        <v>0</v>
      </c>
      <c r="P1151" s="30">
        <v>0</v>
      </c>
      <c r="Q1151" s="30">
        <v>0</v>
      </c>
      <c r="R1151" s="29">
        <v>0</v>
      </c>
      <c r="S1151" s="36">
        <v>0</v>
      </c>
      <c r="T1151" s="7" t="s">
        <v>131</v>
      </c>
      <c r="U1151" s="7" t="s">
        <v>699</v>
      </c>
      <c r="V1151" s="7" t="s">
        <v>699</v>
      </c>
      <c r="W1151" s="7" t="s">
        <v>1177</v>
      </c>
      <c r="X1151" s="30">
        <v>1</v>
      </c>
      <c r="Y1151" s="7" t="s">
        <v>1177</v>
      </c>
      <c r="Z1151" s="7" t="s">
        <v>1178</v>
      </c>
      <c r="AA1151" s="30">
        <v>0</v>
      </c>
      <c r="AB1151" s="36">
        <v>0</v>
      </c>
      <c r="AC1151" s="7" t="s">
        <v>1177</v>
      </c>
      <c r="AD1151" s="37">
        <v>0</v>
      </c>
      <c r="AE1151" s="7" t="s">
        <v>1177</v>
      </c>
      <c r="AF1151" s="7" t="s">
        <v>1177</v>
      </c>
      <c r="AG1151" s="7" t="s">
        <v>1177</v>
      </c>
      <c r="AH1151" s="38"/>
      <c r="AI1151" s="36">
        <v>0</v>
      </c>
      <c r="AJ1151" s="7" t="s">
        <v>1193</v>
      </c>
      <c r="AK1151" s="7" t="s">
        <v>1177</v>
      </c>
      <c r="AL1151" s="7" t="s">
        <v>1177</v>
      </c>
      <c r="AM1151" s="7" t="s">
        <v>1177</v>
      </c>
      <c r="AN1151" s="7" t="s">
        <v>3212</v>
      </c>
      <c r="AO1151" s="7" t="s">
        <v>1177</v>
      </c>
      <c r="AP1151" s="7" t="s">
        <v>1177</v>
      </c>
      <c r="AQ1151" s="7" t="s">
        <v>1177</v>
      </c>
      <c r="AR1151" s="29">
        <v>0</v>
      </c>
      <c r="AS1151" s="7" t="s">
        <v>1177</v>
      </c>
      <c r="AT1151" s="7" t="s">
        <v>1363</v>
      </c>
      <c r="AU1151" s="38">
        <v>46275</v>
      </c>
      <c r="AV1151" s="39">
        <v>0.62350694444443999</v>
      </c>
    </row>
    <row r="1152" spans="1:48" x14ac:dyDescent="0.35">
      <c r="A1152" t="str">
        <f t="shared" si="17"/>
        <v>GP269250B838</v>
      </c>
      <c r="B1152" s="7" t="s">
        <v>76</v>
      </c>
      <c r="C1152" s="7" t="s">
        <v>744</v>
      </c>
      <c r="D1152" s="7" t="s">
        <v>48</v>
      </c>
      <c r="E1152" s="7" t="s">
        <v>1177</v>
      </c>
      <c r="F1152" s="7" t="s">
        <v>128</v>
      </c>
      <c r="G1152" s="7" t="s">
        <v>130</v>
      </c>
      <c r="H1152" s="7" t="s">
        <v>129</v>
      </c>
      <c r="I1152" s="30">
        <v>2</v>
      </c>
      <c r="J1152" s="7" t="s">
        <v>1177</v>
      </c>
      <c r="K1152" s="7" t="s">
        <v>1178</v>
      </c>
      <c r="L1152" s="7" t="s">
        <v>132</v>
      </c>
      <c r="M1152" s="7" t="s">
        <v>133</v>
      </c>
      <c r="N1152" s="30">
        <v>0</v>
      </c>
      <c r="O1152" s="30">
        <v>0</v>
      </c>
      <c r="P1152" s="30">
        <v>0</v>
      </c>
      <c r="Q1152" s="30">
        <v>0</v>
      </c>
      <c r="R1152" s="29">
        <v>0</v>
      </c>
      <c r="S1152" s="36">
        <v>0</v>
      </c>
      <c r="T1152" s="7" t="s">
        <v>131</v>
      </c>
      <c r="U1152" s="7" t="s">
        <v>745</v>
      </c>
      <c r="V1152" s="7" t="s">
        <v>745</v>
      </c>
      <c r="W1152" s="7" t="s">
        <v>1177</v>
      </c>
      <c r="X1152" s="30">
        <v>1</v>
      </c>
      <c r="Y1152" s="7" t="s">
        <v>1177</v>
      </c>
      <c r="Z1152" s="7" t="s">
        <v>1178</v>
      </c>
      <c r="AA1152" s="30">
        <v>0</v>
      </c>
      <c r="AB1152" s="36">
        <v>0</v>
      </c>
      <c r="AC1152" s="7" t="s">
        <v>1177</v>
      </c>
      <c r="AD1152" s="37">
        <v>0</v>
      </c>
      <c r="AE1152" s="7" t="s">
        <v>1177</v>
      </c>
      <c r="AF1152" s="7" t="s">
        <v>1177</v>
      </c>
      <c r="AG1152" s="7" t="s">
        <v>1177</v>
      </c>
      <c r="AH1152" s="38"/>
      <c r="AI1152" s="36">
        <v>0</v>
      </c>
      <c r="AJ1152" s="7" t="s">
        <v>1193</v>
      </c>
      <c r="AK1152" s="7" t="s">
        <v>1177</v>
      </c>
      <c r="AL1152" s="7" t="s">
        <v>1177</v>
      </c>
      <c r="AM1152" s="7" t="s">
        <v>1177</v>
      </c>
      <c r="AN1152" s="7" t="s">
        <v>3212</v>
      </c>
      <c r="AO1152" s="7" t="s">
        <v>1177</v>
      </c>
      <c r="AP1152" s="7" t="s">
        <v>1177</v>
      </c>
      <c r="AQ1152" s="7" t="s">
        <v>1177</v>
      </c>
      <c r="AR1152" s="29">
        <v>0</v>
      </c>
      <c r="AS1152" s="7" t="s">
        <v>1177</v>
      </c>
      <c r="AT1152" s="7" t="s">
        <v>1363</v>
      </c>
      <c r="AU1152" s="38">
        <v>46275</v>
      </c>
      <c r="AV1152" s="39">
        <v>0.62400462962962999</v>
      </c>
    </row>
    <row r="1153" spans="1:48" x14ac:dyDescent="0.35">
      <c r="A1153" t="str">
        <f t="shared" si="17"/>
        <v>GP269250B856</v>
      </c>
      <c r="B1153" s="7" t="s">
        <v>76</v>
      </c>
      <c r="C1153" s="7" t="s">
        <v>852</v>
      </c>
      <c r="D1153" s="7" t="s">
        <v>21</v>
      </c>
      <c r="E1153" s="7" t="s">
        <v>1177</v>
      </c>
      <c r="F1153" s="7" t="s">
        <v>128</v>
      </c>
      <c r="G1153" s="7" t="s">
        <v>130</v>
      </c>
      <c r="H1153" s="7" t="s">
        <v>129</v>
      </c>
      <c r="I1153" s="30">
        <v>2</v>
      </c>
      <c r="J1153" s="7" t="s">
        <v>1177</v>
      </c>
      <c r="K1153" s="7" t="s">
        <v>1178</v>
      </c>
      <c r="L1153" s="7" t="s">
        <v>132</v>
      </c>
      <c r="M1153" s="7" t="s">
        <v>133</v>
      </c>
      <c r="N1153" s="30">
        <v>0</v>
      </c>
      <c r="O1153" s="30">
        <v>0</v>
      </c>
      <c r="P1153" s="30">
        <v>0</v>
      </c>
      <c r="Q1153" s="30">
        <v>0</v>
      </c>
      <c r="R1153" s="29">
        <v>0</v>
      </c>
      <c r="S1153" s="36">
        <v>0</v>
      </c>
      <c r="T1153" s="7" t="s">
        <v>131</v>
      </c>
      <c r="U1153" s="7" t="s">
        <v>853</v>
      </c>
      <c r="V1153" s="7" t="s">
        <v>853</v>
      </c>
      <c r="W1153" s="7" t="s">
        <v>1177</v>
      </c>
      <c r="X1153" s="30">
        <v>1</v>
      </c>
      <c r="Y1153" s="7" t="s">
        <v>1177</v>
      </c>
      <c r="Z1153" s="7" t="s">
        <v>1178</v>
      </c>
      <c r="AA1153" s="30">
        <v>0</v>
      </c>
      <c r="AB1153" s="36">
        <v>0</v>
      </c>
      <c r="AC1153" s="7" t="s">
        <v>1177</v>
      </c>
      <c r="AD1153" s="37">
        <v>0</v>
      </c>
      <c r="AE1153" s="7" t="s">
        <v>1177</v>
      </c>
      <c r="AF1153" s="7" t="s">
        <v>1177</v>
      </c>
      <c r="AG1153" s="7" t="s">
        <v>1177</v>
      </c>
      <c r="AH1153" s="38"/>
      <c r="AI1153" s="36">
        <v>0</v>
      </c>
      <c r="AJ1153" s="7" t="s">
        <v>1193</v>
      </c>
      <c r="AK1153" s="7" t="s">
        <v>1177</v>
      </c>
      <c r="AL1153" s="7" t="s">
        <v>1177</v>
      </c>
      <c r="AM1153" s="7" t="s">
        <v>1177</v>
      </c>
      <c r="AN1153" s="7" t="s">
        <v>3212</v>
      </c>
      <c r="AO1153" s="7" t="s">
        <v>1177</v>
      </c>
      <c r="AP1153" s="7" t="s">
        <v>1177</v>
      </c>
      <c r="AQ1153" s="7" t="s">
        <v>1177</v>
      </c>
      <c r="AR1153" s="29">
        <v>0</v>
      </c>
      <c r="AS1153" s="7" t="s">
        <v>1177</v>
      </c>
      <c r="AT1153" s="7" t="s">
        <v>1363</v>
      </c>
      <c r="AU1153" s="38">
        <v>46275</v>
      </c>
      <c r="AV1153" s="39">
        <v>0.62487268518519001</v>
      </c>
    </row>
    <row r="1154" spans="1:48" x14ac:dyDescent="0.35">
      <c r="A1154" t="str">
        <f t="shared" si="17"/>
        <v>GP269250B857</v>
      </c>
      <c r="B1154" s="7" t="s">
        <v>76</v>
      </c>
      <c r="C1154" s="7" t="s">
        <v>958</v>
      </c>
      <c r="D1154" s="7" t="s">
        <v>23</v>
      </c>
      <c r="E1154" s="7" t="s">
        <v>1177</v>
      </c>
      <c r="F1154" s="7" t="s">
        <v>128</v>
      </c>
      <c r="G1154" s="7" t="s">
        <v>130</v>
      </c>
      <c r="H1154" s="7" t="s">
        <v>129</v>
      </c>
      <c r="I1154" s="30">
        <v>3</v>
      </c>
      <c r="J1154" s="7" t="s">
        <v>1177</v>
      </c>
      <c r="K1154" s="7" t="s">
        <v>1178</v>
      </c>
      <c r="L1154" s="7" t="s">
        <v>132</v>
      </c>
      <c r="M1154" s="7" t="s">
        <v>133</v>
      </c>
      <c r="N1154" s="30">
        <v>0</v>
      </c>
      <c r="O1154" s="30">
        <v>0</v>
      </c>
      <c r="P1154" s="30">
        <v>0</v>
      </c>
      <c r="Q1154" s="30">
        <v>0</v>
      </c>
      <c r="R1154" s="29">
        <v>0</v>
      </c>
      <c r="S1154" s="36">
        <v>0</v>
      </c>
      <c r="T1154" s="7" t="s">
        <v>131</v>
      </c>
      <c r="U1154" s="7" t="s">
        <v>959</v>
      </c>
      <c r="V1154" s="7" t="s">
        <v>959</v>
      </c>
      <c r="W1154" s="7" t="s">
        <v>1177</v>
      </c>
      <c r="X1154" s="30">
        <v>1</v>
      </c>
      <c r="Y1154" s="7" t="s">
        <v>1177</v>
      </c>
      <c r="Z1154" s="7" t="s">
        <v>1178</v>
      </c>
      <c r="AA1154" s="30">
        <v>0</v>
      </c>
      <c r="AB1154" s="36">
        <v>0</v>
      </c>
      <c r="AC1154" s="7" t="s">
        <v>1177</v>
      </c>
      <c r="AD1154" s="37">
        <v>0</v>
      </c>
      <c r="AE1154" s="7" t="s">
        <v>1177</v>
      </c>
      <c r="AF1154" s="7" t="s">
        <v>1177</v>
      </c>
      <c r="AG1154" s="7" t="s">
        <v>1177</v>
      </c>
      <c r="AH1154" s="38"/>
      <c r="AI1154" s="36">
        <v>0</v>
      </c>
      <c r="AJ1154" s="7" t="s">
        <v>1193</v>
      </c>
      <c r="AK1154" s="7" t="s">
        <v>1177</v>
      </c>
      <c r="AL1154" s="7" t="s">
        <v>1177</v>
      </c>
      <c r="AM1154" s="7" t="s">
        <v>1177</v>
      </c>
      <c r="AN1154" s="7" t="s">
        <v>3212</v>
      </c>
      <c r="AO1154" s="7" t="s">
        <v>1177</v>
      </c>
      <c r="AP1154" s="7" t="s">
        <v>1177</v>
      </c>
      <c r="AQ1154" s="7" t="s">
        <v>1177</v>
      </c>
      <c r="AR1154" s="29">
        <v>0</v>
      </c>
      <c r="AS1154" s="7" t="s">
        <v>1177</v>
      </c>
      <c r="AT1154" s="7" t="s">
        <v>1363</v>
      </c>
      <c r="AU1154" s="38">
        <v>46275</v>
      </c>
      <c r="AV1154" s="39">
        <v>0.62491898148147995</v>
      </c>
    </row>
    <row r="1155" spans="1:48" x14ac:dyDescent="0.35">
      <c r="A1155" t="str">
        <f t="shared" ref="A1155:A1218" si="18">_xlfn.CONCAT(B1155,D1155)</f>
        <v>GP269250B864</v>
      </c>
      <c r="B1155" s="7" t="s">
        <v>76</v>
      </c>
      <c r="C1155" s="7" t="s">
        <v>1010</v>
      </c>
      <c r="D1155" s="7" t="s">
        <v>10</v>
      </c>
      <c r="E1155" s="7" t="s">
        <v>1177</v>
      </c>
      <c r="F1155" s="7" t="s">
        <v>128</v>
      </c>
      <c r="G1155" s="7" t="s">
        <v>130</v>
      </c>
      <c r="H1155" s="7" t="s">
        <v>129</v>
      </c>
      <c r="I1155" s="30">
        <v>2</v>
      </c>
      <c r="J1155" s="7" t="s">
        <v>1177</v>
      </c>
      <c r="K1155" s="7" t="s">
        <v>1178</v>
      </c>
      <c r="L1155" s="7" t="s">
        <v>132</v>
      </c>
      <c r="M1155" s="7" t="s">
        <v>133</v>
      </c>
      <c r="N1155" s="30">
        <v>0</v>
      </c>
      <c r="O1155" s="30">
        <v>0</v>
      </c>
      <c r="P1155" s="30">
        <v>0</v>
      </c>
      <c r="Q1155" s="30">
        <v>0</v>
      </c>
      <c r="R1155" s="29">
        <v>0</v>
      </c>
      <c r="S1155" s="36">
        <v>0</v>
      </c>
      <c r="T1155" s="7" t="s">
        <v>131</v>
      </c>
      <c r="U1155" s="7" t="s">
        <v>1011</v>
      </c>
      <c r="V1155" s="7" t="s">
        <v>1011</v>
      </c>
      <c r="W1155" s="7" t="s">
        <v>1177</v>
      </c>
      <c r="X1155" s="30">
        <v>1</v>
      </c>
      <c r="Y1155" s="7" t="s">
        <v>1177</v>
      </c>
      <c r="Z1155" s="7" t="s">
        <v>1178</v>
      </c>
      <c r="AA1155" s="30">
        <v>0</v>
      </c>
      <c r="AB1155" s="36">
        <v>0</v>
      </c>
      <c r="AC1155" s="7" t="s">
        <v>1177</v>
      </c>
      <c r="AD1155" s="37">
        <v>0</v>
      </c>
      <c r="AE1155" s="7" t="s">
        <v>1177</v>
      </c>
      <c r="AF1155" s="7" t="s">
        <v>1177</v>
      </c>
      <c r="AG1155" s="7" t="s">
        <v>1177</v>
      </c>
      <c r="AH1155" s="38"/>
      <c r="AI1155" s="36">
        <v>0</v>
      </c>
      <c r="AJ1155" s="7" t="s">
        <v>1193</v>
      </c>
      <c r="AK1155" s="7" t="s">
        <v>1177</v>
      </c>
      <c r="AL1155" s="7" t="s">
        <v>1177</v>
      </c>
      <c r="AM1155" s="7" t="s">
        <v>1177</v>
      </c>
      <c r="AN1155" s="7" t="s">
        <v>3212</v>
      </c>
      <c r="AO1155" s="7" t="s">
        <v>1177</v>
      </c>
      <c r="AP1155" s="7" t="s">
        <v>1177</v>
      </c>
      <c r="AQ1155" s="7" t="s">
        <v>1177</v>
      </c>
      <c r="AR1155" s="29">
        <v>0</v>
      </c>
      <c r="AS1155" s="7" t="s">
        <v>1177</v>
      </c>
      <c r="AT1155" s="7" t="s">
        <v>1363</v>
      </c>
      <c r="AU1155" s="38">
        <v>46275</v>
      </c>
      <c r="AV1155" s="39">
        <v>0.62633101851852002</v>
      </c>
    </row>
    <row r="1156" spans="1:48" x14ac:dyDescent="0.35">
      <c r="A1156" t="str">
        <f t="shared" si="18"/>
        <v>GP269250B865</v>
      </c>
      <c r="B1156" s="7" t="s">
        <v>76</v>
      </c>
      <c r="C1156" s="7" t="s">
        <v>1039</v>
      </c>
      <c r="D1156" s="7" t="s">
        <v>7</v>
      </c>
      <c r="E1156" s="7" t="s">
        <v>1177</v>
      </c>
      <c r="F1156" s="7" t="s">
        <v>128</v>
      </c>
      <c r="G1156" s="7" t="s">
        <v>130</v>
      </c>
      <c r="H1156" s="7" t="s">
        <v>129</v>
      </c>
      <c r="I1156" s="30">
        <v>3</v>
      </c>
      <c r="J1156" s="7" t="s">
        <v>1177</v>
      </c>
      <c r="K1156" s="7" t="s">
        <v>1178</v>
      </c>
      <c r="L1156" s="7" t="s">
        <v>132</v>
      </c>
      <c r="M1156" s="7" t="s">
        <v>133</v>
      </c>
      <c r="N1156" s="30">
        <v>0</v>
      </c>
      <c r="O1156" s="30">
        <v>0</v>
      </c>
      <c r="P1156" s="30">
        <v>0</v>
      </c>
      <c r="Q1156" s="30">
        <v>0</v>
      </c>
      <c r="R1156" s="29">
        <v>0</v>
      </c>
      <c r="S1156" s="36">
        <v>0</v>
      </c>
      <c r="T1156" s="7" t="s">
        <v>131</v>
      </c>
      <c r="U1156" s="7" t="s">
        <v>1040</v>
      </c>
      <c r="V1156" s="7" t="s">
        <v>1040</v>
      </c>
      <c r="W1156" s="7" t="s">
        <v>1177</v>
      </c>
      <c r="X1156" s="30">
        <v>1</v>
      </c>
      <c r="Y1156" s="7" t="s">
        <v>1177</v>
      </c>
      <c r="Z1156" s="7" t="s">
        <v>1178</v>
      </c>
      <c r="AA1156" s="30">
        <v>0</v>
      </c>
      <c r="AB1156" s="36">
        <v>0</v>
      </c>
      <c r="AC1156" s="7" t="s">
        <v>1177</v>
      </c>
      <c r="AD1156" s="37">
        <v>0</v>
      </c>
      <c r="AE1156" s="7" t="s">
        <v>1177</v>
      </c>
      <c r="AF1156" s="7" t="s">
        <v>1177</v>
      </c>
      <c r="AG1156" s="7" t="s">
        <v>1177</v>
      </c>
      <c r="AH1156" s="38"/>
      <c r="AI1156" s="36">
        <v>0</v>
      </c>
      <c r="AJ1156" s="7" t="s">
        <v>1193</v>
      </c>
      <c r="AK1156" s="7" t="s">
        <v>1177</v>
      </c>
      <c r="AL1156" s="7" t="s">
        <v>1177</v>
      </c>
      <c r="AM1156" s="7" t="s">
        <v>1177</v>
      </c>
      <c r="AN1156" s="7" t="s">
        <v>3212</v>
      </c>
      <c r="AO1156" s="7" t="s">
        <v>1177</v>
      </c>
      <c r="AP1156" s="7" t="s">
        <v>1177</v>
      </c>
      <c r="AQ1156" s="7" t="s">
        <v>1177</v>
      </c>
      <c r="AR1156" s="29">
        <v>0</v>
      </c>
      <c r="AS1156" s="7" t="s">
        <v>1177</v>
      </c>
      <c r="AT1156" s="7" t="s">
        <v>1363</v>
      </c>
      <c r="AU1156" s="38">
        <v>46275</v>
      </c>
      <c r="AV1156" s="39">
        <v>0.62675925925926002</v>
      </c>
    </row>
    <row r="1157" spans="1:48" x14ac:dyDescent="0.35">
      <c r="A1157" t="str">
        <f t="shared" si="18"/>
        <v>GP269250B867</v>
      </c>
      <c r="B1157" s="7" t="s">
        <v>76</v>
      </c>
      <c r="C1157" s="7" t="s">
        <v>1059</v>
      </c>
      <c r="D1157" s="7" t="s">
        <v>25</v>
      </c>
      <c r="E1157" s="7" t="s">
        <v>1177</v>
      </c>
      <c r="F1157" s="7" t="s">
        <v>128</v>
      </c>
      <c r="G1157" s="7" t="s">
        <v>130</v>
      </c>
      <c r="H1157" s="7" t="s">
        <v>129</v>
      </c>
      <c r="I1157" s="30">
        <v>2</v>
      </c>
      <c r="J1157" s="7" t="s">
        <v>1177</v>
      </c>
      <c r="K1157" s="7" t="s">
        <v>1178</v>
      </c>
      <c r="L1157" s="7" t="s">
        <v>132</v>
      </c>
      <c r="M1157" s="7" t="s">
        <v>133</v>
      </c>
      <c r="N1157" s="30">
        <v>0</v>
      </c>
      <c r="O1157" s="30">
        <v>0</v>
      </c>
      <c r="P1157" s="30">
        <v>0</v>
      </c>
      <c r="Q1157" s="30">
        <v>0</v>
      </c>
      <c r="R1157" s="29">
        <v>0</v>
      </c>
      <c r="S1157" s="36">
        <v>0</v>
      </c>
      <c r="T1157" s="7" t="s">
        <v>131</v>
      </c>
      <c r="U1157" s="7" t="s">
        <v>1060</v>
      </c>
      <c r="V1157" s="7" t="s">
        <v>1060</v>
      </c>
      <c r="W1157" s="7" t="s">
        <v>1177</v>
      </c>
      <c r="X1157" s="30">
        <v>1</v>
      </c>
      <c r="Y1157" s="7" t="s">
        <v>1177</v>
      </c>
      <c r="Z1157" s="7" t="s">
        <v>1178</v>
      </c>
      <c r="AA1157" s="30">
        <v>0</v>
      </c>
      <c r="AB1157" s="36">
        <v>0</v>
      </c>
      <c r="AC1157" s="7" t="s">
        <v>1177</v>
      </c>
      <c r="AD1157" s="37">
        <v>0</v>
      </c>
      <c r="AE1157" s="7" t="s">
        <v>1177</v>
      </c>
      <c r="AF1157" s="7" t="s">
        <v>1177</v>
      </c>
      <c r="AG1157" s="7" t="s">
        <v>1177</v>
      </c>
      <c r="AH1157" s="38"/>
      <c r="AI1157" s="36">
        <v>0</v>
      </c>
      <c r="AJ1157" s="7" t="s">
        <v>1193</v>
      </c>
      <c r="AK1157" s="7" t="s">
        <v>1177</v>
      </c>
      <c r="AL1157" s="7" t="s">
        <v>1177</v>
      </c>
      <c r="AM1157" s="7" t="s">
        <v>1177</v>
      </c>
      <c r="AN1157" s="7" t="s">
        <v>3212</v>
      </c>
      <c r="AO1157" s="7" t="s">
        <v>1177</v>
      </c>
      <c r="AP1157" s="7" t="s">
        <v>1177</v>
      </c>
      <c r="AQ1157" s="7" t="s">
        <v>1177</v>
      </c>
      <c r="AR1157" s="29">
        <v>0</v>
      </c>
      <c r="AS1157" s="7" t="s">
        <v>1177</v>
      </c>
      <c r="AT1157" s="7" t="s">
        <v>1363</v>
      </c>
      <c r="AU1157" s="38">
        <v>46275</v>
      </c>
      <c r="AV1157" s="39">
        <v>0.62711805555555999</v>
      </c>
    </row>
    <row r="1158" spans="1:48" x14ac:dyDescent="0.35">
      <c r="A1158" t="str">
        <f t="shared" si="18"/>
        <v>GP269598B825</v>
      </c>
      <c r="B1158" s="7" t="s">
        <v>590</v>
      </c>
      <c r="C1158" s="7" t="s">
        <v>511</v>
      </c>
      <c r="D1158" s="7" t="s">
        <v>16</v>
      </c>
      <c r="E1158" s="7" t="s">
        <v>1177</v>
      </c>
      <c r="F1158" s="7" t="s">
        <v>128</v>
      </c>
      <c r="G1158" s="7" t="s">
        <v>130</v>
      </c>
      <c r="H1158" s="7" t="s">
        <v>129</v>
      </c>
      <c r="I1158" s="30">
        <v>2</v>
      </c>
      <c r="J1158" s="7" t="s">
        <v>1177</v>
      </c>
      <c r="K1158" s="7" t="s">
        <v>1178</v>
      </c>
      <c r="L1158" s="7" t="s">
        <v>132</v>
      </c>
      <c r="M1158" s="7" t="s">
        <v>133</v>
      </c>
      <c r="N1158" s="30">
        <v>0</v>
      </c>
      <c r="O1158" s="30">
        <v>0</v>
      </c>
      <c r="P1158" s="30">
        <v>0</v>
      </c>
      <c r="Q1158" s="30">
        <v>0</v>
      </c>
      <c r="R1158" s="29">
        <v>0</v>
      </c>
      <c r="S1158" s="36">
        <v>0</v>
      </c>
      <c r="T1158" s="7" t="s">
        <v>131</v>
      </c>
      <c r="U1158" s="7" t="s">
        <v>512</v>
      </c>
      <c r="V1158" s="7" t="s">
        <v>512</v>
      </c>
      <c r="W1158" s="7" t="s">
        <v>1177</v>
      </c>
      <c r="X1158" s="30">
        <v>1</v>
      </c>
      <c r="Y1158" s="7" t="s">
        <v>1177</v>
      </c>
      <c r="Z1158" s="7" t="s">
        <v>1178</v>
      </c>
      <c r="AA1158" s="30">
        <v>0</v>
      </c>
      <c r="AB1158" s="36">
        <v>0</v>
      </c>
      <c r="AC1158" s="7" t="s">
        <v>1177</v>
      </c>
      <c r="AD1158" s="37">
        <v>0</v>
      </c>
      <c r="AE1158" s="7" t="s">
        <v>1177</v>
      </c>
      <c r="AF1158" s="7" t="s">
        <v>1177</v>
      </c>
      <c r="AG1158" s="7" t="s">
        <v>1177</v>
      </c>
      <c r="AH1158" s="38"/>
      <c r="AI1158" s="36">
        <v>0</v>
      </c>
      <c r="AJ1158" s="7" t="s">
        <v>1193</v>
      </c>
      <c r="AK1158" s="7" t="s">
        <v>1177</v>
      </c>
      <c r="AL1158" s="7" t="s">
        <v>1177</v>
      </c>
      <c r="AM1158" s="7" t="s">
        <v>1177</v>
      </c>
      <c r="AN1158" s="7" t="s">
        <v>3212</v>
      </c>
      <c r="AO1158" s="7" t="s">
        <v>1177</v>
      </c>
      <c r="AP1158" s="7" t="s">
        <v>1177</v>
      </c>
      <c r="AQ1158" s="7" t="s">
        <v>1177</v>
      </c>
      <c r="AR1158" s="29">
        <v>0</v>
      </c>
      <c r="AS1158" s="7" t="s">
        <v>1177</v>
      </c>
      <c r="AT1158" s="7" t="s">
        <v>1363</v>
      </c>
      <c r="AU1158" s="38">
        <v>46275</v>
      </c>
      <c r="AV1158" s="39">
        <v>0.62303240740740995</v>
      </c>
    </row>
    <row r="1159" spans="1:48" x14ac:dyDescent="0.35">
      <c r="A1159" t="str">
        <f t="shared" si="18"/>
        <v>GP269602B825</v>
      </c>
      <c r="B1159" s="7" t="s">
        <v>286</v>
      </c>
      <c r="C1159" s="7" t="s">
        <v>511</v>
      </c>
      <c r="D1159" s="7" t="s">
        <v>16</v>
      </c>
      <c r="E1159" s="7" t="s">
        <v>1177</v>
      </c>
      <c r="F1159" s="7" t="s">
        <v>128</v>
      </c>
      <c r="G1159" s="7" t="s">
        <v>130</v>
      </c>
      <c r="H1159" s="7" t="s">
        <v>129</v>
      </c>
      <c r="I1159" s="30">
        <v>2</v>
      </c>
      <c r="J1159" s="7" t="s">
        <v>1177</v>
      </c>
      <c r="K1159" s="7" t="s">
        <v>1178</v>
      </c>
      <c r="L1159" s="7" t="s">
        <v>132</v>
      </c>
      <c r="M1159" s="7" t="s">
        <v>133</v>
      </c>
      <c r="N1159" s="30">
        <v>0</v>
      </c>
      <c r="O1159" s="30">
        <v>0</v>
      </c>
      <c r="P1159" s="30">
        <v>0</v>
      </c>
      <c r="Q1159" s="30">
        <v>0</v>
      </c>
      <c r="R1159" s="29">
        <v>0</v>
      </c>
      <c r="S1159" s="36">
        <v>0</v>
      </c>
      <c r="T1159" s="7" t="s">
        <v>131</v>
      </c>
      <c r="U1159" s="7" t="s">
        <v>512</v>
      </c>
      <c r="V1159" s="7" t="s">
        <v>512</v>
      </c>
      <c r="W1159" s="7" t="s">
        <v>1177</v>
      </c>
      <c r="X1159" s="30">
        <v>1</v>
      </c>
      <c r="Y1159" s="7" t="s">
        <v>1177</v>
      </c>
      <c r="Z1159" s="7" t="s">
        <v>1178</v>
      </c>
      <c r="AA1159" s="30">
        <v>0</v>
      </c>
      <c r="AB1159" s="36">
        <v>0</v>
      </c>
      <c r="AC1159" s="7" t="s">
        <v>1177</v>
      </c>
      <c r="AD1159" s="37">
        <v>0</v>
      </c>
      <c r="AE1159" s="7" t="s">
        <v>1177</v>
      </c>
      <c r="AF1159" s="7" t="s">
        <v>1177</v>
      </c>
      <c r="AG1159" s="7" t="s">
        <v>1177</v>
      </c>
      <c r="AH1159" s="38"/>
      <c r="AI1159" s="36">
        <v>0</v>
      </c>
      <c r="AJ1159" s="7" t="s">
        <v>1193</v>
      </c>
      <c r="AK1159" s="7" t="s">
        <v>1177</v>
      </c>
      <c r="AL1159" s="7" t="s">
        <v>1177</v>
      </c>
      <c r="AM1159" s="7" t="s">
        <v>1177</v>
      </c>
      <c r="AN1159" s="7" t="s">
        <v>3212</v>
      </c>
      <c r="AO1159" s="7" t="s">
        <v>1177</v>
      </c>
      <c r="AP1159" s="7" t="s">
        <v>1177</v>
      </c>
      <c r="AQ1159" s="7" t="s">
        <v>1177</v>
      </c>
      <c r="AR1159" s="29">
        <v>0</v>
      </c>
      <c r="AS1159" s="7" t="s">
        <v>1177</v>
      </c>
      <c r="AT1159" s="7" t="s">
        <v>1363</v>
      </c>
      <c r="AU1159" s="38">
        <v>46275</v>
      </c>
      <c r="AV1159" s="39">
        <v>0.62303240740740995</v>
      </c>
    </row>
    <row r="1160" spans="1:48" x14ac:dyDescent="0.35">
      <c r="A1160" t="str">
        <f t="shared" si="18"/>
        <v>GP269908B838</v>
      </c>
      <c r="B1160" s="7" t="s">
        <v>418</v>
      </c>
      <c r="C1160" s="7" t="s">
        <v>744</v>
      </c>
      <c r="D1160" s="7" t="s">
        <v>48</v>
      </c>
      <c r="E1160" s="7" t="s">
        <v>1177</v>
      </c>
      <c r="F1160" s="7" t="s">
        <v>128</v>
      </c>
      <c r="G1160" s="7" t="s">
        <v>130</v>
      </c>
      <c r="H1160" s="7" t="s">
        <v>129</v>
      </c>
      <c r="I1160" s="30">
        <v>2</v>
      </c>
      <c r="J1160" s="7" t="s">
        <v>1177</v>
      </c>
      <c r="K1160" s="7" t="s">
        <v>1178</v>
      </c>
      <c r="L1160" s="7" t="s">
        <v>132</v>
      </c>
      <c r="M1160" s="7" t="s">
        <v>133</v>
      </c>
      <c r="N1160" s="30">
        <v>0</v>
      </c>
      <c r="O1160" s="30">
        <v>0</v>
      </c>
      <c r="P1160" s="30">
        <v>0</v>
      </c>
      <c r="Q1160" s="30">
        <v>0</v>
      </c>
      <c r="R1160" s="29">
        <v>0</v>
      </c>
      <c r="S1160" s="36">
        <v>0</v>
      </c>
      <c r="T1160" s="7" t="s">
        <v>131</v>
      </c>
      <c r="U1160" s="7" t="s">
        <v>745</v>
      </c>
      <c r="V1160" s="7" t="s">
        <v>745</v>
      </c>
      <c r="W1160" s="7" t="s">
        <v>1177</v>
      </c>
      <c r="X1160" s="30">
        <v>1</v>
      </c>
      <c r="Y1160" s="7" t="s">
        <v>1177</v>
      </c>
      <c r="Z1160" s="7" t="s">
        <v>1178</v>
      </c>
      <c r="AA1160" s="30">
        <v>0</v>
      </c>
      <c r="AB1160" s="36">
        <v>0</v>
      </c>
      <c r="AC1160" s="7" t="s">
        <v>1177</v>
      </c>
      <c r="AD1160" s="37">
        <v>0</v>
      </c>
      <c r="AE1160" s="7" t="s">
        <v>1177</v>
      </c>
      <c r="AF1160" s="7" t="s">
        <v>1177</v>
      </c>
      <c r="AG1160" s="7" t="s">
        <v>1177</v>
      </c>
      <c r="AH1160" s="38"/>
      <c r="AI1160" s="36">
        <v>0</v>
      </c>
      <c r="AJ1160" s="7" t="s">
        <v>1193</v>
      </c>
      <c r="AK1160" s="7" t="s">
        <v>1177</v>
      </c>
      <c r="AL1160" s="7" t="s">
        <v>1177</v>
      </c>
      <c r="AM1160" s="7" t="s">
        <v>1177</v>
      </c>
      <c r="AN1160" s="7" t="s">
        <v>3212</v>
      </c>
      <c r="AO1160" s="7" t="s">
        <v>1177</v>
      </c>
      <c r="AP1160" s="7" t="s">
        <v>1177</v>
      </c>
      <c r="AQ1160" s="7" t="s">
        <v>1177</v>
      </c>
      <c r="AR1160" s="29">
        <v>0</v>
      </c>
      <c r="AS1160" s="7" t="s">
        <v>1177</v>
      </c>
      <c r="AT1160" s="7" t="s">
        <v>1363</v>
      </c>
      <c r="AU1160" s="38">
        <v>46275</v>
      </c>
      <c r="AV1160" s="39">
        <v>0.60472222222222005</v>
      </c>
    </row>
    <row r="1161" spans="1:48" x14ac:dyDescent="0.35">
      <c r="A1161" t="str">
        <f t="shared" si="18"/>
        <v>GP269908B856</v>
      </c>
      <c r="B1161" s="7" t="s">
        <v>418</v>
      </c>
      <c r="C1161" s="7" t="s">
        <v>852</v>
      </c>
      <c r="D1161" s="7" t="s">
        <v>21</v>
      </c>
      <c r="E1161" s="7" t="s">
        <v>1177</v>
      </c>
      <c r="F1161" s="7" t="s">
        <v>128</v>
      </c>
      <c r="G1161" s="7" t="s">
        <v>130</v>
      </c>
      <c r="H1161" s="7" t="s">
        <v>129</v>
      </c>
      <c r="I1161" s="30">
        <v>2</v>
      </c>
      <c r="J1161" s="7" t="s">
        <v>1177</v>
      </c>
      <c r="K1161" s="7" t="s">
        <v>1178</v>
      </c>
      <c r="L1161" s="7" t="s">
        <v>132</v>
      </c>
      <c r="M1161" s="7" t="s">
        <v>133</v>
      </c>
      <c r="N1161" s="30">
        <v>0</v>
      </c>
      <c r="O1161" s="30">
        <v>0</v>
      </c>
      <c r="P1161" s="30">
        <v>0</v>
      </c>
      <c r="Q1161" s="30">
        <v>0</v>
      </c>
      <c r="R1161" s="29">
        <v>0</v>
      </c>
      <c r="S1161" s="36">
        <v>0</v>
      </c>
      <c r="T1161" s="7" t="s">
        <v>131</v>
      </c>
      <c r="U1161" s="7" t="s">
        <v>853</v>
      </c>
      <c r="V1161" s="7" t="s">
        <v>853</v>
      </c>
      <c r="W1161" s="7" t="s">
        <v>1177</v>
      </c>
      <c r="X1161" s="30">
        <v>1</v>
      </c>
      <c r="Y1161" s="7" t="s">
        <v>1177</v>
      </c>
      <c r="Z1161" s="7" t="s">
        <v>1178</v>
      </c>
      <c r="AA1161" s="30">
        <v>0</v>
      </c>
      <c r="AB1161" s="36">
        <v>0</v>
      </c>
      <c r="AC1161" s="7" t="s">
        <v>1177</v>
      </c>
      <c r="AD1161" s="37">
        <v>0</v>
      </c>
      <c r="AE1161" s="7" t="s">
        <v>1177</v>
      </c>
      <c r="AF1161" s="7" t="s">
        <v>1177</v>
      </c>
      <c r="AG1161" s="7" t="s">
        <v>1177</v>
      </c>
      <c r="AH1161" s="38"/>
      <c r="AI1161" s="36">
        <v>0</v>
      </c>
      <c r="AJ1161" s="7" t="s">
        <v>1193</v>
      </c>
      <c r="AK1161" s="7" t="s">
        <v>1177</v>
      </c>
      <c r="AL1161" s="7" t="s">
        <v>1177</v>
      </c>
      <c r="AM1161" s="7" t="s">
        <v>1177</v>
      </c>
      <c r="AN1161" s="7" t="s">
        <v>3212</v>
      </c>
      <c r="AO1161" s="7" t="s">
        <v>1177</v>
      </c>
      <c r="AP1161" s="7" t="s">
        <v>1177</v>
      </c>
      <c r="AQ1161" s="7" t="s">
        <v>1177</v>
      </c>
      <c r="AR1161" s="29">
        <v>0</v>
      </c>
      <c r="AS1161" s="7" t="s">
        <v>1177</v>
      </c>
      <c r="AT1161" s="7" t="s">
        <v>1363</v>
      </c>
      <c r="AU1161" s="38">
        <v>46275</v>
      </c>
      <c r="AV1161" s="39">
        <v>0.60521990740741005</v>
      </c>
    </row>
    <row r="1162" spans="1:48" x14ac:dyDescent="0.35">
      <c r="A1162" t="str">
        <f t="shared" si="18"/>
        <v>GP269908B857</v>
      </c>
      <c r="B1162" s="7" t="s">
        <v>418</v>
      </c>
      <c r="C1162" s="7" t="s">
        <v>958</v>
      </c>
      <c r="D1162" s="7" t="s">
        <v>23</v>
      </c>
      <c r="E1162" s="7" t="s">
        <v>1177</v>
      </c>
      <c r="F1162" s="7" t="s">
        <v>128</v>
      </c>
      <c r="G1162" s="7" t="s">
        <v>130</v>
      </c>
      <c r="H1162" s="7" t="s">
        <v>129</v>
      </c>
      <c r="I1162" s="30">
        <v>2</v>
      </c>
      <c r="J1162" s="7" t="s">
        <v>1177</v>
      </c>
      <c r="K1162" s="7" t="s">
        <v>1178</v>
      </c>
      <c r="L1162" s="7" t="s">
        <v>132</v>
      </c>
      <c r="M1162" s="7" t="s">
        <v>133</v>
      </c>
      <c r="N1162" s="30">
        <v>0</v>
      </c>
      <c r="O1162" s="30">
        <v>0</v>
      </c>
      <c r="P1162" s="30">
        <v>0</v>
      </c>
      <c r="Q1162" s="30">
        <v>0</v>
      </c>
      <c r="R1162" s="29">
        <v>0</v>
      </c>
      <c r="S1162" s="36">
        <v>0</v>
      </c>
      <c r="T1162" s="7" t="s">
        <v>131</v>
      </c>
      <c r="U1162" s="7" t="s">
        <v>959</v>
      </c>
      <c r="V1162" s="7" t="s">
        <v>959</v>
      </c>
      <c r="W1162" s="7" t="s">
        <v>1177</v>
      </c>
      <c r="X1162" s="30">
        <v>1</v>
      </c>
      <c r="Y1162" s="7" t="s">
        <v>1177</v>
      </c>
      <c r="Z1162" s="7" t="s">
        <v>1178</v>
      </c>
      <c r="AA1162" s="30">
        <v>0</v>
      </c>
      <c r="AB1162" s="36">
        <v>0</v>
      </c>
      <c r="AC1162" s="7" t="s">
        <v>1177</v>
      </c>
      <c r="AD1162" s="37">
        <v>0</v>
      </c>
      <c r="AE1162" s="7" t="s">
        <v>1177</v>
      </c>
      <c r="AF1162" s="7" t="s">
        <v>1177</v>
      </c>
      <c r="AG1162" s="7" t="s">
        <v>1177</v>
      </c>
      <c r="AH1162" s="38"/>
      <c r="AI1162" s="36">
        <v>0</v>
      </c>
      <c r="AJ1162" s="7" t="s">
        <v>1193</v>
      </c>
      <c r="AK1162" s="7" t="s">
        <v>1177</v>
      </c>
      <c r="AL1162" s="7" t="s">
        <v>1177</v>
      </c>
      <c r="AM1162" s="7" t="s">
        <v>1177</v>
      </c>
      <c r="AN1162" s="7" t="s">
        <v>3212</v>
      </c>
      <c r="AO1162" s="7" t="s">
        <v>1177</v>
      </c>
      <c r="AP1162" s="7" t="s">
        <v>1177</v>
      </c>
      <c r="AQ1162" s="7" t="s">
        <v>1177</v>
      </c>
      <c r="AR1162" s="29">
        <v>0</v>
      </c>
      <c r="AS1162" s="7" t="s">
        <v>1177</v>
      </c>
      <c r="AT1162" s="7" t="s">
        <v>1363</v>
      </c>
      <c r="AU1162" s="38">
        <v>46275</v>
      </c>
      <c r="AV1162" s="39">
        <v>0.60527777777778002</v>
      </c>
    </row>
    <row r="1163" spans="1:48" x14ac:dyDescent="0.35">
      <c r="A1163" t="str">
        <f t="shared" si="18"/>
        <v>GP269908B864</v>
      </c>
      <c r="B1163" s="7" t="s">
        <v>418</v>
      </c>
      <c r="C1163" s="7" t="s">
        <v>1010</v>
      </c>
      <c r="D1163" s="7" t="s">
        <v>10</v>
      </c>
      <c r="E1163" s="7" t="s">
        <v>1177</v>
      </c>
      <c r="F1163" s="7" t="s">
        <v>128</v>
      </c>
      <c r="G1163" s="7" t="s">
        <v>130</v>
      </c>
      <c r="H1163" s="7" t="s">
        <v>129</v>
      </c>
      <c r="I1163" s="30">
        <v>2</v>
      </c>
      <c r="J1163" s="7" t="s">
        <v>1177</v>
      </c>
      <c r="K1163" s="7" t="s">
        <v>1178</v>
      </c>
      <c r="L1163" s="7" t="s">
        <v>132</v>
      </c>
      <c r="M1163" s="7" t="s">
        <v>133</v>
      </c>
      <c r="N1163" s="30">
        <v>0</v>
      </c>
      <c r="O1163" s="30">
        <v>0</v>
      </c>
      <c r="P1163" s="30">
        <v>0</v>
      </c>
      <c r="Q1163" s="30">
        <v>0</v>
      </c>
      <c r="R1163" s="29">
        <v>0</v>
      </c>
      <c r="S1163" s="36">
        <v>0</v>
      </c>
      <c r="T1163" s="7" t="s">
        <v>131</v>
      </c>
      <c r="U1163" s="7" t="s">
        <v>1011</v>
      </c>
      <c r="V1163" s="7" t="s">
        <v>1011</v>
      </c>
      <c r="W1163" s="7" t="s">
        <v>1177</v>
      </c>
      <c r="X1163" s="30">
        <v>1</v>
      </c>
      <c r="Y1163" s="7" t="s">
        <v>1177</v>
      </c>
      <c r="Z1163" s="7" t="s">
        <v>1178</v>
      </c>
      <c r="AA1163" s="30">
        <v>0</v>
      </c>
      <c r="AB1163" s="36">
        <v>0</v>
      </c>
      <c r="AC1163" s="7" t="s">
        <v>1177</v>
      </c>
      <c r="AD1163" s="37">
        <v>0</v>
      </c>
      <c r="AE1163" s="7" t="s">
        <v>1177</v>
      </c>
      <c r="AF1163" s="7" t="s">
        <v>1177</v>
      </c>
      <c r="AG1163" s="7" t="s">
        <v>1177</v>
      </c>
      <c r="AH1163" s="38"/>
      <c r="AI1163" s="36">
        <v>0</v>
      </c>
      <c r="AJ1163" s="7" t="s">
        <v>1193</v>
      </c>
      <c r="AK1163" s="7" t="s">
        <v>1177</v>
      </c>
      <c r="AL1163" s="7" t="s">
        <v>1177</v>
      </c>
      <c r="AM1163" s="7" t="s">
        <v>1177</v>
      </c>
      <c r="AN1163" s="7" t="s">
        <v>3212</v>
      </c>
      <c r="AO1163" s="7" t="s">
        <v>1177</v>
      </c>
      <c r="AP1163" s="7" t="s">
        <v>1177</v>
      </c>
      <c r="AQ1163" s="7" t="s">
        <v>1177</v>
      </c>
      <c r="AR1163" s="29">
        <v>0</v>
      </c>
      <c r="AS1163" s="7" t="s">
        <v>1177</v>
      </c>
      <c r="AT1163" s="7" t="s">
        <v>1363</v>
      </c>
      <c r="AU1163" s="38">
        <v>46275</v>
      </c>
      <c r="AV1163" s="39">
        <v>0.60542824074073998</v>
      </c>
    </row>
    <row r="1164" spans="1:48" x14ac:dyDescent="0.35">
      <c r="A1164" t="str">
        <f t="shared" si="18"/>
        <v>GP269908B865</v>
      </c>
      <c r="B1164" s="7" t="s">
        <v>418</v>
      </c>
      <c r="C1164" s="7" t="s">
        <v>1039</v>
      </c>
      <c r="D1164" s="7" t="s">
        <v>7</v>
      </c>
      <c r="E1164" s="7" t="s">
        <v>1177</v>
      </c>
      <c r="F1164" s="7" t="s">
        <v>128</v>
      </c>
      <c r="G1164" s="7" t="s">
        <v>130</v>
      </c>
      <c r="H1164" s="7" t="s">
        <v>129</v>
      </c>
      <c r="I1164" s="30">
        <v>2</v>
      </c>
      <c r="J1164" s="7" t="s">
        <v>1177</v>
      </c>
      <c r="K1164" s="7" t="s">
        <v>1178</v>
      </c>
      <c r="L1164" s="7" t="s">
        <v>132</v>
      </c>
      <c r="M1164" s="7" t="s">
        <v>133</v>
      </c>
      <c r="N1164" s="30">
        <v>0</v>
      </c>
      <c r="O1164" s="30">
        <v>0</v>
      </c>
      <c r="P1164" s="30">
        <v>0</v>
      </c>
      <c r="Q1164" s="30">
        <v>0</v>
      </c>
      <c r="R1164" s="29">
        <v>0</v>
      </c>
      <c r="S1164" s="36">
        <v>0</v>
      </c>
      <c r="T1164" s="7" t="s">
        <v>131</v>
      </c>
      <c r="U1164" s="7" t="s">
        <v>1040</v>
      </c>
      <c r="V1164" s="7" t="s">
        <v>1040</v>
      </c>
      <c r="W1164" s="7" t="s">
        <v>1177</v>
      </c>
      <c r="X1164" s="30">
        <v>1</v>
      </c>
      <c r="Y1164" s="7" t="s">
        <v>1177</v>
      </c>
      <c r="Z1164" s="7" t="s">
        <v>1178</v>
      </c>
      <c r="AA1164" s="30">
        <v>0</v>
      </c>
      <c r="AB1164" s="36">
        <v>0</v>
      </c>
      <c r="AC1164" s="7" t="s">
        <v>1177</v>
      </c>
      <c r="AD1164" s="37">
        <v>0</v>
      </c>
      <c r="AE1164" s="7" t="s">
        <v>1177</v>
      </c>
      <c r="AF1164" s="7" t="s">
        <v>1177</v>
      </c>
      <c r="AG1164" s="7" t="s">
        <v>1177</v>
      </c>
      <c r="AH1164" s="38"/>
      <c r="AI1164" s="36">
        <v>0</v>
      </c>
      <c r="AJ1164" s="7" t="s">
        <v>1193</v>
      </c>
      <c r="AK1164" s="7" t="s">
        <v>1177</v>
      </c>
      <c r="AL1164" s="7" t="s">
        <v>1177</v>
      </c>
      <c r="AM1164" s="7" t="s">
        <v>1177</v>
      </c>
      <c r="AN1164" s="7" t="s">
        <v>3212</v>
      </c>
      <c r="AO1164" s="7" t="s">
        <v>1177</v>
      </c>
      <c r="AP1164" s="7" t="s">
        <v>1177</v>
      </c>
      <c r="AQ1164" s="7" t="s">
        <v>1177</v>
      </c>
      <c r="AR1164" s="29">
        <v>0</v>
      </c>
      <c r="AS1164" s="7" t="s">
        <v>1177</v>
      </c>
      <c r="AT1164" s="7" t="s">
        <v>1363</v>
      </c>
      <c r="AU1164" s="38">
        <v>46275</v>
      </c>
      <c r="AV1164" s="39">
        <v>0.60549768518518998</v>
      </c>
    </row>
    <row r="1165" spans="1:48" x14ac:dyDescent="0.35">
      <c r="A1165" t="str">
        <f t="shared" si="18"/>
        <v>GP269908B867</v>
      </c>
      <c r="B1165" s="7" t="s">
        <v>418</v>
      </c>
      <c r="C1165" s="7" t="s">
        <v>1059</v>
      </c>
      <c r="D1165" s="7" t="s">
        <v>25</v>
      </c>
      <c r="E1165" s="7" t="s">
        <v>1177</v>
      </c>
      <c r="F1165" s="7" t="s">
        <v>128</v>
      </c>
      <c r="G1165" s="7" t="s">
        <v>130</v>
      </c>
      <c r="H1165" s="7" t="s">
        <v>129</v>
      </c>
      <c r="I1165" s="30">
        <v>2</v>
      </c>
      <c r="J1165" s="7" t="s">
        <v>1177</v>
      </c>
      <c r="K1165" s="7" t="s">
        <v>1178</v>
      </c>
      <c r="L1165" s="7" t="s">
        <v>132</v>
      </c>
      <c r="M1165" s="7" t="s">
        <v>133</v>
      </c>
      <c r="N1165" s="30">
        <v>0</v>
      </c>
      <c r="O1165" s="30">
        <v>0</v>
      </c>
      <c r="P1165" s="30">
        <v>0</v>
      </c>
      <c r="Q1165" s="30">
        <v>0</v>
      </c>
      <c r="R1165" s="29">
        <v>0</v>
      </c>
      <c r="S1165" s="36">
        <v>0</v>
      </c>
      <c r="T1165" s="7" t="s">
        <v>131</v>
      </c>
      <c r="U1165" s="7" t="s">
        <v>1060</v>
      </c>
      <c r="V1165" s="7" t="s">
        <v>1060</v>
      </c>
      <c r="W1165" s="7" t="s">
        <v>1177</v>
      </c>
      <c r="X1165" s="30">
        <v>1</v>
      </c>
      <c r="Y1165" s="7" t="s">
        <v>1177</v>
      </c>
      <c r="Z1165" s="7" t="s">
        <v>1178</v>
      </c>
      <c r="AA1165" s="30">
        <v>0</v>
      </c>
      <c r="AB1165" s="36">
        <v>0</v>
      </c>
      <c r="AC1165" s="7" t="s">
        <v>1177</v>
      </c>
      <c r="AD1165" s="37">
        <v>0</v>
      </c>
      <c r="AE1165" s="7" t="s">
        <v>1177</v>
      </c>
      <c r="AF1165" s="7" t="s">
        <v>1177</v>
      </c>
      <c r="AG1165" s="7" t="s">
        <v>1177</v>
      </c>
      <c r="AH1165" s="38"/>
      <c r="AI1165" s="36">
        <v>0</v>
      </c>
      <c r="AJ1165" s="7" t="s">
        <v>1193</v>
      </c>
      <c r="AK1165" s="7" t="s">
        <v>1177</v>
      </c>
      <c r="AL1165" s="7" t="s">
        <v>1177</v>
      </c>
      <c r="AM1165" s="7" t="s">
        <v>1177</v>
      </c>
      <c r="AN1165" s="7" t="s">
        <v>3212</v>
      </c>
      <c r="AO1165" s="7" t="s">
        <v>1177</v>
      </c>
      <c r="AP1165" s="7" t="s">
        <v>1177</v>
      </c>
      <c r="AQ1165" s="7" t="s">
        <v>1177</v>
      </c>
      <c r="AR1165" s="29">
        <v>0</v>
      </c>
      <c r="AS1165" s="7" t="s">
        <v>1177</v>
      </c>
      <c r="AT1165" s="7" t="s">
        <v>1363</v>
      </c>
      <c r="AU1165" s="38">
        <v>46275</v>
      </c>
      <c r="AV1165" s="39">
        <v>0.60563657407407001</v>
      </c>
    </row>
    <row r="1166" spans="1:48" x14ac:dyDescent="0.35">
      <c r="A1166" t="str">
        <f t="shared" si="18"/>
        <v>GP269910B856</v>
      </c>
      <c r="B1166" s="7" t="s">
        <v>801</v>
      </c>
      <c r="C1166" s="7" t="s">
        <v>852</v>
      </c>
      <c r="D1166" s="7" t="s">
        <v>21</v>
      </c>
      <c r="E1166" s="7" t="s">
        <v>1177</v>
      </c>
      <c r="F1166" s="7" t="s">
        <v>128</v>
      </c>
      <c r="G1166" s="7" t="s">
        <v>130</v>
      </c>
      <c r="H1166" s="7" t="s">
        <v>129</v>
      </c>
      <c r="I1166" s="30">
        <v>2</v>
      </c>
      <c r="J1166" s="7" t="s">
        <v>1177</v>
      </c>
      <c r="K1166" s="7" t="s">
        <v>1178</v>
      </c>
      <c r="L1166" s="7" t="s">
        <v>132</v>
      </c>
      <c r="M1166" s="7" t="s">
        <v>133</v>
      </c>
      <c r="N1166" s="30">
        <v>0</v>
      </c>
      <c r="O1166" s="30">
        <v>0</v>
      </c>
      <c r="P1166" s="30">
        <v>0</v>
      </c>
      <c r="Q1166" s="30">
        <v>0</v>
      </c>
      <c r="R1166" s="29">
        <v>0</v>
      </c>
      <c r="S1166" s="36">
        <v>0</v>
      </c>
      <c r="T1166" s="7" t="s">
        <v>131</v>
      </c>
      <c r="U1166" s="7" t="s">
        <v>853</v>
      </c>
      <c r="V1166" s="7" t="s">
        <v>853</v>
      </c>
      <c r="W1166" s="7" t="s">
        <v>1177</v>
      </c>
      <c r="X1166" s="30">
        <v>1</v>
      </c>
      <c r="Y1166" s="7" t="s">
        <v>1177</v>
      </c>
      <c r="Z1166" s="7" t="s">
        <v>1178</v>
      </c>
      <c r="AA1166" s="30">
        <v>0</v>
      </c>
      <c r="AB1166" s="36">
        <v>0</v>
      </c>
      <c r="AC1166" s="7" t="s">
        <v>1177</v>
      </c>
      <c r="AD1166" s="37">
        <v>0</v>
      </c>
      <c r="AE1166" s="7" t="s">
        <v>1177</v>
      </c>
      <c r="AF1166" s="7" t="s">
        <v>1177</v>
      </c>
      <c r="AG1166" s="7" t="s">
        <v>1177</v>
      </c>
      <c r="AH1166" s="38"/>
      <c r="AI1166" s="36">
        <v>0</v>
      </c>
      <c r="AJ1166" s="7" t="s">
        <v>1193</v>
      </c>
      <c r="AK1166" s="7" t="s">
        <v>1177</v>
      </c>
      <c r="AL1166" s="7" t="s">
        <v>1177</v>
      </c>
      <c r="AM1166" s="7" t="s">
        <v>1177</v>
      </c>
      <c r="AN1166" s="7" t="s">
        <v>3212</v>
      </c>
      <c r="AO1166" s="7" t="s">
        <v>1177</v>
      </c>
      <c r="AP1166" s="7" t="s">
        <v>1177</v>
      </c>
      <c r="AQ1166" s="7" t="s">
        <v>1177</v>
      </c>
      <c r="AR1166" s="29">
        <v>0</v>
      </c>
      <c r="AS1166" s="7" t="s">
        <v>1177</v>
      </c>
      <c r="AT1166" s="7" t="s">
        <v>1363</v>
      </c>
      <c r="AU1166" s="38">
        <v>46275</v>
      </c>
      <c r="AV1166" s="39">
        <v>0.60523148148147998</v>
      </c>
    </row>
    <row r="1167" spans="1:48" x14ac:dyDescent="0.35">
      <c r="A1167" t="str">
        <f t="shared" si="18"/>
        <v>GP270283B865</v>
      </c>
      <c r="B1167" s="7" t="s">
        <v>1047</v>
      </c>
      <c r="C1167" s="7" t="s">
        <v>1039</v>
      </c>
      <c r="D1167" s="7" t="s">
        <v>7</v>
      </c>
      <c r="E1167" s="7" t="s">
        <v>1177</v>
      </c>
      <c r="F1167" s="7" t="s">
        <v>128</v>
      </c>
      <c r="G1167" s="7" t="s">
        <v>130</v>
      </c>
      <c r="H1167" s="7" t="s">
        <v>129</v>
      </c>
      <c r="I1167" s="30">
        <v>2</v>
      </c>
      <c r="J1167" s="7" t="s">
        <v>1177</v>
      </c>
      <c r="K1167" s="7" t="s">
        <v>1178</v>
      </c>
      <c r="L1167" s="7" t="s">
        <v>132</v>
      </c>
      <c r="M1167" s="7" t="s">
        <v>133</v>
      </c>
      <c r="N1167" s="30">
        <v>0</v>
      </c>
      <c r="O1167" s="30">
        <v>0</v>
      </c>
      <c r="P1167" s="30">
        <v>0</v>
      </c>
      <c r="Q1167" s="30">
        <v>0</v>
      </c>
      <c r="R1167" s="29">
        <v>0</v>
      </c>
      <c r="S1167" s="36">
        <v>0</v>
      </c>
      <c r="T1167" s="7" t="s">
        <v>131</v>
      </c>
      <c r="U1167" s="7" t="s">
        <v>1040</v>
      </c>
      <c r="V1167" s="7" t="s">
        <v>1040</v>
      </c>
      <c r="W1167" s="7" t="s">
        <v>1177</v>
      </c>
      <c r="X1167" s="30">
        <v>1</v>
      </c>
      <c r="Y1167" s="7" t="s">
        <v>1177</v>
      </c>
      <c r="Z1167" s="7" t="s">
        <v>1178</v>
      </c>
      <c r="AA1167" s="30">
        <v>0</v>
      </c>
      <c r="AB1167" s="36">
        <v>0</v>
      </c>
      <c r="AC1167" s="7" t="s">
        <v>1177</v>
      </c>
      <c r="AD1167" s="37">
        <v>0</v>
      </c>
      <c r="AE1167" s="7" t="s">
        <v>1177</v>
      </c>
      <c r="AF1167" s="7" t="s">
        <v>1177</v>
      </c>
      <c r="AG1167" s="7" t="s">
        <v>1177</v>
      </c>
      <c r="AH1167" s="38"/>
      <c r="AI1167" s="36">
        <v>0</v>
      </c>
      <c r="AJ1167" s="7" t="s">
        <v>1193</v>
      </c>
      <c r="AK1167" s="7" t="s">
        <v>1177</v>
      </c>
      <c r="AL1167" s="7" t="s">
        <v>1177</v>
      </c>
      <c r="AM1167" s="7" t="s">
        <v>1177</v>
      </c>
      <c r="AN1167" s="7" t="s">
        <v>3212</v>
      </c>
      <c r="AO1167" s="7" t="s">
        <v>1177</v>
      </c>
      <c r="AP1167" s="7" t="s">
        <v>1177</v>
      </c>
      <c r="AQ1167" s="7" t="s">
        <v>1177</v>
      </c>
      <c r="AR1167" s="29">
        <v>0</v>
      </c>
      <c r="AS1167" s="7" t="s">
        <v>1177</v>
      </c>
      <c r="AT1167" s="7" t="s">
        <v>1363</v>
      </c>
      <c r="AU1167" s="38">
        <v>46275</v>
      </c>
      <c r="AV1167" s="39">
        <v>0.62675925925926002</v>
      </c>
    </row>
    <row r="1168" spans="1:48" x14ac:dyDescent="0.35">
      <c r="A1168" t="str">
        <f t="shared" si="18"/>
        <v>GP272425B825</v>
      </c>
      <c r="B1168" s="7" t="s">
        <v>591</v>
      </c>
      <c r="C1168" s="7" t="s">
        <v>511</v>
      </c>
      <c r="D1168" s="7" t="s">
        <v>16</v>
      </c>
      <c r="E1168" s="7" t="s">
        <v>1177</v>
      </c>
      <c r="F1168" s="7" t="s">
        <v>128</v>
      </c>
      <c r="G1168" s="7" t="s">
        <v>130</v>
      </c>
      <c r="H1168" s="7" t="s">
        <v>129</v>
      </c>
      <c r="I1168" s="30">
        <v>2</v>
      </c>
      <c r="J1168" s="7" t="s">
        <v>1177</v>
      </c>
      <c r="K1168" s="7" t="s">
        <v>1178</v>
      </c>
      <c r="L1168" s="7" t="s">
        <v>132</v>
      </c>
      <c r="M1168" s="7" t="s">
        <v>133</v>
      </c>
      <c r="N1168" s="30">
        <v>0</v>
      </c>
      <c r="O1168" s="30">
        <v>0</v>
      </c>
      <c r="P1168" s="30">
        <v>0</v>
      </c>
      <c r="Q1168" s="30">
        <v>0</v>
      </c>
      <c r="R1168" s="29">
        <v>0</v>
      </c>
      <c r="S1168" s="36">
        <v>0</v>
      </c>
      <c r="T1168" s="7" t="s">
        <v>131</v>
      </c>
      <c r="U1168" s="7" t="s">
        <v>512</v>
      </c>
      <c r="V1168" s="7" t="s">
        <v>512</v>
      </c>
      <c r="W1168" s="7" t="s">
        <v>1177</v>
      </c>
      <c r="X1168" s="30">
        <v>1</v>
      </c>
      <c r="Y1168" s="7" t="s">
        <v>1177</v>
      </c>
      <c r="Z1168" s="7" t="s">
        <v>1178</v>
      </c>
      <c r="AA1168" s="30">
        <v>0</v>
      </c>
      <c r="AB1168" s="36">
        <v>0</v>
      </c>
      <c r="AC1168" s="7" t="s">
        <v>1177</v>
      </c>
      <c r="AD1168" s="37">
        <v>0</v>
      </c>
      <c r="AE1168" s="7" t="s">
        <v>1177</v>
      </c>
      <c r="AF1168" s="7" t="s">
        <v>1177</v>
      </c>
      <c r="AG1168" s="7" t="s">
        <v>1177</v>
      </c>
      <c r="AH1168" s="38"/>
      <c r="AI1168" s="36">
        <v>0</v>
      </c>
      <c r="AJ1168" s="7" t="s">
        <v>1193</v>
      </c>
      <c r="AK1168" s="7" t="s">
        <v>1177</v>
      </c>
      <c r="AL1168" s="7" t="s">
        <v>1177</v>
      </c>
      <c r="AM1168" s="7" t="s">
        <v>1177</v>
      </c>
      <c r="AN1168" s="7" t="s">
        <v>3212</v>
      </c>
      <c r="AO1168" s="7" t="s">
        <v>1177</v>
      </c>
      <c r="AP1168" s="7" t="s">
        <v>1177</v>
      </c>
      <c r="AQ1168" s="7" t="s">
        <v>1177</v>
      </c>
      <c r="AR1168" s="29">
        <v>0</v>
      </c>
      <c r="AS1168" s="7" t="s">
        <v>1177</v>
      </c>
      <c r="AT1168" s="7" t="s">
        <v>1363</v>
      </c>
      <c r="AU1168" s="38">
        <v>46275</v>
      </c>
      <c r="AV1168" s="39">
        <v>0.62303240740740995</v>
      </c>
    </row>
    <row r="1169" spans="1:48" x14ac:dyDescent="0.35">
      <c r="A1169" t="str">
        <f t="shared" si="18"/>
        <v>GP272888B832</v>
      </c>
      <c r="B1169" s="7" t="s">
        <v>677</v>
      </c>
      <c r="C1169" s="7" t="s">
        <v>653</v>
      </c>
      <c r="D1169" s="7" t="s">
        <v>19</v>
      </c>
      <c r="E1169" s="7" t="s">
        <v>1177</v>
      </c>
      <c r="F1169" s="7" t="s">
        <v>128</v>
      </c>
      <c r="G1169" s="7" t="s">
        <v>130</v>
      </c>
      <c r="H1169" s="7" t="s">
        <v>129</v>
      </c>
      <c r="I1169" s="30">
        <v>2</v>
      </c>
      <c r="J1169" s="7" t="s">
        <v>1177</v>
      </c>
      <c r="K1169" s="7" t="s">
        <v>1178</v>
      </c>
      <c r="L1169" s="7" t="s">
        <v>132</v>
      </c>
      <c r="M1169" s="7" t="s">
        <v>133</v>
      </c>
      <c r="N1169" s="30">
        <v>0</v>
      </c>
      <c r="O1169" s="30">
        <v>0</v>
      </c>
      <c r="P1169" s="30">
        <v>0</v>
      </c>
      <c r="Q1169" s="30">
        <v>0</v>
      </c>
      <c r="R1169" s="29">
        <v>0</v>
      </c>
      <c r="S1169" s="36">
        <v>0</v>
      </c>
      <c r="T1169" s="7" t="s">
        <v>131</v>
      </c>
      <c r="U1169" s="7" t="s">
        <v>654</v>
      </c>
      <c r="V1169" s="7" t="s">
        <v>654</v>
      </c>
      <c r="W1169" s="7" t="s">
        <v>1177</v>
      </c>
      <c r="X1169" s="30">
        <v>1</v>
      </c>
      <c r="Y1169" s="7" t="s">
        <v>1177</v>
      </c>
      <c r="Z1169" s="7" t="s">
        <v>1178</v>
      </c>
      <c r="AA1169" s="30">
        <v>0</v>
      </c>
      <c r="AB1169" s="36">
        <v>0</v>
      </c>
      <c r="AC1169" s="7" t="s">
        <v>1177</v>
      </c>
      <c r="AD1169" s="37">
        <v>0</v>
      </c>
      <c r="AE1169" s="7" t="s">
        <v>1177</v>
      </c>
      <c r="AF1169" s="7" t="s">
        <v>1177</v>
      </c>
      <c r="AG1169" s="7" t="s">
        <v>1177</v>
      </c>
      <c r="AH1169" s="38"/>
      <c r="AI1169" s="36">
        <v>0</v>
      </c>
      <c r="AJ1169" s="7" t="s">
        <v>1193</v>
      </c>
      <c r="AK1169" s="7" t="s">
        <v>1177</v>
      </c>
      <c r="AL1169" s="7" t="s">
        <v>1177</v>
      </c>
      <c r="AM1169" s="7" t="s">
        <v>1177</v>
      </c>
      <c r="AN1169" s="7" t="s">
        <v>3212</v>
      </c>
      <c r="AO1169" s="7" t="s">
        <v>1177</v>
      </c>
      <c r="AP1169" s="7" t="s">
        <v>1177</v>
      </c>
      <c r="AQ1169" s="7" t="s">
        <v>1177</v>
      </c>
      <c r="AR1169" s="29">
        <v>0</v>
      </c>
      <c r="AS1169" s="7" t="s">
        <v>1177</v>
      </c>
      <c r="AT1169" s="7" t="s">
        <v>1363</v>
      </c>
      <c r="AU1169" s="38">
        <v>46275</v>
      </c>
      <c r="AV1169" s="39">
        <v>0.62334490740741</v>
      </c>
    </row>
    <row r="1170" spans="1:48" x14ac:dyDescent="0.35">
      <c r="A1170" t="str">
        <f t="shared" si="18"/>
        <v>GP273228B825</v>
      </c>
      <c r="B1170" s="7" t="s">
        <v>330</v>
      </c>
      <c r="C1170" s="7" t="s">
        <v>511</v>
      </c>
      <c r="D1170" s="7" t="s">
        <v>16</v>
      </c>
      <c r="E1170" s="7" t="s">
        <v>1177</v>
      </c>
      <c r="F1170" s="7" t="s">
        <v>128</v>
      </c>
      <c r="G1170" s="7" t="s">
        <v>130</v>
      </c>
      <c r="H1170" s="7" t="s">
        <v>129</v>
      </c>
      <c r="I1170" s="30">
        <v>2</v>
      </c>
      <c r="J1170" s="7" t="s">
        <v>1177</v>
      </c>
      <c r="K1170" s="7" t="s">
        <v>1178</v>
      </c>
      <c r="L1170" s="7" t="s">
        <v>132</v>
      </c>
      <c r="M1170" s="7" t="s">
        <v>133</v>
      </c>
      <c r="N1170" s="30">
        <v>0</v>
      </c>
      <c r="O1170" s="30">
        <v>0</v>
      </c>
      <c r="P1170" s="30">
        <v>0</v>
      </c>
      <c r="Q1170" s="30">
        <v>0</v>
      </c>
      <c r="R1170" s="29">
        <v>0</v>
      </c>
      <c r="S1170" s="36">
        <v>0</v>
      </c>
      <c r="T1170" s="7" t="s">
        <v>131</v>
      </c>
      <c r="U1170" s="7" t="s">
        <v>512</v>
      </c>
      <c r="V1170" s="7" t="s">
        <v>512</v>
      </c>
      <c r="W1170" s="7" t="s">
        <v>1177</v>
      </c>
      <c r="X1170" s="30">
        <v>1</v>
      </c>
      <c r="Y1170" s="7" t="s">
        <v>1177</v>
      </c>
      <c r="Z1170" s="7" t="s">
        <v>1178</v>
      </c>
      <c r="AA1170" s="30">
        <v>0</v>
      </c>
      <c r="AB1170" s="36">
        <v>0</v>
      </c>
      <c r="AC1170" s="7" t="s">
        <v>1177</v>
      </c>
      <c r="AD1170" s="37">
        <v>0</v>
      </c>
      <c r="AE1170" s="7" t="s">
        <v>1177</v>
      </c>
      <c r="AF1170" s="7" t="s">
        <v>1177</v>
      </c>
      <c r="AG1170" s="7" t="s">
        <v>1177</v>
      </c>
      <c r="AH1170" s="38"/>
      <c r="AI1170" s="36">
        <v>0</v>
      </c>
      <c r="AJ1170" s="7" t="s">
        <v>1193</v>
      </c>
      <c r="AK1170" s="7" t="s">
        <v>1177</v>
      </c>
      <c r="AL1170" s="7" t="s">
        <v>1177</v>
      </c>
      <c r="AM1170" s="7" t="s">
        <v>1177</v>
      </c>
      <c r="AN1170" s="7" t="s">
        <v>3212</v>
      </c>
      <c r="AO1170" s="7" t="s">
        <v>1177</v>
      </c>
      <c r="AP1170" s="7" t="s">
        <v>1177</v>
      </c>
      <c r="AQ1170" s="7" t="s">
        <v>1177</v>
      </c>
      <c r="AR1170" s="29">
        <v>0</v>
      </c>
      <c r="AS1170" s="7" t="s">
        <v>1177</v>
      </c>
      <c r="AT1170" s="7" t="s">
        <v>1363</v>
      </c>
      <c r="AU1170" s="38">
        <v>46275</v>
      </c>
      <c r="AV1170" s="39">
        <v>0.62303240740740995</v>
      </c>
    </row>
    <row r="1171" spans="1:48" x14ac:dyDescent="0.35">
      <c r="A1171" t="str">
        <f t="shared" si="18"/>
        <v>GP273228B832</v>
      </c>
      <c r="B1171" s="7" t="s">
        <v>330</v>
      </c>
      <c r="C1171" s="7" t="s">
        <v>653</v>
      </c>
      <c r="D1171" s="7" t="s">
        <v>19</v>
      </c>
      <c r="E1171" s="7" t="s">
        <v>1177</v>
      </c>
      <c r="F1171" s="7" t="s">
        <v>128</v>
      </c>
      <c r="G1171" s="7" t="s">
        <v>130</v>
      </c>
      <c r="H1171" s="7" t="s">
        <v>129</v>
      </c>
      <c r="I1171" s="30">
        <v>2</v>
      </c>
      <c r="J1171" s="7" t="s">
        <v>1177</v>
      </c>
      <c r="K1171" s="7" t="s">
        <v>1178</v>
      </c>
      <c r="L1171" s="7" t="s">
        <v>132</v>
      </c>
      <c r="M1171" s="7" t="s">
        <v>133</v>
      </c>
      <c r="N1171" s="30">
        <v>0</v>
      </c>
      <c r="O1171" s="30">
        <v>0</v>
      </c>
      <c r="P1171" s="30">
        <v>0</v>
      </c>
      <c r="Q1171" s="30">
        <v>0</v>
      </c>
      <c r="R1171" s="29">
        <v>0</v>
      </c>
      <c r="S1171" s="36">
        <v>0</v>
      </c>
      <c r="T1171" s="7" t="s">
        <v>131</v>
      </c>
      <c r="U1171" s="7" t="s">
        <v>654</v>
      </c>
      <c r="V1171" s="7" t="s">
        <v>654</v>
      </c>
      <c r="W1171" s="7" t="s">
        <v>1177</v>
      </c>
      <c r="X1171" s="30">
        <v>1</v>
      </c>
      <c r="Y1171" s="7" t="s">
        <v>1177</v>
      </c>
      <c r="Z1171" s="7" t="s">
        <v>1178</v>
      </c>
      <c r="AA1171" s="30">
        <v>0</v>
      </c>
      <c r="AB1171" s="36">
        <v>0</v>
      </c>
      <c r="AC1171" s="7" t="s">
        <v>1177</v>
      </c>
      <c r="AD1171" s="37">
        <v>0</v>
      </c>
      <c r="AE1171" s="7" t="s">
        <v>1177</v>
      </c>
      <c r="AF1171" s="7" t="s">
        <v>1177</v>
      </c>
      <c r="AG1171" s="7" t="s">
        <v>1177</v>
      </c>
      <c r="AH1171" s="38"/>
      <c r="AI1171" s="36">
        <v>0</v>
      </c>
      <c r="AJ1171" s="7" t="s">
        <v>1193</v>
      </c>
      <c r="AK1171" s="7" t="s">
        <v>1177</v>
      </c>
      <c r="AL1171" s="7" t="s">
        <v>1177</v>
      </c>
      <c r="AM1171" s="7" t="s">
        <v>1177</v>
      </c>
      <c r="AN1171" s="7" t="s">
        <v>3212</v>
      </c>
      <c r="AO1171" s="7" t="s">
        <v>1177</v>
      </c>
      <c r="AP1171" s="7" t="s">
        <v>1177</v>
      </c>
      <c r="AQ1171" s="7" t="s">
        <v>1177</v>
      </c>
      <c r="AR1171" s="29">
        <v>0</v>
      </c>
      <c r="AS1171" s="7" t="s">
        <v>1177</v>
      </c>
      <c r="AT1171" s="7" t="s">
        <v>1363</v>
      </c>
      <c r="AU1171" s="38">
        <v>46275</v>
      </c>
      <c r="AV1171" s="39">
        <v>0.62334490740741</v>
      </c>
    </row>
    <row r="1172" spans="1:48" x14ac:dyDescent="0.35">
      <c r="A1172" t="str">
        <f t="shared" si="18"/>
        <v>GP273230B825</v>
      </c>
      <c r="B1172" s="7" t="s">
        <v>592</v>
      </c>
      <c r="C1172" s="7" t="s">
        <v>511</v>
      </c>
      <c r="D1172" s="7" t="s">
        <v>16</v>
      </c>
      <c r="E1172" s="7" t="s">
        <v>1177</v>
      </c>
      <c r="F1172" s="7" t="s">
        <v>128</v>
      </c>
      <c r="G1172" s="7" t="s">
        <v>130</v>
      </c>
      <c r="H1172" s="7" t="s">
        <v>129</v>
      </c>
      <c r="I1172" s="30">
        <v>2</v>
      </c>
      <c r="J1172" s="7" t="s">
        <v>1177</v>
      </c>
      <c r="K1172" s="7" t="s">
        <v>1178</v>
      </c>
      <c r="L1172" s="7" t="s">
        <v>132</v>
      </c>
      <c r="M1172" s="7" t="s">
        <v>133</v>
      </c>
      <c r="N1172" s="30">
        <v>0</v>
      </c>
      <c r="O1172" s="30">
        <v>0</v>
      </c>
      <c r="P1172" s="30">
        <v>0</v>
      </c>
      <c r="Q1172" s="30">
        <v>0</v>
      </c>
      <c r="R1172" s="29">
        <v>0</v>
      </c>
      <c r="S1172" s="36">
        <v>0</v>
      </c>
      <c r="T1172" s="7" t="s">
        <v>131</v>
      </c>
      <c r="U1172" s="7" t="s">
        <v>512</v>
      </c>
      <c r="V1172" s="7" t="s">
        <v>512</v>
      </c>
      <c r="W1172" s="7" t="s">
        <v>1177</v>
      </c>
      <c r="X1172" s="30">
        <v>1</v>
      </c>
      <c r="Y1172" s="7" t="s">
        <v>1177</v>
      </c>
      <c r="Z1172" s="7" t="s">
        <v>1178</v>
      </c>
      <c r="AA1172" s="30">
        <v>0</v>
      </c>
      <c r="AB1172" s="36">
        <v>0</v>
      </c>
      <c r="AC1172" s="7" t="s">
        <v>1177</v>
      </c>
      <c r="AD1172" s="37">
        <v>0</v>
      </c>
      <c r="AE1172" s="7" t="s">
        <v>1177</v>
      </c>
      <c r="AF1172" s="7" t="s">
        <v>1177</v>
      </c>
      <c r="AG1172" s="7" t="s">
        <v>1177</v>
      </c>
      <c r="AH1172" s="38"/>
      <c r="AI1172" s="36">
        <v>0</v>
      </c>
      <c r="AJ1172" s="7" t="s">
        <v>1193</v>
      </c>
      <c r="AK1172" s="7" t="s">
        <v>1177</v>
      </c>
      <c r="AL1172" s="7" t="s">
        <v>1177</v>
      </c>
      <c r="AM1172" s="7" t="s">
        <v>1177</v>
      </c>
      <c r="AN1172" s="7" t="s">
        <v>3212</v>
      </c>
      <c r="AO1172" s="7" t="s">
        <v>1177</v>
      </c>
      <c r="AP1172" s="7" t="s">
        <v>1177</v>
      </c>
      <c r="AQ1172" s="7" t="s">
        <v>1177</v>
      </c>
      <c r="AR1172" s="29">
        <v>0</v>
      </c>
      <c r="AS1172" s="7" t="s">
        <v>1177</v>
      </c>
      <c r="AT1172" s="7" t="s">
        <v>1363</v>
      </c>
      <c r="AU1172" s="38">
        <v>46275</v>
      </c>
      <c r="AV1172" s="39">
        <v>0.62303240740740995</v>
      </c>
    </row>
    <row r="1173" spans="1:48" x14ac:dyDescent="0.35">
      <c r="A1173" t="str">
        <f t="shared" si="18"/>
        <v>GP273230B838</v>
      </c>
      <c r="B1173" s="7" t="s">
        <v>592</v>
      </c>
      <c r="C1173" s="7" t="s">
        <v>744</v>
      </c>
      <c r="D1173" s="7" t="s">
        <v>48</v>
      </c>
      <c r="E1173" s="7" t="s">
        <v>1177</v>
      </c>
      <c r="F1173" s="7" t="s">
        <v>128</v>
      </c>
      <c r="G1173" s="7" t="s">
        <v>130</v>
      </c>
      <c r="H1173" s="7" t="s">
        <v>129</v>
      </c>
      <c r="I1173" s="30">
        <v>2</v>
      </c>
      <c r="J1173" s="7" t="s">
        <v>1177</v>
      </c>
      <c r="K1173" s="7" t="s">
        <v>1178</v>
      </c>
      <c r="L1173" s="7" t="s">
        <v>132</v>
      </c>
      <c r="M1173" s="7" t="s">
        <v>133</v>
      </c>
      <c r="N1173" s="30">
        <v>0</v>
      </c>
      <c r="O1173" s="30">
        <v>0</v>
      </c>
      <c r="P1173" s="30">
        <v>0</v>
      </c>
      <c r="Q1173" s="30">
        <v>0</v>
      </c>
      <c r="R1173" s="29">
        <v>0</v>
      </c>
      <c r="S1173" s="36">
        <v>0</v>
      </c>
      <c r="T1173" s="7" t="s">
        <v>131</v>
      </c>
      <c r="U1173" s="7" t="s">
        <v>745</v>
      </c>
      <c r="V1173" s="7" t="s">
        <v>745</v>
      </c>
      <c r="W1173" s="7" t="s">
        <v>1177</v>
      </c>
      <c r="X1173" s="30">
        <v>1</v>
      </c>
      <c r="Y1173" s="7" t="s">
        <v>1177</v>
      </c>
      <c r="Z1173" s="7" t="s">
        <v>1178</v>
      </c>
      <c r="AA1173" s="30">
        <v>0</v>
      </c>
      <c r="AB1173" s="36">
        <v>0</v>
      </c>
      <c r="AC1173" s="7" t="s">
        <v>1177</v>
      </c>
      <c r="AD1173" s="37">
        <v>0</v>
      </c>
      <c r="AE1173" s="7" t="s">
        <v>1177</v>
      </c>
      <c r="AF1173" s="7" t="s">
        <v>1177</v>
      </c>
      <c r="AG1173" s="7" t="s">
        <v>1177</v>
      </c>
      <c r="AH1173" s="38"/>
      <c r="AI1173" s="36">
        <v>0</v>
      </c>
      <c r="AJ1173" s="7" t="s">
        <v>1193</v>
      </c>
      <c r="AK1173" s="7" t="s">
        <v>1177</v>
      </c>
      <c r="AL1173" s="7" t="s">
        <v>1177</v>
      </c>
      <c r="AM1173" s="7" t="s">
        <v>1177</v>
      </c>
      <c r="AN1173" s="7" t="s">
        <v>3212</v>
      </c>
      <c r="AO1173" s="7" t="s">
        <v>1177</v>
      </c>
      <c r="AP1173" s="7" t="s">
        <v>1177</v>
      </c>
      <c r="AQ1173" s="7" t="s">
        <v>1177</v>
      </c>
      <c r="AR1173" s="29">
        <v>0</v>
      </c>
      <c r="AS1173" s="7" t="s">
        <v>1177</v>
      </c>
      <c r="AT1173" s="7" t="s">
        <v>1363</v>
      </c>
      <c r="AU1173" s="38">
        <v>46275</v>
      </c>
      <c r="AV1173" s="39">
        <v>0.62400462962962999</v>
      </c>
    </row>
    <row r="1174" spans="1:48" x14ac:dyDescent="0.35">
      <c r="A1174" t="str">
        <f t="shared" si="18"/>
        <v>GP273531B825</v>
      </c>
      <c r="B1174" s="7" t="s">
        <v>593</v>
      </c>
      <c r="C1174" s="7" t="s">
        <v>511</v>
      </c>
      <c r="D1174" s="7" t="s">
        <v>16</v>
      </c>
      <c r="E1174" s="7" t="s">
        <v>1177</v>
      </c>
      <c r="F1174" s="7" t="s">
        <v>128</v>
      </c>
      <c r="G1174" s="7" t="s">
        <v>130</v>
      </c>
      <c r="H1174" s="7" t="s">
        <v>129</v>
      </c>
      <c r="I1174" s="30">
        <v>2</v>
      </c>
      <c r="J1174" s="7" t="s">
        <v>1177</v>
      </c>
      <c r="K1174" s="7" t="s">
        <v>1178</v>
      </c>
      <c r="L1174" s="7" t="s">
        <v>132</v>
      </c>
      <c r="M1174" s="7" t="s">
        <v>133</v>
      </c>
      <c r="N1174" s="30">
        <v>0</v>
      </c>
      <c r="O1174" s="30">
        <v>0</v>
      </c>
      <c r="P1174" s="30">
        <v>0</v>
      </c>
      <c r="Q1174" s="30">
        <v>0</v>
      </c>
      <c r="R1174" s="29">
        <v>0</v>
      </c>
      <c r="S1174" s="36">
        <v>0</v>
      </c>
      <c r="T1174" s="7" t="s">
        <v>131</v>
      </c>
      <c r="U1174" s="7" t="s">
        <v>512</v>
      </c>
      <c r="V1174" s="7" t="s">
        <v>512</v>
      </c>
      <c r="W1174" s="7" t="s">
        <v>1177</v>
      </c>
      <c r="X1174" s="30">
        <v>1</v>
      </c>
      <c r="Y1174" s="7" t="s">
        <v>1177</v>
      </c>
      <c r="Z1174" s="7" t="s">
        <v>1178</v>
      </c>
      <c r="AA1174" s="30">
        <v>0</v>
      </c>
      <c r="AB1174" s="36">
        <v>0</v>
      </c>
      <c r="AC1174" s="7" t="s">
        <v>1177</v>
      </c>
      <c r="AD1174" s="37">
        <v>0</v>
      </c>
      <c r="AE1174" s="7" t="s">
        <v>1177</v>
      </c>
      <c r="AF1174" s="7" t="s">
        <v>1177</v>
      </c>
      <c r="AG1174" s="7" t="s">
        <v>1177</v>
      </c>
      <c r="AH1174" s="38"/>
      <c r="AI1174" s="36">
        <v>0</v>
      </c>
      <c r="AJ1174" s="7" t="s">
        <v>1193</v>
      </c>
      <c r="AK1174" s="7" t="s">
        <v>1177</v>
      </c>
      <c r="AL1174" s="7" t="s">
        <v>1177</v>
      </c>
      <c r="AM1174" s="7" t="s">
        <v>1177</v>
      </c>
      <c r="AN1174" s="7" t="s">
        <v>3212</v>
      </c>
      <c r="AO1174" s="7" t="s">
        <v>1177</v>
      </c>
      <c r="AP1174" s="7" t="s">
        <v>1177</v>
      </c>
      <c r="AQ1174" s="7" t="s">
        <v>1177</v>
      </c>
      <c r="AR1174" s="29">
        <v>0</v>
      </c>
      <c r="AS1174" s="7" t="s">
        <v>1177</v>
      </c>
      <c r="AT1174" s="7" t="s">
        <v>1363</v>
      </c>
      <c r="AU1174" s="38">
        <v>46275</v>
      </c>
      <c r="AV1174" s="39">
        <v>0.62303240740740995</v>
      </c>
    </row>
    <row r="1175" spans="1:48" x14ac:dyDescent="0.35">
      <c r="A1175" t="str">
        <f t="shared" si="18"/>
        <v>GP273983B825</v>
      </c>
      <c r="B1175" s="7" t="s">
        <v>594</v>
      </c>
      <c r="C1175" s="7" t="s">
        <v>511</v>
      </c>
      <c r="D1175" s="7" t="s">
        <v>16</v>
      </c>
      <c r="E1175" s="7" t="s">
        <v>1177</v>
      </c>
      <c r="F1175" s="7" t="s">
        <v>128</v>
      </c>
      <c r="G1175" s="7" t="s">
        <v>130</v>
      </c>
      <c r="H1175" s="7" t="s">
        <v>129</v>
      </c>
      <c r="I1175" s="30">
        <v>2</v>
      </c>
      <c r="J1175" s="7" t="s">
        <v>1177</v>
      </c>
      <c r="K1175" s="7" t="s">
        <v>1178</v>
      </c>
      <c r="L1175" s="7" t="s">
        <v>132</v>
      </c>
      <c r="M1175" s="7" t="s">
        <v>133</v>
      </c>
      <c r="N1175" s="30">
        <v>0</v>
      </c>
      <c r="O1175" s="30">
        <v>0</v>
      </c>
      <c r="P1175" s="30">
        <v>0</v>
      </c>
      <c r="Q1175" s="30">
        <v>0</v>
      </c>
      <c r="R1175" s="29">
        <v>0</v>
      </c>
      <c r="S1175" s="36">
        <v>0</v>
      </c>
      <c r="T1175" s="7" t="s">
        <v>131</v>
      </c>
      <c r="U1175" s="7" t="s">
        <v>512</v>
      </c>
      <c r="V1175" s="7" t="s">
        <v>512</v>
      </c>
      <c r="W1175" s="7" t="s">
        <v>1177</v>
      </c>
      <c r="X1175" s="30">
        <v>1</v>
      </c>
      <c r="Y1175" s="7" t="s">
        <v>1177</v>
      </c>
      <c r="Z1175" s="7" t="s">
        <v>1178</v>
      </c>
      <c r="AA1175" s="30">
        <v>0</v>
      </c>
      <c r="AB1175" s="36">
        <v>0</v>
      </c>
      <c r="AC1175" s="7" t="s">
        <v>1177</v>
      </c>
      <c r="AD1175" s="37">
        <v>0</v>
      </c>
      <c r="AE1175" s="7" t="s">
        <v>1177</v>
      </c>
      <c r="AF1175" s="7" t="s">
        <v>1177</v>
      </c>
      <c r="AG1175" s="7" t="s">
        <v>1177</v>
      </c>
      <c r="AH1175" s="38"/>
      <c r="AI1175" s="36">
        <v>0</v>
      </c>
      <c r="AJ1175" s="7" t="s">
        <v>1193</v>
      </c>
      <c r="AK1175" s="7" t="s">
        <v>1177</v>
      </c>
      <c r="AL1175" s="7" t="s">
        <v>1177</v>
      </c>
      <c r="AM1175" s="7" t="s">
        <v>1177</v>
      </c>
      <c r="AN1175" s="7" t="s">
        <v>3212</v>
      </c>
      <c r="AO1175" s="7" t="s">
        <v>1177</v>
      </c>
      <c r="AP1175" s="7" t="s">
        <v>1177</v>
      </c>
      <c r="AQ1175" s="7" t="s">
        <v>1177</v>
      </c>
      <c r="AR1175" s="29">
        <v>0</v>
      </c>
      <c r="AS1175" s="7" t="s">
        <v>1177</v>
      </c>
      <c r="AT1175" s="7" t="s">
        <v>1363</v>
      </c>
      <c r="AU1175" s="38">
        <v>46275</v>
      </c>
      <c r="AV1175" s="39">
        <v>0.62303240740740995</v>
      </c>
    </row>
    <row r="1176" spans="1:48" x14ac:dyDescent="0.35">
      <c r="A1176" t="str">
        <f t="shared" si="18"/>
        <v>GP274984B825</v>
      </c>
      <c r="B1176" s="7" t="s">
        <v>595</v>
      </c>
      <c r="C1176" s="7" t="s">
        <v>511</v>
      </c>
      <c r="D1176" s="7" t="s">
        <v>16</v>
      </c>
      <c r="E1176" s="7" t="s">
        <v>1177</v>
      </c>
      <c r="F1176" s="7" t="s">
        <v>128</v>
      </c>
      <c r="G1176" s="7" t="s">
        <v>130</v>
      </c>
      <c r="H1176" s="7" t="s">
        <v>129</v>
      </c>
      <c r="I1176" s="30">
        <v>2</v>
      </c>
      <c r="J1176" s="7" t="s">
        <v>1177</v>
      </c>
      <c r="K1176" s="7" t="s">
        <v>1178</v>
      </c>
      <c r="L1176" s="7" t="s">
        <v>132</v>
      </c>
      <c r="M1176" s="7" t="s">
        <v>133</v>
      </c>
      <c r="N1176" s="30">
        <v>0</v>
      </c>
      <c r="O1176" s="30">
        <v>0</v>
      </c>
      <c r="P1176" s="30">
        <v>0</v>
      </c>
      <c r="Q1176" s="30">
        <v>0</v>
      </c>
      <c r="R1176" s="29">
        <v>0</v>
      </c>
      <c r="S1176" s="36">
        <v>0</v>
      </c>
      <c r="T1176" s="7" t="s">
        <v>131</v>
      </c>
      <c r="U1176" s="7" t="s">
        <v>512</v>
      </c>
      <c r="V1176" s="7" t="s">
        <v>512</v>
      </c>
      <c r="W1176" s="7" t="s">
        <v>1177</v>
      </c>
      <c r="X1176" s="30">
        <v>1</v>
      </c>
      <c r="Y1176" s="7" t="s">
        <v>1177</v>
      </c>
      <c r="Z1176" s="7" t="s">
        <v>1178</v>
      </c>
      <c r="AA1176" s="30">
        <v>0</v>
      </c>
      <c r="AB1176" s="36">
        <v>0</v>
      </c>
      <c r="AC1176" s="7" t="s">
        <v>1177</v>
      </c>
      <c r="AD1176" s="37">
        <v>0</v>
      </c>
      <c r="AE1176" s="7" t="s">
        <v>1177</v>
      </c>
      <c r="AF1176" s="7" t="s">
        <v>1177</v>
      </c>
      <c r="AG1176" s="7" t="s">
        <v>1177</v>
      </c>
      <c r="AH1176" s="38"/>
      <c r="AI1176" s="36">
        <v>0</v>
      </c>
      <c r="AJ1176" s="7" t="s">
        <v>1193</v>
      </c>
      <c r="AK1176" s="7" t="s">
        <v>1177</v>
      </c>
      <c r="AL1176" s="7" t="s">
        <v>1177</v>
      </c>
      <c r="AM1176" s="7" t="s">
        <v>1177</v>
      </c>
      <c r="AN1176" s="7" t="s">
        <v>3212</v>
      </c>
      <c r="AO1176" s="7" t="s">
        <v>1177</v>
      </c>
      <c r="AP1176" s="7" t="s">
        <v>1177</v>
      </c>
      <c r="AQ1176" s="7" t="s">
        <v>1177</v>
      </c>
      <c r="AR1176" s="29">
        <v>0</v>
      </c>
      <c r="AS1176" s="7" t="s">
        <v>1177</v>
      </c>
      <c r="AT1176" s="7" t="s">
        <v>1363</v>
      </c>
      <c r="AU1176" s="38">
        <v>46275</v>
      </c>
      <c r="AV1176" s="39">
        <v>0.62303240740740995</v>
      </c>
    </row>
    <row r="1177" spans="1:48" x14ac:dyDescent="0.35">
      <c r="A1177" t="str">
        <f t="shared" si="18"/>
        <v>GP280499B857</v>
      </c>
      <c r="B1177" s="7" t="s">
        <v>287</v>
      </c>
      <c r="C1177" s="7" t="s">
        <v>958</v>
      </c>
      <c r="D1177" s="7" t="s">
        <v>23</v>
      </c>
      <c r="E1177" s="7" t="s">
        <v>1177</v>
      </c>
      <c r="F1177" s="7" t="s">
        <v>128</v>
      </c>
      <c r="G1177" s="7" t="s">
        <v>130</v>
      </c>
      <c r="H1177" s="7" t="s">
        <v>129</v>
      </c>
      <c r="I1177" s="30">
        <v>2</v>
      </c>
      <c r="J1177" s="7" t="s">
        <v>1177</v>
      </c>
      <c r="K1177" s="7" t="s">
        <v>1178</v>
      </c>
      <c r="L1177" s="7" t="s">
        <v>132</v>
      </c>
      <c r="M1177" s="7" t="s">
        <v>133</v>
      </c>
      <c r="N1177" s="30">
        <v>0</v>
      </c>
      <c r="O1177" s="30">
        <v>0</v>
      </c>
      <c r="P1177" s="30">
        <v>0</v>
      </c>
      <c r="Q1177" s="30">
        <v>0</v>
      </c>
      <c r="R1177" s="29">
        <v>0</v>
      </c>
      <c r="S1177" s="36">
        <v>0</v>
      </c>
      <c r="T1177" s="7" t="s">
        <v>131</v>
      </c>
      <c r="U1177" s="7" t="s">
        <v>959</v>
      </c>
      <c r="V1177" s="7" t="s">
        <v>959</v>
      </c>
      <c r="W1177" s="7" t="s">
        <v>1177</v>
      </c>
      <c r="X1177" s="30">
        <v>1</v>
      </c>
      <c r="Y1177" s="7" t="s">
        <v>1177</v>
      </c>
      <c r="Z1177" s="7" t="s">
        <v>1178</v>
      </c>
      <c r="AA1177" s="30">
        <v>0</v>
      </c>
      <c r="AB1177" s="36">
        <v>0</v>
      </c>
      <c r="AC1177" s="7" t="s">
        <v>1177</v>
      </c>
      <c r="AD1177" s="37">
        <v>0</v>
      </c>
      <c r="AE1177" s="7" t="s">
        <v>1177</v>
      </c>
      <c r="AF1177" s="7" t="s">
        <v>1177</v>
      </c>
      <c r="AG1177" s="7" t="s">
        <v>1177</v>
      </c>
      <c r="AH1177" s="38"/>
      <c r="AI1177" s="36">
        <v>0</v>
      </c>
      <c r="AJ1177" s="7" t="s">
        <v>1193</v>
      </c>
      <c r="AK1177" s="7" t="s">
        <v>1177</v>
      </c>
      <c r="AL1177" s="7" t="s">
        <v>1177</v>
      </c>
      <c r="AM1177" s="7" t="s">
        <v>1177</v>
      </c>
      <c r="AN1177" s="7" t="s">
        <v>3212</v>
      </c>
      <c r="AO1177" s="7" t="s">
        <v>1177</v>
      </c>
      <c r="AP1177" s="7" t="s">
        <v>1177</v>
      </c>
      <c r="AQ1177" s="7" t="s">
        <v>1177</v>
      </c>
      <c r="AR1177" s="29">
        <v>0</v>
      </c>
      <c r="AS1177" s="7" t="s">
        <v>1177</v>
      </c>
      <c r="AT1177" s="7" t="s">
        <v>1363</v>
      </c>
      <c r="AU1177" s="38">
        <v>46275</v>
      </c>
      <c r="AV1177" s="39">
        <v>0.60527777777778002</v>
      </c>
    </row>
    <row r="1178" spans="1:48" x14ac:dyDescent="0.35">
      <c r="A1178" t="str">
        <f t="shared" si="18"/>
        <v>GP280499B867</v>
      </c>
      <c r="B1178" s="7" t="s">
        <v>287</v>
      </c>
      <c r="C1178" s="7" t="s">
        <v>1059</v>
      </c>
      <c r="D1178" s="7" t="s">
        <v>25</v>
      </c>
      <c r="E1178" s="7" t="s">
        <v>1177</v>
      </c>
      <c r="F1178" s="7" t="s">
        <v>128</v>
      </c>
      <c r="G1178" s="7" t="s">
        <v>130</v>
      </c>
      <c r="H1178" s="7" t="s">
        <v>129</v>
      </c>
      <c r="I1178" s="30">
        <v>1</v>
      </c>
      <c r="J1178" s="7" t="s">
        <v>1177</v>
      </c>
      <c r="K1178" s="7" t="s">
        <v>1178</v>
      </c>
      <c r="L1178" s="7" t="s">
        <v>132</v>
      </c>
      <c r="M1178" s="7" t="s">
        <v>133</v>
      </c>
      <c r="N1178" s="30">
        <v>0</v>
      </c>
      <c r="O1178" s="30">
        <v>0</v>
      </c>
      <c r="P1178" s="30">
        <v>0</v>
      </c>
      <c r="Q1178" s="30">
        <v>0</v>
      </c>
      <c r="R1178" s="29">
        <v>0</v>
      </c>
      <c r="S1178" s="36">
        <v>0</v>
      </c>
      <c r="T1178" s="7" t="s">
        <v>131</v>
      </c>
      <c r="U1178" s="7" t="s">
        <v>1060</v>
      </c>
      <c r="V1178" s="7" t="s">
        <v>1060</v>
      </c>
      <c r="W1178" s="7" t="s">
        <v>1177</v>
      </c>
      <c r="X1178" s="30">
        <v>1</v>
      </c>
      <c r="Y1178" s="7" t="s">
        <v>1177</v>
      </c>
      <c r="Z1178" s="7" t="s">
        <v>1178</v>
      </c>
      <c r="AA1178" s="30">
        <v>0</v>
      </c>
      <c r="AB1178" s="36">
        <v>0</v>
      </c>
      <c r="AC1178" s="7" t="s">
        <v>1177</v>
      </c>
      <c r="AD1178" s="37">
        <v>0</v>
      </c>
      <c r="AE1178" s="7" t="s">
        <v>1177</v>
      </c>
      <c r="AF1178" s="7" t="s">
        <v>1177</v>
      </c>
      <c r="AG1178" s="7" t="s">
        <v>1177</v>
      </c>
      <c r="AH1178" s="38"/>
      <c r="AI1178" s="36">
        <v>0</v>
      </c>
      <c r="AJ1178" s="7" t="s">
        <v>1193</v>
      </c>
      <c r="AK1178" s="7" t="s">
        <v>1177</v>
      </c>
      <c r="AL1178" s="7" t="s">
        <v>1177</v>
      </c>
      <c r="AM1178" s="7" t="s">
        <v>1177</v>
      </c>
      <c r="AN1178" s="7" t="s">
        <v>3212</v>
      </c>
      <c r="AO1178" s="7" t="s">
        <v>1177</v>
      </c>
      <c r="AP1178" s="7" t="s">
        <v>1177</v>
      </c>
      <c r="AQ1178" s="7" t="s">
        <v>1177</v>
      </c>
      <c r="AR1178" s="29">
        <v>0</v>
      </c>
      <c r="AS1178" s="7" t="s">
        <v>1177</v>
      </c>
      <c r="AT1178" s="7" t="s">
        <v>1363</v>
      </c>
      <c r="AU1178" s="38">
        <v>46275</v>
      </c>
      <c r="AV1178" s="39">
        <v>0.60563657407407001</v>
      </c>
    </row>
    <row r="1179" spans="1:48" x14ac:dyDescent="0.35">
      <c r="A1179" t="str">
        <f t="shared" si="18"/>
        <v>GP280704B856</v>
      </c>
      <c r="B1179" s="7" t="s">
        <v>502</v>
      </c>
      <c r="C1179" s="7" t="s">
        <v>852</v>
      </c>
      <c r="D1179" s="7" t="s">
        <v>21</v>
      </c>
      <c r="E1179" s="7" t="s">
        <v>1177</v>
      </c>
      <c r="F1179" s="7" t="s">
        <v>128</v>
      </c>
      <c r="G1179" s="7" t="s">
        <v>130</v>
      </c>
      <c r="H1179" s="7" t="s">
        <v>129</v>
      </c>
      <c r="I1179" s="30">
        <v>2</v>
      </c>
      <c r="J1179" s="7" t="s">
        <v>1177</v>
      </c>
      <c r="K1179" s="7" t="s">
        <v>1178</v>
      </c>
      <c r="L1179" s="7" t="s">
        <v>132</v>
      </c>
      <c r="M1179" s="7" t="s">
        <v>133</v>
      </c>
      <c r="N1179" s="30">
        <v>0</v>
      </c>
      <c r="O1179" s="30">
        <v>0</v>
      </c>
      <c r="P1179" s="30">
        <v>0</v>
      </c>
      <c r="Q1179" s="30">
        <v>0</v>
      </c>
      <c r="R1179" s="29">
        <v>0</v>
      </c>
      <c r="S1179" s="36">
        <v>0</v>
      </c>
      <c r="T1179" s="7" t="s">
        <v>131</v>
      </c>
      <c r="U1179" s="7" t="s">
        <v>853</v>
      </c>
      <c r="V1179" s="7" t="s">
        <v>853</v>
      </c>
      <c r="W1179" s="7" t="s">
        <v>1177</v>
      </c>
      <c r="X1179" s="30">
        <v>1</v>
      </c>
      <c r="Y1179" s="7" t="s">
        <v>1177</v>
      </c>
      <c r="Z1179" s="7" t="s">
        <v>1178</v>
      </c>
      <c r="AA1179" s="30">
        <v>0</v>
      </c>
      <c r="AB1179" s="36">
        <v>0</v>
      </c>
      <c r="AC1179" s="7" t="s">
        <v>1177</v>
      </c>
      <c r="AD1179" s="37">
        <v>0</v>
      </c>
      <c r="AE1179" s="7" t="s">
        <v>1177</v>
      </c>
      <c r="AF1179" s="7" t="s">
        <v>1177</v>
      </c>
      <c r="AG1179" s="7" t="s">
        <v>1177</v>
      </c>
      <c r="AH1179" s="38"/>
      <c r="AI1179" s="36">
        <v>0</v>
      </c>
      <c r="AJ1179" s="7" t="s">
        <v>1193</v>
      </c>
      <c r="AK1179" s="7" t="s">
        <v>1177</v>
      </c>
      <c r="AL1179" s="7" t="s">
        <v>1177</v>
      </c>
      <c r="AM1179" s="7" t="s">
        <v>1177</v>
      </c>
      <c r="AN1179" s="7" t="s">
        <v>3212</v>
      </c>
      <c r="AO1179" s="7" t="s">
        <v>1177</v>
      </c>
      <c r="AP1179" s="7" t="s">
        <v>1177</v>
      </c>
      <c r="AQ1179" s="7" t="s">
        <v>1177</v>
      </c>
      <c r="AR1179" s="29">
        <v>0</v>
      </c>
      <c r="AS1179" s="7" t="s">
        <v>1177</v>
      </c>
      <c r="AT1179" s="7" t="s">
        <v>1363</v>
      </c>
      <c r="AU1179" s="38">
        <v>46275</v>
      </c>
      <c r="AV1179" s="39">
        <v>0.62487268518519001</v>
      </c>
    </row>
    <row r="1180" spans="1:48" x14ac:dyDescent="0.35">
      <c r="A1180" t="str">
        <f t="shared" si="18"/>
        <v>GP280704B857</v>
      </c>
      <c r="B1180" s="7" t="s">
        <v>502</v>
      </c>
      <c r="C1180" s="7" t="s">
        <v>958</v>
      </c>
      <c r="D1180" s="7" t="s">
        <v>23</v>
      </c>
      <c r="E1180" s="7" t="s">
        <v>1177</v>
      </c>
      <c r="F1180" s="7" t="s">
        <v>128</v>
      </c>
      <c r="G1180" s="7" t="s">
        <v>130</v>
      </c>
      <c r="H1180" s="7" t="s">
        <v>129</v>
      </c>
      <c r="I1180" s="30">
        <v>1</v>
      </c>
      <c r="J1180" s="7" t="s">
        <v>1177</v>
      </c>
      <c r="K1180" s="7" t="s">
        <v>1178</v>
      </c>
      <c r="L1180" s="7" t="s">
        <v>132</v>
      </c>
      <c r="M1180" s="7" t="s">
        <v>133</v>
      </c>
      <c r="N1180" s="30">
        <v>0</v>
      </c>
      <c r="O1180" s="30">
        <v>0</v>
      </c>
      <c r="P1180" s="30">
        <v>0</v>
      </c>
      <c r="Q1180" s="30">
        <v>0</v>
      </c>
      <c r="R1180" s="29">
        <v>0</v>
      </c>
      <c r="S1180" s="36">
        <v>0</v>
      </c>
      <c r="T1180" s="7" t="s">
        <v>131</v>
      </c>
      <c r="U1180" s="7" t="s">
        <v>959</v>
      </c>
      <c r="V1180" s="7" t="s">
        <v>959</v>
      </c>
      <c r="W1180" s="7" t="s">
        <v>1177</v>
      </c>
      <c r="X1180" s="30">
        <v>1</v>
      </c>
      <c r="Y1180" s="7" t="s">
        <v>1177</v>
      </c>
      <c r="Z1180" s="7" t="s">
        <v>1178</v>
      </c>
      <c r="AA1180" s="30">
        <v>0</v>
      </c>
      <c r="AB1180" s="36">
        <v>0</v>
      </c>
      <c r="AC1180" s="7" t="s">
        <v>1177</v>
      </c>
      <c r="AD1180" s="37">
        <v>0</v>
      </c>
      <c r="AE1180" s="7" t="s">
        <v>1177</v>
      </c>
      <c r="AF1180" s="7" t="s">
        <v>1177</v>
      </c>
      <c r="AG1180" s="7" t="s">
        <v>1177</v>
      </c>
      <c r="AH1180" s="38"/>
      <c r="AI1180" s="36">
        <v>0</v>
      </c>
      <c r="AJ1180" s="7" t="s">
        <v>1193</v>
      </c>
      <c r="AK1180" s="7" t="s">
        <v>1177</v>
      </c>
      <c r="AL1180" s="7" t="s">
        <v>1177</v>
      </c>
      <c r="AM1180" s="7" t="s">
        <v>1177</v>
      </c>
      <c r="AN1180" s="7" t="s">
        <v>3212</v>
      </c>
      <c r="AO1180" s="7" t="s">
        <v>1177</v>
      </c>
      <c r="AP1180" s="7" t="s">
        <v>1177</v>
      </c>
      <c r="AQ1180" s="7" t="s">
        <v>1177</v>
      </c>
      <c r="AR1180" s="29">
        <v>0</v>
      </c>
      <c r="AS1180" s="7" t="s">
        <v>1177</v>
      </c>
      <c r="AT1180" s="7" t="s">
        <v>1363</v>
      </c>
      <c r="AU1180" s="38">
        <v>46275</v>
      </c>
      <c r="AV1180" s="39">
        <v>0.62491898148147995</v>
      </c>
    </row>
    <row r="1181" spans="1:48" x14ac:dyDescent="0.35">
      <c r="A1181" t="str">
        <f t="shared" si="18"/>
        <v>GP283781B832</v>
      </c>
      <c r="B1181" s="7" t="s">
        <v>678</v>
      </c>
      <c r="C1181" s="7" t="s">
        <v>653</v>
      </c>
      <c r="D1181" s="7" t="s">
        <v>19</v>
      </c>
      <c r="E1181" s="7" t="s">
        <v>1177</v>
      </c>
      <c r="F1181" s="7" t="s">
        <v>128</v>
      </c>
      <c r="G1181" s="7" t="s">
        <v>130</v>
      </c>
      <c r="H1181" s="7" t="s">
        <v>129</v>
      </c>
      <c r="I1181" s="30">
        <v>2</v>
      </c>
      <c r="J1181" s="7" t="s">
        <v>1177</v>
      </c>
      <c r="K1181" s="7" t="s">
        <v>1178</v>
      </c>
      <c r="L1181" s="7" t="s">
        <v>132</v>
      </c>
      <c r="M1181" s="7" t="s">
        <v>133</v>
      </c>
      <c r="N1181" s="30">
        <v>0</v>
      </c>
      <c r="O1181" s="30">
        <v>0</v>
      </c>
      <c r="P1181" s="30">
        <v>0</v>
      </c>
      <c r="Q1181" s="30">
        <v>0</v>
      </c>
      <c r="R1181" s="29">
        <v>0</v>
      </c>
      <c r="S1181" s="36">
        <v>0</v>
      </c>
      <c r="T1181" s="7" t="s">
        <v>131</v>
      </c>
      <c r="U1181" s="7" t="s">
        <v>654</v>
      </c>
      <c r="V1181" s="7" t="s">
        <v>654</v>
      </c>
      <c r="W1181" s="7" t="s">
        <v>1177</v>
      </c>
      <c r="X1181" s="30">
        <v>1</v>
      </c>
      <c r="Y1181" s="7" t="s">
        <v>1177</v>
      </c>
      <c r="Z1181" s="7" t="s">
        <v>1178</v>
      </c>
      <c r="AA1181" s="30">
        <v>0</v>
      </c>
      <c r="AB1181" s="36">
        <v>0</v>
      </c>
      <c r="AC1181" s="7" t="s">
        <v>1177</v>
      </c>
      <c r="AD1181" s="37">
        <v>0</v>
      </c>
      <c r="AE1181" s="7" t="s">
        <v>1177</v>
      </c>
      <c r="AF1181" s="7" t="s">
        <v>1177</v>
      </c>
      <c r="AG1181" s="7" t="s">
        <v>1177</v>
      </c>
      <c r="AH1181" s="38"/>
      <c r="AI1181" s="36">
        <v>0</v>
      </c>
      <c r="AJ1181" s="7" t="s">
        <v>1193</v>
      </c>
      <c r="AK1181" s="7" t="s">
        <v>1177</v>
      </c>
      <c r="AL1181" s="7" t="s">
        <v>1177</v>
      </c>
      <c r="AM1181" s="7" t="s">
        <v>1177</v>
      </c>
      <c r="AN1181" s="7" t="s">
        <v>3212</v>
      </c>
      <c r="AO1181" s="7" t="s">
        <v>1177</v>
      </c>
      <c r="AP1181" s="7" t="s">
        <v>1177</v>
      </c>
      <c r="AQ1181" s="7" t="s">
        <v>1177</v>
      </c>
      <c r="AR1181" s="29">
        <v>0</v>
      </c>
      <c r="AS1181" s="7" t="s">
        <v>1177</v>
      </c>
      <c r="AT1181" s="7" t="s">
        <v>1363</v>
      </c>
      <c r="AU1181" s="38">
        <v>46275</v>
      </c>
      <c r="AV1181" s="39">
        <v>0.62334490740741</v>
      </c>
    </row>
    <row r="1182" spans="1:48" x14ac:dyDescent="0.35">
      <c r="A1182" t="str">
        <f t="shared" si="18"/>
        <v>GP284317B832</v>
      </c>
      <c r="B1182" s="7" t="s">
        <v>461</v>
      </c>
      <c r="C1182" s="7" t="s">
        <v>653</v>
      </c>
      <c r="D1182" s="7" t="s">
        <v>19</v>
      </c>
      <c r="E1182" s="7" t="s">
        <v>1177</v>
      </c>
      <c r="F1182" s="7" t="s">
        <v>128</v>
      </c>
      <c r="G1182" s="7" t="s">
        <v>130</v>
      </c>
      <c r="H1182" s="7" t="s">
        <v>129</v>
      </c>
      <c r="I1182" s="30">
        <v>40</v>
      </c>
      <c r="J1182" s="7" t="s">
        <v>1177</v>
      </c>
      <c r="K1182" s="7" t="s">
        <v>1178</v>
      </c>
      <c r="L1182" s="7" t="s">
        <v>132</v>
      </c>
      <c r="M1182" s="7" t="s">
        <v>133</v>
      </c>
      <c r="N1182" s="30">
        <v>0</v>
      </c>
      <c r="O1182" s="30">
        <v>0</v>
      </c>
      <c r="P1182" s="30">
        <v>0</v>
      </c>
      <c r="Q1182" s="30">
        <v>0</v>
      </c>
      <c r="R1182" s="29">
        <v>0</v>
      </c>
      <c r="S1182" s="36">
        <v>0</v>
      </c>
      <c r="T1182" s="7" t="s">
        <v>131</v>
      </c>
      <c r="U1182" s="7" t="s">
        <v>654</v>
      </c>
      <c r="V1182" s="7" t="s">
        <v>654</v>
      </c>
      <c r="W1182" s="7" t="s">
        <v>1177</v>
      </c>
      <c r="X1182" s="30">
        <v>10</v>
      </c>
      <c r="Y1182" s="7" t="s">
        <v>1177</v>
      </c>
      <c r="Z1182" s="7" t="s">
        <v>1178</v>
      </c>
      <c r="AA1182" s="30">
        <v>0</v>
      </c>
      <c r="AB1182" s="36">
        <v>0</v>
      </c>
      <c r="AC1182" s="7" t="s">
        <v>1177</v>
      </c>
      <c r="AD1182" s="37">
        <v>0</v>
      </c>
      <c r="AE1182" s="7" t="s">
        <v>1177</v>
      </c>
      <c r="AF1182" s="7" t="s">
        <v>1177</v>
      </c>
      <c r="AG1182" s="7" t="s">
        <v>1177</v>
      </c>
      <c r="AH1182" s="38"/>
      <c r="AI1182" s="36">
        <v>0</v>
      </c>
      <c r="AJ1182" s="7" t="s">
        <v>1193</v>
      </c>
      <c r="AK1182" s="7" t="s">
        <v>1177</v>
      </c>
      <c r="AL1182" s="7" t="s">
        <v>1177</v>
      </c>
      <c r="AM1182" s="7" t="s">
        <v>1177</v>
      </c>
      <c r="AN1182" s="7" t="s">
        <v>3212</v>
      </c>
      <c r="AO1182" s="7" t="s">
        <v>1177</v>
      </c>
      <c r="AP1182" s="7" t="s">
        <v>1177</v>
      </c>
      <c r="AQ1182" s="7" t="s">
        <v>1177</v>
      </c>
      <c r="AR1182" s="29">
        <v>0</v>
      </c>
      <c r="AS1182" s="7" t="s">
        <v>1177</v>
      </c>
      <c r="AT1182" s="7" t="s">
        <v>1363</v>
      </c>
      <c r="AU1182" s="38">
        <v>46275</v>
      </c>
      <c r="AV1182" s="39">
        <v>0.62334490740741</v>
      </c>
    </row>
    <row r="1183" spans="1:48" x14ac:dyDescent="0.35">
      <c r="A1183" t="str">
        <f t="shared" si="18"/>
        <v>GP284317B857</v>
      </c>
      <c r="B1183" s="7" t="s">
        <v>461</v>
      </c>
      <c r="C1183" s="7" t="s">
        <v>958</v>
      </c>
      <c r="D1183" s="7" t="s">
        <v>23</v>
      </c>
      <c r="E1183" s="7" t="s">
        <v>1177</v>
      </c>
      <c r="F1183" s="7" t="s">
        <v>128</v>
      </c>
      <c r="G1183" s="7" t="s">
        <v>130</v>
      </c>
      <c r="H1183" s="7" t="s">
        <v>129</v>
      </c>
      <c r="I1183" s="30">
        <v>2</v>
      </c>
      <c r="J1183" s="7" t="s">
        <v>1177</v>
      </c>
      <c r="K1183" s="7" t="s">
        <v>1178</v>
      </c>
      <c r="L1183" s="7" t="s">
        <v>132</v>
      </c>
      <c r="M1183" s="7" t="s">
        <v>133</v>
      </c>
      <c r="N1183" s="30">
        <v>0</v>
      </c>
      <c r="O1183" s="30">
        <v>0</v>
      </c>
      <c r="P1183" s="30">
        <v>0</v>
      </c>
      <c r="Q1183" s="30">
        <v>0</v>
      </c>
      <c r="R1183" s="29">
        <v>0</v>
      </c>
      <c r="S1183" s="36">
        <v>0</v>
      </c>
      <c r="T1183" s="7" t="s">
        <v>131</v>
      </c>
      <c r="U1183" s="7" t="s">
        <v>959</v>
      </c>
      <c r="V1183" s="7" t="s">
        <v>959</v>
      </c>
      <c r="W1183" s="7" t="s">
        <v>1177</v>
      </c>
      <c r="X1183" s="30">
        <v>1</v>
      </c>
      <c r="Y1183" s="7" t="s">
        <v>1177</v>
      </c>
      <c r="Z1183" s="7" t="s">
        <v>1178</v>
      </c>
      <c r="AA1183" s="30">
        <v>0</v>
      </c>
      <c r="AB1183" s="36">
        <v>0</v>
      </c>
      <c r="AC1183" s="7" t="s">
        <v>1177</v>
      </c>
      <c r="AD1183" s="37">
        <v>0</v>
      </c>
      <c r="AE1183" s="7" t="s">
        <v>1177</v>
      </c>
      <c r="AF1183" s="7" t="s">
        <v>1177</v>
      </c>
      <c r="AG1183" s="7" t="s">
        <v>1177</v>
      </c>
      <c r="AH1183" s="38"/>
      <c r="AI1183" s="36">
        <v>0</v>
      </c>
      <c r="AJ1183" s="7" t="s">
        <v>1193</v>
      </c>
      <c r="AK1183" s="7" t="s">
        <v>1177</v>
      </c>
      <c r="AL1183" s="7" t="s">
        <v>1177</v>
      </c>
      <c r="AM1183" s="7" t="s">
        <v>1177</v>
      </c>
      <c r="AN1183" s="7" t="s">
        <v>3212</v>
      </c>
      <c r="AO1183" s="7" t="s">
        <v>1177</v>
      </c>
      <c r="AP1183" s="7" t="s">
        <v>1177</v>
      </c>
      <c r="AQ1183" s="7" t="s">
        <v>1177</v>
      </c>
      <c r="AR1183" s="29">
        <v>0</v>
      </c>
      <c r="AS1183" s="7" t="s">
        <v>1177</v>
      </c>
      <c r="AT1183" s="7" t="s">
        <v>1363</v>
      </c>
      <c r="AU1183" s="38">
        <v>46275</v>
      </c>
      <c r="AV1183" s="39">
        <v>0.62493055555555999</v>
      </c>
    </row>
    <row r="1184" spans="1:48" x14ac:dyDescent="0.35">
      <c r="A1184" t="str">
        <f t="shared" si="18"/>
        <v>GP286170B856</v>
      </c>
      <c r="B1184" s="7" t="s">
        <v>876</v>
      </c>
      <c r="C1184" s="7" t="s">
        <v>852</v>
      </c>
      <c r="D1184" s="7" t="s">
        <v>21</v>
      </c>
      <c r="E1184" s="7" t="s">
        <v>1177</v>
      </c>
      <c r="F1184" s="7" t="s">
        <v>128</v>
      </c>
      <c r="G1184" s="7" t="s">
        <v>130</v>
      </c>
      <c r="H1184" s="7" t="s">
        <v>129</v>
      </c>
      <c r="I1184" s="30">
        <v>2</v>
      </c>
      <c r="J1184" s="7" t="s">
        <v>1177</v>
      </c>
      <c r="K1184" s="7" t="s">
        <v>1178</v>
      </c>
      <c r="L1184" s="7" t="s">
        <v>132</v>
      </c>
      <c r="M1184" s="7" t="s">
        <v>133</v>
      </c>
      <c r="N1184" s="30">
        <v>0</v>
      </c>
      <c r="O1184" s="30">
        <v>0</v>
      </c>
      <c r="P1184" s="30">
        <v>0</v>
      </c>
      <c r="Q1184" s="30">
        <v>0</v>
      </c>
      <c r="R1184" s="29">
        <v>0</v>
      </c>
      <c r="S1184" s="36">
        <v>0</v>
      </c>
      <c r="T1184" s="7" t="s">
        <v>131</v>
      </c>
      <c r="U1184" s="7" t="s">
        <v>853</v>
      </c>
      <c r="V1184" s="7" t="s">
        <v>853</v>
      </c>
      <c r="W1184" s="7" t="s">
        <v>1177</v>
      </c>
      <c r="X1184" s="30">
        <v>1</v>
      </c>
      <c r="Y1184" s="7" t="s">
        <v>1177</v>
      </c>
      <c r="Z1184" s="7" t="s">
        <v>1178</v>
      </c>
      <c r="AA1184" s="30">
        <v>0</v>
      </c>
      <c r="AB1184" s="36">
        <v>0</v>
      </c>
      <c r="AC1184" s="7" t="s">
        <v>1177</v>
      </c>
      <c r="AD1184" s="37">
        <v>0</v>
      </c>
      <c r="AE1184" s="7" t="s">
        <v>1177</v>
      </c>
      <c r="AF1184" s="7" t="s">
        <v>1177</v>
      </c>
      <c r="AG1184" s="7" t="s">
        <v>1177</v>
      </c>
      <c r="AH1184" s="38"/>
      <c r="AI1184" s="36">
        <v>0</v>
      </c>
      <c r="AJ1184" s="7" t="s">
        <v>1193</v>
      </c>
      <c r="AK1184" s="7" t="s">
        <v>1177</v>
      </c>
      <c r="AL1184" s="7" t="s">
        <v>1177</v>
      </c>
      <c r="AM1184" s="7" t="s">
        <v>1177</v>
      </c>
      <c r="AN1184" s="7" t="s">
        <v>3212</v>
      </c>
      <c r="AO1184" s="7" t="s">
        <v>1177</v>
      </c>
      <c r="AP1184" s="7" t="s">
        <v>1177</v>
      </c>
      <c r="AQ1184" s="7" t="s">
        <v>1177</v>
      </c>
      <c r="AR1184" s="29">
        <v>0</v>
      </c>
      <c r="AS1184" s="7" t="s">
        <v>1177</v>
      </c>
      <c r="AT1184" s="7" t="s">
        <v>1363</v>
      </c>
      <c r="AU1184" s="38">
        <v>46275</v>
      </c>
      <c r="AV1184" s="39">
        <v>0.62488425925926006</v>
      </c>
    </row>
    <row r="1185" spans="1:48" x14ac:dyDescent="0.35">
      <c r="A1185" t="str">
        <f t="shared" si="18"/>
        <v>GP286170B857</v>
      </c>
      <c r="B1185" s="7" t="s">
        <v>876</v>
      </c>
      <c r="C1185" s="7" t="s">
        <v>958</v>
      </c>
      <c r="D1185" s="7" t="s">
        <v>23</v>
      </c>
      <c r="E1185" s="7" t="s">
        <v>1177</v>
      </c>
      <c r="F1185" s="7" t="s">
        <v>128</v>
      </c>
      <c r="G1185" s="7" t="s">
        <v>130</v>
      </c>
      <c r="H1185" s="7" t="s">
        <v>129</v>
      </c>
      <c r="I1185" s="30">
        <v>1</v>
      </c>
      <c r="J1185" s="7" t="s">
        <v>1177</v>
      </c>
      <c r="K1185" s="7" t="s">
        <v>1178</v>
      </c>
      <c r="L1185" s="7" t="s">
        <v>132</v>
      </c>
      <c r="M1185" s="7" t="s">
        <v>133</v>
      </c>
      <c r="N1185" s="30">
        <v>0</v>
      </c>
      <c r="O1185" s="30">
        <v>0</v>
      </c>
      <c r="P1185" s="30">
        <v>0</v>
      </c>
      <c r="Q1185" s="30">
        <v>0</v>
      </c>
      <c r="R1185" s="29">
        <v>0</v>
      </c>
      <c r="S1185" s="36">
        <v>0</v>
      </c>
      <c r="T1185" s="7" t="s">
        <v>131</v>
      </c>
      <c r="U1185" s="7" t="s">
        <v>959</v>
      </c>
      <c r="V1185" s="7" t="s">
        <v>959</v>
      </c>
      <c r="W1185" s="7" t="s">
        <v>1177</v>
      </c>
      <c r="X1185" s="30">
        <v>1</v>
      </c>
      <c r="Y1185" s="7" t="s">
        <v>1177</v>
      </c>
      <c r="Z1185" s="7" t="s">
        <v>1178</v>
      </c>
      <c r="AA1185" s="30">
        <v>0</v>
      </c>
      <c r="AB1185" s="36">
        <v>0</v>
      </c>
      <c r="AC1185" s="7" t="s">
        <v>1177</v>
      </c>
      <c r="AD1185" s="37">
        <v>0</v>
      </c>
      <c r="AE1185" s="7" t="s">
        <v>1177</v>
      </c>
      <c r="AF1185" s="7" t="s">
        <v>1177</v>
      </c>
      <c r="AG1185" s="7" t="s">
        <v>1177</v>
      </c>
      <c r="AH1185" s="38"/>
      <c r="AI1185" s="36">
        <v>0</v>
      </c>
      <c r="AJ1185" s="7" t="s">
        <v>1193</v>
      </c>
      <c r="AK1185" s="7" t="s">
        <v>1177</v>
      </c>
      <c r="AL1185" s="7" t="s">
        <v>1177</v>
      </c>
      <c r="AM1185" s="7" t="s">
        <v>1177</v>
      </c>
      <c r="AN1185" s="7" t="s">
        <v>3212</v>
      </c>
      <c r="AO1185" s="7" t="s">
        <v>1177</v>
      </c>
      <c r="AP1185" s="7" t="s">
        <v>1177</v>
      </c>
      <c r="AQ1185" s="7" t="s">
        <v>1177</v>
      </c>
      <c r="AR1185" s="29">
        <v>0</v>
      </c>
      <c r="AS1185" s="7" t="s">
        <v>1177</v>
      </c>
      <c r="AT1185" s="7" t="s">
        <v>1363</v>
      </c>
      <c r="AU1185" s="38">
        <v>46275</v>
      </c>
      <c r="AV1185" s="39">
        <v>0.62493055555555999</v>
      </c>
    </row>
    <row r="1186" spans="1:48" x14ac:dyDescent="0.35">
      <c r="A1186" t="str">
        <f t="shared" si="18"/>
        <v>GP286170B865</v>
      </c>
      <c r="B1186" s="7" t="s">
        <v>876</v>
      </c>
      <c r="C1186" s="7" t="s">
        <v>1039</v>
      </c>
      <c r="D1186" s="7" t="s">
        <v>7</v>
      </c>
      <c r="E1186" s="7" t="s">
        <v>1177</v>
      </c>
      <c r="F1186" s="7" t="s">
        <v>128</v>
      </c>
      <c r="G1186" s="7" t="s">
        <v>130</v>
      </c>
      <c r="H1186" s="7" t="s">
        <v>129</v>
      </c>
      <c r="I1186" s="30">
        <v>2</v>
      </c>
      <c r="J1186" s="7" t="s">
        <v>1177</v>
      </c>
      <c r="K1186" s="7" t="s">
        <v>1178</v>
      </c>
      <c r="L1186" s="7" t="s">
        <v>132</v>
      </c>
      <c r="M1186" s="7" t="s">
        <v>133</v>
      </c>
      <c r="N1186" s="30">
        <v>0</v>
      </c>
      <c r="O1186" s="30">
        <v>0</v>
      </c>
      <c r="P1186" s="30">
        <v>0</v>
      </c>
      <c r="Q1186" s="30">
        <v>0</v>
      </c>
      <c r="R1186" s="29">
        <v>0</v>
      </c>
      <c r="S1186" s="36">
        <v>0</v>
      </c>
      <c r="T1186" s="7" t="s">
        <v>131</v>
      </c>
      <c r="U1186" s="7" t="s">
        <v>1040</v>
      </c>
      <c r="V1186" s="7" t="s">
        <v>1040</v>
      </c>
      <c r="W1186" s="7" t="s">
        <v>1177</v>
      </c>
      <c r="X1186" s="30">
        <v>1</v>
      </c>
      <c r="Y1186" s="7" t="s">
        <v>1177</v>
      </c>
      <c r="Z1186" s="7" t="s">
        <v>1178</v>
      </c>
      <c r="AA1186" s="30">
        <v>0</v>
      </c>
      <c r="AB1186" s="36">
        <v>0</v>
      </c>
      <c r="AC1186" s="7" t="s">
        <v>1177</v>
      </c>
      <c r="AD1186" s="37">
        <v>0</v>
      </c>
      <c r="AE1186" s="7" t="s">
        <v>1177</v>
      </c>
      <c r="AF1186" s="7" t="s">
        <v>1177</v>
      </c>
      <c r="AG1186" s="7" t="s">
        <v>1177</v>
      </c>
      <c r="AH1186" s="38"/>
      <c r="AI1186" s="36">
        <v>0</v>
      </c>
      <c r="AJ1186" s="7" t="s">
        <v>1193</v>
      </c>
      <c r="AK1186" s="7" t="s">
        <v>1177</v>
      </c>
      <c r="AL1186" s="7" t="s">
        <v>1177</v>
      </c>
      <c r="AM1186" s="7" t="s">
        <v>1177</v>
      </c>
      <c r="AN1186" s="7" t="s">
        <v>3212</v>
      </c>
      <c r="AO1186" s="7" t="s">
        <v>1177</v>
      </c>
      <c r="AP1186" s="7" t="s">
        <v>1177</v>
      </c>
      <c r="AQ1186" s="7" t="s">
        <v>1177</v>
      </c>
      <c r="AR1186" s="29">
        <v>0</v>
      </c>
      <c r="AS1186" s="7" t="s">
        <v>1177</v>
      </c>
      <c r="AT1186" s="7" t="s">
        <v>1363</v>
      </c>
      <c r="AU1186" s="38">
        <v>46275</v>
      </c>
      <c r="AV1186" s="39">
        <v>0.62675925925926002</v>
      </c>
    </row>
    <row r="1187" spans="1:48" x14ac:dyDescent="0.35">
      <c r="A1187" t="str">
        <f t="shared" si="18"/>
        <v>GP286370B856</v>
      </c>
      <c r="B1187" s="7" t="s">
        <v>877</v>
      </c>
      <c r="C1187" s="7" t="s">
        <v>852</v>
      </c>
      <c r="D1187" s="7" t="s">
        <v>21</v>
      </c>
      <c r="E1187" s="7" t="s">
        <v>1177</v>
      </c>
      <c r="F1187" s="7" t="s">
        <v>128</v>
      </c>
      <c r="G1187" s="7" t="s">
        <v>130</v>
      </c>
      <c r="H1187" s="7" t="s">
        <v>129</v>
      </c>
      <c r="I1187" s="30">
        <v>1</v>
      </c>
      <c r="J1187" s="7" t="s">
        <v>1177</v>
      </c>
      <c r="K1187" s="7" t="s">
        <v>1178</v>
      </c>
      <c r="L1187" s="7" t="s">
        <v>132</v>
      </c>
      <c r="M1187" s="7" t="s">
        <v>133</v>
      </c>
      <c r="N1187" s="30">
        <v>0</v>
      </c>
      <c r="O1187" s="30">
        <v>0</v>
      </c>
      <c r="P1187" s="30">
        <v>0</v>
      </c>
      <c r="Q1187" s="30">
        <v>0</v>
      </c>
      <c r="R1187" s="29">
        <v>0</v>
      </c>
      <c r="S1187" s="36">
        <v>0</v>
      </c>
      <c r="T1187" s="7" t="s">
        <v>131</v>
      </c>
      <c r="U1187" s="7" t="s">
        <v>853</v>
      </c>
      <c r="V1187" s="7" t="s">
        <v>853</v>
      </c>
      <c r="W1187" s="7" t="s">
        <v>1177</v>
      </c>
      <c r="X1187" s="30">
        <v>1</v>
      </c>
      <c r="Y1187" s="7" t="s">
        <v>1177</v>
      </c>
      <c r="Z1187" s="7" t="s">
        <v>1178</v>
      </c>
      <c r="AA1187" s="30">
        <v>0</v>
      </c>
      <c r="AB1187" s="36">
        <v>0</v>
      </c>
      <c r="AC1187" s="7" t="s">
        <v>1177</v>
      </c>
      <c r="AD1187" s="37">
        <v>0</v>
      </c>
      <c r="AE1187" s="7" t="s">
        <v>1177</v>
      </c>
      <c r="AF1187" s="7" t="s">
        <v>1177</v>
      </c>
      <c r="AG1187" s="7" t="s">
        <v>1177</v>
      </c>
      <c r="AH1187" s="38"/>
      <c r="AI1187" s="36">
        <v>0</v>
      </c>
      <c r="AJ1187" s="7" t="s">
        <v>1193</v>
      </c>
      <c r="AK1187" s="7" t="s">
        <v>1177</v>
      </c>
      <c r="AL1187" s="7" t="s">
        <v>1177</v>
      </c>
      <c r="AM1187" s="7" t="s">
        <v>1177</v>
      </c>
      <c r="AN1187" s="7" t="s">
        <v>3212</v>
      </c>
      <c r="AO1187" s="7" t="s">
        <v>1177</v>
      </c>
      <c r="AP1187" s="7" t="s">
        <v>1177</v>
      </c>
      <c r="AQ1187" s="7" t="s">
        <v>1177</v>
      </c>
      <c r="AR1187" s="29">
        <v>0</v>
      </c>
      <c r="AS1187" s="7" t="s">
        <v>1177</v>
      </c>
      <c r="AT1187" s="7" t="s">
        <v>1363</v>
      </c>
      <c r="AU1187" s="38">
        <v>46275</v>
      </c>
      <c r="AV1187" s="39">
        <v>0.62488425925926006</v>
      </c>
    </row>
    <row r="1188" spans="1:48" x14ac:dyDescent="0.35">
      <c r="A1188" t="str">
        <f t="shared" si="18"/>
        <v>GP286459B857</v>
      </c>
      <c r="B1188" s="7" t="s">
        <v>503</v>
      </c>
      <c r="C1188" s="7" t="s">
        <v>958</v>
      </c>
      <c r="D1188" s="7" t="s">
        <v>23</v>
      </c>
      <c r="E1188" s="7" t="s">
        <v>1177</v>
      </c>
      <c r="F1188" s="7" t="s">
        <v>128</v>
      </c>
      <c r="G1188" s="7" t="s">
        <v>130</v>
      </c>
      <c r="H1188" s="7" t="s">
        <v>129</v>
      </c>
      <c r="I1188" s="30">
        <v>2</v>
      </c>
      <c r="J1188" s="7" t="s">
        <v>1177</v>
      </c>
      <c r="K1188" s="7" t="s">
        <v>1178</v>
      </c>
      <c r="L1188" s="7" t="s">
        <v>132</v>
      </c>
      <c r="M1188" s="7" t="s">
        <v>133</v>
      </c>
      <c r="N1188" s="30">
        <v>0</v>
      </c>
      <c r="O1188" s="30">
        <v>0</v>
      </c>
      <c r="P1188" s="30">
        <v>0</v>
      </c>
      <c r="Q1188" s="30">
        <v>0</v>
      </c>
      <c r="R1188" s="29">
        <v>0</v>
      </c>
      <c r="S1188" s="36">
        <v>0</v>
      </c>
      <c r="T1188" s="7" t="s">
        <v>131</v>
      </c>
      <c r="U1188" s="7" t="s">
        <v>959</v>
      </c>
      <c r="V1188" s="7" t="s">
        <v>959</v>
      </c>
      <c r="W1188" s="7" t="s">
        <v>1177</v>
      </c>
      <c r="X1188" s="30">
        <v>1</v>
      </c>
      <c r="Y1188" s="7" t="s">
        <v>1177</v>
      </c>
      <c r="Z1188" s="7" t="s">
        <v>1178</v>
      </c>
      <c r="AA1188" s="30">
        <v>0</v>
      </c>
      <c r="AB1188" s="36">
        <v>0</v>
      </c>
      <c r="AC1188" s="7" t="s">
        <v>1177</v>
      </c>
      <c r="AD1188" s="37">
        <v>0</v>
      </c>
      <c r="AE1188" s="7" t="s">
        <v>1177</v>
      </c>
      <c r="AF1188" s="7" t="s">
        <v>1177</v>
      </c>
      <c r="AG1188" s="7" t="s">
        <v>1177</v>
      </c>
      <c r="AH1188" s="38"/>
      <c r="AI1188" s="36">
        <v>0</v>
      </c>
      <c r="AJ1188" s="7" t="s">
        <v>1193</v>
      </c>
      <c r="AK1188" s="7" t="s">
        <v>1177</v>
      </c>
      <c r="AL1188" s="7" t="s">
        <v>1177</v>
      </c>
      <c r="AM1188" s="7" t="s">
        <v>1177</v>
      </c>
      <c r="AN1188" s="7" t="s">
        <v>3212</v>
      </c>
      <c r="AO1188" s="7" t="s">
        <v>1177</v>
      </c>
      <c r="AP1188" s="7" t="s">
        <v>1177</v>
      </c>
      <c r="AQ1188" s="7" t="s">
        <v>1177</v>
      </c>
      <c r="AR1188" s="29">
        <v>0</v>
      </c>
      <c r="AS1188" s="7" t="s">
        <v>1177</v>
      </c>
      <c r="AT1188" s="7" t="s">
        <v>1363</v>
      </c>
      <c r="AU1188" s="38">
        <v>46275</v>
      </c>
      <c r="AV1188" s="39">
        <v>0.62491898148147995</v>
      </c>
    </row>
    <row r="1189" spans="1:48" x14ac:dyDescent="0.35">
      <c r="A1189" t="str">
        <f t="shared" si="18"/>
        <v>GP286530B825</v>
      </c>
      <c r="B1189" s="7" t="s">
        <v>419</v>
      </c>
      <c r="C1189" s="7" t="s">
        <v>511</v>
      </c>
      <c r="D1189" s="7" t="s">
        <v>16</v>
      </c>
      <c r="E1189" s="7" t="s">
        <v>1177</v>
      </c>
      <c r="F1189" s="7" t="s">
        <v>128</v>
      </c>
      <c r="G1189" s="7" t="s">
        <v>130</v>
      </c>
      <c r="H1189" s="7" t="s">
        <v>129</v>
      </c>
      <c r="I1189" s="30">
        <v>2</v>
      </c>
      <c r="J1189" s="7" t="s">
        <v>1177</v>
      </c>
      <c r="K1189" s="7" t="s">
        <v>1178</v>
      </c>
      <c r="L1189" s="7" t="s">
        <v>132</v>
      </c>
      <c r="M1189" s="7" t="s">
        <v>133</v>
      </c>
      <c r="N1189" s="30">
        <v>0</v>
      </c>
      <c r="O1189" s="30">
        <v>0</v>
      </c>
      <c r="P1189" s="30">
        <v>0</v>
      </c>
      <c r="Q1189" s="30">
        <v>0</v>
      </c>
      <c r="R1189" s="29">
        <v>0</v>
      </c>
      <c r="S1189" s="36">
        <v>0</v>
      </c>
      <c r="T1189" s="7" t="s">
        <v>131</v>
      </c>
      <c r="U1189" s="7" t="s">
        <v>512</v>
      </c>
      <c r="V1189" s="7" t="s">
        <v>512</v>
      </c>
      <c r="W1189" s="7" t="s">
        <v>1177</v>
      </c>
      <c r="X1189" s="30">
        <v>1</v>
      </c>
      <c r="Y1189" s="7" t="s">
        <v>1177</v>
      </c>
      <c r="Z1189" s="7" t="s">
        <v>1178</v>
      </c>
      <c r="AA1189" s="30">
        <v>0</v>
      </c>
      <c r="AB1189" s="36">
        <v>0</v>
      </c>
      <c r="AC1189" s="7" t="s">
        <v>1177</v>
      </c>
      <c r="AD1189" s="37">
        <v>0</v>
      </c>
      <c r="AE1189" s="7" t="s">
        <v>1177</v>
      </c>
      <c r="AF1189" s="7" t="s">
        <v>1177</v>
      </c>
      <c r="AG1189" s="7" t="s">
        <v>1177</v>
      </c>
      <c r="AH1189" s="38"/>
      <c r="AI1189" s="36">
        <v>0</v>
      </c>
      <c r="AJ1189" s="7" t="s">
        <v>1193</v>
      </c>
      <c r="AK1189" s="7" t="s">
        <v>1177</v>
      </c>
      <c r="AL1189" s="7" t="s">
        <v>1177</v>
      </c>
      <c r="AM1189" s="7" t="s">
        <v>1177</v>
      </c>
      <c r="AN1189" s="7" t="s">
        <v>3212</v>
      </c>
      <c r="AO1189" s="7" t="s">
        <v>1177</v>
      </c>
      <c r="AP1189" s="7" t="s">
        <v>1177</v>
      </c>
      <c r="AQ1189" s="7" t="s">
        <v>1177</v>
      </c>
      <c r="AR1189" s="29">
        <v>0</v>
      </c>
      <c r="AS1189" s="7" t="s">
        <v>1177</v>
      </c>
      <c r="AT1189" s="7" t="s">
        <v>1363</v>
      </c>
      <c r="AU1189" s="38">
        <v>46275</v>
      </c>
      <c r="AV1189" s="39">
        <v>0.6034837962963</v>
      </c>
    </row>
    <row r="1190" spans="1:48" x14ac:dyDescent="0.35">
      <c r="A1190" t="str">
        <f t="shared" si="18"/>
        <v>GP286530B832</v>
      </c>
      <c r="B1190" s="7" t="s">
        <v>419</v>
      </c>
      <c r="C1190" s="7" t="s">
        <v>653</v>
      </c>
      <c r="D1190" s="7" t="s">
        <v>19</v>
      </c>
      <c r="E1190" s="7" t="s">
        <v>1177</v>
      </c>
      <c r="F1190" s="7" t="s">
        <v>128</v>
      </c>
      <c r="G1190" s="7" t="s">
        <v>130</v>
      </c>
      <c r="H1190" s="7" t="s">
        <v>129</v>
      </c>
      <c r="I1190" s="30">
        <v>2</v>
      </c>
      <c r="J1190" s="7" t="s">
        <v>1177</v>
      </c>
      <c r="K1190" s="7" t="s">
        <v>1178</v>
      </c>
      <c r="L1190" s="7" t="s">
        <v>132</v>
      </c>
      <c r="M1190" s="7" t="s">
        <v>133</v>
      </c>
      <c r="N1190" s="30">
        <v>0</v>
      </c>
      <c r="O1190" s="30">
        <v>0</v>
      </c>
      <c r="P1190" s="30">
        <v>0</v>
      </c>
      <c r="Q1190" s="30">
        <v>0</v>
      </c>
      <c r="R1190" s="29">
        <v>0</v>
      </c>
      <c r="S1190" s="36">
        <v>0</v>
      </c>
      <c r="T1190" s="7" t="s">
        <v>131</v>
      </c>
      <c r="U1190" s="7" t="s">
        <v>654</v>
      </c>
      <c r="V1190" s="7" t="s">
        <v>654</v>
      </c>
      <c r="W1190" s="7" t="s">
        <v>1177</v>
      </c>
      <c r="X1190" s="30">
        <v>1</v>
      </c>
      <c r="Y1190" s="7" t="s">
        <v>1177</v>
      </c>
      <c r="Z1190" s="7" t="s">
        <v>1178</v>
      </c>
      <c r="AA1190" s="30">
        <v>0</v>
      </c>
      <c r="AB1190" s="36">
        <v>0</v>
      </c>
      <c r="AC1190" s="7" t="s">
        <v>1177</v>
      </c>
      <c r="AD1190" s="37">
        <v>0</v>
      </c>
      <c r="AE1190" s="7" t="s">
        <v>1177</v>
      </c>
      <c r="AF1190" s="7" t="s">
        <v>1177</v>
      </c>
      <c r="AG1190" s="7" t="s">
        <v>1177</v>
      </c>
      <c r="AH1190" s="38"/>
      <c r="AI1190" s="36">
        <v>0</v>
      </c>
      <c r="AJ1190" s="7" t="s">
        <v>1193</v>
      </c>
      <c r="AK1190" s="7" t="s">
        <v>1177</v>
      </c>
      <c r="AL1190" s="7" t="s">
        <v>1177</v>
      </c>
      <c r="AM1190" s="7" t="s">
        <v>1177</v>
      </c>
      <c r="AN1190" s="7" t="s">
        <v>3212</v>
      </c>
      <c r="AO1190" s="7" t="s">
        <v>1177</v>
      </c>
      <c r="AP1190" s="7" t="s">
        <v>1177</v>
      </c>
      <c r="AQ1190" s="7" t="s">
        <v>1177</v>
      </c>
      <c r="AR1190" s="29">
        <v>0</v>
      </c>
      <c r="AS1190" s="7" t="s">
        <v>1177</v>
      </c>
      <c r="AT1190" s="7" t="s">
        <v>1363</v>
      </c>
      <c r="AU1190" s="38">
        <v>46275</v>
      </c>
      <c r="AV1190" s="39">
        <v>0.60384259259258999</v>
      </c>
    </row>
    <row r="1191" spans="1:48" x14ac:dyDescent="0.35">
      <c r="A1191" t="str">
        <f t="shared" si="18"/>
        <v>GP287409B825</v>
      </c>
      <c r="B1191" s="7" t="s">
        <v>596</v>
      </c>
      <c r="C1191" s="7" t="s">
        <v>511</v>
      </c>
      <c r="D1191" s="7" t="s">
        <v>16</v>
      </c>
      <c r="E1191" s="7" t="s">
        <v>1177</v>
      </c>
      <c r="F1191" s="7" t="s">
        <v>128</v>
      </c>
      <c r="G1191" s="7" t="s">
        <v>130</v>
      </c>
      <c r="H1191" s="7" t="s">
        <v>129</v>
      </c>
      <c r="I1191" s="30">
        <v>2</v>
      </c>
      <c r="J1191" s="7" t="s">
        <v>1177</v>
      </c>
      <c r="K1191" s="7" t="s">
        <v>1178</v>
      </c>
      <c r="L1191" s="7" t="s">
        <v>132</v>
      </c>
      <c r="M1191" s="7" t="s">
        <v>133</v>
      </c>
      <c r="N1191" s="30">
        <v>0</v>
      </c>
      <c r="O1191" s="30">
        <v>0</v>
      </c>
      <c r="P1191" s="30">
        <v>0</v>
      </c>
      <c r="Q1191" s="30">
        <v>0</v>
      </c>
      <c r="R1191" s="29">
        <v>0</v>
      </c>
      <c r="S1191" s="36">
        <v>0</v>
      </c>
      <c r="T1191" s="7" t="s">
        <v>131</v>
      </c>
      <c r="U1191" s="7" t="s">
        <v>512</v>
      </c>
      <c r="V1191" s="7" t="s">
        <v>512</v>
      </c>
      <c r="W1191" s="7" t="s">
        <v>1177</v>
      </c>
      <c r="X1191" s="30">
        <v>1</v>
      </c>
      <c r="Y1191" s="7" t="s">
        <v>1177</v>
      </c>
      <c r="Z1191" s="7" t="s">
        <v>1178</v>
      </c>
      <c r="AA1191" s="30">
        <v>0</v>
      </c>
      <c r="AB1191" s="36">
        <v>0</v>
      </c>
      <c r="AC1191" s="7" t="s">
        <v>1177</v>
      </c>
      <c r="AD1191" s="37">
        <v>0</v>
      </c>
      <c r="AE1191" s="7" t="s">
        <v>1177</v>
      </c>
      <c r="AF1191" s="7" t="s">
        <v>1177</v>
      </c>
      <c r="AG1191" s="7" t="s">
        <v>1177</v>
      </c>
      <c r="AH1191" s="38"/>
      <c r="AI1191" s="36">
        <v>0</v>
      </c>
      <c r="AJ1191" s="7" t="s">
        <v>1193</v>
      </c>
      <c r="AK1191" s="7" t="s">
        <v>1177</v>
      </c>
      <c r="AL1191" s="7" t="s">
        <v>1177</v>
      </c>
      <c r="AM1191" s="7" t="s">
        <v>1177</v>
      </c>
      <c r="AN1191" s="7" t="s">
        <v>3212</v>
      </c>
      <c r="AO1191" s="7" t="s">
        <v>1177</v>
      </c>
      <c r="AP1191" s="7" t="s">
        <v>1177</v>
      </c>
      <c r="AQ1191" s="7" t="s">
        <v>1177</v>
      </c>
      <c r="AR1191" s="29">
        <v>0</v>
      </c>
      <c r="AS1191" s="7" t="s">
        <v>1177</v>
      </c>
      <c r="AT1191" s="7" t="s">
        <v>1363</v>
      </c>
      <c r="AU1191" s="38">
        <v>46275</v>
      </c>
      <c r="AV1191" s="39">
        <v>0.62303240740740995</v>
      </c>
    </row>
    <row r="1192" spans="1:48" x14ac:dyDescent="0.35">
      <c r="A1192" t="str">
        <f t="shared" si="18"/>
        <v>GP287409B832</v>
      </c>
      <c r="B1192" s="7" t="s">
        <v>596</v>
      </c>
      <c r="C1192" s="7" t="s">
        <v>653</v>
      </c>
      <c r="D1192" s="7" t="s">
        <v>19</v>
      </c>
      <c r="E1192" s="7" t="s">
        <v>1177</v>
      </c>
      <c r="F1192" s="7" t="s">
        <v>128</v>
      </c>
      <c r="G1192" s="7" t="s">
        <v>130</v>
      </c>
      <c r="H1192" s="7" t="s">
        <v>129</v>
      </c>
      <c r="I1192" s="30">
        <v>2</v>
      </c>
      <c r="J1192" s="7" t="s">
        <v>1177</v>
      </c>
      <c r="K1192" s="7" t="s">
        <v>1178</v>
      </c>
      <c r="L1192" s="7" t="s">
        <v>132</v>
      </c>
      <c r="M1192" s="7" t="s">
        <v>133</v>
      </c>
      <c r="N1192" s="30">
        <v>0</v>
      </c>
      <c r="O1192" s="30">
        <v>0</v>
      </c>
      <c r="P1192" s="30">
        <v>0</v>
      </c>
      <c r="Q1192" s="30">
        <v>0</v>
      </c>
      <c r="R1192" s="29">
        <v>0</v>
      </c>
      <c r="S1192" s="36">
        <v>0</v>
      </c>
      <c r="T1192" s="7" t="s">
        <v>131</v>
      </c>
      <c r="U1192" s="7" t="s">
        <v>654</v>
      </c>
      <c r="V1192" s="7" t="s">
        <v>654</v>
      </c>
      <c r="W1192" s="7" t="s">
        <v>1177</v>
      </c>
      <c r="X1192" s="30">
        <v>1</v>
      </c>
      <c r="Y1192" s="7" t="s">
        <v>1177</v>
      </c>
      <c r="Z1192" s="7" t="s">
        <v>1178</v>
      </c>
      <c r="AA1192" s="30">
        <v>0</v>
      </c>
      <c r="AB1192" s="36">
        <v>0</v>
      </c>
      <c r="AC1192" s="7" t="s">
        <v>1177</v>
      </c>
      <c r="AD1192" s="37">
        <v>0</v>
      </c>
      <c r="AE1192" s="7" t="s">
        <v>1177</v>
      </c>
      <c r="AF1192" s="7" t="s">
        <v>1177</v>
      </c>
      <c r="AG1192" s="7" t="s">
        <v>1177</v>
      </c>
      <c r="AH1192" s="38"/>
      <c r="AI1192" s="36">
        <v>0</v>
      </c>
      <c r="AJ1192" s="7" t="s">
        <v>1193</v>
      </c>
      <c r="AK1192" s="7" t="s">
        <v>1177</v>
      </c>
      <c r="AL1192" s="7" t="s">
        <v>1177</v>
      </c>
      <c r="AM1192" s="7" t="s">
        <v>1177</v>
      </c>
      <c r="AN1192" s="7" t="s">
        <v>3212</v>
      </c>
      <c r="AO1192" s="7" t="s">
        <v>1177</v>
      </c>
      <c r="AP1192" s="7" t="s">
        <v>1177</v>
      </c>
      <c r="AQ1192" s="7" t="s">
        <v>1177</v>
      </c>
      <c r="AR1192" s="29">
        <v>0</v>
      </c>
      <c r="AS1192" s="7" t="s">
        <v>1177</v>
      </c>
      <c r="AT1192" s="7" t="s">
        <v>1363</v>
      </c>
      <c r="AU1192" s="38">
        <v>46275</v>
      </c>
      <c r="AV1192" s="39">
        <v>0.62339120370370005</v>
      </c>
    </row>
    <row r="1193" spans="1:48" x14ac:dyDescent="0.35">
      <c r="A1193" t="str">
        <f t="shared" si="18"/>
        <v>GP287409B833</v>
      </c>
      <c r="B1193" s="7" t="s">
        <v>596</v>
      </c>
      <c r="C1193" s="7" t="s">
        <v>698</v>
      </c>
      <c r="D1193" s="7" t="s">
        <v>697</v>
      </c>
      <c r="E1193" s="7" t="s">
        <v>1177</v>
      </c>
      <c r="F1193" s="7" t="s">
        <v>128</v>
      </c>
      <c r="G1193" s="7" t="s">
        <v>130</v>
      </c>
      <c r="H1193" s="7" t="s">
        <v>129</v>
      </c>
      <c r="I1193" s="30">
        <v>2</v>
      </c>
      <c r="J1193" s="7" t="s">
        <v>1177</v>
      </c>
      <c r="K1193" s="7" t="s">
        <v>1178</v>
      </c>
      <c r="L1193" s="7" t="s">
        <v>132</v>
      </c>
      <c r="M1193" s="7" t="s">
        <v>133</v>
      </c>
      <c r="N1193" s="30">
        <v>0</v>
      </c>
      <c r="O1193" s="30">
        <v>0</v>
      </c>
      <c r="P1193" s="30">
        <v>0</v>
      </c>
      <c r="Q1193" s="30">
        <v>0</v>
      </c>
      <c r="R1193" s="29">
        <v>0</v>
      </c>
      <c r="S1193" s="36">
        <v>0</v>
      </c>
      <c r="T1193" s="7" t="s">
        <v>131</v>
      </c>
      <c r="U1193" s="7" t="s">
        <v>699</v>
      </c>
      <c r="V1193" s="7" t="s">
        <v>699</v>
      </c>
      <c r="W1193" s="7" t="s">
        <v>1177</v>
      </c>
      <c r="X1193" s="30">
        <v>1</v>
      </c>
      <c r="Y1193" s="7" t="s">
        <v>1177</v>
      </c>
      <c r="Z1193" s="7" t="s">
        <v>1178</v>
      </c>
      <c r="AA1193" s="30">
        <v>0</v>
      </c>
      <c r="AB1193" s="36">
        <v>0</v>
      </c>
      <c r="AC1193" s="7" t="s">
        <v>1177</v>
      </c>
      <c r="AD1193" s="37">
        <v>0</v>
      </c>
      <c r="AE1193" s="7" t="s">
        <v>1177</v>
      </c>
      <c r="AF1193" s="7" t="s">
        <v>1177</v>
      </c>
      <c r="AG1193" s="7" t="s">
        <v>1177</v>
      </c>
      <c r="AH1193" s="38"/>
      <c r="AI1193" s="36">
        <v>0</v>
      </c>
      <c r="AJ1193" s="7" t="s">
        <v>1193</v>
      </c>
      <c r="AK1193" s="7" t="s">
        <v>1177</v>
      </c>
      <c r="AL1193" s="7" t="s">
        <v>1177</v>
      </c>
      <c r="AM1193" s="7" t="s">
        <v>1177</v>
      </c>
      <c r="AN1193" s="7" t="s">
        <v>3212</v>
      </c>
      <c r="AO1193" s="7" t="s">
        <v>1177</v>
      </c>
      <c r="AP1193" s="7" t="s">
        <v>1177</v>
      </c>
      <c r="AQ1193" s="7" t="s">
        <v>1177</v>
      </c>
      <c r="AR1193" s="29">
        <v>0</v>
      </c>
      <c r="AS1193" s="7" t="s">
        <v>1177</v>
      </c>
      <c r="AT1193" s="7" t="s">
        <v>1363</v>
      </c>
      <c r="AU1193" s="38">
        <v>46275</v>
      </c>
      <c r="AV1193" s="39">
        <v>0.62350694444443999</v>
      </c>
    </row>
    <row r="1194" spans="1:48" x14ac:dyDescent="0.35">
      <c r="A1194" t="str">
        <f t="shared" si="18"/>
        <v>GP287409B856</v>
      </c>
      <c r="B1194" s="7" t="s">
        <v>596</v>
      </c>
      <c r="C1194" s="7" t="s">
        <v>852</v>
      </c>
      <c r="D1194" s="7" t="s">
        <v>21</v>
      </c>
      <c r="E1194" s="7" t="s">
        <v>1177</v>
      </c>
      <c r="F1194" s="7" t="s">
        <v>128</v>
      </c>
      <c r="G1194" s="7" t="s">
        <v>130</v>
      </c>
      <c r="H1194" s="7" t="s">
        <v>129</v>
      </c>
      <c r="I1194" s="30">
        <v>2</v>
      </c>
      <c r="J1194" s="7" t="s">
        <v>1177</v>
      </c>
      <c r="K1194" s="7" t="s">
        <v>1178</v>
      </c>
      <c r="L1194" s="7" t="s">
        <v>132</v>
      </c>
      <c r="M1194" s="7" t="s">
        <v>133</v>
      </c>
      <c r="N1194" s="30">
        <v>0</v>
      </c>
      <c r="O1194" s="30">
        <v>0</v>
      </c>
      <c r="P1194" s="30">
        <v>0</v>
      </c>
      <c r="Q1194" s="30">
        <v>0</v>
      </c>
      <c r="R1194" s="29">
        <v>0</v>
      </c>
      <c r="S1194" s="36">
        <v>0</v>
      </c>
      <c r="T1194" s="7" t="s">
        <v>131</v>
      </c>
      <c r="U1194" s="7" t="s">
        <v>853</v>
      </c>
      <c r="V1194" s="7" t="s">
        <v>853</v>
      </c>
      <c r="W1194" s="7" t="s">
        <v>1177</v>
      </c>
      <c r="X1194" s="30">
        <v>1</v>
      </c>
      <c r="Y1194" s="7" t="s">
        <v>1177</v>
      </c>
      <c r="Z1194" s="7" t="s">
        <v>1178</v>
      </c>
      <c r="AA1194" s="30">
        <v>0</v>
      </c>
      <c r="AB1194" s="36">
        <v>0</v>
      </c>
      <c r="AC1194" s="7" t="s">
        <v>1177</v>
      </c>
      <c r="AD1194" s="37">
        <v>0</v>
      </c>
      <c r="AE1194" s="7" t="s">
        <v>1177</v>
      </c>
      <c r="AF1194" s="7" t="s">
        <v>1177</v>
      </c>
      <c r="AG1194" s="7" t="s">
        <v>1177</v>
      </c>
      <c r="AH1194" s="38"/>
      <c r="AI1194" s="36">
        <v>0</v>
      </c>
      <c r="AJ1194" s="7" t="s">
        <v>1193</v>
      </c>
      <c r="AK1194" s="7" t="s">
        <v>1177</v>
      </c>
      <c r="AL1194" s="7" t="s">
        <v>1177</v>
      </c>
      <c r="AM1194" s="7" t="s">
        <v>1177</v>
      </c>
      <c r="AN1194" s="7" t="s">
        <v>3212</v>
      </c>
      <c r="AO1194" s="7" t="s">
        <v>1177</v>
      </c>
      <c r="AP1194" s="7" t="s">
        <v>1177</v>
      </c>
      <c r="AQ1194" s="7" t="s">
        <v>1177</v>
      </c>
      <c r="AR1194" s="29">
        <v>0</v>
      </c>
      <c r="AS1194" s="7" t="s">
        <v>1177</v>
      </c>
      <c r="AT1194" s="7" t="s">
        <v>1363</v>
      </c>
      <c r="AU1194" s="38">
        <v>46275</v>
      </c>
      <c r="AV1194" s="39">
        <v>0.62488425925926006</v>
      </c>
    </row>
    <row r="1195" spans="1:48" x14ac:dyDescent="0.35">
      <c r="A1195" t="str">
        <f t="shared" si="18"/>
        <v>GP287409B857</v>
      </c>
      <c r="B1195" s="7" t="s">
        <v>596</v>
      </c>
      <c r="C1195" s="7" t="s">
        <v>958</v>
      </c>
      <c r="D1195" s="7" t="s">
        <v>23</v>
      </c>
      <c r="E1195" s="7" t="s">
        <v>1177</v>
      </c>
      <c r="F1195" s="7" t="s">
        <v>128</v>
      </c>
      <c r="G1195" s="7" t="s">
        <v>130</v>
      </c>
      <c r="H1195" s="7" t="s">
        <v>129</v>
      </c>
      <c r="I1195" s="30">
        <v>1</v>
      </c>
      <c r="J1195" s="7" t="s">
        <v>1177</v>
      </c>
      <c r="K1195" s="7" t="s">
        <v>1178</v>
      </c>
      <c r="L1195" s="7" t="s">
        <v>132</v>
      </c>
      <c r="M1195" s="7" t="s">
        <v>133</v>
      </c>
      <c r="N1195" s="30">
        <v>0</v>
      </c>
      <c r="O1195" s="30">
        <v>0</v>
      </c>
      <c r="P1195" s="30">
        <v>0</v>
      </c>
      <c r="Q1195" s="30">
        <v>0</v>
      </c>
      <c r="R1195" s="29">
        <v>0</v>
      </c>
      <c r="S1195" s="36">
        <v>0</v>
      </c>
      <c r="T1195" s="7" t="s">
        <v>131</v>
      </c>
      <c r="U1195" s="7" t="s">
        <v>959</v>
      </c>
      <c r="V1195" s="7" t="s">
        <v>959</v>
      </c>
      <c r="W1195" s="7" t="s">
        <v>1177</v>
      </c>
      <c r="X1195" s="30">
        <v>1</v>
      </c>
      <c r="Y1195" s="7" t="s">
        <v>1177</v>
      </c>
      <c r="Z1195" s="7" t="s">
        <v>1178</v>
      </c>
      <c r="AA1195" s="30">
        <v>0</v>
      </c>
      <c r="AB1195" s="36">
        <v>0</v>
      </c>
      <c r="AC1195" s="7" t="s">
        <v>1177</v>
      </c>
      <c r="AD1195" s="37">
        <v>0</v>
      </c>
      <c r="AE1195" s="7" t="s">
        <v>1177</v>
      </c>
      <c r="AF1195" s="7" t="s">
        <v>1177</v>
      </c>
      <c r="AG1195" s="7" t="s">
        <v>1177</v>
      </c>
      <c r="AH1195" s="38"/>
      <c r="AI1195" s="36">
        <v>0</v>
      </c>
      <c r="AJ1195" s="7" t="s">
        <v>1193</v>
      </c>
      <c r="AK1195" s="7" t="s">
        <v>1177</v>
      </c>
      <c r="AL1195" s="7" t="s">
        <v>1177</v>
      </c>
      <c r="AM1195" s="7" t="s">
        <v>1177</v>
      </c>
      <c r="AN1195" s="7" t="s">
        <v>3212</v>
      </c>
      <c r="AO1195" s="7" t="s">
        <v>1177</v>
      </c>
      <c r="AP1195" s="7" t="s">
        <v>1177</v>
      </c>
      <c r="AQ1195" s="7" t="s">
        <v>1177</v>
      </c>
      <c r="AR1195" s="29">
        <v>0</v>
      </c>
      <c r="AS1195" s="7" t="s">
        <v>1177</v>
      </c>
      <c r="AT1195" s="7" t="s">
        <v>1363</v>
      </c>
      <c r="AU1195" s="38">
        <v>46275</v>
      </c>
      <c r="AV1195" s="39">
        <v>0.62494212962963003</v>
      </c>
    </row>
    <row r="1196" spans="1:48" x14ac:dyDescent="0.35">
      <c r="A1196" t="str">
        <f t="shared" si="18"/>
        <v>GP287409B864</v>
      </c>
      <c r="B1196" s="7" t="s">
        <v>596</v>
      </c>
      <c r="C1196" s="7" t="s">
        <v>1010</v>
      </c>
      <c r="D1196" s="7" t="s">
        <v>10</v>
      </c>
      <c r="E1196" s="7" t="s">
        <v>1177</v>
      </c>
      <c r="F1196" s="7" t="s">
        <v>128</v>
      </c>
      <c r="G1196" s="7" t="s">
        <v>130</v>
      </c>
      <c r="H1196" s="7" t="s">
        <v>129</v>
      </c>
      <c r="I1196" s="30">
        <v>2</v>
      </c>
      <c r="J1196" s="7" t="s">
        <v>1177</v>
      </c>
      <c r="K1196" s="7" t="s">
        <v>1178</v>
      </c>
      <c r="L1196" s="7" t="s">
        <v>132</v>
      </c>
      <c r="M1196" s="7" t="s">
        <v>133</v>
      </c>
      <c r="N1196" s="30">
        <v>0</v>
      </c>
      <c r="O1196" s="30">
        <v>0</v>
      </c>
      <c r="P1196" s="30">
        <v>0</v>
      </c>
      <c r="Q1196" s="30">
        <v>0</v>
      </c>
      <c r="R1196" s="29">
        <v>0</v>
      </c>
      <c r="S1196" s="36">
        <v>0</v>
      </c>
      <c r="T1196" s="7" t="s">
        <v>131</v>
      </c>
      <c r="U1196" s="7" t="s">
        <v>1011</v>
      </c>
      <c r="V1196" s="7" t="s">
        <v>1011</v>
      </c>
      <c r="W1196" s="7" t="s">
        <v>1177</v>
      </c>
      <c r="X1196" s="30">
        <v>1</v>
      </c>
      <c r="Y1196" s="7" t="s">
        <v>1177</v>
      </c>
      <c r="Z1196" s="7" t="s">
        <v>1178</v>
      </c>
      <c r="AA1196" s="30">
        <v>0</v>
      </c>
      <c r="AB1196" s="36">
        <v>0</v>
      </c>
      <c r="AC1196" s="7" t="s">
        <v>1177</v>
      </c>
      <c r="AD1196" s="37">
        <v>0</v>
      </c>
      <c r="AE1196" s="7" t="s">
        <v>1177</v>
      </c>
      <c r="AF1196" s="7" t="s">
        <v>1177</v>
      </c>
      <c r="AG1196" s="7" t="s">
        <v>1177</v>
      </c>
      <c r="AH1196" s="38"/>
      <c r="AI1196" s="36">
        <v>0</v>
      </c>
      <c r="AJ1196" s="7" t="s">
        <v>1193</v>
      </c>
      <c r="AK1196" s="7" t="s">
        <v>1177</v>
      </c>
      <c r="AL1196" s="7" t="s">
        <v>1177</v>
      </c>
      <c r="AM1196" s="7" t="s">
        <v>1177</v>
      </c>
      <c r="AN1196" s="7" t="s">
        <v>3212</v>
      </c>
      <c r="AO1196" s="7" t="s">
        <v>1177</v>
      </c>
      <c r="AP1196" s="7" t="s">
        <v>1177</v>
      </c>
      <c r="AQ1196" s="7" t="s">
        <v>1177</v>
      </c>
      <c r="AR1196" s="29">
        <v>0</v>
      </c>
      <c r="AS1196" s="7" t="s">
        <v>1177</v>
      </c>
      <c r="AT1196" s="7" t="s">
        <v>1363</v>
      </c>
      <c r="AU1196" s="38">
        <v>46275</v>
      </c>
      <c r="AV1196" s="39">
        <v>0.62631944444443999</v>
      </c>
    </row>
    <row r="1197" spans="1:48" x14ac:dyDescent="0.35">
      <c r="A1197" t="str">
        <f t="shared" si="18"/>
        <v>GP287409B867</v>
      </c>
      <c r="B1197" s="7" t="s">
        <v>596</v>
      </c>
      <c r="C1197" s="7" t="s">
        <v>1059</v>
      </c>
      <c r="D1197" s="7" t="s">
        <v>25</v>
      </c>
      <c r="E1197" s="7" t="s">
        <v>1177</v>
      </c>
      <c r="F1197" s="7" t="s">
        <v>128</v>
      </c>
      <c r="G1197" s="7" t="s">
        <v>130</v>
      </c>
      <c r="H1197" s="7" t="s">
        <v>129</v>
      </c>
      <c r="I1197" s="30">
        <v>2</v>
      </c>
      <c r="J1197" s="7" t="s">
        <v>1177</v>
      </c>
      <c r="K1197" s="7" t="s">
        <v>1178</v>
      </c>
      <c r="L1197" s="7" t="s">
        <v>132</v>
      </c>
      <c r="M1197" s="7" t="s">
        <v>133</v>
      </c>
      <c r="N1197" s="30">
        <v>0</v>
      </c>
      <c r="O1197" s="30">
        <v>0</v>
      </c>
      <c r="P1197" s="30">
        <v>0</v>
      </c>
      <c r="Q1197" s="30">
        <v>0</v>
      </c>
      <c r="R1197" s="29">
        <v>0</v>
      </c>
      <c r="S1197" s="36">
        <v>0</v>
      </c>
      <c r="T1197" s="7" t="s">
        <v>131</v>
      </c>
      <c r="U1197" s="7" t="s">
        <v>1060</v>
      </c>
      <c r="V1197" s="7" t="s">
        <v>1060</v>
      </c>
      <c r="W1197" s="7" t="s">
        <v>1177</v>
      </c>
      <c r="X1197" s="30">
        <v>1</v>
      </c>
      <c r="Y1197" s="7" t="s">
        <v>1177</v>
      </c>
      <c r="Z1197" s="7" t="s">
        <v>1178</v>
      </c>
      <c r="AA1197" s="30">
        <v>0</v>
      </c>
      <c r="AB1197" s="36">
        <v>0</v>
      </c>
      <c r="AC1197" s="7" t="s">
        <v>1177</v>
      </c>
      <c r="AD1197" s="37">
        <v>0</v>
      </c>
      <c r="AE1197" s="7" t="s">
        <v>1177</v>
      </c>
      <c r="AF1197" s="7" t="s">
        <v>1177</v>
      </c>
      <c r="AG1197" s="7" t="s">
        <v>1177</v>
      </c>
      <c r="AH1197" s="38"/>
      <c r="AI1197" s="36">
        <v>0</v>
      </c>
      <c r="AJ1197" s="7" t="s">
        <v>1193</v>
      </c>
      <c r="AK1197" s="7" t="s">
        <v>1177</v>
      </c>
      <c r="AL1197" s="7" t="s">
        <v>1177</v>
      </c>
      <c r="AM1197" s="7" t="s">
        <v>1177</v>
      </c>
      <c r="AN1197" s="7" t="s">
        <v>3212</v>
      </c>
      <c r="AO1197" s="7" t="s">
        <v>1177</v>
      </c>
      <c r="AP1197" s="7" t="s">
        <v>1177</v>
      </c>
      <c r="AQ1197" s="7" t="s">
        <v>1177</v>
      </c>
      <c r="AR1197" s="29">
        <v>0</v>
      </c>
      <c r="AS1197" s="7" t="s">
        <v>1177</v>
      </c>
      <c r="AT1197" s="7" t="s">
        <v>1363</v>
      </c>
      <c r="AU1197" s="38">
        <v>46275</v>
      </c>
      <c r="AV1197" s="39">
        <v>0.62711805555555999</v>
      </c>
    </row>
    <row r="1198" spans="1:48" x14ac:dyDescent="0.35">
      <c r="A1198" t="str">
        <f t="shared" si="18"/>
        <v>GP287687B857</v>
      </c>
      <c r="B1198" s="7" t="s">
        <v>978</v>
      </c>
      <c r="C1198" s="7" t="s">
        <v>958</v>
      </c>
      <c r="D1198" s="7" t="s">
        <v>23</v>
      </c>
      <c r="E1198" s="7" t="s">
        <v>1177</v>
      </c>
      <c r="F1198" s="7" t="s">
        <v>128</v>
      </c>
      <c r="G1198" s="7" t="s">
        <v>130</v>
      </c>
      <c r="H1198" s="7" t="s">
        <v>129</v>
      </c>
      <c r="I1198" s="30">
        <v>1</v>
      </c>
      <c r="J1198" s="7" t="s">
        <v>1177</v>
      </c>
      <c r="K1198" s="7" t="s">
        <v>1178</v>
      </c>
      <c r="L1198" s="7" t="s">
        <v>132</v>
      </c>
      <c r="M1198" s="7" t="s">
        <v>133</v>
      </c>
      <c r="N1198" s="30">
        <v>0</v>
      </c>
      <c r="O1198" s="30">
        <v>0</v>
      </c>
      <c r="P1198" s="30">
        <v>0</v>
      </c>
      <c r="Q1198" s="30">
        <v>0</v>
      </c>
      <c r="R1198" s="29">
        <v>0</v>
      </c>
      <c r="S1198" s="36">
        <v>0</v>
      </c>
      <c r="T1198" s="7" t="s">
        <v>131</v>
      </c>
      <c r="U1198" s="7" t="s">
        <v>959</v>
      </c>
      <c r="V1198" s="7" t="s">
        <v>959</v>
      </c>
      <c r="W1198" s="7" t="s">
        <v>1177</v>
      </c>
      <c r="X1198" s="30">
        <v>1</v>
      </c>
      <c r="Y1198" s="7" t="s">
        <v>1177</v>
      </c>
      <c r="Z1198" s="7" t="s">
        <v>1178</v>
      </c>
      <c r="AA1198" s="30">
        <v>0</v>
      </c>
      <c r="AB1198" s="36">
        <v>0</v>
      </c>
      <c r="AC1198" s="7" t="s">
        <v>1177</v>
      </c>
      <c r="AD1198" s="37">
        <v>0</v>
      </c>
      <c r="AE1198" s="7" t="s">
        <v>1177</v>
      </c>
      <c r="AF1198" s="7" t="s">
        <v>1177</v>
      </c>
      <c r="AG1198" s="7" t="s">
        <v>1177</v>
      </c>
      <c r="AH1198" s="38"/>
      <c r="AI1198" s="36">
        <v>0</v>
      </c>
      <c r="AJ1198" s="7" t="s">
        <v>1193</v>
      </c>
      <c r="AK1198" s="7" t="s">
        <v>1177</v>
      </c>
      <c r="AL1198" s="7" t="s">
        <v>1177</v>
      </c>
      <c r="AM1198" s="7" t="s">
        <v>1177</v>
      </c>
      <c r="AN1198" s="7" t="s">
        <v>3212</v>
      </c>
      <c r="AO1198" s="7" t="s">
        <v>1177</v>
      </c>
      <c r="AP1198" s="7" t="s">
        <v>1177</v>
      </c>
      <c r="AQ1198" s="7" t="s">
        <v>1177</v>
      </c>
      <c r="AR1198" s="29">
        <v>0</v>
      </c>
      <c r="AS1198" s="7" t="s">
        <v>1177</v>
      </c>
      <c r="AT1198" s="7" t="s">
        <v>1363</v>
      </c>
      <c r="AU1198" s="38">
        <v>46275</v>
      </c>
      <c r="AV1198" s="39">
        <v>0.62493055555555999</v>
      </c>
    </row>
    <row r="1199" spans="1:48" x14ac:dyDescent="0.35">
      <c r="A1199" t="str">
        <f t="shared" si="18"/>
        <v>GP288720B825</v>
      </c>
      <c r="B1199" s="7" t="s">
        <v>597</v>
      </c>
      <c r="C1199" s="7" t="s">
        <v>511</v>
      </c>
      <c r="D1199" s="7" t="s">
        <v>16</v>
      </c>
      <c r="E1199" s="7" t="s">
        <v>1177</v>
      </c>
      <c r="F1199" s="7" t="s">
        <v>128</v>
      </c>
      <c r="G1199" s="7" t="s">
        <v>130</v>
      </c>
      <c r="H1199" s="7" t="s">
        <v>129</v>
      </c>
      <c r="I1199" s="30">
        <v>6</v>
      </c>
      <c r="J1199" s="7" t="s">
        <v>1177</v>
      </c>
      <c r="K1199" s="7" t="s">
        <v>1178</v>
      </c>
      <c r="L1199" s="7" t="s">
        <v>132</v>
      </c>
      <c r="M1199" s="7" t="s">
        <v>133</v>
      </c>
      <c r="N1199" s="30">
        <v>0</v>
      </c>
      <c r="O1199" s="30">
        <v>0</v>
      </c>
      <c r="P1199" s="30">
        <v>0</v>
      </c>
      <c r="Q1199" s="30">
        <v>0</v>
      </c>
      <c r="R1199" s="29">
        <v>0</v>
      </c>
      <c r="S1199" s="36">
        <v>0</v>
      </c>
      <c r="T1199" s="7" t="s">
        <v>131</v>
      </c>
      <c r="U1199" s="7" t="s">
        <v>512</v>
      </c>
      <c r="V1199" s="7" t="s">
        <v>512</v>
      </c>
      <c r="W1199" s="7" t="s">
        <v>1177</v>
      </c>
      <c r="X1199" s="30">
        <v>2</v>
      </c>
      <c r="Y1199" s="7" t="s">
        <v>1177</v>
      </c>
      <c r="Z1199" s="7" t="s">
        <v>1178</v>
      </c>
      <c r="AA1199" s="30">
        <v>0</v>
      </c>
      <c r="AB1199" s="36">
        <v>0</v>
      </c>
      <c r="AC1199" s="7" t="s">
        <v>1177</v>
      </c>
      <c r="AD1199" s="37">
        <v>0</v>
      </c>
      <c r="AE1199" s="7" t="s">
        <v>1177</v>
      </c>
      <c r="AF1199" s="7" t="s">
        <v>1177</v>
      </c>
      <c r="AG1199" s="7" t="s">
        <v>1177</v>
      </c>
      <c r="AH1199" s="38"/>
      <c r="AI1199" s="36">
        <v>0</v>
      </c>
      <c r="AJ1199" s="7" t="s">
        <v>1193</v>
      </c>
      <c r="AK1199" s="7" t="s">
        <v>1177</v>
      </c>
      <c r="AL1199" s="7" t="s">
        <v>1177</v>
      </c>
      <c r="AM1199" s="7" t="s">
        <v>1177</v>
      </c>
      <c r="AN1199" s="7" t="s">
        <v>3212</v>
      </c>
      <c r="AO1199" s="7" t="s">
        <v>1177</v>
      </c>
      <c r="AP1199" s="7" t="s">
        <v>1177</v>
      </c>
      <c r="AQ1199" s="7" t="s">
        <v>1177</v>
      </c>
      <c r="AR1199" s="29">
        <v>0</v>
      </c>
      <c r="AS1199" s="7" t="s">
        <v>1177</v>
      </c>
      <c r="AT1199" s="7" t="s">
        <v>1363</v>
      </c>
      <c r="AU1199" s="38">
        <v>46275</v>
      </c>
      <c r="AV1199" s="39">
        <v>0.62303240740740995</v>
      </c>
    </row>
    <row r="1200" spans="1:48" x14ac:dyDescent="0.35">
      <c r="A1200" t="str">
        <f t="shared" si="18"/>
        <v>GP288720B832</v>
      </c>
      <c r="B1200" s="7" t="s">
        <v>597</v>
      </c>
      <c r="C1200" s="7" t="s">
        <v>653</v>
      </c>
      <c r="D1200" s="7" t="s">
        <v>19</v>
      </c>
      <c r="E1200" s="7" t="s">
        <v>1177</v>
      </c>
      <c r="F1200" s="7" t="s">
        <v>128</v>
      </c>
      <c r="G1200" s="7" t="s">
        <v>130</v>
      </c>
      <c r="H1200" s="7" t="s">
        <v>129</v>
      </c>
      <c r="I1200" s="30">
        <v>40</v>
      </c>
      <c r="J1200" s="7" t="s">
        <v>1177</v>
      </c>
      <c r="K1200" s="7" t="s">
        <v>1178</v>
      </c>
      <c r="L1200" s="7" t="s">
        <v>132</v>
      </c>
      <c r="M1200" s="7" t="s">
        <v>133</v>
      </c>
      <c r="N1200" s="30">
        <v>0</v>
      </c>
      <c r="O1200" s="30">
        <v>0</v>
      </c>
      <c r="P1200" s="30">
        <v>0</v>
      </c>
      <c r="Q1200" s="30">
        <v>0</v>
      </c>
      <c r="R1200" s="29">
        <v>0</v>
      </c>
      <c r="S1200" s="36">
        <v>0</v>
      </c>
      <c r="T1200" s="7" t="s">
        <v>131</v>
      </c>
      <c r="U1200" s="7" t="s">
        <v>654</v>
      </c>
      <c r="V1200" s="7" t="s">
        <v>654</v>
      </c>
      <c r="W1200" s="7" t="s">
        <v>1177</v>
      </c>
      <c r="X1200" s="30">
        <v>10</v>
      </c>
      <c r="Y1200" s="7" t="s">
        <v>1177</v>
      </c>
      <c r="Z1200" s="7" t="s">
        <v>1178</v>
      </c>
      <c r="AA1200" s="30">
        <v>0</v>
      </c>
      <c r="AB1200" s="36">
        <v>0</v>
      </c>
      <c r="AC1200" s="7" t="s">
        <v>1177</v>
      </c>
      <c r="AD1200" s="37">
        <v>0</v>
      </c>
      <c r="AE1200" s="7" t="s">
        <v>1177</v>
      </c>
      <c r="AF1200" s="7" t="s">
        <v>1177</v>
      </c>
      <c r="AG1200" s="7" t="s">
        <v>1177</v>
      </c>
      <c r="AH1200" s="38"/>
      <c r="AI1200" s="36">
        <v>0</v>
      </c>
      <c r="AJ1200" s="7" t="s">
        <v>1193</v>
      </c>
      <c r="AK1200" s="7" t="s">
        <v>1177</v>
      </c>
      <c r="AL1200" s="7" t="s">
        <v>1177</v>
      </c>
      <c r="AM1200" s="7" t="s">
        <v>1177</v>
      </c>
      <c r="AN1200" s="7" t="s">
        <v>3212</v>
      </c>
      <c r="AO1200" s="7" t="s">
        <v>1177</v>
      </c>
      <c r="AP1200" s="7" t="s">
        <v>1177</v>
      </c>
      <c r="AQ1200" s="7" t="s">
        <v>1177</v>
      </c>
      <c r="AR1200" s="29">
        <v>0</v>
      </c>
      <c r="AS1200" s="7" t="s">
        <v>1177</v>
      </c>
      <c r="AT1200" s="7" t="s">
        <v>1363</v>
      </c>
      <c r="AU1200" s="38">
        <v>46275</v>
      </c>
      <c r="AV1200" s="39">
        <v>0.62339120370370005</v>
      </c>
    </row>
    <row r="1201" spans="1:48" x14ac:dyDescent="0.35">
      <c r="A1201" t="str">
        <f t="shared" si="18"/>
        <v>GP288968B825</v>
      </c>
      <c r="B1201" s="7" t="s">
        <v>598</v>
      </c>
      <c r="C1201" s="7" t="s">
        <v>511</v>
      </c>
      <c r="D1201" s="7" t="s">
        <v>16</v>
      </c>
      <c r="E1201" s="7" t="s">
        <v>1177</v>
      </c>
      <c r="F1201" s="7" t="s">
        <v>128</v>
      </c>
      <c r="G1201" s="7" t="s">
        <v>130</v>
      </c>
      <c r="H1201" s="7" t="s">
        <v>129</v>
      </c>
      <c r="I1201" s="30">
        <v>2</v>
      </c>
      <c r="J1201" s="7" t="s">
        <v>1177</v>
      </c>
      <c r="K1201" s="7" t="s">
        <v>1178</v>
      </c>
      <c r="L1201" s="7" t="s">
        <v>132</v>
      </c>
      <c r="M1201" s="7" t="s">
        <v>133</v>
      </c>
      <c r="N1201" s="30">
        <v>0</v>
      </c>
      <c r="O1201" s="30">
        <v>0</v>
      </c>
      <c r="P1201" s="30">
        <v>0</v>
      </c>
      <c r="Q1201" s="30">
        <v>0</v>
      </c>
      <c r="R1201" s="29">
        <v>0</v>
      </c>
      <c r="S1201" s="36">
        <v>0</v>
      </c>
      <c r="T1201" s="7" t="s">
        <v>131</v>
      </c>
      <c r="U1201" s="7" t="s">
        <v>512</v>
      </c>
      <c r="V1201" s="7" t="s">
        <v>512</v>
      </c>
      <c r="W1201" s="7" t="s">
        <v>1177</v>
      </c>
      <c r="X1201" s="30">
        <v>1</v>
      </c>
      <c r="Y1201" s="7" t="s">
        <v>1177</v>
      </c>
      <c r="Z1201" s="7" t="s">
        <v>1178</v>
      </c>
      <c r="AA1201" s="30">
        <v>0</v>
      </c>
      <c r="AB1201" s="36">
        <v>0</v>
      </c>
      <c r="AC1201" s="7" t="s">
        <v>1177</v>
      </c>
      <c r="AD1201" s="37">
        <v>0</v>
      </c>
      <c r="AE1201" s="7" t="s">
        <v>1177</v>
      </c>
      <c r="AF1201" s="7" t="s">
        <v>1177</v>
      </c>
      <c r="AG1201" s="7" t="s">
        <v>1177</v>
      </c>
      <c r="AH1201" s="38"/>
      <c r="AI1201" s="36">
        <v>0</v>
      </c>
      <c r="AJ1201" s="7" t="s">
        <v>1193</v>
      </c>
      <c r="AK1201" s="7" t="s">
        <v>1177</v>
      </c>
      <c r="AL1201" s="7" t="s">
        <v>1177</v>
      </c>
      <c r="AM1201" s="7" t="s">
        <v>1177</v>
      </c>
      <c r="AN1201" s="7" t="s">
        <v>3212</v>
      </c>
      <c r="AO1201" s="7" t="s">
        <v>1177</v>
      </c>
      <c r="AP1201" s="7" t="s">
        <v>1177</v>
      </c>
      <c r="AQ1201" s="7" t="s">
        <v>1177</v>
      </c>
      <c r="AR1201" s="29">
        <v>0</v>
      </c>
      <c r="AS1201" s="7" t="s">
        <v>1177</v>
      </c>
      <c r="AT1201" s="7" t="s">
        <v>1363</v>
      </c>
      <c r="AU1201" s="38">
        <v>46275</v>
      </c>
      <c r="AV1201" s="39">
        <v>0.62303240740740995</v>
      </c>
    </row>
    <row r="1202" spans="1:48" x14ac:dyDescent="0.35">
      <c r="A1202" t="str">
        <f t="shared" si="18"/>
        <v>GP289052B832</v>
      </c>
      <c r="B1202" s="7" t="s">
        <v>679</v>
      </c>
      <c r="C1202" s="7" t="s">
        <v>653</v>
      </c>
      <c r="D1202" s="7" t="s">
        <v>19</v>
      </c>
      <c r="E1202" s="7" t="s">
        <v>1177</v>
      </c>
      <c r="F1202" s="7" t="s">
        <v>128</v>
      </c>
      <c r="G1202" s="7" t="s">
        <v>130</v>
      </c>
      <c r="H1202" s="7" t="s">
        <v>129</v>
      </c>
      <c r="I1202" s="30">
        <v>2</v>
      </c>
      <c r="J1202" s="7" t="s">
        <v>1177</v>
      </c>
      <c r="K1202" s="7" t="s">
        <v>1178</v>
      </c>
      <c r="L1202" s="7" t="s">
        <v>132</v>
      </c>
      <c r="M1202" s="7" t="s">
        <v>133</v>
      </c>
      <c r="N1202" s="30">
        <v>0</v>
      </c>
      <c r="O1202" s="30">
        <v>0</v>
      </c>
      <c r="P1202" s="30">
        <v>0</v>
      </c>
      <c r="Q1202" s="30">
        <v>0</v>
      </c>
      <c r="R1202" s="29">
        <v>0</v>
      </c>
      <c r="S1202" s="36">
        <v>0</v>
      </c>
      <c r="T1202" s="7" t="s">
        <v>131</v>
      </c>
      <c r="U1202" s="7" t="s">
        <v>654</v>
      </c>
      <c r="V1202" s="7" t="s">
        <v>654</v>
      </c>
      <c r="W1202" s="7" t="s">
        <v>1177</v>
      </c>
      <c r="X1202" s="30">
        <v>1</v>
      </c>
      <c r="Y1202" s="7" t="s">
        <v>1177</v>
      </c>
      <c r="Z1202" s="7" t="s">
        <v>1178</v>
      </c>
      <c r="AA1202" s="30">
        <v>0</v>
      </c>
      <c r="AB1202" s="36">
        <v>0</v>
      </c>
      <c r="AC1202" s="7" t="s">
        <v>1177</v>
      </c>
      <c r="AD1202" s="37">
        <v>0</v>
      </c>
      <c r="AE1202" s="7" t="s">
        <v>1177</v>
      </c>
      <c r="AF1202" s="7" t="s">
        <v>1177</v>
      </c>
      <c r="AG1202" s="7" t="s">
        <v>1177</v>
      </c>
      <c r="AH1202" s="38"/>
      <c r="AI1202" s="36">
        <v>0</v>
      </c>
      <c r="AJ1202" s="7" t="s">
        <v>1193</v>
      </c>
      <c r="AK1202" s="7" t="s">
        <v>1177</v>
      </c>
      <c r="AL1202" s="7" t="s">
        <v>1177</v>
      </c>
      <c r="AM1202" s="7" t="s">
        <v>1177</v>
      </c>
      <c r="AN1202" s="7" t="s">
        <v>3212</v>
      </c>
      <c r="AO1202" s="7" t="s">
        <v>1177</v>
      </c>
      <c r="AP1202" s="7" t="s">
        <v>1177</v>
      </c>
      <c r="AQ1202" s="7" t="s">
        <v>1177</v>
      </c>
      <c r="AR1202" s="29">
        <v>0</v>
      </c>
      <c r="AS1202" s="7" t="s">
        <v>1177</v>
      </c>
      <c r="AT1202" s="7" t="s">
        <v>1363</v>
      </c>
      <c r="AU1202" s="38">
        <v>46275</v>
      </c>
      <c r="AV1202" s="39">
        <v>0.62339120370370005</v>
      </c>
    </row>
    <row r="1203" spans="1:48" x14ac:dyDescent="0.35">
      <c r="A1203" t="str">
        <f t="shared" si="18"/>
        <v>GP289052B833</v>
      </c>
      <c r="B1203" s="7" t="s">
        <v>679</v>
      </c>
      <c r="C1203" s="7" t="s">
        <v>698</v>
      </c>
      <c r="D1203" s="7" t="s">
        <v>697</v>
      </c>
      <c r="E1203" s="7" t="s">
        <v>1177</v>
      </c>
      <c r="F1203" s="7" t="s">
        <v>128</v>
      </c>
      <c r="G1203" s="7" t="s">
        <v>130</v>
      </c>
      <c r="H1203" s="7" t="s">
        <v>129</v>
      </c>
      <c r="I1203" s="30">
        <v>4</v>
      </c>
      <c r="J1203" s="7" t="s">
        <v>1177</v>
      </c>
      <c r="K1203" s="7" t="s">
        <v>1178</v>
      </c>
      <c r="L1203" s="7" t="s">
        <v>132</v>
      </c>
      <c r="M1203" s="7" t="s">
        <v>133</v>
      </c>
      <c r="N1203" s="30">
        <v>0</v>
      </c>
      <c r="O1203" s="30">
        <v>0</v>
      </c>
      <c r="P1203" s="30">
        <v>0</v>
      </c>
      <c r="Q1203" s="30">
        <v>0</v>
      </c>
      <c r="R1203" s="29">
        <v>0</v>
      </c>
      <c r="S1203" s="36">
        <v>0</v>
      </c>
      <c r="T1203" s="7" t="s">
        <v>131</v>
      </c>
      <c r="U1203" s="7" t="s">
        <v>699</v>
      </c>
      <c r="V1203" s="7" t="s">
        <v>699</v>
      </c>
      <c r="W1203" s="7" t="s">
        <v>1177</v>
      </c>
      <c r="X1203" s="30">
        <v>1</v>
      </c>
      <c r="Y1203" s="7" t="s">
        <v>1177</v>
      </c>
      <c r="Z1203" s="7" t="s">
        <v>1178</v>
      </c>
      <c r="AA1203" s="30">
        <v>0</v>
      </c>
      <c r="AB1203" s="36">
        <v>0</v>
      </c>
      <c r="AC1203" s="7" t="s">
        <v>1177</v>
      </c>
      <c r="AD1203" s="37">
        <v>0</v>
      </c>
      <c r="AE1203" s="7" t="s">
        <v>1177</v>
      </c>
      <c r="AF1203" s="7" t="s">
        <v>1177</v>
      </c>
      <c r="AG1203" s="7" t="s">
        <v>1177</v>
      </c>
      <c r="AH1203" s="38"/>
      <c r="AI1203" s="36">
        <v>0</v>
      </c>
      <c r="AJ1203" s="7" t="s">
        <v>1193</v>
      </c>
      <c r="AK1203" s="7" t="s">
        <v>1177</v>
      </c>
      <c r="AL1203" s="7" t="s">
        <v>1177</v>
      </c>
      <c r="AM1203" s="7" t="s">
        <v>1177</v>
      </c>
      <c r="AN1203" s="7" t="s">
        <v>3212</v>
      </c>
      <c r="AO1203" s="7" t="s">
        <v>1177</v>
      </c>
      <c r="AP1203" s="7" t="s">
        <v>1177</v>
      </c>
      <c r="AQ1203" s="7" t="s">
        <v>1177</v>
      </c>
      <c r="AR1203" s="29">
        <v>0</v>
      </c>
      <c r="AS1203" s="7" t="s">
        <v>1177</v>
      </c>
      <c r="AT1203" s="7" t="s">
        <v>1363</v>
      </c>
      <c r="AU1203" s="38">
        <v>46275</v>
      </c>
      <c r="AV1203" s="39">
        <v>0.62351851851852003</v>
      </c>
    </row>
    <row r="1204" spans="1:48" x14ac:dyDescent="0.35">
      <c r="A1204" t="str">
        <f t="shared" si="18"/>
        <v>GP289052B838</v>
      </c>
      <c r="B1204" s="7" t="s">
        <v>679</v>
      </c>
      <c r="C1204" s="7" t="s">
        <v>744</v>
      </c>
      <c r="D1204" s="7" t="s">
        <v>48</v>
      </c>
      <c r="E1204" s="7" t="s">
        <v>1177</v>
      </c>
      <c r="F1204" s="7" t="s">
        <v>128</v>
      </c>
      <c r="G1204" s="7" t="s">
        <v>130</v>
      </c>
      <c r="H1204" s="7" t="s">
        <v>129</v>
      </c>
      <c r="I1204" s="30">
        <v>2</v>
      </c>
      <c r="J1204" s="7" t="s">
        <v>1177</v>
      </c>
      <c r="K1204" s="7" t="s">
        <v>1178</v>
      </c>
      <c r="L1204" s="7" t="s">
        <v>132</v>
      </c>
      <c r="M1204" s="7" t="s">
        <v>133</v>
      </c>
      <c r="N1204" s="30">
        <v>0</v>
      </c>
      <c r="O1204" s="30">
        <v>0</v>
      </c>
      <c r="P1204" s="30">
        <v>0</v>
      </c>
      <c r="Q1204" s="30">
        <v>0</v>
      </c>
      <c r="R1204" s="29">
        <v>0</v>
      </c>
      <c r="S1204" s="36">
        <v>0</v>
      </c>
      <c r="T1204" s="7" t="s">
        <v>131</v>
      </c>
      <c r="U1204" s="7" t="s">
        <v>745</v>
      </c>
      <c r="V1204" s="7" t="s">
        <v>745</v>
      </c>
      <c r="W1204" s="7" t="s">
        <v>1177</v>
      </c>
      <c r="X1204" s="30">
        <v>1</v>
      </c>
      <c r="Y1204" s="7" t="s">
        <v>1177</v>
      </c>
      <c r="Z1204" s="7" t="s">
        <v>1178</v>
      </c>
      <c r="AA1204" s="30">
        <v>0</v>
      </c>
      <c r="AB1204" s="36">
        <v>0</v>
      </c>
      <c r="AC1204" s="7" t="s">
        <v>1177</v>
      </c>
      <c r="AD1204" s="37">
        <v>0</v>
      </c>
      <c r="AE1204" s="7" t="s">
        <v>1177</v>
      </c>
      <c r="AF1204" s="7" t="s">
        <v>1177</v>
      </c>
      <c r="AG1204" s="7" t="s">
        <v>1177</v>
      </c>
      <c r="AH1204" s="38"/>
      <c r="AI1204" s="36">
        <v>0</v>
      </c>
      <c r="AJ1204" s="7" t="s">
        <v>1193</v>
      </c>
      <c r="AK1204" s="7" t="s">
        <v>1177</v>
      </c>
      <c r="AL1204" s="7" t="s">
        <v>1177</v>
      </c>
      <c r="AM1204" s="7" t="s">
        <v>1177</v>
      </c>
      <c r="AN1204" s="7" t="s">
        <v>3212</v>
      </c>
      <c r="AO1204" s="7" t="s">
        <v>1177</v>
      </c>
      <c r="AP1204" s="7" t="s">
        <v>1177</v>
      </c>
      <c r="AQ1204" s="7" t="s">
        <v>1177</v>
      </c>
      <c r="AR1204" s="29">
        <v>0</v>
      </c>
      <c r="AS1204" s="7" t="s">
        <v>1177</v>
      </c>
      <c r="AT1204" s="7" t="s">
        <v>1363</v>
      </c>
      <c r="AU1204" s="38">
        <v>46275</v>
      </c>
      <c r="AV1204" s="39">
        <v>0.62408564814815004</v>
      </c>
    </row>
    <row r="1205" spans="1:48" x14ac:dyDescent="0.35">
      <c r="A1205" t="str">
        <f t="shared" si="18"/>
        <v>GP289795B833</v>
      </c>
      <c r="B1205" s="7" t="s">
        <v>710</v>
      </c>
      <c r="C1205" s="7" t="s">
        <v>698</v>
      </c>
      <c r="D1205" s="7" t="s">
        <v>697</v>
      </c>
      <c r="E1205" s="7" t="s">
        <v>1177</v>
      </c>
      <c r="F1205" s="7" t="s">
        <v>128</v>
      </c>
      <c r="G1205" s="7" t="s">
        <v>130</v>
      </c>
      <c r="H1205" s="7" t="s">
        <v>129</v>
      </c>
      <c r="I1205" s="30">
        <v>2</v>
      </c>
      <c r="J1205" s="7" t="s">
        <v>1177</v>
      </c>
      <c r="K1205" s="7" t="s">
        <v>1178</v>
      </c>
      <c r="L1205" s="7" t="s">
        <v>132</v>
      </c>
      <c r="M1205" s="7" t="s">
        <v>133</v>
      </c>
      <c r="N1205" s="30">
        <v>0</v>
      </c>
      <c r="O1205" s="30">
        <v>0</v>
      </c>
      <c r="P1205" s="30">
        <v>0</v>
      </c>
      <c r="Q1205" s="30">
        <v>0</v>
      </c>
      <c r="R1205" s="29">
        <v>0</v>
      </c>
      <c r="S1205" s="36">
        <v>0</v>
      </c>
      <c r="T1205" s="7" t="s">
        <v>131</v>
      </c>
      <c r="U1205" s="7" t="s">
        <v>699</v>
      </c>
      <c r="V1205" s="7" t="s">
        <v>699</v>
      </c>
      <c r="W1205" s="7" t="s">
        <v>1177</v>
      </c>
      <c r="X1205" s="30">
        <v>1</v>
      </c>
      <c r="Y1205" s="7" t="s">
        <v>1177</v>
      </c>
      <c r="Z1205" s="7" t="s">
        <v>1178</v>
      </c>
      <c r="AA1205" s="30">
        <v>0</v>
      </c>
      <c r="AB1205" s="36">
        <v>0</v>
      </c>
      <c r="AC1205" s="7" t="s">
        <v>1177</v>
      </c>
      <c r="AD1205" s="37">
        <v>0</v>
      </c>
      <c r="AE1205" s="7" t="s">
        <v>1177</v>
      </c>
      <c r="AF1205" s="7" t="s">
        <v>1177</v>
      </c>
      <c r="AG1205" s="7" t="s">
        <v>1177</v>
      </c>
      <c r="AH1205" s="38"/>
      <c r="AI1205" s="36">
        <v>0</v>
      </c>
      <c r="AJ1205" s="7" t="s">
        <v>1193</v>
      </c>
      <c r="AK1205" s="7" t="s">
        <v>1177</v>
      </c>
      <c r="AL1205" s="7" t="s">
        <v>1177</v>
      </c>
      <c r="AM1205" s="7" t="s">
        <v>1177</v>
      </c>
      <c r="AN1205" s="7" t="s">
        <v>3212</v>
      </c>
      <c r="AO1205" s="7" t="s">
        <v>1177</v>
      </c>
      <c r="AP1205" s="7" t="s">
        <v>1177</v>
      </c>
      <c r="AQ1205" s="7" t="s">
        <v>1177</v>
      </c>
      <c r="AR1205" s="29">
        <v>0</v>
      </c>
      <c r="AS1205" s="7" t="s">
        <v>1177</v>
      </c>
      <c r="AT1205" s="7" t="s">
        <v>1363</v>
      </c>
      <c r="AU1205" s="38">
        <v>46275</v>
      </c>
      <c r="AV1205" s="39">
        <v>0.62351851851852003</v>
      </c>
    </row>
    <row r="1206" spans="1:48" x14ac:dyDescent="0.35">
      <c r="A1206" t="str">
        <f t="shared" si="18"/>
        <v>GP289796B856</v>
      </c>
      <c r="B1206" s="7" t="s">
        <v>878</v>
      </c>
      <c r="C1206" s="7" t="s">
        <v>852</v>
      </c>
      <c r="D1206" s="7" t="s">
        <v>21</v>
      </c>
      <c r="E1206" s="7" t="s">
        <v>1177</v>
      </c>
      <c r="F1206" s="7" t="s">
        <v>128</v>
      </c>
      <c r="G1206" s="7" t="s">
        <v>130</v>
      </c>
      <c r="H1206" s="7" t="s">
        <v>129</v>
      </c>
      <c r="I1206" s="30">
        <v>2</v>
      </c>
      <c r="J1206" s="7" t="s">
        <v>1177</v>
      </c>
      <c r="K1206" s="7" t="s">
        <v>1178</v>
      </c>
      <c r="L1206" s="7" t="s">
        <v>132</v>
      </c>
      <c r="M1206" s="7" t="s">
        <v>133</v>
      </c>
      <c r="N1206" s="30">
        <v>0</v>
      </c>
      <c r="O1206" s="30">
        <v>0</v>
      </c>
      <c r="P1206" s="30">
        <v>0</v>
      </c>
      <c r="Q1206" s="30">
        <v>0</v>
      </c>
      <c r="R1206" s="29">
        <v>0</v>
      </c>
      <c r="S1206" s="36">
        <v>0</v>
      </c>
      <c r="T1206" s="7" t="s">
        <v>131</v>
      </c>
      <c r="U1206" s="7" t="s">
        <v>853</v>
      </c>
      <c r="V1206" s="7" t="s">
        <v>853</v>
      </c>
      <c r="W1206" s="7" t="s">
        <v>1177</v>
      </c>
      <c r="X1206" s="30">
        <v>1</v>
      </c>
      <c r="Y1206" s="7" t="s">
        <v>1177</v>
      </c>
      <c r="Z1206" s="7" t="s">
        <v>1178</v>
      </c>
      <c r="AA1206" s="30">
        <v>0</v>
      </c>
      <c r="AB1206" s="36">
        <v>0</v>
      </c>
      <c r="AC1206" s="7" t="s">
        <v>1177</v>
      </c>
      <c r="AD1206" s="37">
        <v>0</v>
      </c>
      <c r="AE1206" s="7" t="s">
        <v>1177</v>
      </c>
      <c r="AF1206" s="7" t="s">
        <v>1177</v>
      </c>
      <c r="AG1206" s="7" t="s">
        <v>1177</v>
      </c>
      <c r="AH1206" s="38"/>
      <c r="AI1206" s="36">
        <v>0</v>
      </c>
      <c r="AJ1206" s="7" t="s">
        <v>1193</v>
      </c>
      <c r="AK1206" s="7" t="s">
        <v>1177</v>
      </c>
      <c r="AL1206" s="7" t="s">
        <v>1177</v>
      </c>
      <c r="AM1206" s="7" t="s">
        <v>1177</v>
      </c>
      <c r="AN1206" s="7" t="s">
        <v>3212</v>
      </c>
      <c r="AO1206" s="7" t="s">
        <v>1177</v>
      </c>
      <c r="AP1206" s="7" t="s">
        <v>1177</v>
      </c>
      <c r="AQ1206" s="7" t="s">
        <v>1177</v>
      </c>
      <c r="AR1206" s="29">
        <v>0</v>
      </c>
      <c r="AS1206" s="7" t="s">
        <v>1177</v>
      </c>
      <c r="AT1206" s="7" t="s">
        <v>1363</v>
      </c>
      <c r="AU1206" s="38">
        <v>46275</v>
      </c>
      <c r="AV1206" s="39">
        <v>0.62488425925926006</v>
      </c>
    </row>
    <row r="1207" spans="1:48" x14ac:dyDescent="0.35">
      <c r="A1207" t="str">
        <f t="shared" si="18"/>
        <v>GP289799B857</v>
      </c>
      <c r="B1207" s="7" t="s">
        <v>979</v>
      </c>
      <c r="C1207" s="7" t="s">
        <v>958</v>
      </c>
      <c r="D1207" s="7" t="s">
        <v>23</v>
      </c>
      <c r="E1207" s="7" t="s">
        <v>1177</v>
      </c>
      <c r="F1207" s="7" t="s">
        <v>128</v>
      </c>
      <c r="G1207" s="7" t="s">
        <v>130</v>
      </c>
      <c r="H1207" s="7" t="s">
        <v>129</v>
      </c>
      <c r="I1207" s="30">
        <v>2</v>
      </c>
      <c r="J1207" s="7" t="s">
        <v>1177</v>
      </c>
      <c r="K1207" s="7" t="s">
        <v>1178</v>
      </c>
      <c r="L1207" s="7" t="s">
        <v>132</v>
      </c>
      <c r="M1207" s="7" t="s">
        <v>133</v>
      </c>
      <c r="N1207" s="30">
        <v>0</v>
      </c>
      <c r="O1207" s="30">
        <v>0</v>
      </c>
      <c r="P1207" s="30">
        <v>0</v>
      </c>
      <c r="Q1207" s="30">
        <v>0</v>
      </c>
      <c r="R1207" s="29">
        <v>0</v>
      </c>
      <c r="S1207" s="36">
        <v>0</v>
      </c>
      <c r="T1207" s="7" t="s">
        <v>131</v>
      </c>
      <c r="U1207" s="7" t="s">
        <v>959</v>
      </c>
      <c r="V1207" s="7" t="s">
        <v>959</v>
      </c>
      <c r="W1207" s="7" t="s">
        <v>1177</v>
      </c>
      <c r="X1207" s="30">
        <v>1</v>
      </c>
      <c r="Y1207" s="7" t="s">
        <v>1177</v>
      </c>
      <c r="Z1207" s="7" t="s">
        <v>1178</v>
      </c>
      <c r="AA1207" s="30">
        <v>0</v>
      </c>
      <c r="AB1207" s="36">
        <v>0</v>
      </c>
      <c r="AC1207" s="7" t="s">
        <v>1177</v>
      </c>
      <c r="AD1207" s="37">
        <v>0</v>
      </c>
      <c r="AE1207" s="7" t="s">
        <v>1177</v>
      </c>
      <c r="AF1207" s="7" t="s">
        <v>1177</v>
      </c>
      <c r="AG1207" s="7" t="s">
        <v>1177</v>
      </c>
      <c r="AH1207" s="38"/>
      <c r="AI1207" s="36">
        <v>0</v>
      </c>
      <c r="AJ1207" s="7" t="s">
        <v>1193</v>
      </c>
      <c r="AK1207" s="7" t="s">
        <v>1177</v>
      </c>
      <c r="AL1207" s="7" t="s">
        <v>1177</v>
      </c>
      <c r="AM1207" s="7" t="s">
        <v>1177</v>
      </c>
      <c r="AN1207" s="7" t="s">
        <v>3212</v>
      </c>
      <c r="AO1207" s="7" t="s">
        <v>1177</v>
      </c>
      <c r="AP1207" s="7" t="s">
        <v>1177</v>
      </c>
      <c r="AQ1207" s="7" t="s">
        <v>1177</v>
      </c>
      <c r="AR1207" s="29">
        <v>0</v>
      </c>
      <c r="AS1207" s="7" t="s">
        <v>1177</v>
      </c>
      <c r="AT1207" s="7" t="s">
        <v>1363</v>
      </c>
      <c r="AU1207" s="38">
        <v>46275</v>
      </c>
      <c r="AV1207" s="39">
        <v>0.62493055555555999</v>
      </c>
    </row>
    <row r="1208" spans="1:48" x14ac:dyDescent="0.35">
      <c r="A1208" t="str">
        <f t="shared" si="18"/>
        <v>GP289832B833</v>
      </c>
      <c r="B1208" s="7" t="s">
        <v>711</v>
      </c>
      <c r="C1208" s="7" t="s">
        <v>698</v>
      </c>
      <c r="D1208" s="7" t="s">
        <v>697</v>
      </c>
      <c r="E1208" s="7" t="s">
        <v>1177</v>
      </c>
      <c r="F1208" s="7" t="s">
        <v>128</v>
      </c>
      <c r="G1208" s="7" t="s">
        <v>130</v>
      </c>
      <c r="H1208" s="7" t="s">
        <v>129</v>
      </c>
      <c r="I1208" s="30">
        <v>2</v>
      </c>
      <c r="J1208" s="7" t="s">
        <v>1177</v>
      </c>
      <c r="K1208" s="7" t="s">
        <v>1178</v>
      </c>
      <c r="L1208" s="7" t="s">
        <v>132</v>
      </c>
      <c r="M1208" s="7" t="s">
        <v>133</v>
      </c>
      <c r="N1208" s="30">
        <v>0</v>
      </c>
      <c r="O1208" s="30">
        <v>0</v>
      </c>
      <c r="P1208" s="30">
        <v>0</v>
      </c>
      <c r="Q1208" s="30">
        <v>0</v>
      </c>
      <c r="R1208" s="29">
        <v>0</v>
      </c>
      <c r="S1208" s="36">
        <v>0</v>
      </c>
      <c r="T1208" s="7" t="s">
        <v>131</v>
      </c>
      <c r="U1208" s="7" t="s">
        <v>699</v>
      </c>
      <c r="V1208" s="7" t="s">
        <v>699</v>
      </c>
      <c r="W1208" s="7" t="s">
        <v>1177</v>
      </c>
      <c r="X1208" s="30">
        <v>1</v>
      </c>
      <c r="Y1208" s="7" t="s">
        <v>1177</v>
      </c>
      <c r="Z1208" s="7" t="s">
        <v>1178</v>
      </c>
      <c r="AA1208" s="30">
        <v>0</v>
      </c>
      <c r="AB1208" s="36">
        <v>0</v>
      </c>
      <c r="AC1208" s="7" t="s">
        <v>1177</v>
      </c>
      <c r="AD1208" s="37">
        <v>0</v>
      </c>
      <c r="AE1208" s="7" t="s">
        <v>1177</v>
      </c>
      <c r="AF1208" s="7" t="s">
        <v>1177</v>
      </c>
      <c r="AG1208" s="7" t="s">
        <v>1177</v>
      </c>
      <c r="AH1208" s="38"/>
      <c r="AI1208" s="36">
        <v>0</v>
      </c>
      <c r="AJ1208" s="7" t="s">
        <v>1193</v>
      </c>
      <c r="AK1208" s="7" t="s">
        <v>1177</v>
      </c>
      <c r="AL1208" s="7" t="s">
        <v>1177</v>
      </c>
      <c r="AM1208" s="7" t="s">
        <v>1177</v>
      </c>
      <c r="AN1208" s="7" t="s">
        <v>3212</v>
      </c>
      <c r="AO1208" s="7" t="s">
        <v>1177</v>
      </c>
      <c r="AP1208" s="7" t="s">
        <v>1177</v>
      </c>
      <c r="AQ1208" s="7" t="s">
        <v>1177</v>
      </c>
      <c r="AR1208" s="29">
        <v>0</v>
      </c>
      <c r="AS1208" s="7" t="s">
        <v>1177</v>
      </c>
      <c r="AT1208" s="7" t="s">
        <v>1363</v>
      </c>
      <c r="AU1208" s="38">
        <v>46275</v>
      </c>
      <c r="AV1208" s="39">
        <v>0.62351851851852003</v>
      </c>
    </row>
    <row r="1209" spans="1:48" x14ac:dyDescent="0.35">
      <c r="A1209" t="str">
        <f t="shared" si="18"/>
        <v>GP289832B857</v>
      </c>
      <c r="B1209" s="7" t="s">
        <v>711</v>
      </c>
      <c r="C1209" s="7" t="s">
        <v>958</v>
      </c>
      <c r="D1209" s="7" t="s">
        <v>23</v>
      </c>
      <c r="E1209" s="7" t="s">
        <v>1177</v>
      </c>
      <c r="F1209" s="7" t="s">
        <v>128</v>
      </c>
      <c r="G1209" s="7" t="s">
        <v>130</v>
      </c>
      <c r="H1209" s="7" t="s">
        <v>129</v>
      </c>
      <c r="I1209" s="30">
        <v>2</v>
      </c>
      <c r="J1209" s="7" t="s">
        <v>1177</v>
      </c>
      <c r="K1209" s="7" t="s">
        <v>1178</v>
      </c>
      <c r="L1209" s="7" t="s">
        <v>132</v>
      </c>
      <c r="M1209" s="7" t="s">
        <v>133</v>
      </c>
      <c r="N1209" s="30">
        <v>0</v>
      </c>
      <c r="O1209" s="30">
        <v>0</v>
      </c>
      <c r="P1209" s="30">
        <v>0</v>
      </c>
      <c r="Q1209" s="30">
        <v>0</v>
      </c>
      <c r="R1209" s="29">
        <v>0</v>
      </c>
      <c r="S1209" s="36">
        <v>0</v>
      </c>
      <c r="T1209" s="7" t="s">
        <v>131</v>
      </c>
      <c r="U1209" s="7" t="s">
        <v>959</v>
      </c>
      <c r="V1209" s="7" t="s">
        <v>959</v>
      </c>
      <c r="W1209" s="7" t="s">
        <v>1177</v>
      </c>
      <c r="X1209" s="30">
        <v>1</v>
      </c>
      <c r="Y1209" s="7" t="s">
        <v>1177</v>
      </c>
      <c r="Z1209" s="7" t="s">
        <v>1178</v>
      </c>
      <c r="AA1209" s="30">
        <v>0</v>
      </c>
      <c r="AB1209" s="36">
        <v>0</v>
      </c>
      <c r="AC1209" s="7" t="s">
        <v>1177</v>
      </c>
      <c r="AD1209" s="37">
        <v>0</v>
      </c>
      <c r="AE1209" s="7" t="s">
        <v>1177</v>
      </c>
      <c r="AF1209" s="7" t="s">
        <v>1177</v>
      </c>
      <c r="AG1209" s="7" t="s">
        <v>1177</v>
      </c>
      <c r="AH1209" s="38"/>
      <c r="AI1209" s="36">
        <v>0</v>
      </c>
      <c r="AJ1209" s="7" t="s">
        <v>1193</v>
      </c>
      <c r="AK1209" s="7" t="s">
        <v>1177</v>
      </c>
      <c r="AL1209" s="7" t="s">
        <v>1177</v>
      </c>
      <c r="AM1209" s="7" t="s">
        <v>1177</v>
      </c>
      <c r="AN1209" s="7" t="s">
        <v>3212</v>
      </c>
      <c r="AO1209" s="7" t="s">
        <v>1177</v>
      </c>
      <c r="AP1209" s="7" t="s">
        <v>1177</v>
      </c>
      <c r="AQ1209" s="7" t="s">
        <v>1177</v>
      </c>
      <c r="AR1209" s="29">
        <v>0</v>
      </c>
      <c r="AS1209" s="7" t="s">
        <v>1177</v>
      </c>
      <c r="AT1209" s="7" t="s">
        <v>1363</v>
      </c>
      <c r="AU1209" s="38">
        <v>46275</v>
      </c>
      <c r="AV1209" s="39">
        <v>0.62493055555555999</v>
      </c>
    </row>
    <row r="1210" spans="1:48" x14ac:dyDescent="0.35">
      <c r="A1210" t="str">
        <f t="shared" si="18"/>
        <v>GP289832B867</v>
      </c>
      <c r="B1210" s="7" t="s">
        <v>711</v>
      </c>
      <c r="C1210" s="7" t="s">
        <v>1059</v>
      </c>
      <c r="D1210" s="7" t="s">
        <v>25</v>
      </c>
      <c r="E1210" s="7" t="s">
        <v>1177</v>
      </c>
      <c r="F1210" s="7" t="s">
        <v>128</v>
      </c>
      <c r="G1210" s="7" t="s">
        <v>130</v>
      </c>
      <c r="H1210" s="7" t="s">
        <v>129</v>
      </c>
      <c r="I1210" s="30">
        <v>2</v>
      </c>
      <c r="J1210" s="7" t="s">
        <v>1177</v>
      </c>
      <c r="K1210" s="7" t="s">
        <v>1178</v>
      </c>
      <c r="L1210" s="7" t="s">
        <v>132</v>
      </c>
      <c r="M1210" s="7" t="s">
        <v>133</v>
      </c>
      <c r="N1210" s="30">
        <v>0</v>
      </c>
      <c r="O1210" s="30">
        <v>0</v>
      </c>
      <c r="P1210" s="30">
        <v>0</v>
      </c>
      <c r="Q1210" s="30">
        <v>0</v>
      </c>
      <c r="R1210" s="29">
        <v>0</v>
      </c>
      <c r="S1210" s="36">
        <v>0</v>
      </c>
      <c r="T1210" s="7" t="s">
        <v>131</v>
      </c>
      <c r="U1210" s="7" t="s">
        <v>1060</v>
      </c>
      <c r="V1210" s="7" t="s">
        <v>1060</v>
      </c>
      <c r="W1210" s="7" t="s">
        <v>1177</v>
      </c>
      <c r="X1210" s="30">
        <v>1</v>
      </c>
      <c r="Y1210" s="7" t="s">
        <v>1177</v>
      </c>
      <c r="Z1210" s="7" t="s">
        <v>1178</v>
      </c>
      <c r="AA1210" s="30">
        <v>0</v>
      </c>
      <c r="AB1210" s="36">
        <v>0</v>
      </c>
      <c r="AC1210" s="7" t="s">
        <v>1177</v>
      </c>
      <c r="AD1210" s="37">
        <v>0</v>
      </c>
      <c r="AE1210" s="7" t="s">
        <v>1177</v>
      </c>
      <c r="AF1210" s="7" t="s">
        <v>1177</v>
      </c>
      <c r="AG1210" s="7" t="s">
        <v>1177</v>
      </c>
      <c r="AH1210" s="38"/>
      <c r="AI1210" s="36">
        <v>0</v>
      </c>
      <c r="AJ1210" s="7" t="s">
        <v>1193</v>
      </c>
      <c r="AK1210" s="7" t="s">
        <v>1177</v>
      </c>
      <c r="AL1210" s="7" t="s">
        <v>1177</v>
      </c>
      <c r="AM1210" s="7" t="s">
        <v>1177</v>
      </c>
      <c r="AN1210" s="7" t="s">
        <v>3212</v>
      </c>
      <c r="AO1210" s="7" t="s">
        <v>1177</v>
      </c>
      <c r="AP1210" s="7" t="s">
        <v>1177</v>
      </c>
      <c r="AQ1210" s="7" t="s">
        <v>1177</v>
      </c>
      <c r="AR1210" s="29">
        <v>0</v>
      </c>
      <c r="AS1210" s="7" t="s">
        <v>1177</v>
      </c>
      <c r="AT1210" s="7" t="s">
        <v>1363</v>
      </c>
      <c r="AU1210" s="38">
        <v>46275</v>
      </c>
      <c r="AV1210" s="39">
        <v>0.62711805555555999</v>
      </c>
    </row>
    <row r="1211" spans="1:48" x14ac:dyDescent="0.35">
      <c r="A1211" t="str">
        <f t="shared" si="18"/>
        <v>GP289838B833</v>
      </c>
      <c r="B1211" s="7" t="s">
        <v>713</v>
      </c>
      <c r="C1211" s="7" t="s">
        <v>698</v>
      </c>
      <c r="D1211" s="7" t="s">
        <v>697</v>
      </c>
      <c r="E1211" s="7" t="s">
        <v>1177</v>
      </c>
      <c r="F1211" s="7" t="s">
        <v>128</v>
      </c>
      <c r="G1211" s="7" t="s">
        <v>130</v>
      </c>
      <c r="H1211" s="7" t="s">
        <v>129</v>
      </c>
      <c r="I1211" s="30">
        <v>2</v>
      </c>
      <c r="J1211" s="7" t="s">
        <v>1177</v>
      </c>
      <c r="K1211" s="7" t="s">
        <v>1178</v>
      </c>
      <c r="L1211" s="7" t="s">
        <v>132</v>
      </c>
      <c r="M1211" s="7" t="s">
        <v>133</v>
      </c>
      <c r="N1211" s="30">
        <v>0</v>
      </c>
      <c r="O1211" s="30">
        <v>0</v>
      </c>
      <c r="P1211" s="30">
        <v>0</v>
      </c>
      <c r="Q1211" s="30">
        <v>0</v>
      </c>
      <c r="R1211" s="29">
        <v>0</v>
      </c>
      <c r="S1211" s="36">
        <v>0</v>
      </c>
      <c r="T1211" s="7" t="s">
        <v>131</v>
      </c>
      <c r="U1211" s="7" t="s">
        <v>699</v>
      </c>
      <c r="V1211" s="7" t="s">
        <v>699</v>
      </c>
      <c r="W1211" s="7" t="s">
        <v>1177</v>
      </c>
      <c r="X1211" s="30">
        <v>1</v>
      </c>
      <c r="Y1211" s="7" t="s">
        <v>1177</v>
      </c>
      <c r="Z1211" s="7" t="s">
        <v>1178</v>
      </c>
      <c r="AA1211" s="30">
        <v>0</v>
      </c>
      <c r="AB1211" s="36">
        <v>0</v>
      </c>
      <c r="AC1211" s="7" t="s">
        <v>1177</v>
      </c>
      <c r="AD1211" s="37">
        <v>0</v>
      </c>
      <c r="AE1211" s="7" t="s">
        <v>1177</v>
      </c>
      <c r="AF1211" s="7" t="s">
        <v>1177</v>
      </c>
      <c r="AG1211" s="7" t="s">
        <v>1177</v>
      </c>
      <c r="AH1211" s="38"/>
      <c r="AI1211" s="36">
        <v>0</v>
      </c>
      <c r="AJ1211" s="7" t="s">
        <v>1193</v>
      </c>
      <c r="AK1211" s="7" t="s">
        <v>1177</v>
      </c>
      <c r="AL1211" s="7" t="s">
        <v>1177</v>
      </c>
      <c r="AM1211" s="7" t="s">
        <v>1177</v>
      </c>
      <c r="AN1211" s="7" t="s">
        <v>3212</v>
      </c>
      <c r="AO1211" s="7" t="s">
        <v>1177</v>
      </c>
      <c r="AP1211" s="7" t="s">
        <v>1177</v>
      </c>
      <c r="AQ1211" s="7" t="s">
        <v>1177</v>
      </c>
      <c r="AR1211" s="29">
        <v>0</v>
      </c>
      <c r="AS1211" s="7" t="s">
        <v>1177</v>
      </c>
      <c r="AT1211" s="7" t="s">
        <v>1363</v>
      </c>
      <c r="AU1211" s="38">
        <v>46275</v>
      </c>
      <c r="AV1211" s="39">
        <v>0.62351851851852003</v>
      </c>
    </row>
    <row r="1212" spans="1:48" x14ac:dyDescent="0.35">
      <c r="A1212" t="str">
        <f t="shared" si="18"/>
        <v>GP289838B856</v>
      </c>
      <c r="B1212" s="7" t="s">
        <v>713</v>
      </c>
      <c r="C1212" s="7" t="s">
        <v>852</v>
      </c>
      <c r="D1212" s="7" t="s">
        <v>21</v>
      </c>
      <c r="E1212" s="7" t="s">
        <v>1177</v>
      </c>
      <c r="F1212" s="7" t="s">
        <v>128</v>
      </c>
      <c r="G1212" s="7" t="s">
        <v>130</v>
      </c>
      <c r="H1212" s="7" t="s">
        <v>129</v>
      </c>
      <c r="I1212" s="30">
        <v>2</v>
      </c>
      <c r="J1212" s="7" t="s">
        <v>1177</v>
      </c>
      <c r="K1212" s="7" t="s">
        <v>1178</v>
      </c>
      <c r="L1212" s="7" t="s">
        <v>132</v>
      </c>
      <c r="M1212" s="7" t="s">
        <v>133</v>
      </c>
      <c r="N1212" s="30">
        <v>0</v>
      </c>
      <c r="O1212" s="30">
        <v>0</v>
      </c>
      <c r="P1212" s="30">
        <v>0</v>
      </c>
      <c r="Q1212" s="30">
        <v>0</v>
      </c>
      <c r="R1212" s="29">
        <v>0</v>
      </c>
      <c r="S1212" s="36">
        <v>0</v>
      </c>
      <c r="T1212" s="7" t="s">
        <v>131</v>
      </c>
      <c r="U1212" s="7" t="s">
        <v>853</v>
      </c>
      <c r="V1212" s="7" t="s">
        <v>853</v>
      </c>
      <c r="W1212" s="7" t="s">
        <v>1177</v>
      </c>
      <c r="X1212" s="30">
        <v>1</v>
      </c>
      <c r="Y1212" s="7" t="s">
        <v>1177</v>
      </c>
      <c r="Z1212" s="7" t="s">
        <v>1178</v>
      </c>
      <c r="AA1212" s="30">
        <v>0</v>
      </c>
      <c r="AB1212" s="36">
        <v>0</v>
      </c>
      <c r="AC1212" s="7" t="s">
        <v>1177</v>
      </c>
      <c r="AD1212" s="37">
        <v>0</v>
      </c>
      <c r="AE1212" s="7" t="s">
        <v>1177</v>
      </c>
      <c r="AF1212" s="7" t="s">
        <v>1177</v>
      </c>
      <c r="AG1212" s="7" t="s">
        <v>1177</v>
      </c>
      <c r="AH1212" s="38"/>
      <c r="AI1212" s="36">
        <v>0</v>
      </c>
      <c r="AJ1212" s="7" t="s">
        <v>1193</v>
      </c>
      <c r="AK1212" s="7" t="s">
        <v>1177</v>
      </c>
      <c r="AL1212" s="7" t="s">
        <v>1177</v>
      </c>
      <c r="AM1212" s="7" t="s">
        <v>1177</v>
      </c>
      <c r="AN1212" s="7" t="s">
        <v>3212</v>
      </c>
      <c r="AO1212" s="7" t="s">
        <v>1177</v>
      </c>
      <c r="AP1212" s="7" t="s">
        <v>1177</v>
      </c>
      <c r="AQ1212" s="7" t="s">
        <v>1177</v>
      </c>
      <c r="AR1212" s="29">
        <v>0</v>
      </c>
      <c r="AS1212" s="7" t="s">
        <v>1177</v>
      </c>
      <c r="AT1212" s="7" t="s">
        <v>1363</v>
      </c>
      <c r="AU1212" s="38">
        <v>46275</v>
      </c>
      <c r="AV1212" s="39">
        <v>0.62488425925926006</v>
      </c>
    </row>
    <row r="1213" spans="1:48" x14ac:dyDescent="0.35">
      <c r="A1213" t="str">
        <f t="shared" si="18"/>
        <v>GP289838B867</v>
      </c>
      <c r="B1213" s="7" t="s">
        <v>713</v>
      </c>
      <c r="C1213" s="7" t="s">
        <v>1059</v>
      </c>
      <c r="D1213" s="7" t="s">
        <v>25</v>
      </c>
      <c r="E1213" s="7" t="s">
        <v>1177</v>
      </c>
      <c r="F1213" s="7" t="s">
        <v>128</v>
      </c>
      <c r="G1213" s="7" t="s">
        <v>130</v>
      </c>
      <c r="H1213" s="7" t="s">
        <v>129</v>
      </c>
      <c r="I1213" s="30">
        <v>1</v>
      </c>
      <c r="J1213" s="7" t="s">
        <v>1177</v>
      </c>
      <c r="K1213" s="7" t="s">
        <v>1178</v>
      </c>
      <c r="L1213" s="7" t="s">
        <v>132</v>
      </c>
      <c r="M1213" s="7" t="s">
        <v>133</v>
      </c>
      <c r="N1213" s="30">
        <v>0</v>
      </c>
      <c r="O1213" s="30">
        <v>0</v>
      </c>
      <c r="P1213" s="30">
        <v>0</v>
      </c>
      <c r="Q1213" s="30">
        <v>0</v>
      </c>
      <c r="R1213" s="29">
        <v>0</v>
      </c>
      <c r="S1213" s="36">
        <v>0</v>
      </c>
      <c r="T1213" s="7" t="s">
        <v>131</v>
      </c>
      <c r="U1213" s="7" t="s">
        <v>1060</v>
      </c>
      <c r="V1213" s="7" t="s">
        <v>1060</v>
      </c>
      <c r="W1213" s="7" t="s">
        <v>1177</v>
      </c>
      <c r="X1213" s="30">
        <v>1</v>
      </c>
      <c r="Y1213" s="7" t="s">
        <v>1177</v>
      </c>
      <c r="Z1213" s="7" t="s">
        <v>1178</v>
      </c>
      <c r="AA1213" s="30">
        <v>0</v>
      </c>
      <c r="AB1213" s="36">
        <v>0</v>
      </c>
      <c r="AC1213" s="7" t="s">
        <v>1177</v>
      </c>
      <c r="AD1213" s="37">
        <v>0</v>
      </c>
      <c r="AE1213" s="7" t="s">
        <v>1177</v>
      </c>
      <c r="AF1213" s="7" t="s">
        <v>1177</v>
      </c>
      <c r="AG1213" s="7" t="s">
        <v>1177</v>
      </c>
      <c r="AH1213" s="38"/>
      <c r="AI1213" s="36">
        <v>0</v>
      </c>
      <c r="AJ1213" s="7" t="s">
        <v>1193</v>
      </c>
      <c r="AK1213" s="7" t="s">
        <v>1177</v>
      </c>
      <c r="AL1213" s="7" t="s">
        <v>1177</v>
      </c>
      <c r="AM1213" s="7" t="s">
        <v>1177</v>
      </c>
      <c r="AN1213" s="7" t="s">
        <v>3212</v>
      </c>
      <c r="AO1213" s="7" t="s">
        <v>1177</v>
      </c>
      <c r="AP1213" s="7" t="s">
        <v>1177</v>
      </c>
      <c r="AQ1213" s="7" t="s">
        <v>1177</v>
      </c>
      <c r="AR1213" s="29">
        <v>0</v>
      </c>
      <c r="AS1213" s="7" t="s">
        <v>1177</v>
      </c>
      <c r="AT1213" s="7" t="s">
        <v>1363</v>
      </c>
      <c r="AU1213" s="38">
        <v>46275</v>
      </c>
      <c r="AV1213" s="39">
        <v>0.62711805555555999</v>
      </c>
    </row>
    <row r="1214" spans="1:48" x14ac:dyDescent="0.35">
      <c r="A1214" t="str">
        <f t="shared" si="18"/>
        <v>GP289857B857</v>
      </c>
      <c r="B1214" s="7" t="s">
        <v>802</v>
      </c>
      <c r="C1214" s="7" t="s">
        <v>958</v>
      </c>
      <c r="D1214" s="7" t="s">
        <v>23</v>
      </c>
      <c r="E1214" s="7" t="s">
        <v>1177</v>
      </c>
      <c r="F1214" s="7" t="s">
        <v>128</v>
      </c>
      <c r="G1214" s="7" t="s">
        <v>130</v>
      </c>
      <c r="H1214" s="7" t="s">
        <v>129</v>
      </c>
      <c r="I1214" s="30">
        <v>2</v>
      </c>
      <c r="J1214" s="7" t="s">
        <v>1177</v>
      </c>
      <c r="K1214" s="7" t="s">
        <v>1178</v>
      </c>
      <c r="L1214" s="7" t="s">
        <v>132</v>
      </c>
      <c r="M1214" s="7" t="s">
        <v>133</v>
      </c>
      <c r="N1214" s="30">
        <v>0</v>
      </c>
      <c r="O1214" s="30">
        <v>0</v>
      </c>
      <c r="P1214" s="30">
        <v>0</v>
      </c>
      <c r="Q1214" s="30">
        <v>0</v>
      </c>
      <c r="R1214" s="29">
        <v>0</v>
      </c>
      <c r="S1214" s="36">
        <v>0</v>
      </c>
      <c r="T1214" s="7" t="s">
        <v>131</v>
      </c>
      <c r="U1214" s="7" t="s">
        <v>959</v>
      </c>
      <c r="V1214" s="7" t="s">
        <v>959</v>
      </c>
      <c r="W1214" s="7" t="s">
        <v>1177</v>
      </c>
      <c r="X1214" s="30">
        <v>1</v>
      </c>
      <c r="Y1214" s="7" t="s">
        <v>1177</v>
      </c>
      <c r="Z1214" s="7" t="s">
        <v>1178</v>
      </c>
      <c r="AA1214" s="30">
        <v>0</v>
      </c>
      <c r="AB1214" s="36">
        <v>0</v>
      </c>
      <c r="AC1214" s="7" t="s">
        <v>1177</v>
      </c>
      <c r="AD1214" s="37">
        <v>0</v>
      </c>
      <c r="AE1214" s="7" t="s">
        <v>1177</v>
      </c>
      <c r="AF1214" s="7" t="s">
        <v>1177</v>
      </c>
      <c r="AG1214" s="7" t="s">
        <v>1177</v>
      </c>
      <c r="AH1214" s="38"/>
      <c r="AI1214" s="36">
        <v>0</v>
      </c>
      <c r="AJ1214" s="7" t="s">
        <v>1193</v>
      </c>
      <c r="AK1214" s="7" t="s">
        <v>1177</v>
      </c>
      <c r="AL1214" s="7" t="s">
        <v>1177</v>
      </c>
      <c r="AM1214" s="7" t="s">
        <v>1177</v>
      </c>
      <c r="AN1214" s="7" t="s">
        <v>3212</v>
      </c>
      <c r="AO1214" s="7" t="s">
        <v>1177</v>
      </c>
      <c r="AP1214" s="7" t="s">
        <v>1177</v>
      </c>
      <c r="AQ1214" s="7" t="s">
        <v>1177</v>
      </c>
      <c r="AR1214" s="29">
        <v>0</v>
      </c>
      <c r="AS1214" s="7" t="s">
        <v>1177</v>
      </c>
      <c r="AT1214" s="7" t="s">
        <v>1363</v>
      </c>
      <c r="AU1214" s="38">
        <v>46275</v>
      </c>
      <c r="AV1214" s="39">
        <v>0.62493055555555999</v>
      </c>
    </row>
    <row r="1215" spans="1:48" x14ac:dyDescent="0.35">
      <c r="A1215" t="str">
        <f t="shared" si="18"/>
        <v>GP289857B867</v>
      </c>
      <c r="B1215" s="7" t="s">
        <v>802</v>
      </c>
      <c r="C1215" s="7" t="s">
        <v>1059</v>
      </c>
      <c r="D1215" s="7" t="s">
        <v>25</v>
      </c>
      <c r="E1215" s="7" t="s">
        <v>1177</v>
      </c>
      <c r="F1215" s="7" t="s">
        <v>128</v>
      </c>
      <c r="G1215" s="7" t="s">
        <v>130</v>
      </c>
      <c r="H1215" s="7" t="s">
        <v>129</v>
      </c>
      <c r="I1215" s="30">
        <v>2</v>
      </c>
      <c r="J1215" s="7" t="s">
        <v>1177</v>
      </c>
      <c r="K1215" s="7" t="s">
        <v>1178</v>
      </c>
      <c r="L1215" s="7" t="s">
        <v>132</v>
      </c>
      <c r="M1215" s="7" t="s">
        <v>133</v>
      </c>
      <c r="N1215" s="30">
        <v>0</v>
      </c>
      <c r="O1215" s="30">
        <v>0</v>
      </c>
      <c r="P1215" s="30">
        <v>0</v>
      </c>
      <c r="Q1215" s="30">
        <v>0</v>
      </c>
      <c r="R1215" s="29">
        <v>0</v>
      </c>
      <c r="S1215" s="36">
        <v>0</v>
      </c>
      <c r="T1215" s="7" t="s">
        <v>131</v>
      </c>
      <c r="U1215" s="7" t="s">
        <v>1060</v>
      </c>
      <c r="V1215" s="7" t="s">
        <v>1060</v>
      </c>
      <c r="W1215" s="7" t="s">
        <v>1177</v>
      </c>
      <c r="X1215" s="30">
        <v>1</v>
      </c>
      <c r="Y1215" s="7" t="s">
        <v>1177</v>
      </c>
      <c r="Z1215" s="7" t="s">
        <v>1178</v>
      </c>
      <c r="AA1215" s="30">
        <v>0</v>
      </c>
      <c r="AB1215" s="36">
        <v>0</v>
      </c>
      <c r="AC1215" s="7" t="s">
        <v>1177</v>
      </c>
      <c r="AD1215" s="37">
        <v>0</v>
      </c>
      <c r="AE1215" s="7" t="s">
        <v>1177</v>
      </c>
      <c r="AF1215" s="7" t="s">
        <v>1177</v>
      </c>
      <c r="AG1215" s="7" t="s">
        <v>1177</v>
      </c>
      <c r="AH1215" s="38"/>
      <c r="AI1215" s="36">
        <v>0</v>
      </c>
      <c r="AJ1215" s="7" t="s">
        <v>1193</v>
      </c>
      <c r="AK1215" s="7" t="s">
        <v>1177</v>
      </c>
      <c r="AL1215" s="7" t="s">
        <v>1177</v>
      </c>
      <c r="AM1215" s="7" t="s">
        <v>1177</v>
      </c>
      <c r="AN1215" s="7" t="s">
        <v>3212</v>
      </c>
      <c r="AO1215" s="7" t="s">
        <v>1177</v>
      </c>
      <c r="AP1215" s="7" t="s">
        <v>1177</v>
      </c>
      <c r="AQ1215" s="7" t="s">
        <v>1177</v>
      </c>
      <c r="AR1215" s="29">
        <v>0</v>
      </c>
      <c r="AS1215" s="7" t="s">
        <v>1177</v>
      </c>
      <c r="AT1215" s="7" t="s">
        <v>1363</v>
      </c>
      <c r="AU1215" s="38">
        <v>46275</v>
      </c>
      <c r="AV1215" s="39">
        <v>0.62712962962963004</v>
      </c>
    </row>
    <row r="1216" spans="1:48" x14ac:dyDescent="0.35">
      <c r="A1216" t="str">
        <f t="shared" si="18"/>
        <v>GP290450B833</v>
      </c>
      <c r="B1216" s="7" t="s">
        <v>714</v>
      </c>
      <c r="C1216" s="7" t="s">
        <v>698</v>
      </c>
      <c r="D1216" s="7" t="s">
        <v>697</v>
      </c>
      <c r="E1216" s="7" t="s">
        <v>1177</v>
      </c>
      <c r="F1216" s="7" t="s">
        <v>128</v>
      </c>
      <c r="G1216" s="7" t="s">
        <v>130</v>
      </c>
      <c r="H1216" s="7" t="s">
        <v>129</v>
      </c>
      <c r="I1216" s="30">
        <v>2</v>
      </c>
      <c r="J1216" s="7" t="s">
        <v>1177</v>
      </c>
      <c r="K1216" s="7" t="s">
        <v>1178</v>
      </c>
      <c r="L1216" s="7" t="s">
        <v>132</v>
      </c>
      <c r="M1216" s="7" t="s">
        <v>133</v>
      </c>
      <c r="N1216" s="30">
        <v>0</v>
      </c>
      <c r="O1216" s="30">
        <v>0</v>
      </c>
      <c r="P1216" s="30">
        <v>0</v>
      </c>
      <c r="Q1216" s="30">
        <v>0</v>
      </c>
      <c r="R1216" s="29">
        <v>0</v>
      </c>
      <c r="S1216" s="36">
        <v>0</v>
      </c>
      <c r="T1216" s="7" t="s">
        <v>131</v>
      </c>
      <c r="U1216" s="7" t="s">
        <v>699</v>
      </c>
      <c r="V1216" s="7" t="s">
        <v>699</v>
      </c>
      <c r="W1216" s="7" t="s">
        <v>1177</v>
      </c>
      <c r="X1216" s="30">
        <v>1</v>
      </c>
      <c r="Y1216" s="7" t="s">
        <v>1177</v>
      </c>
      <c r="Z1216" s="7" t="s">
        <v>1178</v>
      </c>
      <c r="AA1216" s="30">
        <v>0</v>
      </c>
      <c r="AB1216" s="36">
        <v>0</v>
      </c>
      <c r="AC1216" s="7" t="s">
        <v>1177</v>
      </c>
      <c r="AD1216" s="37">
        <v>0</v>
      </c>
      <c r="AE1216" s="7" t="s">
        <v>1177</v>
      </c>
      <c r="AF1216" s="7" t="s">
        <v>1177</v>
      </c>
      <c r="AG1216" s="7" t="s">
        <v>1177</v>
      </c>
      <c r="AH1216" s="38"/>
      <c r="AI1216" s="36">
        <v>0</v>
      </c>
      <c r="AJ1216" s="7" t="s">
        <v>1193</v>
      </c>
      <c r="AK1216" s="7" t="s">
        <v>1177</v>
      </c>
      <c r="AL1216" s="7" t="s">
        <v>1177</v>
      </c>
      <c r="AM1216" s="7" t="s">
        <v>1177</v>
      </c>
      <c r="AN1216" s="7" t="s">
        <v>3212</v>
      </c>
      <c r="AO1216" s="7" t="s">
        <v>1177</v>
      </c>
      <c r="AP1216" s="7" t="s">
        <v>1177</v>
      </c>
      <c r="AQ1216" s="7" t="s">
        <v>1177</v>
      </c>
      <c r="AR1216" s="29">
        <v>0</v>
      </c>
      <c r="AS1216" s="7" t="s">
        <v>1177</v>
      </c>
      <c r="AT1216" s="7" t="s">
        <v>1363</v>
      </c>
      <c r="AU1216" s="38">
        <v>46275</v>
      </c>
      <c r="AV1216" s="39">
        <v>0.62351851851852003</v>
      </c>
    </row>
    <row r="1217" spans="1:48" x14ac:dyDescent="0.35">
      <c r="A1217" t="str">
        <f t="shared" si="18"/>
        <v>GP290450B856</v>
      </c>
      <c r="B1217" s="7" t="s">
        <v>714</v>
      </c>
      <c r="C1217" s="7" t="s">
        <v>852</v>
      </c>
      <c r="D1217" s="7" t="s">
        <v>21</v>
      </c>
      <c r="E1217" s="7" t="s">
        <v>1177</v>
      </c>
      <c r="F1217" s="7" t="s">
        <v>128</v>
      </c>
      <c r="G1217" s="7" t="s">
        <v>130</v>
      </c>
      <c r="H1217" s="7" t="s">
        <v>129</v>
      </c>
      <c r="I1217" s="30">
        <v>2</v>
      </c>
      <c r="J1217" s="7" t="s">
        <v>1177</v>
      </c>
      <c r="K1217" s="7" t="s">
        <v>1178</v>
      </c>
      <c r="L1217" s="7" t="s">
        <v>132</v>
      </c>
      <c r="M1217" s="7" t="s">
        <v>133</v>
      </c>
      <c r="N1217" s="30">
        <v>0</v>
      </c>
      <c r="O1217" s="30">
        <v>0</v>
      </c>
      <c r="P1217" s="30">
        <v>0</v>
      </c>
      <c r="Q1217" s="30">
        <v>0</v>
      </c>
      <c r="R1217" s="29">
        <v>0</v>
      </c>
      <c r="S1217" s="36">
        <v>0</v>
      </c>
      <c r="T1217" s="7" t="s">
        <v>131</v>
      </c>
      <c r="U1217" s="7" t="s">
        <v>853</v>
      </c>
      <c r="V1217" s="7" t="s">
        <v>853</v>
      </c>
      <c r="W1217" s="7" t="s">
        <v>1177</v>
      </c>
      <c r="X1217" s="30">
        <v>1</v>
      </c>
      <c r="Y1217" s="7" t="s">
        <v>1177</v>
      </c>
      <c r="Z1217" s="7" t="s">
        <v>1178</v>
      </c>
      <c r="AA1217" s="30">
        <v>0</v>
      </c>
      <c r="AB1217" s="36">
        <v>0</v>
      </c>
      <c r="AC1217" s="7" t="s">
        <v>1177</v>
      </c>
      <c r="AD1217" s="37">
        <v>0</v>
      </c>
      <c r="AE1217" s="7" t="s">
        <v>1177</v>
      </c>
      <c r="AF1217" s="7" t="s">
        <v>1177</v>
      </c>
      <c r="AG1217" s="7" t="s">
        <v>1177</v>
      </c>
      <c r="AH1217" s="38"/>
      <c r="AI1217" s="36">
        <v>0</v>
      </c>
      <c r="AJ1217" s="7" t="s">
        <v>1193</v>
      </c>
      <c r="AK1217" s="7" t="s">
        <v>1177</v>
      </c>
      <c r="AL1217" s="7" t="s">
        <v>1177</v>
      </c>
      <c r="AM1217" s="7" t="s">
        <v>1177</v>
      </c>
      <c r="AN1217" s="7" t="s">
        <v>3212</v>
      </c>
      <c r="AO1217" s="7" t="s">
        <v>1177</v>
      </c>
      <c r="AP1217" s="7" t="s">
        <v>1177</v>
      </c>
      <c r="AQ1217" s="7" t="s">
        <v>1177</v>
      </c>
      <c r="AR1217" s="29">
        <v>0</v>
      </c>
      <c r="AS1217" s="7" t="s">
        <v>1177</v>
      </c>
      <c r="AT1217" s="7" t="s">
        <v>1363</v>
      </c>
      <c r="AU1217" s="38">
        <v>46275</v>
      </c>
      <c r="AV1217" s="39">
        <v>0.62488425925926006</v>
      </c>
    </row>
    <row r="1218" spans="1:48" x14ac:dyDescent="0.35">
      <c r="A1218" t="str">
        <f t="shared" si="18"/>
        <v>GP291497B838</v>
      </c>
      <c r="B1218" s="7" t="s">
        <v>331</v>
      </c>
      <c r="C1218" s="7" t="s">
        <v>744</v>
      </c>
      <c r="D1218" s="7" t="s">
        <v>48</v>
      </c>
      <c r="E1218" s="7" t="s">
        <v>1177</v>
      </c>
      <c r="F1218" s="7" t="s">
        <v>128</v>
      </c>
      <c r="G1218" s="7" t="s">
        <v>130</v>
      </c>
      <c r="H1218" s="7" t="s">
        <v>129</v>
      </c>
      <c r="I1218" s="30">
        <v>2</v>
      </c>
      <c r="J1218" s="7" t="s">
        <v>1177</v>
      </c>
      <c r="K1218" s="7" t="s">
        <v>1178</v>
      </c>
      <c r="L1218" s="7" t="s">
        <v>132</v>
      </c>
      <c r="M1218" s="7" t="s">
        <v>133</v>
      </c>
      <c r="N1218" s="30">
        <v>0</v>
      </c>
      <c r="O1218" s="30">
        <v>0</v>
      </c>
      <c r="P1218" s="30">
        <v>0</v>
      </c>
      <c r="Q1218" s="30">
        <v>0</v>
      </c>
      <c r="R1218" s="29">
        <v>0</v>
      </c>
      <c r="S1218" s="36">
        <v>0</v>
      </c>
      <c r="T1218" s="7" t="s">
        <v>131</v>
      </c>
      <c r="U1218" s="7" t="s">
        <v>745</v>
      </c>
      <c r="V1218" s="7" t="s">
        <v>745</v>
      </c>
      <c r="W1218" s="7" t="s">
        <v>1177</v>
      </c>
      <c r="X1218" s="30">
        <v>1</v>
      </c>
      <c r="Y1218" s="7" t="s">
        <v>1177</v>
      </c>
      <c r="Z1218" s="7" t="s">
        <v>1178</v>
      </c>
      <c r="AA1218" s="30">
        <v>0</v>
      </c>
      <c r="AB1218" s="36">
        <v>0</v>
      </c>
      <c r="AC1218" s="7" t="s">
        <v>1177</v>
      </c>
      <c r="AD1218" s="37">
        <v>0</v>
      </c>
      <c r="AE1218" s="7" t="s">
        <v>1177</v>
      </c>
      <c r="AF1218" s="7" t="s">
        <v>1177</v>
      </c>
      <c r="AG1218" s="7" t="s">
        <v>1177</v>
      </c>
      <c r="AH1218" s="38"/>
      <c r="AI1218" s="36">
        <v>0</v>
      </c>
      <c r="AJ1218" s="7" t="s">
        <v>1193</v>
      </c>
      <c r="AK1218" s="7" t="s">
        <v>1177</v>
      </c>
      <c r="AL1218" s="7" t="s">
        <v>1177</v>
      </c>
      <c r="AM1218" s="7" t="s">
        <v>1177</v>
      </c>
      <c r="AN1218" s="7" t="s">
        <v>3212</v>
      </c>
      <c r="AO1218" s="7" t="s">
        <v>1177</v>
      </c>
      <c r="AP1218" s="7" t="s">
        <v>1177</v>
      </c>
      <c r="AQ1218" s="7" t="s">
        <v>1177</v>
      </c>
      <c r="AR1218" s="29">
        <v>0</v>
      </c>
      <c r="AS1218" s="7" t="s">
        <v>1177</v>
      </c>
      <c r="AT1218" s="7" t="s">
        <v>1363</v>
      </c>
      <c r="AU1218" s="38">
        <v>46275</v>
      </c>
      <c r="AV1218" s="39">
        <v>0.62408564814815004</v>
      </c>
    </row>
    <row r="1219" spans="1:48" x14ac:dyDescent="0.35">
      <c r="A1219" t="str">
        <f t="shared" ref="A1219:A1282" si="19">_xlfn.CONCAT(B1219,D1219)</f>
        <v>GP292327B856</v>
      </c>
      <c r="B1219" s="7" t="s">
        <v>879</v>
      </c>
      <c r="C1219" s="7" t="s">
        <v>852</v>
      </c>
      <c r="D1219" s="7" t="s">
        <v>21</v>
      </c>
      <c r="E1219" s="7" t="s">
        <v>1177</v>
      </c>
      <c r="F1219" s="7" t="s">
        <v>134</v>
      </c>
      <c r="G1219" s="7" t="s">
        <v>130</v>
      </c>
      <c r="H1219" s="7" t="s">
        <v>129</v>
      </c>
      <c r="I1219" s="30">
        <v>2</v>
      </c>
      <c r="J1219" s="7" t="s">
        <v>1177</v>
      </c>
      <c r="K1219" s="7" t="s">
        <v>1178</v>
      </c>
      <c r="L1219" s="7" t="s">
        <v>132</v>
      </c>
      <c r="M1219" s="7" t="s">
        <v>133</v>
      </c>
      <c r="N1219" s="30">
        <v>0</v>
      </c>
      <c r="O1219" s="30">
        <v>0</v>
      </c>
      <c r="P1219" s="30">
        <v>0</v>
      </c>
      <c r="Q1219" s="30">
        <v>0</v>
      </c>
      <c r="R1219" s="29">
        <v>0</v>
      </c>
      <c r="S1219" s="36">
        <v>0</v>
      </c>
      <c r="T1219" s="7" t="s">
        <v>131</v>
      </c>
      <c r="U1219" s="7" t="s">
        <v>853</v>
      </c>
      <c r="V1219" s="7" t="s">
        <v>853</v>
      </c>
      <c r="W1219" s="7" t="s">
        <v>1177</v>
      </c>
      <c r="X1219" s="30">
        <v>2</v>
      </c>
      <c r="Y1219" s="7" t="s">
        <v>1177</v>
      </c>
      <c r="Z1219" s="7" t="s">
        <v>1178</v>
      </c>
      <c r="AA1219" s="30">
        <v>0</v>
      </c>
      <c r="AB1219" s="36">
        <v>0</v>
      </c>
      <c r="AC1219" s="7" t="s">
        <v>1177</v>
      </c>
      <c r="AD1219" s="37">
        <v>0</v>
      </c>
      <c r="AE1219" s="7" t="s">
        <v>1177</v>
      </c>
      <c r="AF1219" s="7" t="s">
        <v>1177</v>
      </c>
      <c r="AG1219" s="7" t="s">
        <v>1177</v>
      </c>
      <c r="AH1219" s="38"/>
      <c r="AI1219" s="36">
        <v>0</v>
      </c>
      <c r="AJ1219" s="7" t="s">
        <v>1193</v>
      </c>
      <c r="AK1219" s="7" t="s">
        <v>1177</v>
      </c>
      <c r="AL1219" s="7" t="s">
        <v>1177</v>
      </c>
      <c r="AM1219" s="7" t="s">
        <v>1177</v>
      </c>
      <c r="AN1219" s="7" t="s">
        <v>3212</v>
      </c>
      <c r="AO1219" s="7" t="s">
        <v>1177</v>
      </c>
      <c r="AP1219" s="7" t="s">
        <v>1177</v>
      </c>
      <c r="AQ1219" s="7" t="s">
        <v>1177</v>
      </c>
      <c r="AR1219" s="29">
        <v>0</v>
      </c>
      <c r="AS1219" s="7" t="s">
        <v>1177</v>
      </c>
      <c r="AT1219" s="7" t="s">
        <v>1363</v>
      </c>
      <c r="AU1219" s="38">
        <v>46275</v>
      </c>
      <c r="AV1219" s="39">
        <v>0.62484953703704005</v>
      </c>
    </row>
    <row r="1220" spans="1:48" x14ac:dyDescent="0.35">
      <c r="A1220" t="str">
        <f t="shared" si="19"/>
        <v>GP292327B857</v>
      </c>
      <c r="B1220" s="7" t="s">
        <v>879</v>
      </c>
      <c r="C1220" s="7" t="s">
        <v>958</v>
      </c>
      <c r="D1220" s="7" t="s">
        <v>23</v>
      </c>
      <c r="E1220" s="7" t="s">
        <v>1177</v>
      </c>
      <c r="F1220" s="7" t="s">
        <v>134</v>
      </c>
      <c r="G1220" s="7" t="s">
        <v>130</v>
      </c>
      <c r="H1220" s="7" t="s">
        <v>129</v>
      </c>
      <c r="I1220" s="30">
        <v>3</v>
      </c>
      <c r="J1220" s="7" t="s">
        <v>1177</v>
      </c>
      <c r="K1220" s="7" t="s">
        <v>1178</v>
      </c>
      <c r="L1220" s="7" t="s">
        <v>132</v>
      </c>
      <c r="M1220" s="7" t="s">
        <v>133</v>
      </c>
      <c r="N1220" s="30">
        <v>0</v>
      </c>
      <c r="O1220" s="30">
        <v>0</v>
      </c>
      <c r="P1220" s="30">
        <v>0</v>
      </c>
      <c r="Q1220" s="30">
        <v>0</v>
      </c>
      <c r="R1220" s="29">
        <v>0</v>
      </c>
      <c r="S1220" s="36">
        <v>0</v>
      </c>
      <c r="T1220" s="7" t="s">
        <v>131</v>
      </c>
      <c r="U1220" s="7" t="s">
        <v>959</v>
      </c>
      <c r="V1220" s="7" t="s">
        <v>959</v>
      </c>
      <c r="W1220" s="7" t="s">
        <v>1177</v>
      </c>
      <c r="X1220" s="30">
        <v>3</v>
      </c>
      <c r="Y1220" s="7" t="s">
        <v>1177</v>
      </c>
      <c r="Z1220" s="7" t="s">
        <v>1178</v>
      </c>
      <c r="AA1220" s="30">
        <v>0</v>
      </c>
      <c r="AB1220" s="36">
        <v>0</v>
      </c>
      <c r="AC1220" s="7" t="s">
        <v>1177</v>
      </c>
      <c r="AD1220" s="37">
        <v>0</v>
      </c>
      <c r="AE1220" s="7" t="s">
        <v>1177</v>
      </c>
      <c r="AF1220" s="7" t="s">
        <v>1177</v>
      </c>
      <c r="AG1220" s="7" t="s">
        <v>1177</v>
      </c>
      <c r="AH1220" s="38"/>
      <c r="AI1220" s="36">
        <v>0</v>
      </c>
      <c r="AJ1220" s="7" t="s">
        <v>1193</v>
      </c>
      <c r="AK1220" s="7" t="s">
        <v>1177</v>
      </c>
      <c r="AL1220" s="7" t="s">
        <v>1177</v>
      </c>
      <c r="AM1220" s="7" t="s">
        <v>1177</v>
      </c>
      <c r="AN1220" s="7" t="s">
        <v>3212</v>
      </c>
      <c r="AO1220" s="7" t="s">
        <v>1177</v>
      </c>
      <c r="AP1220" s="7" t="s">
        <v>1177</v>
      </c>
      <c r="AQ1220" s="7" t="s">
        <v>1177</v>
      </c>
      <c r="AR1220" s="29">
        <v>0</v>
      </c>
      <c r="AS1220" s="7" t="s">
        <v>1177</v>
      </c>
      <c r="AT1220" s="7" t="s">
        <v>1363</v>
      </c>
      <c r="AU1220" s="38">
        <v>46275</v>
      </c>
      <c r="AV1220" s="39">
        <v>0.62504629629630004</v>
      </c>
    </row>
    <row r="1221" spans="1:48" x14ac:dyDescent="0.35">
      <c r="A1221" t="str">
        <f t="shared" si="19"/>
        <v>GP292327B865</v>
      </c>
      <c r="B1221" s="7" t="s">
        <v>879</v>
      </c>
      <c r="C1221" s="7" t="s">
        <v>1039</v>
      </c>
      <c r="D1221" s="7" t="s">
        <v>7</v>
      </c>
      <c r="E1221" s="7" t="s">
        <v>1177</v>
      </c>
      <c r="F1221" s="7" t="s">
        <v>134</v>
      </c>
      <c r="G1221" s="7" t="s">
        <v>130</v>
      </c>
      <c r="H1221" s="7" t="s">
        <v>129</v>
      </c>
      <c r="I1221" s="30">
        <v>1</v>
      </c>
      <c r="J1221" s="7" t="s">
        <v>1177</v>
      </c>
      <c r="K1221" s="7" t="s">
        <v>1178</v>
      </c>
      <c r="L1221" s="7" t="s">
        <v>132</v>
      </c>
      <c r="M1221" s="7" t="s">
        <v>133</v>
      </c>
      <c r="N1221" s="30">
        <v>0</v>
      </c>
      <c r="O1221" s="30">
        <v>0</v>
      </c>
      <c r="P1221" s="30">
        <v>0</v>
      </c>
      <c r="Q1221" s="30">
        <v>0</v>
      </c>
      <c r="R1221" s="29">
        <v>0</v>
      </c>
      <c r="S1221" s="36">
        <v>0</v>
      </c>
      <c r="T1221" s="7" t="s">
        <v>131</v>
      </c>
      <c r="U1221" s="7" t="s">
        <v>1040</v>
      </c>
      <c r="V1221" s="7" t="s">
        <v>1040</v>
      </c>
      <c r="W1221" s="7" t="s">
        <v>1177</v>
      </c>
      <c r="X1221" s="30">
        <v>1</v>
      </c>
      <c r="Y1221" s="7" t="s">
        <v>1177</v>
      </c>
      <c r="Z1221" s="7" t="s">
        <v>1178</v>
      </c>
      <c r="AA1221" s="30">
        <v>0</v>
      </c>
      <c r="AB1221" s="36">
        <v>0</v>
      </c>
      <c r="AC1221" s="7" t="s">
        <v>1177</v>
      </c>
      <c r="AD1221" s="37">
        <v>0</v>
      </c>
      <c r="AE1221" s="7" t="s">
        <v>1177</v>
      </c>
      <c r="AF1221" s="7" t="s">
        <v>1177</v>
      </c>
      <c r="AG1221" s="7" t="s">
        <v>1177</v>
      </c>
      <c r="AH1221" s="38"/>
      <c r="AI1221" s="36">
        <v>0</v>
      </c>
      <c r="AJ1221" s="7" t="s">
        <v>1193</v>
      </c>
      <c r="AK1221" s="7" t="s">
        <v>1177</v>
      </c>
      <c r="AL1221" s="7" t="s">
        <v>1177</v>
      </c>
      <c r="AM1221" s="7" t="s">
        <v>1177</v>
      </c>
      <c r="AN1221" s="7" t="s">
        <v>3212</v>
      </c>
      <c r="AO1221" s="7" t="s">
        <v>1177</v>
      </c>
      <c r="AP1221" s="7" t="s">
        <v>1177</v>
      </c>
      <c r="AQ1221" s="7" t="s">
        <v>1177</v>
      </c>
      <c r="AR1221" s="29">
        <v>0</v>
      </c>
      <c r="AS1221" s="7" t="s">
        <v>1177</v>
      </c>
      <c r="AT1221" s="7" t="s">
        <v>1363</v>
      </c>
      <c r="AU1221" s="38">
        <v>46275</v>
      </c>
      <c r="AV1221" s="39">
        <v>0.62665509259259</v>
      </c>
    </row>
    <row r="1222" spans="1:48" x14ac:dyDescent="0.35">
      <c r="A1222" t="str">
        <f t="shared" si="19"/>
        <v>GP292993B825</v>
      </c>
      <c r="B1222" s="7" t="s">
        <v>600</v>
      </c>
      <c r="C1222" s="7" t="s">
        <v>511</v>
      </c>
      <c r="D1222" s="7" t="s">
        <v>16</v>
      </c>
      <c r="E1222" s="7" t="s">
        <v>1177</v>
      </c>
      <c r="F1222" s="7" t="s">
        <v>128</v>
      </c>
      <c r="G1222" s="7" t="s">
        <v>130</v>
      </c>
      <c r="H1222" s="7" t="s">
        <v>129</v>
      </c>
      <c r="I1222" s="30">
        <v>2</v>
      </c>
      <c r="J1222" s="7" t="s">
        <v>1177</v>
      </c>
      <c r="K1222" s="7" t="s">
        <v>1178</v>
      </c>
      <c r="L1222" s="7" t="s">
        <v>132</v>
      </c>
      <c r="M1222" s="7" t="s">
        <v>133</v>
      </c>
      <c r="N1222" s="30">
        <v>0</v>
      </c>
      <c r="O1222" s="30">
        <v>0</v>
      </c>
      <c r="P1222" s="30">
        <v>0</v>
      </c>
      <c r="Q1222" s="30">
        <v>0</v>
      </c>
      <c r="R1222" s="29">
        <v>0</v>
      </c>
      <c r="S1222" s="36">
        <v>0</v>
      </c>
      <c r="T1222" s="7" t="s">
        <v>131</v>
      </c>
      <c r="U1222" s="7" t="s">
        <v>512</v>
      </c>
      <c r="V1222" s="7" t="s">
        <v>512</v>
      </c>
      <c r="W1222" s="7" t="s">
        <v>1177</v>
      </c>
      <c r="X1222" s="30">
        <v>1</v>
      </c>
      <c r="Y1222" s="7" t="s">
        <v>1177</v>
      </c>
      <c r="Z1222" s="7" t="s">
        <v>1178</v>
      </c>
      <c r="AA1222" s="30">
        <v>0</v>
      </c>
      <c r="AB1222" s="36">
        <v>0</v>
      </c>
      <c r="AC1222" s="7" t="s">
        <v>1177</v>
      </c>
      <c r="AD1222" s="37">
        <v>0</v>
      </c>
      <c r="AE1222" s="7" t="s">
        <v>1177</v>
      </c>
      <c r="AF1222" s="7" t="s">
        <v>1177</v>
      </c>
      <c r="AG1222" s="7" t="s">
        <v>1177</v>
      </c>
      <c r="AH1222" s="38"/>
      <c r="AI1222" s="36">
        <v>0</v>
      </c>
      <c r="AJ1222" s="7" t="s">
        <v>1193</v>
      </c>
      <c r="AK1222" s="7" t="s">
        <v>1177</v>
      </c>
      <c r="AL1222" s="7" t="s">
        <v>1177</v>
      </c>
      <c r="AM1222" s="7" t="s">
        <v>1177</v>
      </c>
      <c r="AN1222" s="7" t="s">
        <v>3212</v>
      </c>
      <c r="AO1222" s="7" t="s">
        <v>1177</v>
      </c>
      <c r="AP1222" s="7" t="s">
        <v>1177</v>
      </c>
      <c r="AQ1222" s="7" t="s">
        <v>1177</v>
      </c>
      <c r="AR1222" s="29">
        <v>0</v>
      </c>
      <c r="AS1222" s="7" t="s">
        <v>1177</v>
      </c>
      <c r="AT1222" s="7" t="s">
        <v>1363</v>
      </c>
      <c r="AU1222" s="38">
        <v>46275</v>
      </c>
      <c r="AV1222" s="39">
        <v>0.62303240740740995</v>
      </c>
    </row>
    <row r="1223" spans="1:48" x14ac:dyDescent="0.35">
      <c r="A1223" t="str">
        <f t="shared" si="19"/>
        <v>GP293007B833</v>
      </c>
      <c r="B1223" s="7" t="s">
        <v>715</v>
      </c>
      <c r="C1223" s="7" t="s">
        <v>698</v>
      </c>
      <c r="D1223" s="7" t="s">
        <v>697</v>
      </c>
      <c r="E1223" s="7" t="s">
        <v>1177</v>
      </c>
      <c r="F1223" s="7" t="s">
        <v>128</v>
      </c>
      <c r="G1223" s="7" t="s">
        <v>130</v>
      </c>
      <c r="H1223" s="7" t="s">
        <v>129</v>
      </c>
      <c r="I1223" s="30">
        <v>2</v>
      </c>
      <c r="J1223" s="7" t="s">
        <v>1177</v>
      </c>
      <c r="K1223" s="7" t="s">
        <v>1178</v>
      </c>
      <c r="L1223" s="7" t="s">
        <v>132</v>
      </c>
      <c r="M1223" s="7" t="s">
        <v>133</v>
      </c>
      <c r="N1223" s="30">
        <v>0</v>
      </c>
      <c r="O1223" s="30">
        <v>0</v>
      </c>
      <c r="P1223" s="30">
        <v>0</v>
      </c>
      <c r="Q1223" s="30">
        <v>0</v>
      </c>
      <c r="R1223" s="29">
        <v>0</v>
      </c>
      <c r="S1223" s="36">
        <v>0</v>
      </c>
      <c r="T1223" s="7" t="s">
        <v>131</v>
      </c>
      <c r="U1223" s="7" t="s">
        <v>699</v>
      </c>
      <c r="V1223" s="7" t="s">
        <v>699</v>
      </c>
      <c r="W1223" s="7" t="s">
        <v>1177</v>
      </c>
      <c r="X1223" s="30">
        <v>1</v>
      </c>
      <c r="Y1223" s="7" t="s">
        <v>1177</v>
      </c>
      <c r="Z1223" s="7" t="s">
        <v>1178</v>
      </c>
      <c r="AA1223" s="30">
        <v>0</v>
      </c>
      <c r="AB1223" s="36">
        <v>0</v>
      </c>
      <c r="AC1223" s="7" t="s">
        <v>1177</v>
      </c>
      <c r="AD1223" s="37">
        <v>0</v>
      </c>
      <c r="AE1223" s="7" t="s">
        <v>1177</v>
      </c>
      <c r="AF1223" s="7" t="s">
        <v>1177</v>
      </c>
      <c r="AG1223" s="7" t="s">
        <v>1177</v>
      </c>
      <c r="AH1223" s="38"/>
      <c r="AI1223" s="36">
        <v>0</v>
      </c>
      <c r="AJ1223" s="7" t="s">
        <v>1193</v>
      </c>
      <c r="AK1223" s="7" t="s">
        <v>1177</v>
      </c>
      <c r="AL1223" s="7" t="s">
        <v>1177</v>
      </c>
      <c r="AM1223" s="7" t="s">
        <v>1177</v>
      </c>
      <c r="AN1223" s="7" t="s">
        <v>3212</v>
      </c>
      <c r="AO1223" s="7" t="s">
        <v>1177</v>
      </c>
      <c r="AP1223" s="7" t="s">
        <v>1177</v>
      </c>
      <c r="AQ1223" s="7" t="s">
        <v>1177</v>
      </c>
      <c r="AR1223" s="29">
        <v>0</v>
      </c>
      <c r="AS1223" s="7" t="s">
        <v>1177</v>
      </c>
      <c r="AT1223" s="7" t="s">
        <v>1363</v>
      </c>
      <c r="AU1223" s="38">
        <v>46275</v>
      </c>
      <c r="AV1223" s="39">
        <v>0.62351851851852003</v>
      </c>
    </row>
    <row r="1224" spans="1:48" x14ac:dyDescent="0.35">
      <c r="A1224" t="str">
        <f t="shared" si="19"/>
        <v>GP293070B867</v>
      </c>
      <c r="B1224" s="7" t="s">
        <v>1067</v>
      </c>
      <c r="C1224" s="7" t="s">
        <v>1059</v>
      </c>
      <c r="D1224" s="7" t="s">
        <v>25</v>
      </c>
      <c r="E1224" s="7" t="s">
        <v>1177</v>
      </c>
      <c r="F1224" s="7" t="s">
        <v>134</v>
      </c>
      <c r="G1224" s="7" t="s">
        <v>130</v>
      </c>
      <c r="H1224" s="7" t="s">
        <v>129</v>
      </c>
      <c r="I1224" s="30">
        <v>2</v>
      </c>
      <c r="J1224" s="7" t="s">
        <v>1177</v>
      </c>
      <c r="K1224" s="7" t="s">
        <v>1178</v>
      </c>
      <c r="L1224" s="7" t="s">
        <v>132</v>
      </c>
      <c r="M1224" s="7" t="s">
        <v>133</v>
      </c>
      <c r="N1224" s="30">
        <v>0</v>
      </c>
      <c r="O1224" s="30">
        <v>0</v>
      </c>
      <c r="P1224" s="30">
        <v>0</v>
      </c>
      <c r="Q1224" s="30">
        <v>0</v>
      </c>
      <c r="R1224" s="29">
        <v>0</v>
      </c>
      <c r="S1224" s="36">
        <v>0</v>
      </c>
      <c r="T1224" s="7" t="s">
        <v>131</v>
      </c>
      <c r="U1224" s="7" t="s">
        <v>1060</v>
      </c>
      <c r="V1224" s="7" t="s">
        <v>1060</v>
      </c>
      <c r="W1224" s="7" t="s">
        <v>1177</v>
      </c>
      <c r="X1224" s="30">
        <v>2</v>
      </c>
      <c r="Y1224" s="7" t="s">
        <v>1177</v>
      </c>
      <c r="Z1224" s="7" t="s">
        <v>1178</v>
      </c>
      <c r="AA1224" s="30">
        <v>0</v>
      </c>
      <c r="AB1224" s="36">
        <v>0</v>
      </c>
      <c r="AC1224" s="7" t="s">
        <v>1177</v>
      </c>
      <c r="AD1224" s="37">
        <v>0</v>
      </c>
      <c r="AE1224" s="7" t="s">
        <v>1177</v>
      </c>
      <c r="AF1224" s="7" t="s">
        <v>1177</v>
      </c>
      <c r="AG1224" s="7" t="s">
        <v>1177</v>
      </c>
      <c r="AH1224" s="38"/>
      <c r="AI1224" s="36">
        <v>0</v>
      </c>
      <c r="AJ1224" s="7" t="s">
        <v>1193</v>
      </c>
      <c r="AK1224" s="7" t="s">
        <v>1177</v>
      </c>
      <c r="AL1224" s="7" t="s">
        <v>1177</v>
      </c>
      <c r="AM1224" s="7" t="s">
        <v>1177</v>
      </c>
      <c r="AN1224" s="7" t="s">
        <v>3212</v>
      </c>
      <c r="AO1224" s="7" t="s">
        <v>1177</v>
      </c>
      <c r="AP1224" s="7" t="s">
        <v>1177</v>
      </c>
      <c r="AQ1224" s="7" t="s">
        <v>1177</v>
      </c>
      <c r="AR1224" s="29">
        <v>0</v>
      </c>
      <c r="AS1224" s="7" t="s">
        <v>1177</v>
      </c>
      <c r="AT1224" s="7" t="s">
        <v>1363</v>
      </c>
      <c r="AU1224" s="38">
        <v>46275</v>
      </c>
      <c r="AV1224" s="39">
        <v>0.62730324074073995</v>
      </c>
    </row>
    <row r="1225" spans="1:48" x14ac:dyDescent="0.35">
      <c r="A1225" t="str">
        <f t="shared" si="19"/>
        <v>GP293634B825</v>
      </c>
      <c r="B1225" s="7" t="s">
        <v>601</v>
      </c>
      <c r="C1225" s="7" t="s">
        <v>511</v>
      </c>
      <c r="D1225" s="7" t="s">
        <v>16</v>
      </c>
      <c r="E1225" s="7" t="s">
        <v>1177</v>
      </c>
      <c r="F1225" s="7" t="s">
        <v>128</v>
      </c>
      <c r="G1225" s="7" t="s">
        <v>130</v>
      </c>
      <c r="H1225" s="7" t="s">
        <v>129</v>
      </c>
      <c r="I1225" s="30">
        <v>2</v>
      </c>
      <c r="J1225" s="7" t="s">
        <v>1177</v>
      </c>
      <c r="K1225" s="7" t="s">
        <v>1178</v>
      </c>
      <c r="L1225" s="7" t="s">
        <v>132</v>
      </c>
      <c r="M1225" s="7" t="s">
        <v>133</v>
      </c>
      <c r="N1225" s="30">
        <v>0</v>
      </c>
      <c r="O1225" s="30">
        <v>0</v>
      </c>
      <c r="P1225" s="30">
        <v>0</v>
      </c>
      <c r="Q1225" s="30">
        <v>0</v>
      </c>
      <c r="R1225" s="29">
        <v>0</v>
      </c>
      <c r="S1225" s="36">
        <v>0</v>
      </c>
      <c r="T1225" s="7" t="s">
        <v>131</v>
      </c>
      <c r="U1225" s="7" t="s">
        <v>512</v>
      </c>
      <c r="V1225" s="7" t="s">
        <v>512</v>
      </c>
      <c r="W1225" s="7" t="s">
        <v>1177</v>
      </c>
      <c r="X1225" s="30">
        <v>1</v>
      </c>
      <c r="Y1225" s="7" t="s">
        <v>1177</v>
      </c>
      <c r="Z1225" s="7" t="s">
        <v>1178</v>
      </c>
      <c r="AA1225" s="30">
        <v>0</v>
      </c>
      <c r="AB1225" s="36">
        <v>0</v>
      </c>
      <c r="AC1225" s="7" t="s">
        <v>1177</v>
      </c>
      <c r="AD1225" s="37">
        <v>0</v>
      </c>
      <c r="AE1225" s="7" t="s">
        <v>1177</v>
      </c>
      <c r="AF1225" s="7" t="s">
        <v>1177</v>
      </c>
      <c r="AG1225" s="7" t="s">
        <v>1177</v>
      </c>
      <c r="AH1225" s="38"/>
      <c r="AI1225" s="36">
        <v>0</v>
      </c>
      <c r="AJ1225" s="7" t="s">
        <v>1193</v>
      </c>
      <c r="AK1225" s="7" t="s">
        <v>1177</v>
      </c>
      <c r="AL1225" s="7" t="s">
        <v>1177</v>
      </c>
      <c r="AM1225" s="7" t="s">
        <v>1177</v>
      </c>
      <c r="AN1225" s="7" t="s">
        <v>3212</v>
      </c>
      <c r="AO1225" s="7" t="s">
        <v>1177</v>
      </c>
      <c r="AP1225" s="7" t="s">
        <v>1177</v>
      </c>
      <c r="AQ1225" s="7" t="s">
        <v>1177</v>
      </c>
      <c r="AR1225" s="29">
        <v>0</v>
      </c>
      <c r="AS1225" s="7" t="s">
        <v>1177</v>
      </c>
      <c r="AT1225" s="7" t="s">
        <v>1363</v>
      </c>
      <c r="AU1225" s="38">
        <v>46275</v>
      </c>
      <c r="AV1225" s="39">
        <v>0.62303240740740995</v>
      </c>
    </row>
    <row r="1226" spans="1:48" x14ac:dyDescent="0.35">
      <c r="A1226" t="str">
        <f t="shared" si="19"/>
        <v>GP293634B832</v>
      </c>
      <c r="B1226" s="7" t="s">
        <v>601</v>
      </c>
      <c r="C1226" s="7" t="s">
        <v>653</v>
      </c>
      <c r="D1226" s="7" t="s">
        <v>19</v>
      </c>
      <c r="E1226" s="7" t="s">
        <v>1177</v>
      </c>
      <c r="F1226" s="7" t="s">
        <v>128</v>
      </c>
      <c r="G1226" s="7" t="s">
        <v>130</v>
      </c>
      <c r="H1226" s="7" t="s">
        <v>129</v>
      </c>
      <c r="I1226" s="30">
        <v>2</v>
      </c>
      <c r="J1226" s="7" t="s">
        <v>1177</v>
      </c>
      <c r="K1226" s="7" t="s">
        <v>1178</v>
      </c>
      <c r="L1226" s="7" t="s">
        <v>132</v>
      </c>
      <c r="M1226" s="7" t="s">
        <v>133</v>
      </c>
      <c r="N1226" s="30">
        <v>0</v>
      </c>
      <c r="O1226" s="30">
        <v>0</v>
      </c>
      <c r="P1226" s="30">
        <v>0</v>
      </c>
      <c r="Q1226" s="30">
        <v>0</v>
      </c>
      <c r="R1226" s="29">
        <v>0</v>
      </c>
      <c r="S1226" s="36">
        <v>0</v>
      </c>
      <c r="T1226" s="7" t="s">
        <v>131</v>
      </c>
      <c r="U1226" s="7" t="s">
        <v>654</v>
      </c>
      <c r="V1226" s="7" t="s">
        <v>654</v>
      </c>
      <c r="W1226" s="7" t="s">
        <v>1177</v>
      </c>
      <c r="X1226" s="30">
        <v>1</v>
      </c>
      <c r="Y1226" s="7" t="s">
        <v>1177</v>
      </c>
      <c r="Z1226" s="7" t="s">
        <v>1178</v>
      </c>
      <c r="AA1226" s="30">
        <v>0</v>
      </c>
      <c r="AB1226" s="36">
        <v>0</v>
      </c>
      <c r="AC1226" s="7" t="s">
        <v>1177</v>
      </c>
      <c r="AD1226" s="37">
        <v>0</v>
      </c>
      <c r="AE1226" s="7" t="s">
        <v>1177</v>
      </c>
      <c r="AF1226" s="7" t="s">
        <v>1177</v>
      </c>
      <c r="AG1226" s="7" t="s">
        <v>1177</v>
      </c>
      <c r="AH1226" s="38"/>
      <c r="AI1226" s="36">
        <v>0</v>
      </c>
      <c r="AJ1226" s="7" t="s">
        <v>1193</v>
      </c>
      <c r="AK1226" s="7" t="s">
        <v>1177</v>
      </c>
      <c r="AL1226" s="7" t="s">
        <v>1177</v>
      </c>
      <c r="AM1226" s="7" t="s">
        <v>1177</v>
      </c>
      <c r="AN1226" s="7" t="s">
        <v>3212</v>
      </c>
      <c r="AO1226" s="7" t="s">
        <v>1177</v>
      </c>
      <c r="AP1226" s="7" t="s">
        <v>1177</v>
      </c>
      <c r="AQ1226" s="7" t="s">
        <v>1177</v>
      </c>
      <c r="AR1226" s="29">
        <v>0</v>
      </c>
      <c r="AS1226" s="7" t="s">
        <v>1177</v>
      </c>
      <c r="AT1226" s="7" t="s">
        <v>1363</v>
      </c>
      <c r="AU1226" s="38">
        <v>46275</v>
      </c>
      <c r="AV1226" s="39">
        <v>0.62339120370370005</v>
      </c>
    </row>
    <row r="1227" spans="1:48" x14ac:dyDescent="0.35">
      <c r="A1227" t="str">
        <f t="shared" si="19"/>
        <v>GP293968B832</v>
      </c>
      <c r="B1227" s="7" t="s">
        <v>680</v>
      </c>
      <c r="C1227" s="7" t="s">
        <v>653</v>
      </c>
      <c r="D1227" s="7" t="s">
        <v>19</v>
      </c>
      <c r="E1227" s="7" t="s">
        <v>1177</v>
      </c>
      <c r="F1227" s="7" t="s">
        <v>128</v>
      </c>
      <c r="G1227" s="7" t="s">
        <v>130</v>
      </c>
      <c r="H1227" s="7" t="s">
        <v>129</v>
      </c>
      <c r="I1227" s="30">
        <v>2</v>
      </c>
      <c r="J1227" s="7" t="s">
        <v>1177</v>
      </c>
      <c r="K1227" s="7" t="s">
        <v>1178</v>
      </c>
      <c r="L1227" s="7" t="s">
        <v>132</v>
      </c>
      <c r="M1227" s="7" t="s">
        <v>133</v>
      </c>
      <c r="N1227" s="30">
        <v>0</v>
      </c>
      <c r="O1227" s="30">
        <v>0</v>
      </c>
      <c r="P1227" s="30">
        <v>0</v>
      </c>
      <c r="Q1227" s="30">
        <v>0</v>
      </c>
      <c r="R1227" s="29">
        <v>0</v>
      </c>
      <c r="S1227" s="36">
        <v>0</v>
      </c>
      <c r="T1227" s="7" t="s">
        <v>131</v>
      </c>
      <c r="U1227" s="7" t="s">
        <v>654</v>
      </c>
      <c r="V1227" s="7" t="s">
        <v>654</v>
      </c>
      <c r="W1227" s="7" t="s">
        <v>1177</v>
      </c>
      <c r="X1227" s="30">
        <v>1</v>
      </c>
      <c r="Y1227" s="7" t="s">
        <v>1177</v>
      </c>
      <c r="Z1227" s="7" t="s">
        <v>1178</v>
      </c>
      <c r="AA1227" s="30">
        <v>0</v>
      </c>
      <c r="AB1227" s="36">
        <v>0</v>
      </c>
      <c r="AC1227" s="7" t="s">
        <v>1177</v>
      </c>
      <c r="AD1227" s="37">
        <v>0</v>
      </c>
      <c r="AE1227" s="7" t="s">
        <v>1177</v>
      </c>
      <c r="AF1227" s="7" t="s">
        <v>1177</v>
      </c>
      <c r="AG1227" s="7" t="s">
        <v>1177</v>
      </c>
      <c r="AH1227" s="38"/>
      <c r="AI1227" s="36">
        <v>0</v>
      </c>
      <c r="AJ1227" s="7" t="s">
        <v>1193</v>
      </c>
      <c r="AK1227" s="7" t="s">
        <v>1177</v>
      </c>
      <c r="AL1227" s="7" t="s">
        <v>1177</v>
      </c>
      <c r="AM1227" s="7" t="s">
        <v>1177</v>
      </c>
      <c r="AN1227" s="7" t="s">
        <v>3212</v>
      </c>
      <c r="AO1227" s="7" t="s">
        <v>1177</v>
      </c>
      <c r="AP1227" s="7" t="s">
        <v>1177</v>
      </c>
      <c r="AQ1227" s="7" t="s">
        <v>1177</v>
      </c>
      <c r="AR1227" s="29">
        <v>0</v>
      </c>
      <c r="AS1227" s="7" t="s">
        <v>1177</v>
      </c>
      <c r="AT1227" s="7" t="s">
        <v>1363</v>
      </c>
      <c r="AU1227" s="38">
        <v>46275</v>
      </c>
      <c r="AV1227" s="39">
        <v>0.62339120370370005</v>
      </c>
    </row>
    <row r="1228" spans="1:48" x14ac:dyDescent="0.35">
      <c r="A1228" t="str">
        <f t="shared" si="19"/>
        <v>GP293968B833</v>
      </c>
      <c r="B1228" s="7" t="s">
        <v>680</v>
      </c>
      <c r="C1228" s="7" t="s">
        <v>698</v>
      </c>
      <c r="D1228" s="7" t="s">
        <v>697</v>
      </c>
      <c r="E1228" s="7" t="s">
        <v>1177</v>
      </c>
      <c r="F1228" s="7" t="s">
        <v>128</v>
      </c>
      <c r="G1228" s="7" t="s">
        <v>130</v>
      </c>
      <c r="H1228" s="7" t="s">
        <v>129</v>
      </c>
      <c r="I1228" s="30">
        <v>2</v>
      </c>
      <c r="J1228" s="7" t="s">
        <v>1177</v>
      </c>
      <c r="K1228" s="7" t="s">
        <v>1178</v>
      </c>
      <c r="L1228" s="7" t="s">
        <v>132</v>
      </c>
      <c r="M1228" s="7" t="s">
        <v>133</v>
      </c>
      <c r="N1228" s="30">
        <v>0</v>
      </c>
      <c r="O1228" s="30">
        <v>0</v>
      </c>
      <c r="P1228" s="30">
        <v>0</v>
      </c>
      <c r="Q1228" s="30">
        <v>0</v>
      </c>
      <c r="R1228" s="29">
        <v>0</v>
      </c>
      <c r="S1228" s="36">
        <v>0</v>
      </c>
      <c r="T1228" s="7" t="s">
        <v>131</v>
      </c>
      <c r="U1228" s="7" t="s">
        <v>699</v>
      </c>
      <c r="V1228" s="7" t="s">
        <v>699</v>
      </c>
      <c r="W1228" s="7" t="s">
        <v>1177</v>
      </c>
      <c r="X1228" s="30">
        <v>1</v>
      </c>
      <c r="Y1228" s="7" t="s">
        <v>1177</v>
      </c>
      <c r="Z1228" s="7" t="s">
        <v>1178</v>
      </c>
      <c r="AA1228" s="30">
        <v>0</v>
      </c>
      <c r="AB1228" s="36">
        <v>0</v>
      </c>
      <c r="AC1228" s="7" t="s">
        <v>1177</v>
      </c>
      <c r="AD1228" s="37">
        <v>0</v>
      </c>
      <c r="AE1228" s="7" t="s">
        <v>1177</v>
      </c>
      <c r="AF1228" s="7" t="s">
        <v>1177</v>
      </c>
      <c r="AG1228" s="7" t="s">
        <v>1177</v>
      </c>
      <c r="AH1228" s="38"/>
      <c r="AI1228" s="36">
        <v>0</v>
      </c>
      <c r="AJ1228" s="7" t="s">
        <v>1193</v>
      </c>
      <c r="AK1228" s="7" t="s">
        <v>1177</v>
      </c>
      <c r="AL1228" s="7" t="s">
        <v>1177</v>
      </c>
      <c r="AM1228" s="7" t="s">
        <v>1177</v>
      </c>
      <c r="AN1228" s="7" t="s">
        <v>3212</v>
      </c>
      <c r="AO1228" s="7" t="s">
        <v>1177</v>
      </c>
      <c r="AP1228" s="7" t="s">
        <v>1177</v>
      </c>
      <c r="AQ1228" s="7" t="s">
        <v>1177</v>
      </c>
      <c r="AR1228" s="29">
        <v>0</v>
      </c>
      <c r="AS1228" s="7" t="s">
        <v>1177</v>
      </c>
      <c r="AT1228" s="7" t="s">
        <v>1363</v>
      </c>
      <c r="AU1228" s="38">
        <v>46275</v>
      </c>
      <c r="AV1228" s="39">
        <v>0.62351851851852003</v>
      </c>
    </row>
    <row r="1229" spans="1:48" x14ac:dyDescent="0.35">
      <c r="A1229" t="str">
        <f t="shared" si="19"/>
        <v>GP293977B825</v>
      </c>
      <c r="B1229" s="7" t="s">
        <v>602</v>
      </c>
      <c r="C1229" s="7" t="s">
        <v>511</v>
      </c>
      <c r="D1229" s="7" t="s">
        <v>16</v>
      </c>
      <c r="E1229" s="7" t="s">
        <v>1177</v>
      </c>
      <c r="F1229" s="7" t="s">
        <v>128</v>
      </c>
      <c r="G1229" s="7" t="s">
        <v>130</v>
      </c>
      <c r="H1229" s="7" t="s">
        <v>129</v>
      </c>
      <c r="I1229" s="30">
        <v>2</v>
      </c>
      <c r="J1229" s="7" t="s">
        <v>1177</v>
      </c>
      <c r="K1229" s="7" t="s">
        <v>1178</v>
      </c>
      <c r="L1229" s="7" t="s">
        <v>132</v>
      </c>
      <c r="M1229" s="7" t="s">
        <v>133</v>
      </c>
      <c r="N1229" s="30">
        <v>0</v>
      </c>
      <c r="O1229" s="30">
        <v>0</v>
      </c>
      <c r="P1229" s="30">
        <v>0</v>
      </c>
      <c r="Q1229" s="30">
        <v>0</v>
      </c>
      <c r="R1229" s="29">
        <v>0</v>
      </c>
      <c r="S1229" s="36">
        <v>0</v>
      </c>
      <c r="T1229" s="7" t="s">
        <v>131</v>
      </c>
      <c r="U1229" s="7" t="s">
        <v>512</v>
      </c>
      <c r="V1229" s="7" t="s">
        <v>512</v>
      </c>
      <c r="W1229" s="7" t="s">
        <v>1177</v>
      </c>
      <c r="X1229" s="30">
        <v>1</v>
      </c>
      <c r="Y1229" s="7" t="s">
        <v>1177</v>
      </c>
      <c r="Z1229" s="7" t="s">
        <v>1178</v>
      </c>
      <c r="AA1229" s="30">
        <v>0</v>
      </c>
      <c r="AB1229" s="36">
        <v>0</v>
      </c>
      <c r="AC1229" s="7" t="s">
        <v>1177</v>
      </c>
      <c r="AD1229" s="37">
        <v>0</v>
      </c>
      <c r="AE1229" s="7" t="s">
        <v>1177</v>
      </c>
      <c r="AF1229" s="7" t="s">
        <v>1177</v>
      </c>
      <c r="AG1229" s="7" t="s">
        <v>1177</v>
      </c>
      <c r="AH1229" s="38"/>
      <c r="AI1229" s="36">
        <v>0</v>
      </c>
      <c r="AJ1229" s="7" t="s">
        <v>1193</v>
      </c>
      <c r="AK1229" s="7" t="s">
        <v>1177</v>
      </c>
      <c r="AL1229" s="7" t="s">
        <v>1177</v>
      </c>
      <c r="AM1229" s="7" t="s">
        <v>1177</v>
      </c>
      <c r="AN1229" s="7" t="s">
        <v>3212</v>
      </c>
      <c r="AO1229" s="7" t="s">
        <v>1177</v>
      </c>
      <c r="AP1229" s="7" t="s">
        <v>1177</v>
      </c>
      <c r="AQ1229" s="7" t="s">
        <v>1177</v>
      </c>
      <c r="AR1229" s="29">
        <v>0</v>
      </c>
      <c r="AS1229" s="7" t="s">
        <v>1177</v>
      </c>
      <c r="AT1229" s="7" t="s">
        <v>1363</v>
      </c>
      <c r="AU1229" s="38">
        <v>46275</v>
      </c>
      <c r="AV1229" s="39">
        <v>0.62303240740740995</v>
      </c>
    </row>
    <row r="1230" spans="1:48" x14ac:dyDescent="0.35">
      <c r="A1230" t="str">
        <f t="shared" si="19"/>
        <v>GP294080B825</v>
      </c>
      <c r="B1230" s="7" t="s">
        <v>78</v>
      </c>
      <c r="C1230" s="7" t="s">
        <v>511</v>
      </c>
      <c r="D1230" s="7" t="s">
        <v>16</v>
      </c>
      <c r="E1230" s="7" t="s">
        <v>1177</v>
      </c>
      <c r="F1230" s="7" t="s">
        <v>128</v>
      </c>
      <c r="G1230" s="7" t="s">
        <v>130</v>
      </c>
      <c r="H1230" s="7" t="s">
        <v>129</v>
      </c>
      <c r="I1230" s="30">
        <v>3</v>
      </c>
      <c r="J1230" s="7" t="s">
        <v>1177</v>
      </c>
      <c r="K1230" s="7" t="s">
        <v>1178</v>
      </c>
      <c r="L1230" s="7" t="s">
        <v>132</v>
      </c>
      <c r="M1230" s="7" t="s">
        <v>133</v>
      </c>
      <c r="N1230" s="30">
        <v>0</v>
      </c>
      <c r="O1230" s="30">
        <v>0</v>
      </c>
      <c r="P1230" s="30">
        <v>0</v>
      </c>
      <c r="Q1230" s="30">
        <v>0</v>
      </c>
      <c r="R1230" s="29">
        <v>0</v>
      </c>
      <c r="S1230" s="36">
        <v>0</v>
      </c>
      <c r="T1230" s="7" t="s">
        <v>131</v>
      </c>
      <c r="U1230" s="7" t="s">
        <v>512</v>
      </c>
      <c r="V1230" s="7" t="s">
        <v>512</v>
      </c>
      <c r="W1230" s="7" t="s">
        <v>1177</v>
      </c>
      <c r="X1230" s="30">
        <v>1</v>
      </c>
      <c r="Y1230" s="7" t="s">
        <v>1177</v>
      </c>
      <c r="Z1230" s="7" t="s">
        <v>1178</v>
      </c>
      <c r="AA1230" s="30">
        <v>0</v>
      </c>
      <c r="AB1230" s="36">
        <v>0</v>
      </c>
      <c r="AC1230" s="7" t="s">
        <v>1177</v>
      </c>
      <c r="AD1230" s="37">
        <v>0</v>
      </c>
      <c r="AE1230" s="7" t="s">
        <v>1177</v>
      </c>
      <c r="AF1230" s="7" t="s">
        <v>1177</v>
      </c>
      <c r="AG1230" s="7" t="s">
        <v>1177</v>
      </c>
      <c r="AH1230" s="38"/>
      <c r="AI1230" s="36">
        <v>0</v>
      </c>
      <c r="AJ1230" s="7" t="s">
        <v>1193</v>
      </c>
      <c r="AK1230" s="7" t="s">
        <v>1177</v>
      </c>
      <c r="AL1230" s="7" t="s">
        <v>1177</v>
      </c>
      <c r="AM1230" s="7" t="s">
        <v>1177</v>
      </c>
      <c r="AN1230" s="7" t="s">
        <v>3212</v>
      </c>
      <c r="AO1230" s="7" t="s">
        <v>1177</v>
      </c>
      <c r="AP1230" s="7" t="s">
        <v>1177</v>
      </c>
      <c r="AQ1230" s="7" t="s">
        <v>1177</v>
      </c>
      <c r="AR1230" s="29">
        <v>0</v>
      </c>
      <c r="AS1230" s="7" t="s">
        <v>1177</v>
      </c>
      <c r="AT1230" s="7" t="s">
        <v>1363</v>
      </c>
      <c r="AU1230" s="38">
        <v>46275</v>
      </c>
      <c r="AV1230" s="39">
        <v>0.62303240740740995</v>
      </c>
    </row>
    <row r="1231" spans="1:48" x14ac:dyDescent="0.35">
      <c r="A1231" t="str">
        <f t="shared" si="19"/>
        <v>GP294080B832</v>
      </c>
      <c r="B1231" s="7" t="s">
        <v>78</v>
      </c>
      <c r="C1231" s="7" t="s">
        <v>653</v>
      </c>
      <c r="D1231" s="7" t="s">
        <v>19</v>
      </c>
      <c r="E1231" s="7" t="s">
        <v>1177</v>
      </c>
      <c r="F1231" s="7" t="s">
        <v>128</v>
      </c>
      <c r="G1231" s="7" t="s">
        <v>130</v>
      </c>
      <c r="H1231" s="7" t="s">
        <v>129</v>
      </c>
      <c r="I1231" s="30">
        <v>3</v>
      </c>
      <c r="J1231" s="7" t="s">
        <v>1177</v>
      </c>
      <c r="K1231" s="7" t="s">
        <v>1178</v>
      </c>
      <c r="L1231" s="7" t="s">
        <v>132</v>
      </c>
      <c r="M1231" s="7" t="s">
        <v>133</v>
      </c>
      <c r="N1231" s="30">
        <v>0</v>
      </c>
      <c r="O1231" s="30">
        <v>0</v>
      </c>
      <c r="P1231" s="30">
        <v>0</v>
      </c>
      <c r="Q1231" s="30">
        <v>0</v>
      </c>
      <c r="R1231" s="29">
        <v>0</v>
      </c>
      <c r="S1231" s="36">
        <v>0</v>
      </c>
      <c r="T1231" s="7" t="s">
        <v>131</v>
      </c>
      <c r="U1231" s="7" t="s">
        <v>654</v>
      </c>
      <c r="V1231" s="7" t="s">
        <v>654</v>
      </c>
      <c r="W1231" s="7" t="s">
        <v>1177</v>
      </c>
      <c r="X1231" s="30">
        <v>1</v>
      </c>
      <c r="Y1231" s="7" t="s">
        <v>1177</v>
      </c>
      <c r="Z1231" s="7" t="s">
        <v>1178</v>
      </c>
      <c r="AA1231" s="30">
        <v>0</v>
      </c>
      <c r="AB1231" s="36">
        <v>0</v>
      </c>
      <c r="AC1231" s="7" t="s">
        <v>1177</v>
      </c>
      <c r="AD1231" s="37">
        <v>0</v>
      </c>
      <c r="AE1231" s="7" t="s">
        <v>1177</v>
      </c>
      <c r="AF1231" s="7" t="s">
        <v>1177</v>
      </c>
      <c r="AG1231" s="7" t="s">
        <v>1177</v>
      </c>
      <c r="AH1231" s="38"/>
      <c r="AI1231" s="36">
        <v>0</v>
      </c>
      <c r="AJ1231" s="7" t="s">
        <v>1193</v>
      </c>
      <c r="AK1231" s="7" t="s">
        <v>1177</v>
      </c>
      <c r="AL1231" s="7" t="s">
        <v>1177</v>
      </c>
      <c r="AM1231" s="7" t="s">
        <v>1177</v>
      </c>
      <c r="AN1231" s="7" t="s">
        <v>3212</v>
      </c>
      <c r="AO1231" s="7" t="s">
        <v>1177</v>
      </c>
      <c r="AP1231" s="7" t="s">
        <v>1177</v>
      </c>
      <c r="AQ1231" s="7" t="s">
        <v>1177</v>
      </c>
      <c r="AR1231" s="29">
        <v>0</v>
      </c>
      <c r="AS1231" s="7" t="s">
        <v>1177</v>
      </c>
      <c r="AT1231" s="7" t="s">
        <v>1363</v>
      </c>
      <c r="AU1231" s="38">
        <v>46275</v>
      </c>
      <c r="AV1231" s="39">
        <v>0.62339120370370005</v>
      </c>
    </row>
    <row r="1232" spans="1:48" x14ac:dyDescent="0.35">
      <c r="A1232" t="str">
        <f t="shared" si="19"/>
        <v>GP295106B825</v>
      </c>
      <c r="B1232" s="7" t="s">
        <v>332</v>
      </c>
      <c r="C1232" s="7" t="s">
        <v>511</v>
      </c>
      <c r="D1232" s="7" t="s">
        <v>16</v>
      </c>
      <c r="E1232" s="7" t="s">
        <v>1177</v>
      </c>
      <c r="F1232" s="7" t="s">
        <v>128</v>
      </c>
      <c r="G1232" s="7" t="s">
        <v>130</v>
      </c>
      <c r="H1232" s="7" t="s">
        <v>129</v>
      </c>
      <c r="I1232" s="30">
        <v>2</v>
      </c>
      <c r="J1232" s="7" t="s">
        <v>1177</v>
      </c>
      <c r="K1232" s="7" t="s">
        <v>1178</v>
      </c>
      <c r="L1232" s="7" t="s">
        <v>132</v>
      </c>
      <c r="M1232" s="7" t="s">
        <v>133</v>
      </c>
      <c r="N1232" s="30">
        <v>0</v>
      </c>
      <c r="O1232" s="30">
        <v>0</v>
      </c>
      <c r="P1232" s="30">
        <v>0</v>
      </c>
      <c r="Q1232" s="30">
        <v>0</v>
      </c>
      <c r="R1232" s="29">
        <v>0</v>
      </c>
      <c r="S1232" s="36">
        <v>0</v>
      </c>
      <c r="T1232" s="7" t="s">
        <v>131</v>
      </c>
      <c r="U1232" s="7" t="s">
        <v>512</v>
      </c>
      <c r="V1232" s="7" t="s">
        <v>512</v>
      </c>
      <c r="W1232" s="7" t="s">
        <v>1177</v>
      </c>
      <c r="X1232" s="30">
        <v>1</v>
      </c>
      <c r="Y1232" s="7" t="s">
        <v>1177</v>
      </c>
      <c r="Z1232" s="7" t="s">
        <v>1178</v>
      </c>
      <c r="AA1232" s="30">
        <v>0</v>
      </c>
      <c r="AB1232" s="36">
        <v>0</v>
      </c>
      <c r="AC1232" s="7" t="s">
        <v>1177</v>
      </c>
      <c r="AD1232" s="37">
        <v>0</v>
      </c>
      <c r="AE1232" s="7" t="s">
        <v>1177</v>
      </c>
      <c r="AF1232" s="7" t="s">
        <v>1177</v>
      </c>
      <c r="AG1232" s="7" t="s">
        <v>1177</v>
      </c>
      <c r="AH1232" s="38"/>
      <c r="AI1232" s="36">
        <v>0</v>
      </c>
      <c r="AJ1232" s="7" t="s">
        <v>1193</v>
      </c>
      <c r="AK1232" s="7" t="s">
        <v>1177</v>
      </c>
      <c r="AL1232" s="7" t="s">
        <v>1177</v>
      </c>
      <c r="AM1232" s="7" t="s">
        <v>1177</v>
      </c>
      <c r="AN1232" s="7" t="s">
        <v>3212</v>
      </c>
      <c r="AO1232" s="7" t="s">
        <v>1177</v>
      </c>
      <c r="AP1232" s="7" t="s">
        <v>1177</v>
      </c>
      <c r="AQ1232" s="7" t="s">
        <v>1177</v>
      </c>
      <c r="AR1232" s="29">
        <v>0</v>
      </c>
      <c r="AS1232" s="7" t="s">
        <v>1177</v>
      </c>
      <c r="AT1232" s="7" t="s">
        <v>1363</v>
      </c>
      <c r="AU1232" s="38">
        <v>46275</v>
      </c>
      <c r="AV1232" s="39">
        <v>0.62303240740740995</v>
      </c>
    </row>
    <row r="1233" spans="1:48" x14ac:dyDescent="0.35">
      <c r="A1233" t="str">
        <f t="shared" si="19"/>
        <v>GP295106B832</v>
      </c>
      <c r="B1233" s="7" t="s">
        <v>332</v>
      </c>
      <c r="C1233" s="7" t="s">
        <v>653</v>
      </c>
      <c r="D1233" s="7" t="s">
        <v>19</v>
      </c>
      <c r="E1233" s="7" t="s">
        <v>1177</v>
      </c>
      <c r="F1233" s="7" t="s">
        <v>128</v>
      </c>
      <c r="G1233" s="7" t="s">
        <v>130</v>
      </c>
      <c r="H1233" s="7" t="s">
        <v>129</v>
      </c>
      <c r="I1233" s="30">
        <v>2</v>
      </c>
      <c r="J1233" s="7" t="s">
        <v>1177</v>
      </c>
      <c r="K1233" s="7" t="s">
        <v>1178</v>
      </c>
      <c r="L1233" s="7" t="s">
        <v>132</v>
      </c>
      <c r="M1233" s="7" t="s">
        <v>133</v>
      </c>
      <c r="N1233" s="30">
        <v>0</v>
      </c>
      <c r="O1233" s="30">
        <v>0</v>
      </c>
      <c r="P1233" s="30">
        <v>0</v>
      </c>
      <c r="Q1233" s="30">
        <v>0</v>
      </c>
      <c r="R1233" s="29">
        <v>0</v>
      </c>
      <c r="S1233" s="36">
        <v>0</v>
      </c>
      <c r="T1233" s="7" t="s">
        <v>131</v>
      </c>
      <c r="U1233" s="7" t="s">
        <v>654</v>
      </c>
      <c r="V1233" s="7" t="s">
        <v>654</v>
      </c>
      <c r="W1233" s="7" t="s">
        <v>1177</v>
      </c>
      <c r="X1233" s="30">
        <v>1</v>
      </c>
      <c r="Y1233" s="7" t="s">
        <v>1177</v>
      </c>
      <c r="Z1233" s="7" t="s">
        <v>1178</v>
      </c>
      <c r="AA1233" s="30">
        <v>0</v>
      </c>
      <c r="AB1233" s="36">
        <v>0</v>
      </c>
      <c r="AC1233" s="7" t="s">
        <v>1177</v>
      </c>
      <c r="AD1233" s="37">
        <v>0</v>
      </c>
      <c r="AE1233" s="7" t="s">
        <v>1177</v>
      </c>
      <c r="AF1233" s="7" t="s">
        <v>1177</v>
      </c>
      <c r="AG1233" s="7" t="s">
        <v>1177</v>
      </c>
      <c r="AH1233" s="38"/>
      <c r="AI1233" s="36">
        <v>0</v>
      </c>
      <c r="AJ1233" s="7" t="s">
        <v>1193</v>
      </c>
      <c r="AK1233" s="7" t="s">
        <v>1177</v>
      </c>
      <c r="AL1233" s="7" t="s">
        <v>1177</v>
      </c>
      <c r="AM1233" s="7" t="s">
        <v>1177</v>
      </c>
      <c r="AN1233" s="7" t="s">
        <v>3212</v>
      </c>
      <c r="AO1233" s="7" t="s">
        <v>1177</v>
      </c>
      <c r="AP1233" s="7" t="s">
        <v>1177</v>
      </c>
      <c r="AQ1233" s="7" t="s">
        <v>1177</v>
      </c>
      <c r="AR1233" s="29">
        <v>0</v>
      </c>
      <c r="AS1233" s="7" t="s">
        <v>1177</v>
      </c>
      <c r="AT1233" s="7" t="s">
        <v>1363</v>
      </c>
      <c r="AU1233" s="38">
        <v>46275</v>
      </c>
      <c r="AV1233" s="39">
        <v>0.62339120370370005</v>
      </c>
    </row>
    <row r="1234" spans="1:48" x14ac:dyDescent="0.35">
      <c r="A1234" t="str">
        <f t="shared" si="19"/>
        <v>GP295106B838</v>
      </c>
      <c r="B1234" s="7" t="s">
        <v>332</v>
      </c>
      <c r="C1234" s="7" t="s">
        <v>744</v>
      </c>
      <c r="D1234" s="7" t="s">
        <v>48</v>
      </c>
      <c r="E1234" s="7" t="s">
        <v>1177</v>
      </c>
      <c r="F1234" s="7" t="s">
        <v>128</v>
      </c>
      <c r="G1234" s="7" t="s">
        <v>130</v>
      </c>
      <c r="H1234" s="7" t="s">
        <v>129</v>
      </c>
      <c r="I1234" s="30">
        <v>2</v>
      </c>
      <c r="J1234" s="7" t="s">
        <v>1177</v>
      </c>
      <c r="K1234" s="7" t="s">
        <v>1178</v>
      </c>
      <c r="L1234" s="7" t="s">
        <v>132</v>
      </c>
      <c r="M1234" s="7" t="s">
        <v>133</v>
      </c>
      <c r="N1234" s="30">
        <v>0</v>
      </c>
      <c r="O1234" s="30">
        <v>0</v>
      </c>
      <c r="P1234" s="30">
        <v>0</v>
      </c>
      <c r="Q1234" s="30">
        <v>0</v>
      </c>
      <c r="R1234" s="29">
        <v>0</v>
      </c>
      <c r="S1234" s="36">
        <v>0</v>
      </c>
      <c r="T1234" s="7" t="s">
        <v>131</v>
      </c>
      <c r="U1234" s="7" t="s">
        <v>745</v>
      </c>
      <c r="V1234" s="7" t="s">
        <v>745</v>
      </c>
      <c r="W1234" s="7" t="s">
        <v>1177</v>
      </c>
      <c r="X1234" s="30">
        <v>1</v>
      </c>
      <c r="Y1234" s="7" t="s">
        <v>1177</v>
      </c>
      <c r="Z1234" s="7" t="s">
        <v>1178</v>
      </c>
      <c r="AA1234" s="30">
        <v>0</v>
      </c>
      <c r="AB1234" s="36">
        <v>0</v>
      </c>
      <c r="AC1234" s="7" t="s">
        <v>1177</v>
      </c>
      <c r="AD1234" s="37">
        <v>0</v>
      </c>
      <c r="AE1234" s="7" t="s">
        <v>1177</v>
      </c>
      <c r="AF1234" s="7" t="s">
        <v>1177</v>
      </c>
      <c r="AG1234" s="7" t="s">
        <v>1177</v>
      </c>
      <c r="AH1234" s="38"/>
      <c r="AI1234" s="36">
        <v>0</v>
      </c>
      <c r="AJ1234" s="7" t="s">
        <v>1193</v>
      </c>
      <c r="AK1234" s="7" t="s">
        <v>1177</v>
      </c>
      <c r="AL1234" s="7" t="s">
        <v>1177</v>
      </c>
      <c r="AM1234" s="7" t="s">
        <v>1177</v>
      </c>
      <c r="AN1234" s="7" t="s">
        <v>3212</v>
      </c>
      <c r="AO1234" s="7" t="s">
        <v>1177</v>
      </c>
      <c r="AP1234" s="7" t="s">
        <v>1177</v>
      </c>
      <c r="AQ1234" s="7" t="s">
        <v>1177</v>
      </c>
      <c r="AR1234" s="29">
        <v>0</v>
      </c>
      <c r="AS1234" s="7" t="s">
        <v>1177</v>
      </c>
      <c r="AT1234" s="7" t="s">
        <v>1363</v>
      </c>
      <c r="AU1234" s="38">
        <v>46275</v>
      </c>
      <c r="AV1234" s="39">
        <v>0.62408564814815004</v>
      </c>
    </row>
    <row r="1235" spans="1:48" x14ac:dyDescent="0.35">
      <c r="A1235" t="str">
        <f t="shared" si="19"/>
        <v>GP295107B825</v>
      </c>
      <c r="B1235" s="7" t="s">
        <v>333</v>
      </c>
      <c r="C1235" s="7" t="s">
        <v>511</v>
      </c>
      <c r="D1235" s="7" t="s">
        <v>16</v>
      </c>
      <c r="E1235" s="7" t="s">
        <v>1177</v>
      </c>
      <c r="F1235" s="7" t="s">
        <v>128</v>
      </c>
      <c r="G1235" s="7" t="s">
        <v>130</v>
      </c>
      <c r="H1235" s="7" t="s">
        <v>129</v>
      </c>
      <c r="I1235" s="30">
        <v>2</v>
      </c>
      <c r="J1235" s="7" t="s">
        <v>1177</v>
      </c>
      <c r="K1235" s="7" t="s">
        <v>1178</v>
      </c>
      <c r="L1235" s="7" t="s">
        <v>132</v>
      </c>
      <c r="M1235" s="7" t="s">
        <v>133</v>
      </c>
      <c r="N1235" s="30">
        <v>0</v>
      </c>
      <c r="O1235" s="30">
        <v>0</v>
      </c>
      <c r="P1235" s="30">
        <v>0</v>
      </c>
      <c r="Q1235" s="30">
        <v>0</v>
      </c>
      <c r="R1235" s="29">
        <v>0</v>
      </c>
      <c r="S1235" s="36">
        <v>0</v>
      </c>
      <c r="T1235" s="7" t="s">
        <v>131</v>
      </c>
      <c r="U1235" s="7" t="s">
        <v>512</v>
      </c>
      <c r="V1235" s="7" t="s">
        <v>512</v>
      </c>
      <c r="W1235" s="7" t="s">
        <v>1177</v>
      </c>
      <c r="X1235" s="30">
        <v>1</v>
      </c>
      <c r="Y1235" s="7" t="s">
        <v>1177</v>
      </c>
      <c r="Z1235" s="7" t="s">
        <v>1178</v>
      </c>
      <c r="AA1235" s="30">
        <v>0</v>
      </c>
      <c r="AB1235" s="36">
        <v>0</v>
      </c>
      <c r="AC1235" s="7" t="s">
        <v>1177</v>
      </c>
      <c r="AD1235" s="37">
        <v>0</v>
      </c>
      <c r="AE1235" s="7" t="s">
        <v>1177</v>
      </c>
      <c r="AF1235" s="7" t="s">
        <v>1177</v>
      </c>
      <c r="AG1235" s="7" t="s">
        <v>1177</v>
      </c>
      <c r="AH1235" s="38"/>
      <c r="AI1235" s="36">
        <v>0</v>
      </c>
      <c r="AJ1235" s="7" t="s">
        <v>1193</v>
      </c>
      <c r="AK1235" s="7" t="s">
        <v>1177</v>
      </c>
      <c r="AL1235" s="7" t="s">
        <v>1177</v>
      </c>
      <c r="AM1235" s="7" t="s">
        <v>1177</v>
      </c>
      <c r="AN1235" s="7" t="s">
        <v>3212</v>
      </c>
      <c r="AO1235" s="7" t="s">
        <v>1177</v>
      </c>
      <c r="AP1235" s="7" t="s">
        <v>1177</v>
      </c>
      <c r="AQ1235" s="7" t="s">
        <v>1177</v>
      </c>
      <c r="AR1235" s="29">
        <v>0</v>
      </c>
      <c r="AS1235" s="7" t="s">
        <v>1177</v>
      </c>
      <c r="AT1235" s="7" t="s">
        <v>1363</v>
      </c>
      <c r="AU1235" s="38">
        <v>46275</v>
      </c>
      <c r="AV1235" s="39">
        <v>0.62303240740740995</v>
      </c>
    </row>
    <row r="1236" spans="1:48" x14ac:dyDescent="0.35">
      <c r="A1236" t="str">
        <f t="shared" si="19"/>
        <v>GP295109B825</v>
      </c>
      <c r="B1236" s="7" t="s">
        <v>334</v>
      </c>
      <c r="C1236" s="7" t="s">
        <v>511</v>
      </c>
      <c r="D1236" s="7" t="s">
        <v>16</v>
      </c>
      <c r="E1236" s="7" t="s">
        <v>1177</v>
      </c>
      <c r="F1236" s="7" t="s">
        <v>128</v>
      </c>
      <c r="G1236" s="7" t="s">
        <v>130</v>
      </c>
      <c r="H1236" s="7" t="s">
        <v>129</v>
      </c>
      <c r="I1236" s="30">
        <v>5</v>
      </c>
      <c r="J1236" s="7" t="s">
        <v>1177</v>
      </c>
      <c r="K1236" s="7" t="s">
        <v>1178</v>
      </c>
      <c r="L1236" s="7" t="s">
        <v>132</v>
      </c>
      <c r="M1236" s="7" t="s">
        <v>133</v>
      </c>
      <c r="N1236" s="30">
        <v>0</v>
      </c>
      <c r="O1236" s="30">
        <v>0</v>
      </c>
      <c r="P1236" s="30">
        <v>0</v>
      </c>
      <c r="Q1236" s="30">
        <v>0</v>
      </c>
      <c r="R1236" s="29">
        <v>0</v>
      </c>
      <c r="S1236" s="36">
        <v>0</v>
      </c>
      <c r="T1236" s="7" t="s">
        <v>131</v>
      </c>
      <c r="U1236" s="7" t="s">
        <v>512</v>
      </c>
      <c r="V1236" s="7" t="s">
        <v>512</v>
      </c>
      <c r="W1236" s="7" t="s">
        <v>1177</v>
      </c>
      <c r="X1236" s="30">
        <v>1</v>
      </c>
      <c r="Y1236" s="7" t="s">
        <v>1177</v>
      </c>
      <c r="Z1236" s="7" t="s">
        <v>1178</v>
      </c>
      <c r="AA1236" s="30">
        <v>0</v>
      </c>
      <c r="AB1236" s="36">
        <v>0</v>
      </c>
      <c r="AC1236" s="7" t="s">
        <v>1177</v>
      </c>
      <c r="AD1236" s="37">
        <v>0</v>
      </c>
      <c r="AE1236" s="7" t="s">
        <v>1177</v>
      </c>
      <c r="AF1236" s="7" t="s">
        <v>1177</v>
      </c>
      <c r="AG1236" s="7" t="s">
        <v>1177</v>
      </c>
      <c r="AH1236" s="38"/>
      <c r="AI1236" s="36">
        <v>0</v>
      </c>
      <c r="AJ1236" s="7" t="s">
        <v>1193</v>
      </c>
      <c r="AK1236" s="7" t="s">
        <v>1177</v>
      </c>
      <c r="AL1236" s="7" t="s">
        <v>1177</v>
      </c>
      <c r="AM1236" s="7" t="s">
        <v>1177</v>
      </c>
      <c r="AN1236" s="7" t="s">
        <v>3212</v>
      </c>
      <c r="AO1236" s="7" t="s">
        <v>1177</v>
      </c>
      <c r="AP1236" s="7" t="s">
        <v>1177</v>
      </c>
      <c r="AQ1236" s="7" t="s">
        <v>1177</v>
      </c>
      <c r="AR1236" s="29">
        <v>0</v>
      </c>
      <c r="AS1236" s="7" t="s">
        <v>1177</v>
      </c>
      <c r="AT1236" s="7" t="s">
        <v>1363</v>
      </c>
      <c r="AU1236" s="38">
        <v>46275</v>
      </c>
      <c r="AV1236" s="39">
        <v>0.62303240740740995</v>
      </c>
    </row>
    <row r="1237" spans="1:48" x14ac:dyDescent="0.35">
      <c r="A1237" t="str">
        <f t="shared" si="19"/>
        <v>GP295109B832</v>
      </c>
      <c r="B1237" s="7" t="s">
        <v>334</v>
      </c>
      <c r="C1237" s="7" t="s">
        <v>653</v>
      </c>
      <c r="D1237" s="7" t="s">
        <v>19</v>
      </c>
      <c r="E1237" s="7" t="s">
        <v>1177</v>
      </c>
      <c r="F1237" s="7" t="s">
        <v>128</v>
      </c>
      <c r="G1237" s="7" t="s">
        <v>130</v>
      </c>
      <c r="H1237" s="7" t="s">
        <v>129</v>
      </c>
      <c r="I1237" s="30">
        <v>2</v>
      </c>
      <c r="J1237" s="7" t="s">
        <v>1177</v>
      </c>
      <c r="K1237" s="7" t="s">
        <v>1178</v>
      </c>
      <c r="L1237" s="7" t="s">
        <v>132</v>
      </c>
      <c r="M1237" s="7" t="s">
        <v>133</v>
      </c>
      <c r="N1237" s="30">
        <v>0</v>
      </c>
      <c r="O1237" s="30">
        <v>0</v>
      </c>
      <c r="P1237" s="30">
        <v>0</v>
      </c>
      <c r="Q1237" s="30">
        <v>0</v>
      </c>
      <c r="R1237" s="29">
        <v>0</v>
      </c>
      <c r="S1237" s="36">
        <v>0</v>
      </c>
      <c r="T1237" s="7" t="s">
        <v>131</v>
      </c>
      <c r="U1237" s="7" t="s">
        <v>654</v>
      </c>
      <c r="V1237" s="7" t="s">
        <v>654</v>
      </c>
      <c r="W1237" s="7" t="s">
        <v>1177</v>
      </c>
      <c r="X1237" s="30">
        <v>1</v>
      </c>
      <c r="Y1237" s="7" t="s">
        <v>1177</v>
      </c>
      <c r="Z1237" s="7" t="s">
        <v>1178</v>
      </c>
      <c r="AA1237" s="30">
        <v>0</v>
      </c>
      <c r="AB1237" s="36">
        <v>0</v>
      </c>
      <c r="AC1237" s="7" t="s">
        <v>1177</v>
      </c>
      <c r="AD1237" s="37">
        <v>0</v>
      </c>
      <c r="AE1237" s="7" t="s">
        <v>1177</v>
      </c>
      <c r="AF1237" s="7" t="s">
        <v>1177</v>
      </c>
      <c r="AG1237" s="7" t="s">
        <v>1177</v>
      </c>
      <c r="AH1237" s="38"/>
      <c r="AI1237" s="36">
        <v>0</v>
      </c>
      <c r="AJ1237" s="7" t="s">
        <v>1193</v>
      </c>
      <c r="AK1237" s="7" t="s">
        <v>1177</v>
      </c>
      <c r="AL1237" s="7" t="s">
        <v>1177</v>
      </c>
      <c r="AM1237" s="7" t="s">
        <v>1177</v>
      </c>
      <c r="AN1237" s="7" t="s">
        <v>3212</v>
      </c>
      <c r="AO1237" s="7" t="s">
        <v>1177</v>
      </c>
      <c r="AP1237" s="7" t="s">
        <v>1177</v>
      </c>
      <c r="AQ1237" s="7" t="s">
        <v>1177</v>
      </c>
      <c r="AR1237" s="29">
        <v>0</v>
      </c>
      <c r="AS1237" s="7" t="s">
        <v>1177</v>
      </c>
      <c r="AT1237" s="7" t="s">
        <v>1363</v>
      </c>
      <c r="AU1237" s="38">
        <v>46275</v>
      </c>
      <c r="AV1237" s="39">
        <v>0.62339120370370005</v>
      </c>
    </row>
    <row r="1238" spans="1:48" x14ac:dyDescent="0.35">
      <c r="A1238" t="str">
        <f t="shared" si="19"/>
        <v>GP295109B838</v>
      </c>
      <c r="B1238" s="7" t="s">
        <v>334</v>
      </c>
      <c r="C1238" s="7" t="s">
        <v>744</v>
      </c>
      <c r="D1238" s="7" t="s">
        <v>48</v>
      </c>
      <c r="E1238" s="7" t="s">
        <v>1177</v>
      </c>
      <c r="F1238" s="7" t="s">
        <v>128</v>
      </c>
      <c r="G1238" s="7" t="s">
        <v>130</v>
      </c>
      <c r="H1238" s="7" t="s">
        <v>129</v>
      </c>
      <c r="I1238" s="30">
        <v>2</v>
      </c>
      <c r="J1238" s="7" t="s">
        <v>1177</v>
      </c>
      <c r="K1238" s="7" t="s">
        <v>1178</v>
      </c>
      <c r="L1238" s="7" t="s">
        <v>132</v>
      </c>
      <c r="M1238" s="7" t="s">
        <v>133</v>
      </c>
      <c r="N1238" s="30">
        <v>0</v>
      </c>
      <c r="O1238" s="30">
        <v>0</v>
      </c>
      <c r="P1238" s="30">
        <v>0</v>
      </c>
      <c r="Q1238" s="30">
        <v>0</v>
      </c>
      <c r="R1238" s="29">
        <v>0</v>
      </c>
      <c r="S1238" s="36">
        <v>0</v>
      </c>
      <c r="T1238" s="7" t="s">
        <v>131</v>
      </c>
      <c r="U1238" s="7" t="s">
        <v>745</v>
      </c>
      <c r="V1238" s="7" t="s">
        <v>745</v>
      </c>
      <c r="W1238" s="7" t="s">
        <v>1177</v>
      </c>
      <c r="X1238" s="30">
        <v>1</v>
      </c>
      <c r="Y1238" s="7" t="s">
        <v>1177</v>
      </c>
      <c r="Z1238" s="7" t="s">
        <v>1178</v>
      </c>
      <c r="AA1238" s="30">
        <v>0</v>
      </c>
      <c r="AB1238" s="36">
        <v>0</v>
      </c>
      <c r="AC1238" s="7" t="s">
        <v>1177</v>
      </c>
      <c r="AD1238" s="37">
        <v>0</v>
      </c>
      <c r="AE1238" s="7" t="s">
        <v>1177</v>
      </c>
      <c r="AF1238" s="7" t="s">
        <v>1177</v>
      </c>
      <c r="AG1238" s="7" t="s">
        <v>1177</v>
      </c>
      <c r="AH1238" s="38"/>
      <c r="AI1238" s="36">
        <v>0</v>
      </c>
      <c r="AJ1238" s="7" t="s">
        <v>1193</v>
      </c>
      <c r="AK1238" s="7" t="s">
        <v>1177</v>
      </c>
      <c r="AL1238" s="7" t="s">
        <v>1177</v>
      </c>
      <c r="AM1238" s="7" t="s">
        <v>1177</v>
      </c>
      <c r="AN1238" s="7" t="s">
        <v>3212</v>
      </c>
      <c r="AO1238" s="7" t="s">
        <v>1177</v>
      </c>
      <c r="AP1238" s="7" t="s">
        <v>1177</v>
      </c>
      <c r="AQ1238" s="7" t="s">
        <v>1177</v>
      </c>
      <c r="AR1238" s="29">
        <v>0</v>
      </c>
      <c r="AS1238" s="7" t="s">
        <v>1177</v>
      </c>
      <c r="AT1238" s="7" t="s">
        <v>1363</v>
      </c>
      <c r="AU1238" s="38">
        <v>46275</v>
      </c>
      <c r="AV1238" s="39">
        <v>0.62408564814815004</v>
      </c>
    </row>
    <row r="1239" spans="1:48" x14ac:dyDescent="0.35">
      <c r="A1239" t="str">
        <f t="shared" si="19"/>
        <v>GP295110B825</v>
      </c>
      <c r="B1239" s="7" t="s">
        <v>81</v>
      </c>
      <c r="C1239" s="7" t="s">
        <v>511</v>
      </c>
      <c r="D1239" s="7" t="s">
        <v>16</v>
      </c>
      <c r="E1239" s="7" t="s">
        <v>1177</v>
      </c>
      <c r="F1239" s="7" t="s">
        <v>128</v>
      </c>
      <c r="G1239" s="7" t="s">
        <v>130</v>
      </c>
      <c r="H1239" s="7" t="s">
        <v>129</v>
      </c>
      <c r="I1239" s="30">
        <v>2</v>
      </c>
      <c r="J1239" s="7" t="s">
        <v>1177</v>
      </c>
      <c r="K1239" s="7" t="s">
        <v>1178</v>
      </c>
      <c r="L1239" s="7" t="s">
        <v>132</v>
      </c>
      <c r="M1239" s="7" t="s">
        <v>133</v>
      </c>
      <c r="N1239" s="30">
        <v>0</v>
      </c>
      <c r="O1239" s="30">
        <v>0</v>
      </c>
      <c r="P1239" s="30">
        <v>0</v>
      </c>
      <c r="Q1239" s="30">
        <v>0</v>
      </c>
      <c r="R1239" s="29">
        <v>0</v>
      </c>
      <c r="S1239" s="36">
        <v>0</v>
      </c>
      <c r="T1239" s="7" t="s">
        <v>131</v>
      </c>
      <c r="U1239" s="7" t="s">
        <v>512</v>
      </c>
      <c r="V1239" s="7" t="s">
        <v>512</v>
      </c>
      <c r="W1239" s="7" t="s">
        <v>1177</v>
      </c>
      <c r="X1239" s="30">
        <v>1</v>
      </c>
      <c r="Y1239" s="7" t="s">
        <v>1177</v>
      </c>
      <c r="Z1239" s="7" t="s">
        <v>1178</v>
      </c>
      <c r="AA1239" s="30">
        <v>0</v>
      </c>
      <c r="AB1239" s="36">
        <v>0</v>
      </c>
      <c r="AC1239" s="7" t="s">
        <v>1177</v>
      </c>
      <c r="AD1239" s="37">
        <v>0</v>
      </c>
      <c r="AE1239" s="7" t="s">
        <v>1177</v>
      </c>
      <c r="AF1239" s="7" t="s">
        <v>1177</v>
      </c>
      <c r="AG1239" s="7" t="s">
        <v>1177</v>
      </c>
      <c r="AH1239" s="38"/>
      <c r="AI1239" s="36">
        <v>0</v>
      </c>
      <c r="AJ1239" s="7" t="s">
        <v>1193</v>
      </c>
      <c r="AK1239" s="7" t="s">
        <v>1177</v>
      </c>
      <c r="AL1239" s="7" t="s">
        <v>1177</v>
      </c>
      <c r="AM1239" s="7" t="s">
        <v>1177</v>
      </c>
      <c r="AN1239" s="7" t="s">
        <v>3212</v>
      </c>
      <c r="AO1239" s="7" t="s">
        <v>1177</v>
      </c>
      <c r="AP1239" s="7" t="s">
        <v>1177</v>
      </c>
      <c r="AQ1239" s="7" t="s">
        <v>1177</v>
      </c>
      <c r="AR1239" s="29">
        <v>0</v>
      </c>
      <c r="AS1239" s="7" t="s">
        <v>1177</v>
      </c>
      <c r="AT1239" s="7" t="s">
        <v>1363</v>
      </c>
      <c r="AU1239" s="38">
        <v>46275</v>
      </c>
      <c r="AV1239" s="39">
        <v>0.62303240740740995</v>
      </c>
    </row>
    <row r="1240" spans="1:48" x14ac:dyDescent="0.35">
      <c r="A1240" t="str">
        <f t="shared" si="19"/>
        <v>GP295110B832</v>
      </c>
      <c r="B1240" s="7" t="s">
        <v>81</v>
      </c>
      <c r="C1240" s="7" t="s">
        <v>653</v>
      </c>
      <c r="D1240" s="7" t="s">
        <v>19</v>
      </c>
      <c r="E1240" s="7" t="s">
        <v>1177</v>
      </c>
      <c r="F1240" s="7" t="s">
        <v>128</v>
      </c>
      <c r="G1240" s="7" t="s">
        <v>130</v>
      </c>
      <c r="H1240" s="7" t="s">
        <v>129</v>
      </c>
      <c r="I1240" s="30">
        <v>2</v>
      </c>
      <c r="J1240" s="7" t="s">
        <v>1177</v>
      </c>
      <c r="K1240" s="7" t="s">
        <v>1178</v>
      </c>
      <c r="L1240" s="7" t="s">
        <v>132</v>
      </c>
      <c r="M1240" s="7" t="s">
        <v>133</v>
      </c>
      <c r="N1240" s="30">
        <v>0</v>
      </c>
      <c r="O1240" s="30">
        <v>0</v>
      </c>
      <c r="P1240" s="30">
        <v>0</v>
      </c>
      <c r="Q1240" s="30">
        <v>0</v>
      </c>
      <c r="R1240" s="29">
        <v>0</v>
      </c>
      <c r="S1240" s="36">
        <v>0</v>
      </c>
      <c r="T1240" s="7" t="s">
        <v>131</v>
      </c>
      <c r="U1240" s="7" t="s">
        <v>654</v>
      </c>
      <c r="V1240" s="7" t="s">
        <v>654</v>
      </c>
      <c r="W1240" s="7" t="s">
        <v>1177</v>
      </c>
      <c r="X1240" s="30">
        <v>1</v>
      </c>
      <c r="Y1240" s="7" t="s">
        <v>1177</v>
      </c>
      <c r="Z1240" s="7" t="s">
        <v>1178</v>
      </c>
      <c r="AA1240" s="30">
        <v>0</v>
      </c>
      <c r="AB1240" s="36">
        <v>0</v>
      </c>
      <c r="AC1240" s="7" t="s">
        <v>1177</v>
      </c>
      <c r="AD1240" s="37">
        <v>0</v>
      </c>
      <c r="AE1240" s="7" t="s">
        <v>1177</v>
      </c>
      <c r="AF1240" s="7" t="s">
        <v>1177</v>
      </c>
      <c r="AG1240" s="7" t="s">
        <v>1177</v>
      </c>
      <c r="AH1240" s="38"/>
      <c r="AI1240" s="36">
        <v>0</v>
      </c>
      <c r="AJ1240" s="7" t="s">
        <v>1193</v>
      </c>
      <c r="AK1240" s="7" t="s">
        <v>1177</v>
      </c>
      <c r="AL1240" s="7" t="s">
        <v>1177</v>
      </c>
      <c r="AM1240" s="7" t="s">
        <v>1177</v>
      </c>
      <c r="AN1240" s="7" t="s">
        <v>3212</v>
      </c>
      <c r="AO1240" s="7" t="s">
        <v>1177</v>
      </c>
      <c r="AP1240" s="7" t="s">
        <v>1177</v>
      </c>
      <c r="AQ1240" s="7" t="s">
        <v>1177</v>
      </c>
      <c r="AR1240" s="29">
        <v>0</v>
      </c>
      <c r="AS1240" s="7" t="s">
        <v>1177</v>
      </c>
      <c r="AT1240" s="7" t="s">
        <v>1363</v>
      </c>
      <c r="AU1240" s="38">
        <v>46275</v>
      </c>
      <c r="AV1240" s="39">
        <v>0.62339120370370005</v>
      </c>
    </row>
    <row r="1241" spans="1:48" x14ac:dyDescent="0.35">
      <c r="A1241" t="str">
        <f t="shared" si="19"/>
        <v>GP295834B832</v>
      </c>
      <c r="B1241" s="7" t="s">
        <v>622</v>
      </c>
      <c r="C1241" s="7" t="s">
        <v>653</v>
      </c>
      <c r="D1241" s="7" t="s">
        <v>19</v>
      </c>
      <c r="E1241" s="7" t="s">
        <v>1177</v>
      </c>
      <c r="F1241" s="7" t="s">
        <v>128</v>
      </c>
      <c r="G1241" s="7" t="s">
        <v>130</v>
      </c>
      <c r="H1241" s="7" t="s">
        <v>129</v>
      </c>
      <c r="I1241" s="30">
        <v>2</v>
      </c>
      <c r="J1241" s="7" t="s">
        <v>1177</v>
      </c>
      <c r="K1241" s="7" t="s">
        <v>1178</v>
      </c>
      <c r="L1241" s="7" t="s">
        <v>132</v>
      </c>
      <c r="M1241" s="7" t="s">
        <v>133</v>
      </c>
      <c r="N1241" s="30">
        <v>0</v>
      </c>
      <c r="O1241" s="30">
        <v>0</v>
      </c>
      <c r="P1241" s="30">
        <v>0</v>
      </c>
      <c r="Q1241" s="30">
        <v>0</v>
      </c>
      <c r="R1241" s="29">
        <v>0</v>
      </c>
      <c r="S1241" s="36">
        <v>0</v>
      </c>
      <c r="T1241" s="7" t="s">
        <v>131</v>
      </c>
      <c r="U1241" s="7" t="s">
        <v>654</v>
      </c>
      <c r="V1241" s="7" t="s">
        <v>654</v>
      </c>
      <c r="W1241" s="7" t="s">
        <v>1177</v>
      </c>
      <c r="X1241" s="30">
        <v>1</v>
      </c>
      <c r="Y1241" s="7" t="s">
        <v>1177</v>
      </c>
      <c r="Z1241" s="7" t="s">
        <v>1178</v>
      </c>
      <c r="AA1241" s="30">
        <v>0</v>
      </c>
      <c r="AB1241" s="36">
        <v>0</v>
      </c>
      <c r="AC1241" s="7" t="s">
        <v>1177</v>
      </c>
      <c r="AD1241" s="37">
        <v>0</v>
      </c>
      <c r="AE1241" s="7" t="s">
        <v>1177</v>
      </c>
      <c r="AF1241" s="7" t="s">
        <v>1177</v>
      </c>
      <c r="AG1241" s="7" t="s">
        <v>1177</v>
      </c>
      <c r="AH1241" s="38"/>
      <c r="AI1241" s="36">
        <v>0</v>
      </c>
      <c r="AJ1241" s="7" t="s">
        <v>1193</v>
      </c>
      <c r="AK1241" s="7" t="s">
        <v>1177</v>
      </c>
      <c r="AL1241" s="7" t="s">
        <v>1177</v>
      </c>
      <c r="AM1241" s="7" t="s">
        <v>1177</v>
      </c>
      <c r="AN1241" s="7" t="s">
        <v>3212</v>
      </c>
      <c r="AO1241" s="7" t="s">
        <v>1177</v>
      </c>
      <c r="AP1241" s="7" t="s">
        <v>1177</v>
      </c>
      <c r="AQ1241" s="7" t="s">
        <v>1177</v>
      </c>
      <c r="AR1241" s="29">
        <v>0</v>
      </c>
      <c r="AS1241" s="7" t="s">
        <v>1177</v>
      </c>
      <c r="AT1241" s="7" t="s">
        <v>1363</v>
      </c>
      <c r="AU1241" s="38">
        <v>46275</v>
      </c>
      <c r="AV1241" s="39">
        <v>0.62339120370370005</v>
      </c>
    </row>
    <row r="1242" spans="1:48" x14ac:dyDescent="0.35">
      <c r="A1242" t="str">
        <f t="shared" si="19"/>
        <v>GP296378B832</v>
      </c>
      <c r="B1242" s="7" t="s">
        <v>681</v>
      </c>
      <c r="C1242" s="7" t="s">
        <v>653</v>
      </c>
      <c r="D1242" s="7" t="s">
        <v>19</v>
      </c>
      <c r="E1242" s="7" t="s">
        <v>1177</v>
      </c>
      <c r="F1242" s="7" t="s">
        <v>128</v>
      </c>
      <c r="G1242" s="7" t="s">
        <v>130</v>
      </c>
      <c r="H1242" s="7" t="s">
        <v>129</v>
      </c>
      <c r="I1242" s="30">
        <v>4</v>
      </c>
      <c r="J1242" s="7" t="s">
        <v>1177</v>
      </c>
      <c r="K1242" s="7" t="s">
        <v>1178</v>
      </c>
      <c r="L1242" s="7" t="s">
        <v>132</v>
      </c>
      <c r="M1242" s="7" t="s">
        <v>133</v>
      </c>
      <c r="N1242" s="30">
        <v>0</v>
      </c>
      <c r="O1242" s="30">
        <v>0</v>
      </c>
      <c r="P1242" s="30">
        <v>0</v>
      </c>
      <c r="Q1242" s="30">
        <v>0</v>
      </c>
      <c r="R1242" s="29">
        <v>0</v>
      </c>
      <c r="S1242" s="36">
        <v>0</v>
      </c>
      <c r="T1242" s="7" t="s">
        <v>131</v>
      </c>
      <c r="U1242" s="7" t="s">
        <v>654</v>
      </c>
      <c r="V1242" s="7" t="s">
        <v>654</v>
      </c>
      <c r="W1242" s="7" t="s">
        <v>1177</v>
      </c>
      <c r="X1242" s="30">
        <v>1</v>
      </c>
      <c r="Y1242" s="7" t="s">
        <v>1177</v>
      </c>
      <c r="Z1242" s="7" t="s">
        <v>1178</v>
      </c>
      <c r="AA1242" s="30">
        <v>0</v>
      </c>
      <c r="AB1242" s="36">
        <v>0</v>
      </c>
      <c r="AC1242" s="7" t="s">
        <v>1177</v>
      </c>
      <c r="AD1242" s="37">
        <v>0</v>
      </c>
      <c r="AE1242" s="7" t="s">
        <v>1177</v>
      </c>
      <c r="AF1242" s="7" t="s">
        <v>1177</v>
      </c>
      <c r="AG1242" s="7" t="s">
        <v>1177</v>
      </c>
      <c r="AH1242" s="38"/>
      <c r="AI1242" s="36">
        <v>0</v>
      </c>
      <c r="AJ1242" s="7" t="s">
        <v>1193</v>
      </c>
      <c r="AK1242" s="7" t="s">
        <v>1177</v>
      </c>
      <c r="AL1242" s="7" t="s">
        <v>1177</v>
      </c>
      <c r="AM1242" s="7" t="s">
        <v>1177</v>
      </c>
      <c r="AN1242" s="7" t="s">
        <v>3212</v>
      </c>
      <c r="AO1242" s="7" t="s">
        <v>1177</v>
      </c>
      <c r="AP1242" s="7" t="s">
        <v>1177</v>
      </c>
      <c r="AQ1242" s="7" t="s">
        <v>1177</v>
      </c>
      <c r="AR1242" s="29">
        <v>0</v>
      </c>
      <c r="AS1242" s="7" t="s">
        <v>1177</v>
      </c>
      <c r="AT1242" s="7" t="s">
        <v>1363</v>
      </c>
      <c r="AU1242" s="38">
        <v>46275</v>
      </c>
      <c r="AV1242" s="39">
        <v>0.62339120370370005</v>
      </c>
    </row>
    <row r="1243" spans="1:48" x14ac:dyDescent="0.35">
      <c r="A1243" t="str">
        <f t="shared" si="19"/>
        <v>GP296378B833</v>
      </c>
      <c r="B1243" s="7" t="s">
        <v>681</v>
      </c>
      <c r="C1243" s="7" t="s">
        <v>698</v>
      </c>
      <c r="D1243" s="7" t="s">
        <v>697</v>
      </c>
      <c r="E1243" s="7" t="s">
        <v>1177</v>
      </c>
      <c r="F1243" s="7" t="s">
        <v>128</v>
      </c>
      <c r="G1243" s="7" t="s">
        <v>130</v>
      </c>
      <c r="H1243" s="7" t="s">
        <v>129</v>
      </c>
      <c r="I1243" s="30">
        <v>4</v>
      </c>
      <c r="J1243" s="7" t="s">
        <v>1177</v>
      </c>
      <c r="K1243" s="7" t="s">
        <v>1178</v>
      </c>
      <c r="L1243" s="7" t="s">
        <v>132</v>
      </c>
      <c r="M1243" s="7" t="s">
        <v>133</v>
      </c>
      <c r="N1243" s="30">
        <v>0</v>
      </c>
      <c r="O1243" s="30">
        <v>0</v>
      </c>
      <c r="P1243" s="30">
        <v>0</v>
      </c>
      <c r="Q1243" s="30">
        <v>0</v>
      </c>
      <c r="R1243" s="29">
        <v>0</v>
      </c>
      <c r="S1243" s="36">
        <v>0</v>
      </c>
      <c r="T1243" s="7" t="s">
        <v>131</v>
      </c>
      <c r="U1243" s="7" t="s">
        <v>699</v>
      </c>
      <c r="V1243" s="7" t="s">
        <v>699</v>
      </c>
      <c r="W1243" s="7" t="s">
        <v>1177</v>
      </c>
      <c r="X1243" s="30">
        <v>1</v>
      </c>
      <c r="Y1243" s="7" t="s">
        <v>1177</v>
      </c>
      <c r="Z1243" s="7" t="s">
        <v>1178</v>
      </c>
      <c r="AA1243" s="30">
        <v>0</v>
      </c>
      <c r="AB1243" s="36">
        <v>0</v>
      </c>
      <c r="AC1243" s="7" t="s">
        <v>1177</v>
      </c>
      <c r="AD1243" s="37">
        <v>0</v>
      </c>
      <c r="AE1243" s="7" t="s">
        <v>1177</v>
      </c>
      <c r="AF1243" s="7" t="s">
        <v>1177</v>
      </c>
      <c r="AG1243" s="7" t="s">
        <v>1177</v>
      </c>
      <c r="AH1243" s="38"/>
      <c r="AI1243" s="36">
        <v>0</v>
      </c>
      <c r="AJ1243" s="7" t="s">
        <v>1193</v>
      </c>
      <c r="AK1243" s="7" t="s">
        <v>1177</v>
      </c>
      <c r="AL1243" s="7" t="s">
        <v>1177</v>
      </c>
      <c r="AM1243" s="7" t="s">
        <v>1177</v>
      </c>
      <c r="AN1243" s="7" t="s">
        <v>3212</v>
      </c>
      <c r="AO1243" s="7" t="s">
        <v>1177</v>
      </c>
      <c r="AP1243" s="7" t="s">
        <v>1177</v>
      </c>
      <c r="AQ1243" s="7" t="s">
        <v>1177</v>
      </c>
      <c r="AR1243" s="29">
        <v>0</v>
      </c>
      <c r="AS1243" s="7" t="s">
        <v>1177</v>
      </c>
      <c r="AT1243" s="7" t="s">
        <v>1363</v>
      </c>
      <c r="AU1243" s="38">
        <v>46275</v>
      </c>
      <c r="AV1243" s="39">
        <v>0.62350694444443999</v>
      </c>
    </row>
    <row r="1244" spans="1:48" x14ac:dyDescent="0.35">
      <c r="A1244" t="str">
        <f t="shared" si="19"/>
        <v>GP296380B833</v>
      </c>
      <c r="B1244" s="7" t="s">
        <v>647</v>
      </c>
      <c r="C1244" s="7" t="s">
        <v>698</v>
      </c>
      <c r="D1244" s="7" t="s">
        <v>697</v>
      </c>
      <c r="E1244" s="7" t="s">
        <v>1177</v>
      </c>
      <c r="F1244" s="7" t="s">
        <v>128</v>
      </c>
      <c r="G1244" s="7" t="s">
        <v>130</v>
      </c>
      <c r="H1244" s="7" t="s">
        <v>129</v>
      </c>
      <c r="I1244" s="30">
        <v>4</v>
      </c>
      <c r="J1244" s="7" t="s">
        <v>1177</v>
      </c>
      <c r="K1244" s="7" t="s">
        <v>1178</v>
      </c>
      <c r="L1244" s="7" t="s">
        <v>132</v>
      </c>
      <c r="M1244" s="7" t="s">
        <v>133</v>
      </c>
      <c r="N1244" s="30">
        <v>0</v>
      </c>
      <c r="O1244" s="30">
        <v>0</v>
      </c>
      <c r="P1244" s="30">
        <v>0</v>
      </c>
      <c r="Q1244" s="30">
        <v>0</v>
      </c>
      <c r="R1244" s="29">
        <v>0</v>
      </c>
      <c r="S1244" s="36">
        <v>0</v>
      </c>
      <c r="T1244" s="7" t="s">
        <v>131</v>
      </c>
      <c r="U1244" s="7" t="s">
        <v>699</v>
      </c>
      <c r="V1244" s="7" t="s">
        <v>699</v>
      </c>
      <c r="W1244" s="7" t="s">
        <v>1177</v>
      </c>
      <c r="X1244" s="30">
        <v>1</v>
      </c>
      <c r="Y1244" s="7" t="s">
        <v>1177</v>
      </c>
      <c r="Z1244" s="7" t="s">
        <v>1178</v>
      </c>
      <c r="AA1244" s="30">
        <v>0</v>
      </c>
      <c r="AB1244" s="36">
        <v>0</v>
      </c>
      <c r="AC1244" s="7" t="s">
        <v>1177</v>
      </c>
      <c r="AD1244" s="37">
        <v>0</v>
      </c>
      <c r="AE1244" s="7" t="s">
        <v>1177</v>
      </c>
      <c r="AF1244" s="7" t="s">
        <v>1177</v>
      </c>
      <c r="AG1244" s="7" t="s">
        <v>1177</v>
      </c>
      <c r="AH1244" s="38"/>
      <c r="AI1244" s="36">
        <v>0</v>
      </c>
      <c r="AJ1244" s="7" t="s">
        <v>1193</v>
      </c>
      <c r="AK1244" s="7" t="s">
        <v>1177</v>
      </c>
      <c r="AL1244" s="7" t="s">
        <v>1177</v>
      </c>
      <c r="AM1244" s="7" t="s">
        <v>1177</v>
      </c>
      <c r="AN1244" s="7" t="s">
        <v>3212</v>
      </c>
      <c r="AO1244" s="7" t="s">
        <v>1177</v>
      </c>
      <c r="AP1244" s="7" t="s">
        <v>1177</v>
      </c>
      <c r="AQ1244" s="7" t="s">
        <v>1177</v>
      </c>
      <c r="AR1244" s="29">
        <v>0</v>
      </c>
      <c r="AS1244" s="7" t="s">
        <v>1177</v>
      </c>
      <c r="AT1244" s="7" t="s">
        <v>1363</v>
      </c>
      <c r="AU1244" s="38">
        <v>46275</v>
      </c>
      <c r="AV1244" s="39">
        <v>0.62350694444443999</v>
      </c>
    </row>
    <row r="1245" spans="1:48" x14ac:dyDescent="0.35">
      <c r="A1245" t="str">
        <f t="shared" si="19"/>
        <v>GP296380B838</v>
      </c>
      <c r="B1245" s="7" t="s">
        <v>647</v>
      </c>
      <c r="C1245" s="7" t="s">
        <v>744</v>
      </c>
      <c r="D1245" s="7" t="s">
        <v>48</v>
      </c>
      <c r="E1245" s="7" t="s">
        <v>1177</v>
      </c>
      <c r="F1245" s="7" t="s">
        <v>128</v>
      </c>
      <c r="G1245" s="7" t="s">
        <v>130</v>
      </c>
      <c r="H1245" s="7" t="s">
        <v>129</v>
      </c>
      <c r="I1245" s="30">
        <v>2</v>
      </c>
      <c r="J1245" s="7" t="s">
        <v>1177</v>
      </c>
      <c r="K1245" s="7" t="s">
        <v>1178</v>
      </c>
      <c r="L1245" s="7" t="s">
        <v>132</v>
      </c>
      <c r="M1245" s="7" t="s">
        <v>133</v>
      </c>
      <c r="N1245" s="30">
        <v>0</v>
      </c>
      <c r="O1245" s="30">
        <v>0</v>
      </c>
      <c r="P1245" s="30">
        <v>0</v>
      </c>
      <c r="Q1245" s="30">
        <v>0</v>
      </c>
      <c r="R1245" s="29">
        <v>0</v>
      </c>
      <c r="S1245" s="36">
        <v>0</v>
      </c>
      <c r="T1245" s="7" t="s">
        <v>131</v>
      </c>
      <c r="U1245" s="7" t="s">
        <v>745</v>
      </c>
      <c r="V1245" s="7" t="s">
        <v>745</v>
      </c>
      <c r="W1245" s="7" t="s">
        <v>1177</v>
      </c>
      <c r="X1245" s="30">
        <v>1</v>
      </c>
      <c r="Y1245" s="7" t="s">
        <v>1177</v>
      </c>
      <c r="Z1245" s="7" t="s">
        <v>1178</v>
      </c>
      <c r="AA1245" s="30">
        <v>0</v>
      </c>
      <c r="AB1245" s="36">
        <v>0</v>
      </c>
      <c r="AC1245" s="7" t="s">
        <v>1177</v>
      </c>
      <c r="AD1245" s="37">
        <v>0</v>
      </c>
      <c r="AE1245" s="7" t="s">
        <v>1177</v>
      </c>
      <c r="AF1245" s="7" t="s">
        <v>1177</v>
      </c>
      <c r="AG1245" s="7" t="s">
        <v>1177</v>
      </c>
      <c r="AH1245" s="38"/>
      <c r="AI1245" s="36">
        <v>0</v>
      </c>
      <c r="AJ1245" s="7" t="s">
        <v>1193</v>
      </c>
      <c r="AK1245" s="7" t="s">
        <v>1177</v>
      </c>
      <c r="AL1245" s="7" t="s">
        <v>1177</v>
      </c>
      <c r="AM1245" s="7" t="s">
        <v>1177</v>
      </c>
      <c r="AN1245" s="7" t="s">
        <v>3212</v>
      </c>
      <c r="AO1245" s="7" t="s">
        <v>1177</v>
      </c>
      <c r="AP1245" s="7" t="s">
        <v>1177</v>
      </c>
      <c r="AQ1245" s="7" t="s">
        <v>1177</v>
      </c>
      <c r="AR1245" s="29">
        <v>0</v>
      </c>
      <c r="AS1245" s="7" t="s">
        <v>1177</v>
      </c>
      <c r="AT1245" s="7" t="s">
        <v>1363</v>
      </c>
      <c r="AU1245" s="38">
        <v>46275</v>
      </c>
      <c r="AV1245" s="39">
        <v>0.62408564814815004</v>
      </c>
    </row>
    <row r="1246" spans="1:48" x14ac:dyDescent="0.35">
      <c r="A1246" t="str">
        <f t="shared" si="19"/>
        <v>GP296945B833</v>
      </c>
      <c r="B1246" s="7" t="s">
        <v>83</v>
      </c>
      <c r="C1246" s="7" t="s">
        <v>698</v>
      </c>
      <c r="D1246" s="7" t="s">
        <v>697</v>
      </c>
      <c r="E1246" s="7" t="s">
        <v>1177</v>
      </c>
      <c r="F1246" s="7" t="s">
        <v>128</v>
      </c>
      <c r="G1246" s="7" t="s">
        <v>130</v>
      </c>
      <c r="H1246" s="7" t="s">
        <v>129</v>
      </c>
      <c r="I1246" s="30">
        <v>4</v>
      </c>
      <c r="J1246" s="7" t="s">
        <v>1177</v>
      </c>
      <c r="K1246" s="7" t="s">
        <v>1178</v>
      </c>
      <c r="L1246" s="7" t="s">
        <v>132</v>
      </c>
      <c r="M1246" s="7" t="s">
        <v>133</v>
      </c>
      <c r="N1246" s="30">
        <v>0</v>
      </c>
      <c r="O1246" s="30">
        <v>0</v>
      </c>
      <c r="P1246" s="30">
        <v>0</v>
      </c>
      <c r="Q1246" s="30">
        <v>0</v>
      </c>
      <c r="R1246" s="29">
        <v>0</v>
      </c>
      <c r="S1246" s="36">
        <v>0</v>
      </c>
      <c r="T1246" s="7" t="s">
        <v>131</v>
      </c>
      <c r="U1246" s="7" t="s">
        <v>699</v>
      </c>
      <c r="V1246" s="7" t="s">
        <v>699</v>
      </c>
      <c r="W1246" s="7" t="s">
        <v>1177</v>
      </c>
      <c r="X1246" s="30">
        <v>1</v>
      </c>
      <c r="Y1246" s="7" t="s">
        <v>1177</v>
      </c>
      <c r="Z1246" s="7" t="s">
        <v>1178</v>
      </c>
      <c r="AA1246" s="30">
        <v>0</v>
      </c>
      <c r="AB1246" s="36">
        <v>0</v>
      </c>
      <c r="AC1246" s="7" t="s">
        <v>1177</v>
      </c>
      <c r="AD1246" s="37">
        <v>0</v>
      </c>
      <c r="AE1246" s="7" t="s">
        <v>1177</v>
      </c>
      <c r="AF1246" s="7" t="s">
        <v>1177</v>
      </c>
      <c r="AG1246" s="7" t="s">
        <v>1177</v>
      </c>
      <c r="AH1246" s="38"/>
      <c r="AI1246" s="36">
        <v>0</v>
      </c>
      <c r="AJ1246" s="7" t="s">
        <v>1193</v>
      </c>
      <c r="AK1246" s="7" t="s">
        <v>1177</v>
      </c>
      <c r="AL1246" s="7" t="s">
        <v>1177</v>
      </c>
      <c r="AM1246" s="7" t="s">
        <v>1177</v>
      </c>
      <c r="AN1246" s="7" t="s">
        <v>3212</v>
      </c>
      <c r="AO1246" s="7" t="s">
        <v>1177</v>
      </c>
      <c r="AP1246" s="7" t="s">
        <v>1177</v>
      </c>
      <c r="AQ1246" s="7" t="s">
        <v>1177</v>
      </c>
      <c r="AR1246" s="29">
        <v>0</v>
      </c>
      <c r="AS1246" s="7" t="s">
        <v>1177</v>
      </c>
      <c r="AT1246" s="7" t="s">
        <v>1363</v>
      </c>
      <c r="AU1246" s="38">
        <v>46275</v>
      </c>
      <c r="AV1246" s="39">
        <v>0.62351851851852003</v>
      </c>
    </row>
    <row r="1247" spans="1:48" x14ac:dyDescent="0.35">
      <c r="A1247" t="str">
        <f t="shared" si="19"/>
        <v>GP296945B838</v>
      </c>
      <c r="B1247" s="7" t="s">
        <v>83</v>
      </c>
      <c r="C1247" s="7" t="s">
        <v>744</v>
      </c>
      <c r="D1247" s="7" t="s">
        <v>48</v>
      </c>
      <c r="E1247" s="7" t="s">
        <v>1177</v>
      </c>
      <c r="F1247" s="7" t="s">
        <v>128</v>
      </c>
      <c r="G1247" s="7" t="s">
        <v>130</v>
      </c>
      <c r="H1247" s="7" t="s">
        <v>129</v>
      </c>
      <c r="I1247" s="30">
        <v>2</v>
      </c>
      <c r="J1247" s="7" t="s">
        <v>1177</v>
      </c>
      <c r="K1247" s="7" t="s">
        <v>1178</v>
      </c>
      <c r="L1247" s="7" t="s">
        <v>132</v>
      </c>
      <c r="M1247" s="7" t="s">
        <v>133</v>
      </c>
      <c r="N1247" s="30">
        <v>0</v>
      </c>
      <c r="O1247" s="30">
        <v>0</v>
      </c>
      <c r="P1247" s="30">
        <v>0</v>
      </c>
      <c r="Q1247" s="30">
        <v>0</v>
      </c>
      <c r="R1247" s="29">
        <v>0</v>
      </c>
      <c r="S1247" s="36">
        <v>0</v>
      </c>
      <c r="T1247" s="7" t="s">
        <v>131</v>
      </c>
      <c r="U1247" s="7" t="s">
        <v>745</v>
      </c>
      <c r="V1247" s="7" t="s">
        <v>745</v>
      </c>
      <c r="W1247" s="7" t="s">
        <v>1177</v>
      </c>
      <c r="X1247" s="30">
        <v>1</v>
      </c>
      <c r="Y1247" s="7" t="s">
        <v>1177</v>
      </c>
      <c r="Z1247" s="7" t="s">
        <v>1178</v>
      </c>
      <c r="AA1247" s="30">
        <v>0</v>
      </c>
      <c r="AB1247" s="36">
        <v>0</v>
      </c>
      <c r="AC1247" s="7" t="s">
        <v>1177</v>
      </c>
      <c r="AD1247" s="37">
        <v>0</v>
      </c>
      <c r="AE1247" s="7" t="s">
        <v>1177</v>
      </c>
      <c r="AF1247" s="7" t="s">
        <v>1177</v>
      </c>
      <c r="AG1247" s="7" t="s">
        <v>1177</v>
      </c>
      <c r="AH1247" s="38"/>
      <c r="AI1247" s="36">
        <v>0</v>
      </c>
      <c r="AJ1247" s="7" t="s">
        <v>1193</v>
      </c>
      <c r="AK1247" s="7" t="s">
        <v>1177</v>
      </c>
      <c r="AL1247" s="7" t="s">
        <v>1177</v>
      </c>
      <c r="AM1247" s="7" t="s">
        <v>1177</v>
      </c>
      <c r="AN1247" s="7" t="s">
        <v>3212</v>
      </c>
      <c r="AO1247" s="7" t="s">
        <v>1177</v>
      </c>
      <c r="AP1247" s="7" t="s">
        <v>1177</v>
      </c>
      <c r="AQ1247" s="7" t="s">
        <v>1177</v>
      </c>
      <c r="AR1247" s="29">
        <v>0</v>
      </c>
      <c r="AS1247" s="7" t="s">
        <v>1177</v>
      </c>
      <c r="AT1247" s="7" t="s">
        <v>1363</v>
      </c>
      <c r="AU1247" s="38">
        <v>46275</v>
      </c>
      <c r="AV1247" s="39">
        <v>0.62408564814815004</v>
      </c>
    </row>
    <row r="1248" spans="1:48" x14ac:dyDescent="0.35">
      <c r="A1248" t="str">
        <f t="shared" si="19"/>
        <v>GP297079B856</v>
      </c>
      <c r="B1248" s="7" t="s">
        <v>880</v>
      </c>
      <c r="C1248" s="7" t="s">
        <v>852</v>
      </c>
      <c r="D1248" s="7" t="s">
        <v>21</v>
      </c>
      <c r="E1248" s="7" t="s">
        <v>1177</v>
      </c>
      <c r="F1248" s="7" t="s">
        <v>128</v>
      </c>
      <c r="G1248" s="7" t="s">
        <v>130</v>
      </c>
      <c r="H1248" s="7" t="s">
        <v>129</v>
      </c>
      <c r="I1248" s="30">
        <v>1</v>
      </c>
      <c r="J1248" s="7" t="s">
        <v>1177</v>
      </c>
      <c r="K1248" s="7" t="s">
        <v>1178</v>
      </c>
      <c r="L1248" s="7" t="s">
        <v>132</v>
      </c>
      <c r="M1248" s="7" t="s">
        <v>133</v>
      </c>
      <c r="N1248" s="30">
        <v>0</v>
      </c>
      <c r="O1248" s="30">
        <v>0</v>
      </c>
      <c r="P1248" s="30">
        <v>0</v>
      </c>
      <c r="Q1248" s="30">
        <v>0</v>
      </c>
      <c r="R1248" s="29">
        <v>0</v>
      </c>
      <c r="S1248" s="36">
        <v>0</v>
      </c>
      <c r="T1248" s="7" t="s">
        <v>131</v>
      </c>
      <c r="U1248" s="7" t="s">
        <v>853</v>
      </c>
      <c r="V1248" s="7" t="s">
        <v>853</v>
      </c>
      <c r="W1248" s="7" t="s">
        <v>1177</v>
      </c>
      <c r="X1248" s="30">
        <v>1</v>
      </c>
      <c r="Y1248" s="7" t="s">
        <v>1177</v>
      </c>
      <c r="Z1248" s="7" t="s">
        <v>1178</v>
      </c>
      <c r="AA1248" s="30">
        <v>0</v>
      </c>
      <c r="AB1248" s="36">
        <v>0</v>
      </c>
      <c r="AC1248" s="7" t="s">
        <v>1177</v>
      </c>
      <c r="AD1248" s="37">
        <v>0</v>
      </c>
      <c r="AE1248" s="7" t="s">
        <v>1177</v>
      </c>
      <c r="AF1248" s="7" t="s">
        <v>1177</v>
      </c>
      <c r="AG1248" s="7" t="s">
        <v>1177</v>
      </c>
      <c r="AH1248" s="38"/>
      <c r="AI1248" s="36">
        <v>0</v>
      </c>
      <c r="AJ1248" s="7" t="s">
        <v>1193</v>
      </c>
      <c r="AK1248" s="7" t="s">
        <v>1177</v>
      </c>
      <c r="AL1248" s="7" t="s">
        <v>1177</v>
      </c>
      <c r="AM1248" s="7" t="s">
        <v>1177</v>
      </c>
      <c r="AN1248" s="7" t="s">
        <v>3212</v>
      </c>
      <c r="AO1248" s="7" t="s">
        <v>1177</v>
      </c>
      <c r="AP1248" s="7" t="s">
        <v>1177</v>
      </c>
      <c r="AQ1248" s="7" t="s">
        <v>1177</v>
      </c>
      <c r="AR1248" s="29">
        <v>0</v>
      </c>
      <c r="AS1248" s="7" t="s">
        <v>1177</v>
      </c>
      <c r="AT1248" s="7" t="s">
        <v>1363</v>
      </c>
      <c r="AU1248" s="38">
        <v>46275</v>
      </c>
      <c r="AV1248" s="39">
        <v>0.62488425925926006</v>
      </c>
    </row>
    <row r="1249" spans="1:48" x14ac:dyDescent="0.35">
      <c r="A1249" t="str">
        <f t="shared" si="19"/>
        <v>GP298548B856</v>
      </c>
      <c r="B1249" s="7" t="s">
        <v>882</v>
      </c>
      <c r="C1249" s="7" t="s">
        <v>852</v>
      </c>
      <c r="D1249" s="7" t="s">
        <v>21</v>
      </c>
      <c r="E1249" s="7" t="s">
        <v>1177</v>
      </c>
      <c r="F1249" s="7" t="s">
        <v>128</v>
      </c>
      <c r="G1249" s="7" t="s">
        <v>130</v>
      </c>
      <c r="H1249" s="7" t="s">
        <v>129</v>
      </c>
      <c r="I1249" s="30">
        <v>2</v>
      </c>
      <c r="J1249" s="7" t="s">
        <v>1177</v>
      </c>
      <c r="K1249" s="7" t="s">
        <v>1178</v>
      </c>
      <c r="L1249" s="7" t="s">
        <v>132</v>
      </c>
      <c r="M1249" s="7" t="s">
        <v>133</v>
      </c>
      <c r="N1249" s="30">
        <v>0</v>
      </c>
      <c r="O1249" s="30">
        <v>0</v>
      </c>
      <c r="P1249" s="30">
        <v>0</v>
      </c>
      <c r="Q1249" s="30">
        <v>0</v>
      </c>
      <c r="R1249" s="29">
        <v>0</v>
      </c>
      <c r="S1249" s="36">
        <v>0</v>
      </c>
      <c r="T1249" s="7" t="s">
        <v>131</v>
      </c>
      <c r="U1249" s="7" t="s">
        <v>853</v>
      </c>
      <c r="V1249" s="7" t="s">
        <v>853</v>
      </c>
      <c r="W1249" s="7" t="s">
        <v>1177</v>
      </c>
      <c r="X1249" s="30">
        <v>1</v>
      </c>
      <c r="Y1249" s="7" t="s">
        <v>1177</v>
      </c>
      <c r="Z1249" s="7" t="s">
        <v>1178</v>
      </c>
      <c r="AA1249" s="30">
        <v>0</v>
      </c>
      <c r="AB1249" s="36">
        <v>0</v>
      </c>
      <c r="AC1249" s="7" t="s">
        <v>1177</v>
      </c>
      <c r="AD1249" s="37">
        <v>0</v>
      </c>
      <c r="AE1249" s="7" t="s">
        <v>1177</v>
      </c>
      <c r="AF1249" s="7" t="s">
        <v>1177</v>
      </c>
      <c r="AG1249" s="7" t="s">
        <v>1177</v>
      </c>
      <c r="AH1249" s="38"/>
      <c r="AI1249" s="36">
        <v>0</v>
      </c>
      <c r="AJ1249" s="7" t="s">
        <v>1193</v>
      </c>
      <c r="AK1249" s="7" t="s">
        <v>1177</v>
      </c>
      <c r="AL1249" s="7" t="s">
        <v>1177</v>
      </c>
      <c r="AM1249" s="7" t="s">
        <v>1177</v>
      </c>
      <c r="AN1249" s="7" t="s">
        <v>3212</v>
      </c>
      <c r="AO1249" s="7" t="s">
        <v>1177</v>
      </c>
      <c r="AP1249" s="7" t="s">
        <v>1177</v>
      </c>
      <c r="AQ1249" s="7" t="s">
        <v>1177</v>
      </c>
      <c r="AR1249" s="29">
        <v>0</v>
      </c>
      <c r="AS1249" s="7" t="s">
        <v>1177</v>
      </c>
      <c r="AT1249" s="7" t="s">
        <v>1363</v>
      </c>
      <c r="AU1249" s="38">
        <v>46275</v>
      </c>
      <c r="AV1249" s="39">
        <v>0.62488425925926006</v>
      </c>
    </row>
    <row r="1250" spans="1:48" x14ac:dyDescent="0.35">
      <c r="A1250" t="str">
        <f t="shared" si="19"/>
        <v>GP298550B833</v>
      </c>
      <c r="B1250" s="7" t="s">
        <v>716</v>
      </c>
      <c r="C1250" s="7" t="s">
        <v>698</v>
      </c>
      <c r="D1250" s="7" t="s">
        <v>697</v>
      </c>
      <c r="E1250" s="7" t="s">
        <v>1177</v>
      </c>
      <c r="F1250" s="7" t="s">
        <v>128</v>
      </c>
      <c r="G1250" s="7" t="s">
        <v>130</v>
      </c>
      <c r="H1250" s="7" t="s">
        <v>129</v>
      </c>
      <c r="I1250" s="30">
        <v>2</v>
      </c>
      <c r="J1250" s="7" t="s">
        <v>1177</v>
      </c>
      <c r="K1250" s="7" t="s">
        <v>1178</v>
      </c>
      <c r="L1250" s="7" t="s">
        <v>132</v>
      </c>
      <c r="M1250" s="7" t="s">
        <v>133</v>
      </c>
      <c r="N1250" s="30">
        <v>0</v>
      </c>
      <c r="O1250" s="30">
        <v>0</v>
      </c>
      <c r="P1250" s="30">
        <v>0</v>
      </c>
      <c r="Q1250" s="30">
        <v>0</v>
      </c>
      <c r="R1250" s="29">
        <v>0</v>
      </c>
      <c r="S1250" s="36">
        <v>0</v>
      </c>
      <c r="T1250" s="7" t="s">
        <v>131</v>
      </c>
      <c r="U1250" s="7" t="s">
        <v>699</v>
      </c>
      <c r="V1250" s="7" t="s">
        <v>699</v>
      </c>
      <c r="W1250" s="7" t="s">
        <v>1177</v>
      </c>
      <c r="X1250" s="30">
        <v>1</v>
      </c>
      <c r="Y1250" s="7" t="s">
        <v>1177</v>
      </c>
      <c r="Z1250" s="7" t="s">
        <v>1178</v>
      </c>
      <c r="AA1250" s="30">
        <v>0</v>
      </c>
      <c r="AB1250" s="36">
        <v>0</v>
      </c>
      <c r="AC1250" s="7" t="s">
        <v>1177</v>
      </c>
      <c r="AD1250" s="37">
        <v>0</v>
      </c>
      <c r="AE1250" s="7" t="s">
        <v>1177</v>
      </c>
      <c r="AF1250" s="7" t="s">
        <v>1177</v>
      </c>
      <c r="AG1250" s="7" t="s">
        <v>1177</v>
      </c>
      <c r="AH1250" s="38"/>
      <c r="AI1250" s="36">
        <v>0</v>
      </c>
      <c r="AJ1250" s="7" t="s">
        <v>1193</v>
      </c>
      <c r="AK1250" s="7" t="s">
        <v>1177</v>
      </c>
      <c r="AL1250" s="7" t="s">
        <v>1177</v>
      </c>
      <c r="AM1250" s="7" t="s">
        <v>1177</v>
      </c>
      <c r="AN1250" s="7" t="s">
        <v>3212</v>
      </c>
      <c r="AO1250" s="7" t="s">
        <v>1177</v>
      </c>
      <c r="AP1250" s="7" t="s">
        <v>1177</v>
      </c>
      <c r="AQ1250" s="7" t="s">
        <v>1177</v>
      </c>
      <c r="AR1250" s="29">
        <v>0</v>
      </c>
      <c r="AS1250" s="7" t="s">
        <v>1177</v>
      </c>
      <c r="AT1250" s="7" t="s">
        <v>1363</v>
      </c>
      <c r="AU1250" s="38">
        <v>46275</v>
      </c>
      <c r="AV1250" s="39">
        <v>0.62349537037036995</v>
      </c>
    </row>
    <row r="1251" spans="1:48" x14ac:dyDescent="0.35">
      <c r="A1251" t="str">
        <f t="shared" si="19"/>
        <v>GP298746B832</v>
      </c>
      <c r="B1251" s="7" t="s">
        <v>623</v>
      </c>
      <c r="C1251" s="7" t="s">
        <v>653</v>
      </c>
      <c r="D1251" s="7" t="s">
        <v>19</v>
      </c>
      <c r="E1251" s="7" t="s">
        <v>1177</v>
      </c>
      <c r="F1251" s="7" t="s">
        <v>128</v>
      </c>
      <c r="G1251" s="7" t="s">
        <v>130</v>
      </c>
      <c r="H1251" s="7" t="s">
        <v>129</v>
      </c>
      <c r="I1251" s="30">
        <v>2</v>
      </c>
      <c r="J1251" s="7" t="s">
        <v>1177</v>
      </c>
      <c r="K1251" s="7" t="s">
        <v>1178</v>
      </c>
      <c r="L1251" s="7" t="s">
        <v>132</v>
      </c>
      <c r="M1251" s="7" t="s">
        <v>133</v>
      </c>
      <c r="N1251" s="30">
        <v>0</v>
      </c>
      <c r="O1251" s="30">
        <v>0</v>
      </c>
      <c r="P1251" s="30">
        <v>0</v>
      </c>
      <c r="Q1251" s="30">
        <v>0</v>
      </c>
      <c r="R1251" s="29">
        <v>0</v>
      </c>
      <c r="S1251" s="36">
        <v>0</v>
      </c>
      <c r="T1251" s="7" t="s">
        <v>131</v>
      </c>
      <c r="U1251" s="7" t="s">
        <v>654</v>
      </c>
      <c r="V1251" s="7" t="s">
        <v>654</v>
      </c>
      <c r="W1251" s="7" t="s">
        <v>1177</v>
      </c>
      <c r="X1251" s="30">
        <v>1</v>
      </c>
      <c r="Y1251" s="7" t="s">
        <v>1177</v>
      </c>
      <c r="Z1251" s="7" t="s">
        <v>1178</v>
      </c>
      <c r="AA1251" s="30">
        <v>0</v>
      </c>
      <c r="AB1251" s="36">
        <v>0</v>
      </c>
      <c r="AC1251" s="7" t="s">
        <v>1177</v>
      </c>
      <c r="AD1251" s="37">
        <v>0</v>
      </c>
      <c r="AE1251" s="7" t="s">
        <v>1177</v>
      </c>
      <c r="AF1251" s="7" t="s">
        <v>1177</v>
      </c>
      <c r="AG1251" s="7" t="s">
        <v>1177</v>
      </c>
      <c r="AH1251" s="38"/>
      <c r="AI1251" s="36">
        <v>0</v>
      </c>
      <c r="AJ1251" s="7" t="s">
        <v>1193</v>
      </c>
      <c r="AK1251" s="7" t="s">
        <v>1177</v>
      </c>
      <c r="AL1251" s="7" t="s">
        <v>1177</v>
      </c>
      <c r="AM1251" s="7" t="s">
        <v>1177</v>
      </c>
      <c r="AN1251" s="7" t="s">
        <v>3212</v>
      </c>
      <c r="AO1251" s="7" t="s">
        <v>1177</v>
      </c>
      <c r="AP1251" s="7" t="s">
        <v>1177</v>
      </c>
      <c r="AQ1251" s="7" t="s">
        <v>1177</v>
      </c>
      <c r="AR1251" s="29">
        <v>0</v>
      </c>
      <c r="AS1251" s="7" t="s">
        <v>1177</v>
      </c>
      <c r="AT1251" s="7" t="s">
        <v>1363</v>
      </c>
      <c r="AU1251" s="38">
        <v>46275</v>
      </c>
      <c r="AV1251" s="39">
        <v>0.60384259259258999</v>
      </c>
    </row>
    <row r="1252" spans="1:48" x14ac:dyDescent="0.35">
      <c r="A1252" t="str">
        <f t="shared" si="19"/>
        <v>GP298757B832</v>
      </c>
      <c r="B1252" s="7" t="s">
        <v>682</v>
      </c>
      <c r="C1252" s="7" t="s">
        <v>653</v>
      </c>
      <c r="D1252" s="7" t="s">
        <v>19</v>
      </c>
      <c r="E1252" s="7" t="s">
        <v>1177</v>
      </c>
      <c r="F1252" s="7" t="s">
        <v>128</v>
      </c>
      <c r="G1252" s="7" t="s">
        <v>130</v>
      </c>
      <c r="H1252" s="7" t="s">
        <v>129</v>
      </c>
      <c r="I1252" s="30">
        <v>2</v>
      </c>
      <c r="J1252" s="7" t="s">
        <v>1177</v>
      </c>
      <c r="K1252" s="7" t="s">
        <v>1178</v>
      </c>
      <c r="L1252" s="7" t="s">
        <v>132</v>
      </c>
      <c r="M1252" s="7" t="s">
        <v>133</v>
      </c>
      <c r="N1252" s="30">
        <v>0</v>
      </c>
      <c r="O1252" s="30">
        <v>0</v>
      </c>
      <c r="P1252" s="30">
        <v>0</v>
      </c>
      <c r="Q1252" s="30">
        <v>0</v>
      </c>
      <c r="R1252" s="29">
        <v>0</v>
      </c>
      <c r="S1252" s="36">
        <v>0</v>
      </c>
      <c r="T1252" s="7" t="s">
        <v>131</v>
      </c>
      <c r="U1252" s="7" t="s">
        <v>654</v>
      </c>
      <c r="V1252" s="7" t="s">
        <v>654</v>
      </c>
      <c r="W1252" s="7" t="s">
        <v>1177</v>
      </c>
      <c r="X1252" s="30">
        <v>1</v>
      </c>
      <c r="Y1252" s="7" t="s">
        <v>1177</v>
      </c>
      <c r="Z1252" s="7" t="s">
        <v>1178</v>
      </c>
      <c r="AA1252" s="30">
        <v>0</v>
      </c>
      <c r="AB1252" s="36">
        <v>0</v>
      </c>
      <c r="AC1252" s="7" t="s">
        <v>1177</v>
      </c>
      <c r="AD1252" s="37">
        <v>0</v>
      </c>
      <c r="AE1252" s="7" t="s">
        <v>1177</v>
      </c>
      <c r="AF1252" s="7" t="s">
        <v>1177</v>
      </c>
      <c r="AG1252" s="7" t="s">
        <v>1177</v>
      </c>
      <c r="AH1252" s="38"/>
      <c r="AI1252" s="36">
        <v>0</v>
      </c>
      <c r="AJ1252" s="7" t="s">
        <v>1193</v>
      </c>
      <c r="AK1252" s="7" t="s">
        <v>1177</v>
      </c>
      <c r="AL1252" s="7" t="s">
        <v>1177</v>
      </c>
      <c r="AM1252" s="7" t="s">
        <v>1177</v>
      </c>
      <c r="AN1252" s="7" t="s">
        <v>3212</v>
      </c>
      <c r="AO1252" s="7" t="s">
        <v>1177</v>
      </c>
      <c r="AP1252" s="7" t="s">
        <v>1177</v>
      </c>
      <c r="AQ1252" s="7" t="s">
        <v>1177</v>
      </c>
      <c r="AR1252" s="29">
        <v>0</v>
      </c>
      <c r="AS1252" s="7" t="s">
        <v>1177</v>
      </c>
      <c r="AT1252" s="7" t="s">
        <v>1363</v>
      </c>
      <c r="AU1252" s="38">
        <v>46275</v>
      </c>
      <c r="AV1252" s="39">
        <v>0.62339120370370005</v>
      </c>
    </row>
    <row r="1253" spans="1:48" x14ac:dyDescent="0.35">
      <c r="A1253" t="str">
        <f t="shared" si="19"/>
        <v>GP298758B832</v>
      </c>
      <c r="B1253" s="7" t="s">
        <v>648</v>
      </c>
      <c r="C1253" s="7" t="s">
        <v>653</v>
      </c>
      <c r="D1253" s="7" t="s">
        <v>19</v>
      </c>
      <c r="E1253" s="7" t="s">
        <v>1177</v>
      </c>
      <c r="F1253" s="7" t="s">
        <v>128</v>
      </c>
      <c r="G1253" s="7" t="s">
        <v>130</v>
      </c>
      <c r="H1253" s="7" t="s">
        <v>129</v>
      </c>
      <c r="I1253" s="30">
        <v>2</v>
      </c>
      <c r="J1253" s="7" t="s">
        <v>1177</v>
      </c>
      <c r="K1253" s="7" t="s">
        <v>1178</v>
      </c>
      <c r="L1253" s="7" t="s">
        <v>132</v>
      </c>
      <c r="M1253" s="7" t="s">
        <v>133</v>
      </c>
      <c r="N1253" s="30">
        <v>0</v>
      </c>
      <c r="O1253" s="30">
        <v>0</v>
      </c>
      <c r="P1253" s="30">
        <v>0</v>
      </c>
      <c r="Q1253" s="30">
        <v>0</v>
      </c>
      <c r="R1253" s="29">
        <v>0</v>
      </c>
      <c r="S1253" s="36">
        <v>0</v>
      </c>
      <c r="T1253" s="7" t="s">
        <v>131</v>
      </c>
      <c r="U1253" s="7" t="s">
        <v>654</v>
      </c>
      <c r="V1253" s="7" t="s">
        <v>654</v>
      </c>
      <c r="W1253" s="7" t="s">
        <v>1177</v>
      </c>
      <c r="X1253" s="30">
        <v>1</v>
      </c>
      <c r="Y1253" s="7" t="s">
        <v>1177</v>
      </c>
      <c r="Z1253" s="7" t="s">
        <v>1178</v>
      </c>
      <c r="AA1253" s="30">
        <v>0</v>
      </c>
      <c r="AB1253" s="36">
        <v>0</v>
      </c>
      <c r="AC1253" s="7" t="s">
        <v>1177</v>
      </c>
      <c r="AD1253" s="37">
        <v>0</v>
      </c>
      <c r="AE1253" s="7" t="s">
        <v>1177</v>
      </c>
      <c r="AF1253" s="7" t="s">
        <v>1177</v>
      </c>
      <c r="AG1253" s="7" t="s">
        <v>1177</v>
      </c>
      <c r="AH1253" s="38"/>
      <c r="AI1253" s="36">
        <v>0</v>
      </c>
      <c r="AJ1253" s="7" t="s">
        <v>1193</v>
      </c>
      <c r="AK1253" s="7" t="s">
        <v>1177</v>
      </c>
      <c r="AL1253" s="7" t="s">
        <v>1177</v>
      </c>
      <c r="AM1253" s="7" t="s">
        <v>1177</v>
      </c>
      <c r="AN1253" s="7" t="s">
        <v>3212</v>
      </c>
      <c r="AO1253" s="7" t="s">
        <v>1177</v>
      </c>
      <c r="AP1253" s="7" t="s">
        <v>1177</v>
      </c>
      <c r="AQ1253" s="7" t="s">
        <v>1177</v>
      </c>
      <c r="AR1253" s="29">
        <v>0</v>
      </c>
      <c r="AS1253" s="7" t="s">
        <v>1177</v>
      </c>
      <c r="AT1253" s="7" t="s">
        <v>1363</v>
      </c>
      <c r="AU1253" s="38">
        <v>46275</v>
      </c>
      <c r="AV1253" s="39">
        <v>0.62339120370370005</v>
      </c>
    </row>
    <row r="1254" spans="1:48" x14ac:dyDescent="0.35">
      <c r="A1254" t="str">
        <f t="shared" si="19"/>
        <v>GP301081B856</v>
      </c>
      <c r="B1254" s="7" t="s">
        <v>803</v>
      </c>
      <c r="C1254" s="7" t="s">
        <v>852</v>
      </c>
      <c r="D1254" s="7" t="s">
        <v>21</v>
      </c>
      <c r="E1254" s="7" t="s">
        <v>1177</v>
      </c>
      <c r="F1254" s="7" t="s">
        <v>128</v>
      </c>
      <c r="G1254" s="7" t="s">
        <v>130</v>
      </c>
      <c r="H1254" s="7" t="s">
        <v>129</v>
      </c>
      <c r="I1254" s="30">
        <v>1</v>
      </c>
      <c r="J1254" s="7" t="s">
        <v>1177</v>
      </c>
      <c r="K1254" s="7" t="s">
        <v>1178</v>
      </c>
      <c r="L1254" s="7" t="s">
        <v>132</v>
      </c>
      <c r="M1254" s="7" t="s">
        <v>133</v>
      </c>
      <c r="N1254" s="30">
        <v>0</v>
      </c>
      <c r="O1254" s="30">
        <v>0</v>
      </c>
      <c r="P1254" s="30">
        <v>0</v>
      </c>
      <c r="Q1254" s="30">
        <v>0</v>
      </c>
      <c r="R1254" s="29">
        <v>0</v>
      </c>
      <c r="S1254" s="36">
        <v>0</v>
      </c>
      <c r="T1254" s="7" t="s">
        <v>131</v>
      </c>
      <c r="U1254" s="7" t="s">
        <v>853</v>
      </c>
      <c r="V1254" s="7" t="s">
        <v>853</v>
      </c>
      <c r="W1254" s="7" t="s">
        <v>1177</v>
      </c>
      <c r="X1254" s="30">
        <v>1</v>
      </c>
      <c r="Y1254" s="7" t="s">
        <v>1177</v>
      </c>
      <c r="Z1254" s="7" t="s">
        <v>1178</v>
      </c>
      <c r="AA1254" s="30">
        <v>0</v>
      </c>
      <c r="AB1254" s="36">
        <v>0</v>
      </c>
      <c r="AC1254" s="7" t="s">
        <v>1177</v>
      </c>
      <c r="AD1254" s="37">
        <v>0</v>
      </c>
      <c r="AE1254" s="7" t="s">
        <v>1177</v>
      </c>
      <c r="AF1254" s="7" t="s">
        <v>1177</v>
      </c>
      <c r="AG1254" s="7" t="s">
        <v>1177</v>
      </c>
      <c r="AH1254" s="38"/>
      <c r="AI1254" s="36">
        <v>0</v>
      </c>
      <c r="AJ1254" s="7" t="s">
        <v>1193</v>
      </c>
      <c r="AK1254" s="7" t="s">
        <v>1177</v>
      </c>
      <c r="AL1254" s="7" t="s">
        <v>1177</v>
      </c>
      <c r="AM1254" s="7" t="s">
        <v>1177</v>
      </c>
      <c r="AN1254" s="7" t="s">
        <v>3212</v>
      </c>
      <c r="AO1254" s="7" t="s">
        <v>1177</v>
      </c>
      <c r="AP1254" s="7" t="s">
        <v>1177</v>
      </c>
      <c r="AQ1254" s="7" t="s">
        <v>1177</v>
      </c>
      <c r="AR1254" s="29">
        <v>0</v>
      </c>
      <c r="AS1254" s="7" t="s">
        <v>1177</v>
      </c>
      <c r="AT1254" s="7" t="s">
        <v>1363</v>
      </c>
      <c r="AU1254" s="38">
        <v>46275</v>
      </c>
      <c r="AV1254" s="39">
        <v>0.62488425925926006</v>
      </c>
    </row>
    <row r="1255" spans="1:48" x14ac:dyDescent="0.35">
      <c r="A1255" t="str">
        <f t="shared" si="19"/>
        <v>GP301081B857</v>
      </c>
      <c r="B1255" s="7" t="s">
        <v>803</v>
      </c>
      <c r="C1255" s="7" t="s">
        <v>958</v>
      </c>
      <c r="D1255" s="7" t="s">
        <v>23</v>
      </c>
      <c r="E1255" s="7" t="s">
        <v>1177</v>
      </c>
      <c r="F1255" s="7" t="s">
        <v>128</v>
      </c>
      <c r="G1255" s="7" t="s">
        <v>130</v>
      </c>
      <c r="H1255" s="7" t="s">
        <v>129</v>
      </c>
      <c r="I1255" s="30">
        <v>2</v>
      </c>
      <c r="J1255" s="7" t="s">
        <v>1177</v>
      </c>
      <c r="K1255" s="7" t="s">
        <v>1178</v>
      </c>
      <c r="L1255" s="7" t="s">
        <v>132</v>
      </c>
      <c r="M1255" s="7" t="s">
        <v>133</v>
      </c>
      <c r="N1255" s="30">
        <v>0</v>
      </c>
      <c r="O1255" s="30">
        <v>0</v>
      </c>
      <c r="P1255" s="30">
        <v>0</v>
      </c>
      <c r="Q1255" s="30">
        <v>0</v>
      </c>
      <c r="R1255" s="29">
        <v>0</v>
      </c>
      <c r="S1255" s="36">
        <v>0</v>
      </c>
      <c r="T1255" s="7" t="s">
        <v>131</v>
      </c>
      <c r="U1255" s="7" t="s">
        <v>959</v>
      </c>
      <c r="V1255" s="7" t="s">
        <v>959</v>
      </c>
      <c r="W1255" s="7" t="s">
        <v>1177</v>
      </c>
      <c r="X1255" s="30">
        <v>1</v>
      </c>
      <c r="Y1255" s="7" t="s">
        <v>1177</v>
      </c>
      <c r="Z1255" s="7" t="s">
        <v>1178</v>
      </c>
      <c r="AA1255" s="30">
        <v>0</v>
      </c>
      <c r="AB1255" s="36">
        <v>0</v>
      </c>
      <c r="AC1255" s="7" t="s">
        <v>1177</v>
      </c>
      <c r="AD1255" s="37">
        <v>0</v>
      </c>
      <c r="AE1255" s="7" t="s">
        <v>1177</v>
      </c>
      <c r="AF1255" s="7" t="s">
        <v>1177</v>
      </c>
      <c r="AG1255" s="7" t="s">
        <v>1177</v>
      </c>
      <c r="AH1255" s="38"/>
      <c r="AI1255" s="36">
        <v>0</v>
      </c>
      <c r="AJ1255" s="7" t="s">
        <v>1193</v>
      </c>
      <c r="AK1255" s="7" t="s">
        <v>1177</v>
      </c>
      <c r="AL1255" s="7" t="s">
        <v>1177</v>
      </c>
      <c r="AM1255" s="7" t="s">
        <v>1177</v>
      </c>
      <c r="AN1255" s="7" t="s">
        <v>3212</v>
      </c>
      <c r="AO1255" s="7" t="s">
        <v>1177</v>
      </c>
      <c r="AP1255" s="7" t="s">
        <v>1177</v>
      </c>
      <c r="AQ1255" s="7" t="s">
        <v>1177</v>
      </c>
      <c r="AR1255" s="29">
        <v>0</v>
      </c>
      <c r="AS1255" s="7" t="s">
        <v>1177</v>
      </c>
      <c r="AT1255" s="7" t="s">
        <v>1363</v>
      </c>
      <c r="AU1255" s="38">
        <v>46275</v>
      </c>
      <c r="AV1255" s="39">
        <v>0.62493055555555999</v>
      </c>
    </row>
    <row r="1256" spans="1:48" x14ac:dyDescent="0.35">
      <c r="A1256" t="str">
        <f t="shared" si="19"/>
        <v>GP301081B864</v>
      </c>
      <c r="B1256" s="7" t="s">
        <v>803</v>
      </c>
      <c r="C1256" s="7" t="s">
        <v>1010</v>
      </c>
      <c r="D1256" s="7" t="s">
        <v>10</v>
      </c>
      <c r="E1256" s="7" t="s">
        <v>1177</v>
      </c>
      <c r="F1256" s="7" t="s">
        <v>128</v>
      </c>
      <c r="G1256" s="7" t="s">
        <v>130</v>
      </c>
      <c r="H1256" s="7" t="s">
        <v>129</v>
      </c>
      <c r="I1256" s="30">
        <v>2</v>
      </c>
      <c r="J1256" s="7" t="s">
        <v>1177</v>
      </c>
      <c r="K1256" s="7" t="s">
        <v>1178</v>
      </c>
      <c r="L1256" s="7" t="s">
        <v>132</v>
      </c>
      <c r="M1256" s="7" t="s">
        <v>133</v>
      </c>
      <c r="N1256" s="30">
        <v>0</v>
      </c>
      <c r="O1256" s="30">
        <v>0</v>
      </c>
      <c r="P1256" s="30">
        <v>0</v>
      </c>
      <c r="Q1256" s="30">
        <v>0</v>
      </c>
      <c r="R1256" s="29">
        <v>0</v>
      </c>
      <c r="S1256" s="36">
        <v>0</v>
      </c>
      <c r="T1256" s="7" t="s">
        <v>131</v>
      </c>
      <c r="U1256" s="7" t="s">
        <v>1011</v>
      </c>
      <c r="V1256" s="7" t="s">
        <v>1011</v>
      </c>
      <c r="W1256" s="7" t="s">
        <v>1177</v>
      </c>
      <c r="X1256" s="30">
        <v>1</v>
      </c>
      <c r="Y1256" s="7" t="s">
        <v>1177</v>
      </c>
      <c r="Z1256" s="7" t="s">
        <v>1178</v>
      </c>
      <c r="AA1256" s="30">
        <v>0</v>
      </c>
      <c r="AB1256" s="36">
        <v>0</v>
      </c>
      <c r="AC1256" s="7" t="s">
        <v>1177</v>
      </c>
      <c r="AD1256" s="37">
        <v>0</v>
      </c>
      <c r="AE1256" s="7" t="s">
        <v>1177</v>
      </c>
      <c r="AF1256" s="7" t="s">
        <v>1177</v>
      </c>
      <c r="AG1256" s="7" t="s">
        <v>1177</v>
      </c>
      <c r="AH1256" s="38"/>
      <c r="AI1256" s="36">
        <v>0</v>
      </c>
      <c r="AJ1256" s="7" t="s">
        <v>1193</v>
      </c>
      <c r="AK1256" s="7" t="s">
        <v>1177</v>
      </c>
      <c r="AL1256" s="7" t="s">
        <v>1177</v>
      </c>
      <c r="AM1256" s="7" t="s">
        <v>1177</v>
      </c>
      <c r="AN1256" s="7" t="s">
        <v>3212</v>
      </c>
      <c r="AO1256" s="7" t="s">
        <v>1177</v>
      </c>
      <c r="AP1256" s="7" t="s">
        <v>1177</v>
      </c>
      <c r="AQ1256" s="7" t="s">
        <v>1177</v>
      </c>
      <c r="AR1256" s="29">
        <v>0</v>
      </c>
      <c r="AS1256" s="7" t="s">
        <v>1177</v>
      </c>
      <c r="AT1256" s="7" t="s">
        <v>1363</v>
      </c>
      <c r="AU1256" s="38">
        <v>46275</v>
      </c>
      <c r="AV1256" s="39">
        <v>0.62631944444443999</v>
      </c>
    </row>
    <row r="1257" spans="1:48" x14ac:dyDescent="0.35">
      <c r="A1257" t="str">
        <f t="shared" si="19"/>
        <v>GP301081B865</v>
      </c>
      <c r="B1257" s="7" t="s">
        <v>803</v>
      </c>
      <c r="C1257" s="7" t="s">
        <v>1039</v>
      </c>
      <c r="D1257" s="7" t="s">
        <v>7</v>
      </c>
      <c r="E1257" s="7" t="s">
        <v>1177</v>
      </c>
      <c r="F1257" s="7" t="s">
        <v>128</v>
      </c>
      <c r="G1257" s="7" t="s">
        <v>130</v>
      </c>
      <c r="H1257" s="7" t="s">
        <v>129</v>
      </c>
      <c r="I1257" s="30">
        <v>2</v>
      </c>
      <c r="J1257" s="7" t="s">
        <v>1177</v>
      </c>
      <c r="K1257" s="7" t="s">
        <v>1178</v>
      </c>
      <c r="L1257" s="7" t="s">
        <v>132</v>
      </c>
      <c r="M1257" s="7" t="s">
        <v>133</v>
      </c>
      <c r="N1257" s="30">
        <v>0</v>
      </c>
      <c r="O1257" s="30">
        <v>0</v>
      </c>
      <c r="P1257" s="30">
        <v>0</v>
      </c>
      <c r="Q1257" s="30">
        <v>0</v>
      </c>
      <c r="R1257" s="29">
        <v>0</v>
      </c>
      <c r="S1257" s="36">
        <v>0</v>
      </c>
      <c r="T1257" s="7" t="s">
        <v>131</v>
      </c>
      <c r="U1257" s="7" t="s">
        <v>1040</v>
      </c>
      <c r="V1257" s="7" t="s">
        <v>1040</v>
      </c>
      <c r="W1257" s="7" t="s">
        <v>1177</v>
      </c>
      <c r="X1257" s="30">
        <v>1</v>
      </c>
      <c r="Y1257" s="7" t="s">
        <v>1177</v>
      </c>
      <c r="Z1257" s="7" t="s">
        <v>1178</v>
      </c>
      <c r="AA1257" s="30">
        <v>0</v>
      </c>
      <c r="AB1257" s="36">
        <v>0</v>
      </c>
      <c r="AC1257" s="7" t="s">
        <v>1177</v>
      </c>
      <c r="AD1257" s="37">
        <v>0</v>
      </c>
      <c r="AE1257" s="7" t="s">
        <v>1177</v>
      </c>
      <c r="AF1257" s="7" t="s">
        <v>1177</v>
      </c>
      <c r="AG1257" s="7" t="s">
        <v>1177</v>
      </c>
      <c r="AH1257" s="38"/>
      <c r="AI1257" s="36">
        <v>0</v>
      </c>
      <c r="AJ1257" s="7" t="s">
        <v>1193</v>
      </c>
      <c r="AK1257" s="7" t="s">
        <v>1177</v>
      </c>
      <c r="AL1257" s="7" t="s">
        <v>1177</v>
      </c>
      <c r="AM1257" s="7" t="s">
        <v>1177</v>
      </c>
      <c r="AN1257" s="7" t="s">
        <v>3212</v>
      </c>
      <c r="AO1257" s="7" t="s">
        <v>1177</v>
      </c>
      <c r="AP1257" s="7" t="s">
        <v>1177</v>
      </c>
      <c r="AQ1257" s="7" t="s">
        <v>1177</v>
      </c>
      <c r="AR1257" s="29">
        <v>0</v>
      </c>
      <c r="AS1257" s="7" t="s">
        <v>1177</v>
      </c>
      <c r="AT1257" s="7" t="s">
        <v>1363</v>
      </c>
      <c r="AU1257" s="38">
        <v>46275</v>
      </c>
      <c r="AV1257" s="39">
        <v>0.62675925925926002</v>
      </c>
    </row>
    <row r="1258" spans="1:48" x14ac:dyDescent="0.35">
      <c r="A1258" t="str">
        <f t="shared" si="19"/>
        <v>GP305361B825</v>
      </c>
      <c r="B1258" s="7" t="s">
        <v>186</v>
      </c>
      <c r="C1258" s="7" t="s">
        <v>511</v>
      </c>
      <c r="D1258" s="7" t="s">
        <v>16</v>
      </c>
      <c r="E1258" s="7" t="s">
        <v>1177</v>
      </c>
      <c r="F1258" s="7" t="s">
        <v>128</v>
      </c>
      <c r="G1258" s="7" t="s">
        <v>130</v>
      </c>
      <c r="H1258" s="7" t="s">
        <v>129</v>
      </c>
      <c r="I1258" s="30">
        <v>2</v>
      </c>
      <c r="J1258" s="7" t="s">
        <v>1177</v>
      </c>
      <c r="K1258" s="7" t="s">
        <v>1178</v>
      </c>
      <c r="L1258" s="7" t="s">
        <v>132</v>
      </c>
      <c r="M1258" s="7" t="s">
        <v>133</v>
      </c>
      <c r="N1258" s="30">
        <v>0</v>
      </c>
      <c r="O1258" s="30">
        <v>0</v>
      </c>
      <c r="P1258" s="30">
        <v>0</v>
      </c>
      <c r="Q1258" s="30">
        <v>0</v>
      </c>
      <c r="R1258" s="29">
        <v>0</v>
      </c>
      <c r="S1258" s="36">
        <v>0</v>
      </c>
      <c r="T1258" s="7" t="s">
        <v>131</v>
      </c>
      <c r="U1258" s="7" t="s">
        <v>512</v>
      </c>
      <c r="V1258" s="7" t="s">
        <v>512</v>
      </c>
      <c r="W1258" s="7" t="s">
        <v>1177</v>
      </c>
      <c r="X1258" s="30">
        <v>1</v>
      </c>
      <c r="Y1258" s="7" t="s">
        <v>1177</v>
      </c>
      <c r="Z1258" s="7" t="s">
        <v>1178</v>
      </c>
      <c r="AA1258" s="30">
        <v>0</v>
      </c>
      <c r="AB1258" s="36">
        <v>0</v>
      </c>
      <c r="AC1258" s="7" t="s">
        <v>1177</v>
      </c>
      <c r="AD1258" s="37">
        <v>0</v>
      </c>
      <c r="AE1258" s="7" t="s">
        <v>1177</v>
      </c>
      <c r="AF1258" s="7" t="s">
        <v>1177</v>
      </c>
      <c r="AG1258" s="7" t="s">
        <v>1177</v>
      </c>
      <c r="AH1258" s="38"/>
      <c r="AI1258" s="36">
        <v>0</v>
      </c>
      <c r="AJ1258" s="7" t="s">
        <v>1193</v>
      </c>
      <c r="AK1258" s="7" t="s">
        <v>1177</v>
      </c>
      <c r="AL1258" s="7" t="s">
        <v>1177</v>
      </c>
      <c r="AM1258" s="7" t="s">
        <v>1177</v>
      </c>
      <c r="AN1258" s="7" t="s">
        <v>3212</v>
      </c>
      <c r="AO1258" s="7" t="s">
        <v>1177</v>
      </c>
      <c r="AP1258" s="7" t="s">
        <v>1177</v>
      </c>
      <c r="AQ1258" s="7" t="s">
        <v>1177</v>
      </c>
      <c r="AR1258" s="29">
        <v>0</v>
      </c>
      <c r="AS1258" s="7" t="s">
        <v>1177</v>
      </c>
      <c r="AT1258" s="7" t="s">
        <v>1363</v>
      </c>
      <c r="AU1258" s="38">
        <v>46275</v>
      </c>
      <c r="AV1258" s="39">
        <v>0.6034837962963</v>
      </c>
    </row>
    <row r="1259" spans="1:48" x14ac:dyDescent="0.35">
      <c r="A1259" t="str">
        <f t="shared" si="19"/>
        <v>GP305361B832</v>
      </c>
      <c r="B1259" s="7" t="s">
        <v>186</v>
      </c>
      <c r="C1259" s="7" t="s">
        <v>653</v>
      </c>
      <c r="D1259" s="7" t="s">
        <v>19</v>
      </c>
      <c r="E1259" s="7" t="s">
        <v>1177</v>
      </c>
      <c r="F1259" s="7" t="s">
        <v>128</v>
      </c>
      <c r="G1259" s="7" t="s">
        <v>130</v>
      </c>
      <c r="H1259" s="7" t="s">
        <v>129</v>
      </c>
      <c r="I1259" s="30">
        <v>1</v>
      </c>
      <c r="J1259" s="7" t="s">
        <v>1177</v>
      </c>
      <c r="K1259" s="7" t="s">
        <v>1178</v>
      </c>
      <c r="L1259" s="7" t="s">
        <v>132</v>
      </c>
      <c r="M1259" s="7" t="s">
        <v>133</v>
      </c>
      <c r="N1259" s="30">
        <v>0</v>
      </c>
      <c r="O1259" s="30">
        <v>0</v>
      </c>
      <c r="P1259" s="30">
        <v>0</v>
      </c>
      <c r="Q1259" s="30">
        <v>0</v>
      </c>
      <c r="R1259" s="29">
        <v>0</v>
      </c>
      <c r="S1259" s="36">
        <v>0</v>
      </c>
      <c r="T1259" s="7" t="s">
        <v>131</v>
      </c>
      <c r="U1259" s="7" t="s">
        <v>654</v>
      </c>
      <c r="V1259" s="7" t="s">
        <v>654</v>
      </c>
      <c r="W1259" s="7" t="s">
        <v>1177</v>
      </c>
      <c r="X1259" s="30">
        <v>1</v>
      </c>
      <c r="Y1259" s="7" t="s">
        <v>1177</v>
      </c>
      <c r="Z1259" s="7" t="s">
        <v>1178</v>
      </c>
      <c r="AA1259" s="30">
        <v>0</v>
      </c>
      <c r="AB1259" s="36">
        <v>0</v>
      </c>
      <c r="AC1259" s="7" t="s">
        <v>1177</v>
      </c>
      <c r="AD1259" s="37">
        <v>0</v>
      </c>
      <c r="AE1259" s="7" t="s">
        <v>1177</v>
      </c>
      <c r="AF1259" s="7" t="s">
        <v>1177</v>
      </c>
      <c r="AG1259" s="7" t="s">
        <v>1177</v>
      </c>
      <c r="AH1259" s="38"/>
      <c r="AI1259" s="36">
        <v>0</v>
      </c>
      <c r="AJ1259" s="7" t="s">
        <v>1193</v>
      </c>
      <c r="AK1259" s="7" t="s">
        <v>1177</v>
      </c>
      <c r="AL1259" s="7" t="s">
        <v>1177</v>
      </c>
      <c r="AM1259" s="7" t="s">
        <v>1177</v>
      </c>
      <c r="AN1259" s="7" t="s">
        <v>3212</v>
      </c>
      <c r="AO1259" s="7" t="s">
        <v>1177</v>
      </c>
      <c r="AP1259" s="7" t="s">
        <v>1177</v>
      </c>
      <c r="AQ1259" s="7" t="s">
        <v>1177</v>
      </c>
      <c r="AR1259" s="29">
        <v>0</v>
      </c>
      <c r="AS1259" s="7" t="s">
        <v>1177</v>
      </c>
      <c r="AT1259" s="7" t="s">
        <v>1363</v>
      </c>
      <c r="AU1259" s="38">
        <v>46275</v>
      </c>
      <c r="AV1259" s="39">
        <v>0.60384259259258999</v>
      </c>
    </row>
    <row r="1260" spans="1:48" x14ac:dyDescent="0.35">
      <c r="A1260" t="str">
        <f t="shared" si="19"/>
        <v>GP305361B838</v>
      </c>
      <c r="B1260" s="7" t="s">
        <v>186</v>
      </c>
      <c r="C1260" s="7" t="s">
        <v>744</v>
      </c>
      <c r="D1260" s="7" t="s">
        <v>48</v>
      </c>
      <c r="E1260" s="7" t="s">
        <v>1177</v>
      </c>
      <c r="F1260" s="7" t="s">
        <v>128</v>
      </c>
      <c r="G1260" s="7" t="s">
        <v>130</v>
      </c>
      <c r="H1260" s="7" t="s">
        <v>129</v>
      </c>
      <c r="I1260" s="30">
        <v>1</v>
      </c>
      <c r="J1260" s="7" t="s">
        <v>1177</v>
      </c>
      <c r="K1260" s="7" t="s">
        <v>1178</v>
      </c>
      <c r="L1260" s="7" t="s">
        <v>132</v>
      </c>
      <c r="M1260" s="7" t="s">
        <v>133</v>
      </c>
      <c r="N1260" s="30">
        <v>0</v>
      </c>
      <c r="O1260" s="30">
        <v>0</v>
      </c>
      <c r="P1260" s="30">
        <v>0</v>
      </c>
      <c r="Q1260" s="30">
        <v>0</v>
      </c>
      <c r="R1260" s="29">
        <v>0</v>
      </c>
      <c r="S1260" s="36">
        <v>0</v>
      </c>
      <c r="T1260" s="7" t="s">
        <v>131</v>
      </c>
      <c r="U1260" s="7" t="s">
        <v>745</v>
      </c>
      <c r="V1260" s="7" t="s">
        <v>745</v>
      </c>
      <c r="W1260" s="7" t="s">
        <v>1177</v>
      </c>
      <c r="X1260" s="30">
        <v>1</v>
      </c>
      <c r="Y1260" s="7" t="s">
        <v>1177</v>
      </c>
      <c r="Z1260" s="7" t="s">
        <v>1178</v>
      </c>
      <c r="AA1260" s="30">
        <v>0</v>
      </c>
      <c r="AB1260" s="36">
        <v>0</v>
      </c>
      <c r="AC1260" s="7" t="s">
        <v>1177</v>
      </c>
      <c r="AD1260" s="37">
        <v>0</v>
      </c>
      <c r="AE1260" s="7" t="s">
        <v>1177</v>
      </c>
      <c r="AF1260" s="7" t="s">
        <v>1177</v>
      </c>
      <c r="AG1260" s="7" t="s">
        <v>1177</v>
      </c>
      <c r="AH1260" s="38"/>
      <c r="AI1260" s="36">
        <v>0</v>
      </c>
      <c r="AJ1260" s="7" t="s">
        <v>1193</v>
      </c>
      <c r="AK1260" s="7" t="s">
        <v>1177</v>
      </c>
      <c r="AL1260" s="7" t="s">
        <v>1177</v>
      </c>
      <c r="AM1260" s="7" t="s">
        <v>1177</v>
      </c>
      <c r="AN1260" s="7" t="s">
        <v>3212</v>
      </c>
      <c r="AO1260" s="7" t="s">
        <v>1177</v>
      </c>
      <c r="AP1260" s="7" t="s">
        <v>1177</v>
      </c>
      <c r="AQ1260" s="7" t="s">
        <v>1177</v>
      </c>
      <c r="AR1260" s="29">
        <v>0</v>
      </c>
      <c r="AS1260" s="7" t="s">
        <v>1177</v>
      </c>
      <c r="AT1260" s="7" t="s">
        <v>1363</v>
      </c>
      <c r="AU1260" s="38">
        <v>46275</v>
      </c>
      <c r="AV1260" s="39">
        <v>0.60472222222222005</v>
      </c>
    </row>
    <row r="1261" spans="1:48" x14ac:dyDescent="0.35">
      <c r="A1261" t="str">
        <f t="shared" si="19"/>
        <v>GP305361B856</v>
      </c>
      <c r="B1261" s="7" t="s">
        <v>186</v>
      </c>
      <c r="C1261" s="7" t="s">
        <v>852</v>
      </c>
      <c r="D1261" s="7" t="s">
        <v>21</v>
      </c>
      <c r="E1261" s="7" t="s">
        <v>1177</v>
      </c>
      <c r="F1261" s="7" t="s">
        <v>128</v>
      </c>
      <c r="G1261" s="7" t="s">
        <v>130</v>
      </c>
      <c r="H1261" s="7" t="s">
        <v>129</v>
      </c>
      <c r="I1261" s="30">
        <v>2</v>
      </c>
      <c r="J1261" s="7" t="s">
        <v>1177</v>
      </c>
      <c r="K1261" s="7" t="s">
        <v>1178</v>
      </c>
      <c r="L1261" s="7" t="s">
        <v>132</v>
      </c>
      <c r="M1261" s="7" t="s">
        <v>133</v>
      </c>
      <c r="N1261" s="30">
        <v>0</v>
      </c>
      <c r="O1261" s="30">
        <v>0</v>
      </c>
      <c r="P1261" s="30">
        <v>0</v>
      </c>
      <c r="Q1261" s="30">
        <v>0</v>
      </c>
      <c r="R1261" s="29">
        <v>0</v>
      </c>
      <c r="S1261" s="36">
        <v>0</v>
      </c>
      <c r="T1261" s="7" t="s">
        <v>131</v>
      </c>
      <c r="U1261" s="7" t="s">
        <v>853</v>
      </c>
      <c r="V1261" s="7" t="s">
        <v>853</v>
      </c>
      <c r="W1261" s="7" t="s">
        <v>1177</v>
      </c>
      <c r="X1261" s="30">
        <v>1</v>
      </c>
      <c r="Y1261" s="7" t="s">
        <v>1177</v>
      </c>
      <c r="Z1261" s="7" t="s">
        <v>1178</v>
      </c>
      <c r="AA1261" s="30">
        <v>0</v>
      </c>
      <c r="AB1261" s="36">
        <v>0</v>
      </c>
      <c r="AC1261" s="7" t="s">
        <v>1177</v>
      </c>
      <c r="AD1261" s="37">
        <v>0</v>
      </c>
      <c r="AE1261" s="7" t="s">
        <v>1177</v>
      </c>
      <c r="AF1261" s="7" t="s">
        <v>1177</v>
      </c>
      <c r="AG1261" s="7" t="s">
        <v>1177</v>
      </c>
      <c r="AH1261" s="38"/>
      <c r="AI1261" s="36">
        <v>0</v>
      </c>
      <c r="AJ1261" s="7" t="s">
        <v>1193</v>
      </c>
      <c r="AK1261" s="7" t="s">
        <v>1177</v>
      </c>
      <c r="AL1261" s="7" t="s">
        <v>1177</v>
      </c>
      <c r="AM1261" s="7" t="s">
        <v>1177</v>
      </c>
      <c r="AN1261" s="7" t="s">
        <v>3212</v>
      </c>
      <c r="AO1261" s="7" t="s">
        <v>1177</v>
      </c>
      <c r="AP1261" s="7" t="s">
        <v>1177</v>
      </c>
      <c r="AQ1261" s="7" t="s">
        <v>1177</v>
      </c>
      <c r="AR1261" s="29">
        <v>0</v>
      </c>
      <c r="AS1261" s="7" t="s">
        <v>1177</v>
      </c>
      <c r="AT1261" s="7" t="s">
        <v>1363</v>
      </c>
      <c r="AU1261" s="38">
        <v>46275</v>
      </c>
      <c r="AV1261" s="39">
        <v>0.60524305555556002</v>
      </c>
    </row>
    <row r="1262" spans="1:48" x14ac:dyDescent="0.35">
      <c r="A1262" t="str">
        <f t="shared" si="19"/>
        <v>GP305361B857</v>
      </c>
      <c r="B1262" s="7" t="s">
        <v>186</v>
      </c>
      <c r="C1262" s="7" t="s">
        <v>958</v>
      </c>
      <c r="D1262" s="7" t="s">
        <v>23</v>
      </c>
      <c r="E1262" s="7" t="s">
        <v>1177</v>
      </c>
      <c r="F1262" s="7" t="s">
        <v>128</v>
      </c>
      <c r="G1262" s="7" t="s">
        <v>130</v>
      </c>
      <c r="H1262" s="7" t="s">
        <v>129</v>
      </c>
      <c r="I1262" s="30">
        <v>3</v>
      </c>
      <c r="J1262" s="7" t="s">
        <v>1177</v>
      </c>
      <c r="K1262" s="7" t="s">
        <v>1178</v>
      </c>
      <c r="L1262" s="7" t="s">
        <v>132</v>
      </c>
      <c r="M1262" s="7" t="s">
        <v>133</v>
      </c>
      <c r="N1262" s="30">
        <v>0</v>
      </c>
      <c r="O1262" s="30">
        <v>0</v>
      </c>
      <c r="P1262" s="30">
        <v>0</v>
      </c>
      <c r="Q1262" s="30">
        <v>0</v>
      </c>
      <c r="R1262" s="29">
        <v>0</v>
      </c>
      <c r="S1262" s="36">
        <v>0</v>
      </c>
      <c r="T1262" s="7" t="s">
        <v>131</v>
      </c>
      <c r="U1262" s="7" t="s">
        <v>959</v>
      </c>
      <c r="V1262" s="7" t="s">
        <v>959</v>
      </c>
      <c r="W1262" s="7" t="s">
        <v>1177</v>
      </c>
      <c r="X1262" s="30">
        <v>1</v>
      </c>
      <c r="Y1262" s="7" t="s">
        <v>1177</v>
      </c>
      <c r="Z1262" s="7" t="s">
        <v>1178</v>
      </c>
      <c r="AA1262" s="30">
        <v>0</v>
      </c>
      <c r="AB1262" s="36">
        <v>0</v>
      </c>
      <c r="AC1262" s="7" t="s">
        <v>1177</v>
      </c>
      <c r="AD1262" s="37">
        <v>0</v>
      </c>
      <c r="AE1262" s="7" t="s">
        <v>1177</v>
      </c>
      <c r="AF1262" s="7" t="s">
        <v>1177</v>
      </c>
      <c r="AG1262" s="7" t="s">
        <v>1177</v>
      </c>
      <c r="AH1262" s="38"/>
      <c r="AI1262" s="36">
        <v>0</v>
      </c>
      <c r="AJ1262" s="7" t="s">
        <v>1193</v>
      </c>
      <c r="AK1262" s="7" t="s">
        <v>1177</v>
      </c>
      <c r="AL1262" s="7" t="s">
        <v>1177</v>
      </c>
      <c r="AM1262" s="7" t="s">
        <v>1177</v>
      </c>
      <c r="AN1262" s="7" t="s">
        <v>3212</v>
      </c>
      <c r="AO1262" s="7" t="s">
        <v>1177</v>
      </c>
      <c r="AP1262" s="7" t="s">
        <v>1177</v>
      </c>
      <c r="AQ1262" s="7" t="s">
        <v>1177</v>
      </c>
      <c r="AR1262" s="29">
        <v>0</v>
      </c>
      <c r="AS1262" s="7" t="s">
        <v>1177</v>
      </c>
      <c r="AT1262" s="7" t="s">
        <v>1363</v>
      </c>
      <c r="AU1262" s="38">
        <v>46275</v>
      </c>
      <c r="AV1262" s="39">
        <v>0.60526620370369999</v>
      </c>
    </row>
    <row r="1263" spans="1:48" x14ac:dyDescent="0.35">
      <c r="A1263" t="str">
        <f t="shared" si="19"/>
        <v>GP305361B864</v>
      </c>
      <c r="B1263" s="7" t="s">
        <v>186</v>
      </c>
      <c r="C1263" s="7" t="s">
        <v>1010</v>
      </c>
      <c r="D1263" s="7" t="s">
        <v>10</v>
      </c>
      <c r="E1263" s="7" t="s">
        <v>1177</v>
      </c>
      <c r="F1263" s="7" t="s">
        <v>128</v>
      </c>
      <c r="G1263" s="7" t="s">
        <v>130</v>
      </c>
      <c r="H1263" s="7" t="s">
        <v>129</v>
      </c>
      <c r="I1263" s="30">
        <v>2</v>
      </c>
      <c r="J1263" s="7" t="s">
        <v>1177</v>
      </c>
      <c r="K1263" s="7" t="s">
        <v>1178</v>
      </c>
      <c r="L1263" s="7" t="s">
        <v>132</v>
      </c>
      <c r="M1263" s="7" t="s">
        <v>133</v>
      </c>
      <c r="N1263" s="30">
        <v>0</v>
      </c>
      <c r="O1263" s="30">
        <v>0</v>
      </c>
      <c r="P1263" s="30">
        <v>0</v>
      </c>
      <c r="Q1263" s="30">
        <v>0</v>
      </c>
      <c r="R1263" s="29">
        <v>0</v>
      </c>
      <c r="S1263" s="36">
        <v>0</v>
      </c>
      <c r="T1263" s="7" t="s">
        <v>131</v>
      </c>
      <c r="U1263" s="7" t="s">
        <v>1011</v>
      </c>
      <c r="V1263" s="7" t="s">
        <v>1011</v>
      </c>
      <c r="W1263" s="7" t="s">
        <v>1177</v>
      </c>
      <c r="X1263" s="30">
        <v>1</v>
      </c>
      <c r="Y1263" s="7" t="s">
        <v>1177</v>
      </c>
      <c r="Z1263" s="7" t="s">
        <v>1178</v>
      </c>
      <c r="AA1263" s="30">
        <v>0</v>
      </c>
      <c r="AB1263" s="36">
        <v>0</v>
      </c>
      <c r="AC1263" s="7" t="s">
        <v>1177</v>
      </c>
      <c r="AD1263" s="37">
        <v>0</v>
      </c>
      <c r="AE1263" s="7" t="s">
        <v>1177</v>
      </c>
      <c r="AF1263" s="7" t="s">
        <v>1177</v>
      </c>
      <c r="AG1263" s="7" t="s">
        <v>1177</v>
      </c>
      <c r="AH1263" s="38"/>
      <c r="AI1263" s="36">
        <v>0</v>
      </c>
      <c r="AJ1263" s="7" t="s">
        <v>1193</v>
      </c>
      <c r="AK1263" s="7" t="s">
        <v>1177</v>
      </c>
      <c r="AL1263" s="7" t="s">
        <v>1177</v>
      </c>
      <c r="AM1263" s="7" t="s">
        <v>1177</v>
      </c>
      <c r="AN1263" s="7" t="s">
        <v>3212</v>
      </c>
      <c r="AO1263" s="7" t="s">
        <v>1177</v>
      </c>
      <c r="AP1263" s="7" t="s">
        <v>1177</v>
      </c>
      <c r="AQ1263" s="7" t="s">
        <v>1177</v>
      </c>
      <c r="AR1263" s="29">
        <v>0</v>
      </c>
      <c r="AS1263" s="7" t="s">
        <v>1177</v>
      </c>
      <c r="AT1263" s="7" t="s">
        <v>1363</v>
      </c>
      <c r="AU1263" s="38">
        <v>46275</v>
      </c>
      <c r="AV1263" s="39">
        <v>0.60542824074073998</v>
      </c>
    </row>
    <row r="1264" spans="1:48" x14ac:dyDescent="0.35">
      <c r="A1264" t="str">
        <f t="shared" si="19"/>
        <v>GP305361B865</v>
      </c>
      <c r="B1264" s="7" t="s">
        <v>186</v>
      </c>
      <c r="C1264" s="7" t="s">
        <v>1039</v>
      </c>
      <c r="D1264" s="7" t="s">
        <v>7</v>
      </c>
      <c r="E1264" s="7" t="s">
        <v>1177</v>
      </c>
      <c r="F1264" s="7" t="s">
        <v>128</v>
      </c>
      <c r="G1264" s="7" t="s">
        <v>130</v>
      </c>
      <c r="H1264" s="7" t="s">
        <v>129</v>
      </c>
      <c r="I1264" s="30">
        <v>2</v>
      </c>
      <c r="J1264" s="7" t="s">
        <v>1177</v>
      </c>
      <c r="K1264" s="7" t="s">
        <v>1178</v>
      </c>
      <c r="L1264" s="7" t="s">
        <v>132</v>
      </c>
      <c r="M1264" s="7" t="s">
        <v>133</v>
      </c>
      <c r="N1264" s="30">
        <v>0</v>
      </c>
      <c r="O1264" s="30">
        <v>0</v>
      </c>
      <c r="P1264" s="30">
        <v>0</v>
      </c>
      <c r="Q1264" s="30">
        <v>0</v>
      </c>
      <c r="R1264" s="29">
        <v>0</v>
      </c>
      <c r="S1264" s="36">
        <v>0</v>
      </c>
      <c r="T1264" s="7" t="s">
        <v>131</v>
      </c>
      <c r="U1264" s="7" t="s">
        <v>1040</v>
      </c>
      <c r="V1264" s="7" t="s">
        <v>1040</v>
      </c>
      <c r="W1264" s="7" t="s">
        <v>1177</v>
      </c>
      <c r="X1264" s="30">
        <v>1</v>
      </c>
      <c r="Y1264" s="7" t="s">
        <v>1177</v>
      </c>
      <c r="Z1264" s="7" t="s">
        <v>1178</v>
      </c>
      <c r="AA1264" s="30">
        <v>0</v>
      </c>
      <c r="AB1264" s="36">
        <v>0</v>
      </c>
      <c r="AC1264" s="7" t="s">
        <v>1177</v>
      </c>
      <c r="AD1264" s="37">
        <v>0</v>
      </c>
      <c r="AE1264" s="7" t="s">
        <v>1177</v>
      </c>
      <c r="AF1264" s="7" t="s">
        <v>1177</v>
      </c>
      <c r="AG1264" s="7" t="s">
        <v>1177</v>
      </c>
      <c r="AH1264" s="38"/>
      <c r="AI1264" s="36">
        <v>0</v>
      </c>
      <c r="AJ1264" s="7" t="s">
        <v>1193</v>
      </c>
      <c r="AK1264" s="7" t="s">
        <v>1177</v>
      </c>
      <c r="AL1264" s="7" t="s">
        <v>1177</v>
      </c>
      <c r="AM1264" s="7" t="s">
        <v>1177</v>
      </c>
      <c r="AN1264" s="7" t="s">
        <v>3212</v>
      </c>
      <c r="AO1264" s="7" t="s">
        <v>1177</v>
      </c>
      <c r="AP1264" s="7" t="s">
        <v>1177</v>
      </c>
      <c r="AQ1264" s="7" t="s">
        <v>1177</v>
      </c>
      <c r="AR1264" s="29">
        <v>0</v>
      </c>
      <c r="AS1264" s="7" t="s">
        <v>1177</v>
      </c>
      <c r="AT1264" s="7" t="s">
        <v>1363</v>
      </c>
      <c r="AU1264" s="38">
        <v>46275</v>
      </c>
      <c r="AV1264" s="39">
        <v>0.60549768518518998</v>
      </c>
    </row>
    <row r="1265" spans="1:48" x14ac:dyDescent="0.35">
      <c r="A1265" t="str">
        <f t="shared" si="19"/>
        <v>GP305361B867</v>
      </c>
      <c r="B1265" s="7" t="s">
        <v>186</v>
      </c>
      <c r="C1265" s="7" t="s">
        <v>1059</v>
      </c>
      <c r="D1265" s="7" t="s">
        <v>25</v>
      </c>
      <c r="E1265" s="7" t="s">
        <v>1177</v>
      </c>
      <c r="F1265" s="7" t="s">
        <v>128</v>
      </c>
      <c r="G1265" s="7" t="s">
        <v>130</v>
      </c>
      <c r="H1265" s="7" t="s">
        <v>129</v>
      </c>
      <c r="I1265" s="30">
        <v>2</v>
      </c>
      <c r="J1265" s="7" t="s">
        <v>1177</v>
      </c>
      <c r="K1265" s="7" t="s">
        <v>1178</v>
      </c>
      <c r="L1265" s="7" t="s">
        <v>132</v>
      </c>
      <c r="M1265" s="7" t="s">
        <v>133</v>
      </c>
      <c r="N1265" s="30">
        <v>0</v>
      </c>
      <c r="O1265" s="30">
        <v>0</v>
      </c>
      <c r="P1265" s="30">
        <v>0</v>
      </c>
      <c r="Q1265" s="30">
        <v>0</v>
      </c>
      <c r="R1265" s="29">
        <v>0</v>
      </c>
      <c r="S1265" s="36">
        <v>0</v>
      </c>
      <c r="T1265" s="7" t="s">
        <v>131</v>
      </c>
      <c r="U1265" s="7" t="s">
        <v>1060</v>
      </c>
      <c r="V1265" s="7" t="s">
        <v>1060</v>
      </c>
      <c r="W1265" s="7" t="s">
        <v>1177</v>
      </c>
      <c r="X1265" s="30">
        <v>1</v>
      </c>
      <c r="Y1265" s="7" t="s">
        <v>1177</v>
      </c>
      <c r="Z1265" s="7" t="s">
        <v>1178</v>
      </c>
      <c r="AA1265" s="30">
        <v>0</v>
      </c>
      <c r="AB1265" s="36">
        <v>0</v>
      </c>
      <c r="AC1265" s="7" t="s">
        <v>1177</v>
      </c>
      <c r="AD1265" s="37">
        <v>0</v>
      </c>
      <c r="AE1265" s="7" t="s">
        <v>1177</v>
      </c>
      <c r="AF1265" s="7" t="s">
        <v>1177</v>
      </c>
      <c r="AG1265" s="7" t="s">
        <v>1177</v>
      </c>
      <c r="AH1265" s="38"/>
      <c r="AI1265" s="36">
        <v>0</v>
      </c>
      <c r="AJ1265" s="7" t="s">
        <v>1193</v>
      </c>
      <c r="AK1265" s="7" t="s">
        <v>1177</v>
      </c>
      <c r="AL1265" s="7" t="s">
        <v>1177</v>
      </c>
      <c r="AM1265" s="7" t="s">
        <v>1177</v>
      </c>
      <c r="AN1265" s="7" t="s">
        <v>3212</v>
      </c>
      <c r="AO1265" s="7" t="s">
        <v>1177</v>
      </c>
      <c r="AP1265" s="7" t="s">
        <v>1177</v>
      </c>
      <c r="AQ1265" s="7" t="s">
        <v>1177</v>
      </c>
      <c r="AR1265" s="29">
        <v>0</v>
      </c>
      <c r="AS1265" s="7" t="s">
        <v>1177</v>
      </c>
      <c r="AT1265" s="7" t="s">
        <v>1363</v>
      </c>
      <c r="AU1265" s="38">
        <v>46275</v>
      </c>
      <c r="AV1265" s="39">
        <v>0.60563657407407001</v>
      </c>
    </row>
    <row r="1266" spans="1:48" x14ac:dyDescent="0.35">
      <c r="A1266" t="str">
        <f t="shared" si="19"/>
        <v>GP307243B838</v>
      </c>
      <c r="B1266" s="7" t="s">
        <v>759</v>
      </c>
      <c r="C1266" s="7" t="s">
        <v>744</v>
      </c>
      <c r="D1266" s="7" t="s">
        <v>48</v>
      </c>
      <c r="E1266" s="7" t="s">
        <v>1177</v>
      </c>
      <c r="F1266" s="7" t="s">
        <v>128</v>
      </c>
      <c r="G1266" s="7" t="s">
        <v>130</v>
      </c>
      <c r="H1266" s="7" t="s">
        <v>129</v>
      </c>
      <c r="I1266" s="30">
        <v>2</v>
      </c>
      <c r="J1266" s="7" t="s">
        <v>1177</v>
      </c>
      <c r="K1266" s="7" t="s">
        <v>1178</v>
      </c>
      <c r="L1266" s="7" t="s">
        <v>132</v>
      </c>
      <c r="M1266" s="7" t="s">
        <v>133</v>
      </c>
      <c r="N1266" s="30">
        <v>0</v>
      </c>
      <c r="O1266" s="30">
        <v>0</v>
      </c>
      <c r="P1266" s="30">
        <v>0</v>
      </c>
      <c r="Q1266" s="30">
        <v>0</v>
      </c>
      <c r="R1266" s="29">
        <v>0</v>
      </c>
      <c r="S1266" s="36">
        <v>0</v>
      </c>
      <c r="T1266" s="7" t="s">
        <v>131</v>
      </c>
      <c r="U1266" s="7" t="s">
        <v>745</v>
      </c>
      <c r="V1266" s="7" t="s">
        <v>745</v>
      </c>
      <c r="W1266" s="7" t="s">
        <v>1177</v>
      </c>
      <c r="X1266" s="30">
        <v>1</v>
      </c>
      <c r="Y1266" s="7" t="s">
        <v>1177</v>
      </c>
      <c r="Z1266" s="7" t="s">
        <v>1178</v>
      </c>
      <c r="AA1266" s="30">
        <v>0</v>
      </c>
      <c r="AB1266" s="36">
        <v>0</v>
      </c>
      <c r="AC1266" s="7" t="s">
        <v>1177</v>
      </c>
      <c r="AD1266" s="37">
        <v>0</v>
      </c>
      <c r="AE1266" s="7" t="s">
        <v>1177</v>
      </c>
      <c r="AF1266" s="7" t="s">
        <v>1177</v>
      </c>
      <c r="AG1266" s="7" t="s">
        <v>1177</v>
      </c>
      <c r="AH1266" s="38"/>
      <c r="AI1266" s="36">
        <v>0</v>
      </c>
      <c r="AJ1266" s="7" t="s">
        <v>1193</v>
      </c>
      <c r="AK1266" s="7" t="s">
        <v>1177</v>
      </c>
      <c r="AL1266" s="7" t="s">
        <v>1177</v>
      </c>
      <c r="AM1266" s="7" t="s">
        <v>1177</v>
      </c>
      <c r="AN1266" s="7" t="s">
        <v>3212</v>
      </c>
      <c r="AO1266" s="7" t="s">
        <v>1177</v>
      </c>
      <c r="AP1266" s="7" t="s">
        <v>1177</v>
      </c>
      <c r="AQ1266" s="7" t="s">
        <v>1177</v>
      </c>
      <c r="AR1266" s="29">
        <v>0</v>
      </c>
      <c r="AS1266" s="7" t="s">
        <v>1177</v>
      </c>
      <c r="AT1266" s="7" t="s">
        <v>1363</v>
      </c>
      <c r="AU1266" s="38">
        <v>46275</v>
      </c>
      <c r="AV1266" s="39">
        <v>0.62408564814815004</v>
      </c>
    </row>
    <row r="1267" spans="1:48" x14ac:dyDescent="0.35">
      <c r="A1267" t="str">
        <f t="shared" si="19"/>
        <v>GP307720B825</v>
      </c>
      <c r="B1267" s="7" t="s">
        <v>85</v>
      </c>
      <c r="C1267" s="7" t="s">
        <v>511</v>
      </c>
      <c r="D1267" s="7" t="s">
        <v>16</v>
      </c>
      <c r="E1267" s="7" t="s">
        <v>1177</v>
      </c>
      <c r="F1267" s="7" t="s">
        <v>128</v>
      </c>
      <c r="G1267" s="7" t="s">
        <v>130</v>
      </c>
      <c r="H1267" s="7" t="s">
        <v>129</v>
      </c>
      <c r="I1267" s="30">
        <v>2</v>
      </c>
      <c r="J1267" s="7" t="s">
        <v>1177</v>
      </c>
      <c r="K1267" s="7" t="s">
        <v>1178</v>
      </c>
      <c r="L1267" s="7" t="s">
        <v>132</v>
      </c>
      <c r="M1267" s="7" t="s">
        <v>133</v>
      </c>
      <c r="N1267" s="30">
        <v>0</v>
      </c>
      <c r="O1267" s="30">
        <v>0</v>
      </c>
      <c r="P1267" s="30">
        <v>0</v>
      </c>
      <c r="Q1267" s="30">
        <v>0</v>
      </c>
      <c r="R1267" s="29">
        <v>0</v>
      </c>
      <c r="S1267" s="36">
        <v>0</v>
      </c>
      <c r="T1267" s="7" t="s">
        <v>131</v>
      </c>
      <c r="U1267" s="7" t="s">
        <v>512</v>
      </c>
      <c r="V1267" s="7" t="s">
        <v>512</v>
      </c>
      <c r="W1267" s="7" t="s">
        <v>1177</v>
      </c>
      <c r="X1267" s="30">
        <v>1</v>
      </c>
      <c r="Y1267" s="7" t="s">
        <v>1177</v>
      </c>
      <c r="Z1267" s="7" t="s">
        <v>1178</v>
      </c>
      <c r="AA1267" s="30">
        <v>0</v>
      </c>
      <c r="AB1267" s="36">
        <v>0</v>
      </c>
      <c r="AC1267" s="7" t="s">
        <v>1177</v>
      </c>
      <c r="AD1267" s="37">
        <v>0</v>
      </c>
      <c r="AE1267" s="7" t="s">
        <v>1177</v>
      </c>
      <c r="AF1267" s="7" t="s">
        <v>1177</v>
      </c>
      <c r="AG1267" s="7" t="s">
        <v>1177</v>
      </c>
      <c r="AH1267" s="38"/>
      <c r="AI1267" s="36">
        <v>0</v>
      </c>
      <c r="AJ1267" s="7" t="s">
        <v>1193</v>
      </c>
      <c r="AK1267" s="7" t="s">
        <v>1177</v>
      </c>
      <c r="AL1267" s="7" t="s">
        <v>1177</v>
      </c>
      <c r="AM1267" s="7" t="s">
        <v>1177</v>
      </c>
      <c r="AN1267" s="7" t="s">
        <v>3212</v>
      </c>
      <c r="AO1267" s="7" t="s">
        <v>1177</v>
      </c>
      <c r="AP1267" s="7" t="s">
        <v>1177</v>
      </c>
      <c r="AQ1267" s="7" t="s">
        <v>1177</v>
      </c>
      <c r="AR1267" s="29">
        <v>0</v>
      </c>
      <c r="AS1267" s="7" t="s">
        <v>1177</v>
      </c>
      <c r="AT1267" s="7" t="s">
        <v>1363</v>
      </c>
      <c r="AU1267" s="38">
        <v>46275</v>
      </c>
      <c r="AV1267" s="39">
        <v>0.6034837962963</v>
      </c>
    </row>
    <row r="1268" spans="1:48" x14ac:dyDescent="0.35">
      <c r="A1268" t="str">
        <f t="shared" si="19"/>
        <v>GP309296B857</v>
      </c>
      <c r="B1268" s="7" t="s">
        <v>980</v>
      </c>
      <c r="C1268" s="7" t="s">
        <v>958</v>
      </c>
      <c r="D1268" s="7" t="s">
        <v>23</v>
      </c>
      <c r="E1268" s="7" t="s">
        <v>1177</v>
      </c>
      <c r="F1268" s="7" t="s">
        <v>128</v>
      </c>
      <c r="G1268" s="7" t="s">
        <v>130</v>
      </c>
      <c r="H1268" s="7" t="s">
        <v>129</v>
      </c>
      <c r="I1268" s="30">
        <v>1</v>
      </c>
      <c r="J1268" s="7" t="s">
        <v>1177</v>
      </c>
      <c r="K1268" s="7" t="s">
        <v>1178</v>
      </c>
      <c r="L1268" s="7" t="s">
        <v>132</v>
      </c>
      <c r="M1268" s="7" t="s">
        <v>133</v>
      </c>
      <c r="N1268" s="30">
        <v>0</v>
      </c>
      <c r="O1268" s="30">
        <v>0</v>
      </c>
      <c r="P1268" s="30">
        <v>0</v>
      </c>
      <c r="Q1268" s="30">
        <v>0</v>
      </c>
      <c r="R1268" s="29">
        <v>0</v>
      </c>
      <c r="S1268" s="36">
        <v>0</v>
      </c>
      <c r="T1268" s="7" t="s">
        <v>131</v>
      </c>
      <c r="U1268" s="7" t="s">
        <v>959</v>
      </c>
      <c r="V1268" s="7" t="s">
        <v>959</v>
      </c>
      <c r="W1268" s="7" t="s">
        <v>1177</v>
      </c>
      <c r="X1268" s="30">
        <v>1</v>
      </c>
      <c r="Y1268" s="7" t="s">
        <v>1177</v>
      </c>
      <c r="Z1268" s="7" t="s">
        <v>1178</v>
      </c>
      <c r="AA1268" s="30">
        <v>0</v>
      </c>
      <c r="AB1268" s="36">
        <v>0</v>
      </c>
      <c r="AC1268" s="7" t="s">
        <v>1177</v>
      </c>
      <c r="AD1268" s="37">
        <v>0</v>
      </c>
      <c r="AE1268" s="7" t="s">
        <v>1177</v>
      </c>
      <c r="AF1268" s="7" t="s">
        <v>1177</v>
      </c>
      <c r="AG1268" s="7" t="s">
        <v>1177</v>
      </c>
      <c r="AH1268" s="38"/>
      <c r="AI1268" s="36">
        <v>0</v>
      </c>
      <c r="AJ1268" s="7" t="s">
        <v>1193</v>
      </c>
      <c r="AK1268" s="7" t="s">
        <v>1177</v>
      </c>
      <c r="AL1268" s="7" t="s">
        <v>1177</v>
      </c>
      <c r="AM1268" s="7" t="s">
        <v>1177</v>
      </c>
      <c r="AN1268" s="7" t="s">
        <v>3212</v>
      </c>
      <c r="AO1268" s="7" t="s">
        <v>1177</v>
      </c>
      <c r="AP1268" s="7" t="s">
        <v>1177</v>
      </c>
      <c r="AQ1268" s="7" t="s">
        <v>1177</v>
      </c>
      <c r="AR1268" s="29">
        <v>0</v>
      </c>
      <c r="AS1268" s="7" t="s">
        <v>1177</v>
      </c>
      <c r="AT1268" s="7" t="s">
        <v>1363</v>
      </c>
      <c r="AU1268" s="38">
        <v>46275</v>
      </c>
      <c r="AV1268" s="39">
        <v>0.62493055555555999</v>
      </c>
    </row>
    <row r="1269" spans="1:48" x14ac:dyDescent="0.35">
      <c r="A1269" t="str">
        <f t="shared" si="19"/>
        <v>GP310527B825</v>
      </c>
      <c r="B1269" s="7" t="s">
        <v>187</v>
      </c>
      <c r="C1269" s="7" t="s">
        <v>511</v>
      </c>
      <c r="D1269" s="7" t="s">
        <v>16</v>
      </c>
      <c r="E1269" s="7" t="s">
        <v>1177</v>
      </c>
      <c r="F1269" s="7" t="s">
        <v>128</v>
      </c>
      <c r="G1269" s="7" t="s">
        <v>130</v>
      </c>
      <c r="H1269" s="7" t="s">
        <v>129</v>
      </c>
      <c r="I1269" s="30">
        <v>5</v>
      </c>
      <c r="J1269" s="7" t="s">
        <v>1177</v>
      </c>
      <c r="K1269" s="7" t="s">
        <v>1178</v>
      </c>
      <c r="L1269" s="7" t="s">
        <v>132</v>
      </c>
      <c r="M1269" s="7" t="s">
        <v>133</v>
      </c>
      <c r="N1269" s="30">
        <v>0</v>
      </c>
      <c r="O1269" s="30">
        <v>0</v>
      </c>
      <c r="P1269" s="30">
        <v>0</v>
      </c>
      <c r="Q1269" s="30">
        <v>0</v>
      </c>
      <c r="R1269" s="29">
        <v>0</v>
      </c>
      <c r="S1269" s="36">
        <v>0</v>
      </c>
      <c r="T1269" s="7" t="s">
        <v>131</v>
      </c>
      <c r="U1269" s="7" t="s">
        <v>512</v>
      </c>
      <c r="V1269" s="7" t="s">
        <v>512</v>
      </c>
      <c r="W1269" s="7" t="s">
        <v>1177</v>
      </c>
      <c r="X1269" s="30">
        <v>1</v>
      </c>
      <c r="Y1269" s="7" t="s">
        <v>1177</v>
      </c>
      <c r="Z1269" s="7" t="s">
        <v>1178</v>
      </c>
      <c r="AA1269" s="30">
        <v>0</v>
      </c>
      <c r="AB1269" s="36">
        <v>0</v>
      </c>
      <c r="AC1269" s="7" t="s">
        <v>1177</v>
      </c>
      <c r="AD1269" s="37">
        <v>0</v>
      </c>
      <c r="AE1269" s="7" t="s">
        <v>1177</v>
      </c>
      <c r="AF1269" s="7" t="s">
        <v>1177</v>
      </c>
      <c r="AG1269" s="7" t="s">
        <v>1177</v>
      </c>
      <c r="AH1269" s="38"/>
      <c r="AI1269" s="36">
        <v>0</v>
      </c>
      <c r="AJ1269" s="7" t="s">
        <v>1193</v>
      </c>
      <c r="AK1269" s="7" t="s">
        <v>1177</v>
      </c>
      <c r="AL1269" s="7" t="s">
        <v>1177</v>
      </c>
      <c r="AM1269" s="7" t="s">
        <v>1177</v>
      </c>
      <c r="AN1269" s="7" t="s">
        <v>3212</v>
      </c>
      <c r="AO1269" s="7" t="s">
        <v>1177</v>
      </c>
      <c r="AP1269" s="7" t="s">
        <v>1177</v>
      </c>
      <c r="AQ1269" s="7" t="s">
        <v>1177</v>
      </c>
      <c r="AR1269" s="29">
        <v>0</v>
      </c>
      <c r="AS1269" s="7" t="s">
        <v>1177</v>
      </c>
      <c r="AT1269" s="7" t="s">
        <v>1363</v>
      </c>
      <c r="AU1269" s="38">
        <v>46275</v>
      </c>
      <c r="AV1269" s="39">
        <v>0.6034837962963</v>
      </c>
    </row>
    <row r="1270" spans="1:48" x14ac:dyDescent="0.35">
      <c r="A1270" t="str">
        <f t="shared" si="19"/>
        <v>GP310527B832</v>
      </c>
      <c r="B1270" s="7" t="s">
        <v>187</v>
      </c>
      <c r="C1270" s="7" t="s">
        <v>653</v>
      </c>
      <c r="D1270" s="7" t="s">
        <v>19</v>
      </c>
      <c r="E1270" s="7" t="s">
        <v>1177</v>
      </c>
      <c r="F1270" s="7" t="s">
        <v>128</v>
      </c>
      <c r="G1270" s="7" t="s">
        <v>130</v>
      </c>
      <c r="H1270" s="7" t="s">
        <v>129</v>
      </c>
      <c r="I1270" s="30">
        <v>2</v>
      </c>
      <c r="J1270" s="7" t="s">
        <v>1177</v>
      </c>
      <c r="K1270" s="7" t="s">
        <v>1178</v>
      </c>
      <c r="L1270" s="7" t="s">
        <v>132</v>
      </c>
      <c r="M1270" s="7" t="s">
        <v>133</v>
      </c>
      <c r="N1270" s="30">
        <v>0</v>
      </c>
      <c r="O1270" s="30">
        <v>0</v>
      </c>
      <c r="P1270" s="30">
        <v>0</v>
      </c>
      <c r="Q1270" s="30">
        <v>0</v>
      </c>
      <c r="R1270" s="29">
        <v>0</v>
      </c>
      <c r="S1270" s="36">
        <v>0</v>
      </c>
      <c r="T1270" s="7" t="s">
        <v>131</v>
      </c>
      <c r="U1270" s="7" t="s">
        <v>654</v>
      </c>
      <c r="V1270" s="7" t="s">
        <v>654</v>
      </c>
      <c r="W1270" s="7" t="s">
        <v>1177</v>
      </c>
      <c r="X1270" s="30">
        <v>1</v>
      </c>
      <c r="Y1270" s="7" t="s">
        <v>1177</v>
      </c>
      <c r="Z1270" s="7" t="s">
        <v>1178</v>
      </c>
      <c r="AA1270" s="30">
        <v>0</v>
      </c>
      <c r="AB1270" s="36">
        <v>0</v>
      </c>
      <c r="AC1270" s="7" t="s">
        <v>1177</v>
      </c>
      <c r="AD1270" s="37">
        <v>0</v>
      </c>
      <c r="AE1270" s="7" t="s">
        <v>1177</v>
      </c>
      <c r="AF1270" s="7" t="s">
        <v>1177</v>
      </c>
      <c r="AG1270" s="7" t="s">
        <v>1177</v>
      </c>
      <c r="AH1270" s="38"/>
      <c r="AI1270" s="36">
        <v>0</v>
      </c>
      <c r="AJ1270" s="7" t="s">
        <v>1193</v>
      </c>
      <c r="AK1270" s="7" t="s">
        <v>1177</v>
      </c>
      <c r="AL1270" s="7" t="s">
        <v>1177</v>
      </c>
      <c r="AM1270" s="7" t="s">
        <v>1177</v>
      </c>
      <c r="AN1270" s="7" t="s">
        <v>3212</v>
      </c>
      <c r="AO1270" s="7" t="s">
        <v>1177</v>
      </c>
      <c r="AP1270" s="7" t="s">
        <v>1177</v>
      </c>
      <c r="AQ1270" s="7" t="s">
        <v>1177</v>
      </c>
      <c r="AR1270" s="29">
        <v>0</v>
      </c>
      <c r="AS1270" s="7" t="s">
        <v>1177</v>
      </c>
      <c r="AT1270" s="7" t="s">
        <v>1363</v>
      </c>
      <c r="AU1270" s="38">
        <v>46275</v>
      </c>
      <c r="AV1270" s="39">
        <v>0.60384259259258999</v>
      </c>
    </row>
    <row r="1271" spans="1:48" x14ac:dyDescent="0.35">
      <c r="A1271" t="str">
        <f t="shared" si="19"/>
        <v>GP310527B833</v>
      </c>
      <c r="B1271" s="7" t="s">
        <v>187</v>
      </c>
      <c r="C1271" s="7" t="s">
        <v>698</v>
      </c>
      <c r="D1271" s="7" t="s">
        <v>697</v>
      </c>
      <c r="E1271" s="7" t="s">
        <v>1177</v>
      </c>
      <c r="F1271" s="7" t="s">
        <v>128</v>
      </c>
      <c r="G1271" s="7" t="s">
        <v>130</v>
      </c>
      <c r="H1271" s="7" t="s">
        <v>129</v>
      </c>
      <c r="I1271" s="30">
        <v>2</v>
      </c>
      <c r="J1271" s="7" t="s">
        <v>1177</v>
      </c>
      <c r="K1271" s="7" t="s">
        <v>1178</v>
      </c>
      <c r="L1271" s="7" t="s">
        <v>132</v>
      </c>
      <c r="M1271" s="7" t="s">
        <v>133</v>
      </c>
      <c r="N1271" s="30">
        <v>0</v>
      </c>
      <c r="O1271" s="30">
        <v>0</v>
      </c>
      <c r="P1271" s="30">
        <v>0</v>
      </c>
      <c r="Q1271" s="30">
        <v>0</v>
      </c>
      <c r="R1271" s="29">
        <v>0</v>
      </c>
      <c r="S1271" s="36">
        <v>0</v>
      </c>
      <c r="T1271" s="7" t="s">
        <v>131</v>
      </c>
      <c r="U1271" s="7" t="s">
        <v>699</v>
      </c>
      <c r="V1271" s="7" t="s">
        <v>699</v>
      </c>
      <c r="W1271" s="7" t="s">
        <v>1177</v>
      </c>
      <c r="X1271" s="30">
        <v>1</v>
      </c>
      <c r="Y1271" s="7" t="s">
        <v>1177</v>
      </c>
      <c r="Z1271" s="7" t="s">
        <v>1178</v>
      </c>
      <c r="AA1271" s="30">
        <v>0</v>
      </c>
      <c r="AB1271" s="36">
        <v>0</v>
      </c>
      <c r="AC1271" s="7" t="s">
        <v>1177</v>
      </c>
      <c r="AD1271" s="37">
        <v>0</v>
      </c>
      <c r="AE1271" s="7" t="s">
        <v>1177</v>
      </c>
      <c r="AF1271" s="7" t="s">
        <v>1177</v>
      </c>
      <c r="AG1271" s="7" t="s">
        <v>1177</v>
      </c>
      <c r="AH1271" s="38"/>
      <c r="AI1271" s="36">
        <v>0</v>
      </c>
      <c r="AJ1271" s="7" t="s">
        <v>1193</v>
      </c>
      <c r="AK1271" s="7" t="s">
        <v>1177</v>
      </c>
      <c r="AL1271" s="7" t="s">
        <v>1177</v>
      </c>
      <c r="AM1271" s="7" t="s">
        <v>1177</v>
      </c>
      <c r="AN1271" s="7" t="s">
        <v>3212</v>
      </c>
      <c r="AO1271" s="7" t="s">
        <v>1177</v>
      </c>
      <c r="AP1271" s="7" t="s">
        <v>1177</v>
      </c>
      <c r="AQ1271" s="7" t="s">
        <v>1177</v>
      </c>
      <c r="AR1271" s="29">
        <v>0</v>
      </c>
      <c r="AS1271" s="7" t="s">
        <v>1177</v>
      </c>
      <c r="AT1271" s="7" t="s">
        <v>1363</v>
      </c>
      <c r="AU1271" s="38">
        <v>46275</v>
      </c>
      <c r="AV1271" s="39">
        <v>0.60399305555556004</v>
      </c>
    </row>
    <row r="1272" spans="1:48" x14ac:dyDescent="0.35">
      <c r="A1272" t="str">
        <f t="shared" si="19"/>
        <v>GP310527B838</v>
      </c>
      <c r="B1272" s="7" t="s">
        <v>187</v>
      </c>
      <c r="C1272" s="7" t="s">
        <v>744</v>
      </c>
      <c r="D1272" s="7" t="s">
        <v>48</v>
      </c>
      <c r="E1272" s="7" t="s">
        <v>1177</v>
      </c>
      <c r="F1272" s="7" t="s">
        <v>128</v>
      </c>
      <c r="G1272" s="7" t="s">
        <v>130</v>
      </c>
      <c r="H1272" s="7" t="s">
        <v>129</v>
      </c>
      <c r="I1272" s="30">
        <v>2</v>
      </c>
      <c r="J1272" s="7" t="s">
        <v>1177</v>
      </c>
      <c r="K1272" s="7" t="s">
        <v>1178</v>
      </c>
      <c r="L1272" s="7" t="s">
        <v>132</v>
      </c>
      <c r="M1272" s="7" t="s">
        <v>133</v>
      </c>
      <c r="N1272" s="30">
        <v>0</v>
      </c>
      <c r="O1272" s="30">
        <v>0</v>
      </c>
      <c r="P1272" s="30">
        <v>0</v>
      </c>
      <c r="Q1272" s="30">
        <v>0</v>
      </c>
      <c r="R1272" s="29">
        <v>0</v>
      </c>
      <c r="S1272" s="36">
        <v>0</v>
      </c>
      <c r="T1272" s="7" t="s">
        <v>131</v>
      </c>
      <c r="U1272" s="7" t="s">
        <v>745</v>
      </c>
      <c r="V1272" s="7" t="s">
        <v>745</v>
      </c>
      <c r="W1272" s="7" t="s">
        <v>1177</v>
      </c>
      <c r="X1272" s="30">
        <v>1</v>
      </c>
      <c r="Y1272" s="7" t="s">
        <v>1177</v>
      </c>
      <c r="Z1272" s="7" t="s">
        <v>1178</v>
      </c>
      <c r="AA1272" s="30">
        <v>0</v>
      </c>
      <c r="AB1272" s="36">
        <v>0</v>
      </c>
      <c r="AC1272" s="7" t="s">
        <v>1177</v>
      </c>
      <c r="AD1272" s="37">
        <v>0</v>
      </c>
      <c r="AE1272" s="7" t="s">
        <v>1177</v>
      </c>
      <c r="AF1272" s="7" t="s">
        <v>1177</v>
      </c>
      <c r="AG1272" s="7" t="s">
        <v>1177</v>
      </c>
      <c r="AH1272" s="38"/>
      <c r="AI1272" s="36">
        <v>0</v>
      </c>
      <c r="AJ1272" s="7" t="s">
        <v>1193</v>
      </c>
      <c r="AK1272" s="7" t="s">
        <v>1177</v>
      </c>
      <c r="AL1272" s="7" t="s">
        <v>1177</v>
      </c>
      <c r="AM1272" s="7" t="s">
        <v>1177</v>
      </c>
      <c r="AN1272" s="7" t="s">
        <v>3212</v>
      </c>
      <c r="AO1272" s="7" t="s">
        <v>1177</v>
      </c>
      <c r="AP1272" s="7" t="s">
        <v>1177</v>
      </c>
      <c r="AQ1272" s="7" t="s">
        <v>1177</v>
      </c>
      <c r="AR1272" s="29">
        <v>0</v>
      </c>
      <c r="AS1272" s="7" t="s">
        <v>1177</v>
      </c>
      <c r="AT1272" s="7" t="s">
        <v>1363</v>
      </c>
      <c r="AU1272" s="38">
        <v>46275</v>
      </c>
      <c r="AV1272" s="39">
        <v>0.60465277777778004</v>
      </c>
    </row>
    <row r="1273" spans="1:48" x14ac:dyDescent="0.35">
      <c r="A1273" t="str">
        <f t="shared" si="19"/>
        <v>GP310527B856</v>
      </c>
      <c r="B1273" s="7" t="s">
        <v>187</v>
      </c>
      <c r="C1273" s="7" t="s">
        <v>852</v>
      </c>
      <c r="D1273" s="7" t="s">
        <v>21</v>
      </c>
      <c r="E1273" s="7" t="s">
        <v>1177</v>
      </c>
      <c r="F1273" s="7" t="s">
        <v>128</v>
      </c>
      <c r="G1273" s="7" t="s">
        <v>130</v>
      </c>
      <c r="H1273" s="7" t="s">
        <v>129</v>
      </c>
      <c r="I1273" s="30">
        <v>2</v>
      </c>
      <c r="J1273" s="7" t="s">
        <v>1177</v>
      </c>
      <c r="K1273" s="7" t="s">
        <v>1178</v>
      </c>
      <c r="L1273" s="7" t="s">
        <v>132</v>
      </c>
      <c r="M1273" s="7" t="s">
        <v>133</v>
      </c>
      <c r="N1273" s="30">
        <v>0</v>
      </c>
      <c r="O1273" s="30">
        <v>0</v>
      </c>
      <c r="P1273" s="30">
        <v>0</v>
      </c>
      <c r="Q1273" s="30">
        <v>0</v>
      </c>
      <c r="R1273" s="29">
        <v>0</v>
      </c>
      <c r="S1273" s="36">
        <v>0</v>
      </c>
      <c r="T1273" s="7" t="s">
        <v>131</v>
      </c>
      <c r="U1273" s="7" t="s">
        <v>853</v>
      </c>
      <c r="V1273" s="7" t="s">
        <v>853</v>
      </c>
      <c r="W1273" s="7" t="s">
        <v>1177</v>
      </c>
      <c r="X1273" s="30">
        <v>1</v>
      </c>
      <c r="Y1273" s="7" t="s">
        <v>1177</v>
      </c>
      <c r="Z1273" s="7" t="s">
        <v>1178</v>
      </c>
      <c r="AA1273" s="30">
        <v>0</v>
      </c>
      <c r="AB1273" s="36">
        <v>0</v>
      </c>
      <c r="AC1273" s="7" t="s">
        <v>1177</v>
      </c>
      <c r="AD1273" s="37">
        <v>0</v>
      </c>
      <c r="AE1273" s="7" t="s">
        <v>1177</v>
      </c>
      <c r="AF1273" s="7" t="s">
        <v>1177</v>
      </c>
      <c r="AG1273" s="7" t="s">
        <v>1177</v>
      </c>
      <c r="AH1273" s="38"/>
      <c r="AI1273" s="36">
        <v>0</v>
      </c>
      <c r="AJ1273" s="7" t="s">
        <v>1193</v>
      </c>
      <c r="AK1273" s="7" t="s">
        <v>1177</v>
      </c>
      <c r="AL1273" s="7" t="s">
        <v>1177</v>
      </c>
      <c r="AM1273" s="7" t="s">
        <v>1177</v>
      </c>
      <c r="AN1273" s="7" t="s">
        <v>3212</v>
      </c>
      <c r="AO1273" s="7" t="s">
        <v>1177</v>
      </c>
      <c r="AP1273" s="7" t="s">
        <v>1177</v>
      </c>
      <c r="AQ1273" s="7" t="s">
        <v>1177</v>
      </c>
      <c r="AR1273" s="29">
        <v>0</v>
      </c>
      <c r="AS1273" s="7" t="s">
        <v>1177</v>
      </c>
      <c r="AT1273" s="7" t="s">
        <v>1363</v>
      </c>
      <c r="AU1273" s="38">
        <v>46275</v>
      </c>
      <c r="AV1273" s="39">
        <v>0.60524305555556002</v>
      </c>
    </row>
    <row r="1274" spans="1:48" x14ac:dyDescent="0.35">
      <c r="A1274" t="str">
        <f t="shared" si="19"/>
        <v>GP310527B857</v>
      </c>
      <c r="B1274" s="7" t="s">
        <v>187</v>
      </c>
      <c r="C1274" s="7" t="s">
        <v>958</v>
      </c>
      <c r="D1274" s="7" t="s">
        <v>23</v>
      </c>
      <c r="E1274" s="7" t="s">
        <v>1177</v>
      </c>
      <c r="F1274" s="7" t="s">
        <v>128</v>
      </c>
      <c r="G1274" s="7" t="s">
        <v>130</v>
      </c>
      <c r="H1274" s="7" t="s">
        <v>129</v>
      </c>
      <c r="I1274" s="30">
        <v>2</v>
      </c>
      <c r="J1274" s="7" t="s">
        <v>1177</v>
      </c>
      <c r="K1274" s="7" t="s">
        <v>1178</v>
      </c>
      <c r="L1274" s="7" t="s">
        <v>132</v>
      </c>
      <c r="M1274" s="7" t="s">
        <v>133</v>
      </c>
      <c r="N1274" s="30">
        <v>0</v>
      </c>
      <c r="O1274" s="30">
        <v>0</v>
      </c>
      <c r="P1274" s="30">
        <v>0</v>
      </c>
      <c r="Q1274" s="30">
        <v>0</v>
      </c>
      <c r="R1274" s="29">
        <v>0</v>
      </c>
      <c r="S1274" s="36">
        <v>0</v>
      </c>
      <c r="T1274" s="7" t="s">
        <v>131</v>
      </c>
      <c r="U1274" s="7" t="s">
        <v>959</v>
      </c>
      <c r="V1274" s="7" t="s">
        <v>959</v>
      </c>
      <c r="W1274" s="7" t="s">
        <v>1177</v>
      </c>
      <c r="X1274" s="30">
        <v>1</v>
      </c>
      <c r="Y1274" s="7" t="s">
        <v>1177</v>
      </c>
      <c r="Z1274" s="7" t="s">
        <v>1178</v>
      </c>
      <c r="AA1274" s="30">
        <v>0</v>
      </c>
      <c r="AB1274" s="36">
        <v>0</v>
      </c>
      <c r="AC1274" s="7" t="s">
        <v>1177</v>
      </c>
      <c r="AD1274" s="37">
        <v>0</v>
      </c>
      <c r="AE1274" s="7" t="s">
        <v>1177</v>
      </c>
      <c r="AF1274" s="7" t="s">
        <v>1177</v>
      </c>
      <c r="AG1274" s="7" t="s">
        <v>1177</v>
      </c>
      <c r="AH1274" s="38"/>
      <c r="AI1274" s="36">
        <v>0</v>
      </c>
      <c r="AJ1274" s="7" t="s">
        <v>1193</v>
      </c>
      <c r="AK1274" s="7" t="s">
        <v>1177</v>
      </c>
      <c r="AL1274" s="7" t="s">
        <v>1177</v>
      </c>
      <c r="AM1274" s="7" t="s">
        <v>1177</v>
      </c>
      <c r="AN1274" s="7" t="s">
        <v>3212</v>
      </c>
      <c r="AO1274" s="7" t="s">
        <v>1177</v>
      </c>
      <c r="AP1274" s="7" t="s">
        <v>1177</v>
      </c>
      <c r="AQ1274" s="7" t="s">
        <v>1177</v>
      </c>
      <c r="AR1274" s="29">
        <v>0</v>
      </c>
      <c r="AS1274" s="7" t="s">
        <v>1177</v>
      </c>
      <c r="AT1274" s="7" t="s">
        <v>1363</v>
      </c>
      <c r="AU1274" s="38">
        <v>46275</v>
      </c>
      <c r="AV1274" s="39">
        <v>0.60526620370369999</v>
      </c>
    </row>
    <row r="1275" spans="1:48" x14ac:dyDescent="0.35">
      <c r="A1275" t="str">
        <f t="shared" si="19"/>
        <v>GP310527B864</v>
      </c>
      <c r="B1275" s="7" t="s">
        <v>187</v>
      </c>
      <c r="C1275" s="7" t="s">
        <v>1010</v>
      </c>
      <c r="D1275" s="7" t="s">
        <v>10</v>
      </c>
      <c r="E1275" s="7" t="s">
        <v>1177</v>
      </c>
      <c r="F1275" s="7" t="s">
        <v>128</v>
      </c>
      <c r="G1275" s="7" t="s">
        <v>130</v>
      </c>
      <c r="H1275" s="7" t="s">
        <v>129</v>
      </c>
      <c r="I1275" s="30">
        <v>2</v>
      </c>
      <c r="J1275" s="7" t="s">
        <v>1177</v>
      </c>
      <c r="K1275" s="7" t="s">
        <v>1178</v>
      </c>
      <c r="L1275" s="7" t="s">
        <v>132</v>
      </c>
      <c r="M1275" s="7" t="s">
        <v>133</v>
      </c>
      <c r="N1275" s="30">
        <v>0</v>
      </c>
      <c r="O1275" s="30">
        <v>0</v>
      </c>
      <c r="P1275" s="30">
        <v>0</v>
      </c>
      <c r="Q1275" s="30">
        <v>0</v>
      </c>
      <c r="R1275" s="29">
        <v>0</v>
      </c>
      <c r="S1275" s="36">
        <v>0</v>
      </c>
      <c r="T1275" s="7" t="s">
        <v>131</v>
      </c>
      <c r="U1275" s="7" t="s">
        <v>1011</v>
      </c>
      <c r="V1275" s="7" t="s">
        <v>1011</v>
      </c>
      <c r="W1275" s="7" t="s">
        <v>1177</v>
      </c>
      <c r="X1275" s="30">
        <v>1</v>
      </c>
      <c r="Y1275" s="7" t="s">
        <v>1177</v>
      </c>
      <c r="Z1275" s="7" t="s">
        <v>1178</v>
      </c>
      <c r="AA1275" s="30">
        <v>0</v>
      </c>
      <c r="AB1275" s="36">
        <v>0</v>
      </c>
      <c r="AC1275" s="7" t="s">
        <v>1177</v>
      </c>
      <c r="AD1275" s="37">
        <v>0</v>
      </c>
      <c r="AE1275" s="7" t="s">
        <v>1177</v>
      </c>
      <c r="AF1275" s="7" t="s">
        <v>1177</v>
      </c>
      <c r="AG1275" s="7" t="s">
        <v>1177</v>
      </c>
      <c r="AH1275" s="38"/>
      <c r="AI1275" s="36">
        <v>0</v>
      </c>
      <c r="AJ1275" s="7" t="s">
        <v>1193</v>
      </c>
      <c r="AK1275" s="7" t="s">
        <v>1177</v>
      </c>
      <c r="AL1275" s="7" t="s">
        <v>1177</v>
      </c>
      <c r="AM1275" s="7" t="s">
        <v>1177</v>
      </c>
      <c r="AN1275" s="7" t="s">
        <v>3212</v>
      </c>
      <c r="AO1275" s="7" t="s">
        <v>1177</v>
      </c>
      <c r="AP1275" s="7" t="s">
        <v>1177</v>
      </c>
      <c r="AQ1275" s="7" t="s">
        <v>1177</v>
      </c>
      <c r="AR1275" s="29">
        <v>0</v>
      </c>
      <c r="AS1275" s="7" t="s">
        <v>1177</v>
      </c>
      <c r="AT1275" s="7" t="s">
        <v>1363</v>
      </c>
      <c r="AU1275" s="38">
        <v>46275</v>
      </c>
      <c r="AV1275" s="39">
        <v>0.60542824074073998</v>
      </c>
    </row>
    <row r="1276" spans="1:48" x14ac:dyDescent="0.35">
      <c r="A1276" t="str">
        <f t="shared" si="19"/>
        <v>GP310527B865</v>
      </c>
      <c r="B1276" s="7" t="s">
        <v>187</v>
      </c>
      <c r="C1276" s="7" t="s">
        <v>1039</v>
      </c>
      <c r="D1276" s="7" t="s">
        <v>7</v>
      </c>
      <c r="E1276" s="7" t="s">
        <v>1177</v>
      </c>
      <c r="F1276" s="7" t="s">
        <v>128</v>
      </c>
      <c r="G1276" s="7" t="s">
        <v>130</v>
      </c>
      <c r="H1276" s="7" t="s">
        <v>129</v>
      </c>
      <c r="I1276" s="30">
        <v>2</v>
      </c>
      <c r="J1276" s="7" t="s">
        <v>1177</v>
      </c>
      <c r="K1276" s="7" t="s">
        <v>1178</v>
      </c>
      <c r="L1276" s="7" t="s">
        <v>132</v>
      </c>
      <c r="M1276" s="7" t="s">
        <v>133</v>
      </c>
      <c r="N1276" s="30">
        <v>0</v>
      </c>
      <c r="O1276" s="30">
        <v>0</v>
      </c>
      <c r="P1276" s="30">
        <v>0</v>
      </c>
      <c r="Q1276" s="30">
        <v>0</v>
      </c>
      <c r="R1276" s="29">
        <v>0</v>
      </c>
      <c r="S1276" s="36">
        <v>0</v>
      </c>
      <c r="T1276" s="7" t="s">
        <v>131</v>
      </c>
      <c r="U1276" s="7" t="s">
        <v>1040</v>
      </c>
      <c r="V1276" s="7" t="s">
        <v>1040</v>
      </c>
      <c r="W1276" s="7" t="s">
        <v>1177</v>
      </c>
      <c r="X1276" s="30">
        <v>1</v>
      </c>
      <c r="Y1276" s="7" t="s">
        <v>1177</v>
      </c>
      <c r="Z1276" s="7" t="s">
        <v>1178</v>
      </c>
      <c r="AA1276" s="30">
        <v>0</v>
      </c>
      <c r="AB1276" s="36">
        <v>0</v>
      </c>
      <c r="AC1276" s="7" t="s">
        <v>1177</v>
      </c>
      <c r="AD1276" s="37">
        <v>0</v>
      </c>
      <c r="AE1276" s="7" t="s">
        <v>1177</v>
      </c>
      <c r="AF1276" s="7" t="s">
        <v>1177</v>
      </c>
      <c r="AG1276" s="7" t="s">
        <v>1177</v>
      </c>
      <c r="AH1276" s="38"/>
      <c r="AI1276" s="36">
        <v>0</v>
      </c>
      <c r="AJ1276" s="7" t="s">
        <v>1193</v>
      </c>
      <c r="AK1276" s="7" t="s">
        <v>1177</v>
      </c>
      <c r="AL1276" s="7" t="s">
        <v>1177</v>
      </c>
      <c r="AM1276" s="7" t="s">
        <v>1177</v>
      </c>
      <c r="AN1276" s="7" t="s">
        <v>3212</v>
      </c>
      <c r="AO1276" s="7" t="s">
        <v>1177</v>
      </c>
      <c r="AP1276" s="7" t="s">
        <v>1177</v>
      </c>
      <c r="AQ1276" s="7" t="s">
        <v>1177</v>
      </c>
      <c r="AR1276" s="29">
        <v>0</v>
      </c>
      <c r="AS1276" s="7" t="s">
        <v>1177</v>
      </c>
      <c r="AT1276" s="7" t="s">
        <v>1363</v>
      </c>
      <c r="AU1276" s="38">
        <v>46275</v>
      </c>
      <c r="AV1276" s="39">
        <v>0.60549768518518998</v>
      </c>
    </row>
    <row r="1277" spans="1:48" x14ac:dyDescent="0.35">
      <c r="A1277" t="str">
        <f t="shared" si="19"/>
        <v>GP310527B867</v>
      </c>
      <c r="B1277" s="7" t="s">
        <v>187</v>
      </c>
      <c r="C1277" s="7" t="s">
        <v>1059</v>
      </c>
      <c r="D1277" s="7" t="s">
        <v>25</v>
      </c>
      <c r="E1277" s="7" t="s">
        <v>1177</v>
      </c>
      <c r="F1277" s="7" t="s">
        <v>128</v>
      </c>
      <c r="G1277" s="7" t="s">
        <v>130</v>
      </c>
      <c r="H1277" s="7" t="s">
        <v>129</v>
      </c>
      <c r="I1277" s="30">
        <v>2</v>
      </c>
      <c r="J1277" s="7" t="s">
        <v>1177</v>
      </c>
      <c r="K1277" s="7" t="s">
        <v>1178</v>
      </c>
      <c r="L1277" s="7" t="s">
        <v>132</v>
      </c>
      <c r="M1277" s="7" t="s">
        <v>133</v>
      </c>
      <c r="N1277" s="30">
        <v>0</v>
      </c>
      <c r="O1277" s="30">
        <v>0</v>
      </c>
      <c r="P1277" s="30">
        <v>0</v>
      </c>
      <c r="Q1277" s="30">
        <v>0</v>
      </c>
      <c r="R1277" s="29">
        <v>0</v>
      </c>
      <c r="S1277" s="36">
        <v>0</v>
      </c>
      <c r="T1277" s="7" t="s">
        <v>131</v>
      </c>
      <c r="U1277" s="7" t="s">
        <v>1060</v>
      </c>
      <c r="V1277" s="7" t="s">
        <v>1060</v>
      </c>
      <c r="W1277" s="7" t="s">
        <v>1177</v>
      </c>
      <c r="X1277" s="30">
        <v>1</v>
      </c>
      <c r="Y1277" s="7" t="s">
        <v>1177</v>
      </c>
      <c r="Z1277" s="7" t="s">
        <v>1178</v>
      </c>
      <c r="AA1277" s="30">
        <v>0</v>
      </c>
      <c r="AB1277" s="36">
        <v>0</v>
      </c>
      <c r="AC1277" s="7" t="s">
        <v>1177</v>
      </c>
      <c r="AD1277" s="37">
        <v>0</v>
      </c>
      <c r="AE1277" s="7" t="s">
        <v>1177</v>
      </c>
      <c r="AF1277" s="7" t="s">
        <v>1177</v>
      </c>
      <c r="AG1277" s="7" t="s">
        <v>1177</v>
      </c>
      <c r="AH1277" s="38"/>
      <c r="AI1277" s="36">
        <v>0</v>
      </c>
      <c r="AJ1277" s="7" t="s">
        <v>1193</v>
      </c>
      <c r="AK1277" s="7" t="s">
        <v>1177</v>
      </c>
      <c r="AL1277" s="7" t="s">
        <v>1177</v>
      </c>
      <c r="AM1277" s="7" t="s">
        <v>1177</v>
      </c>
      <c r="AN1277" s="7" t="s">
        <v>3212</v>
      </c>
      <c r="AO1277" s="7" t="s">
        <v>1177</v>
      </c>
      <c r="AP1277" s="7" t="s">
        <v>1177</v>
      </c>
      <c r="AQ1277" s="7" t="s">
        <v>1177</v>
      </c>
      <c r="AR1277" s="29">
        <v>0</v>
      </c>
      <c r="AS1277" s="7" t="s">
        <v>1177</v>
      </c>
      <c r="AT1277" s="7" t="s">
        <v>1363</v>
      </c>
      <c r="AU1277" s="38">
        <v>46275</v>
      </c>
      <c r="AV1277" s="39">
        <v>0.60563657407407001</v>
      </c>
    </row>
    <row r="1278" spans="1:48" x14ac:dyDescent="0.35">
      <c r="A1278" t="str">
        <f t="shared" si="19"/>
        <v>GP310528B825</v>
      </c>
      <c r="B1278" s="7" t="s">
        <v>288</v>
      </c>
      <c r="C1278" s="7" t="s">
        <v>511</v>
      </c>
      <c r="D1278" s="7" t="s">
        <v>16</v>
      </c>
      <c r="E1278" s="7" t="s">
        <v>1177</v>
      </c>
      <c r="F1278" s="7" t="s">
        <v>128</v>
      </c>
      <c r="G1278" s="7" t="s">
        <v>130</v>
      </c>
      <c r="H1278" s="7" t="s">
        <v>129</v>
      </c>
      <c r="I1278" s="30">
        <v>5</v>
      </c>
      <c r="J1278" s="7" t="s">
        <v>1177</v>
      </c>
      <c r="K1278" s="7" t="s">
        <v>1178</v>
      </c>
      <c r="L1278" s="7" t="s">
        <v>132</v>
      </c>
      <c r="M1278" s="7" t="s">
        <v>133</v>
      </c>
      <c r="N1278" s="30">
        <v>0</v>
      </c>
      <c r="O1278" s="30">
        <v>0</v>
      </c>
      <c r="P1278" s="30">
        <v>0</v>
      </c>
      <c r="Q1278" s="30">
        <v>0</v>
      </c>
      <c r="R1278" s="29">
        <v>0</v>
      </c>
      <c r="S1278" s="36">
        <v>0</v>
      </c>
      <c r="T1278" s="7" t="s">
        <v>131</v>
      </c>
      <c r="U1278" s="7" t="s">
        <v>512</v>
      </c>
      <c r="V1278" s="7" t="s">
        <v>512</v>
      </c>
      <c r="W1278" s="7" t="s">
        <v>1177</v>
      </c>
      <c r="X1278" s="30">
        <v>1</v>
      </c>
      <c r="Y1278" s="7" t="s">
        <v>1177</v>
      </c>
      <c r="Z1278" s="7" t="s">
        <v>1178</v>
      </c>
      <c r="AA1278" s="30">
        <v>0</v>
      </c>
      <c r="AB1278" s="36">
        <v>0</v>
      </c>
      <c r="AC1278" s="7" t="s">
        <v>1177</v>
      </c>
      <c r="AD1278" s="37">
        <v>0</v>
      </c>
      <c r="AE1278" s="7" t="s">
        <v>1177</v>
      </c>
      <c r="AF1278" s="7" t="s">
        <v>1177</v>
      </c>
      <c r="AG1278" s="7" t="s">
        <v>1177</v>
      </c>
      <c r="AH1278" s="38"/>
      <c r="AI1278" s="36">
        <v>0</v>
      </c>
      <c r="AJ1278" s="7" t="s">
        <v>1193</v>
      </c>
      <c r="AK1278" s="7" t="s">
        <v>1177</v>
      </c>
      <c r="AL1278" s="7" t="s">
        <v>1177</v>
      </c>
      <c r="AM1278" s="7" t="s">
        <v>1177</v>
      </c>
      <c r="AN1278" s="7" t="s">
        <v>3212</v>
      </c>
      <c r="AO1278" s="7" t="s">
        <v>1177</v>
      </c>
      <c r="AP1278" s="7" t="s">
        <v>1177</v>
      </c>
      <c r="AQ1278" s="7" t="s">
        <v>1177</v>
      </c>
      <c r="AR1278" s="29">
        <v>0</v>
      </c>
      <c r="AS1278" s="7" t="s">
        <v>1177</v>
      </c>
      <c r="AT1278" s="7" t="s">
        <v>1363</v>
      </c>
      <c r="AU1278" s="38">
        <v>46275</v>
      </c>
      <c r="AV1278" s="39">
        <v>0.62303240740740995</v>
      </c>
    </row>
    <row r="1279" spans="1:48" x14ac:dyDescent="0.35">
      <c r="A1279" t="str">
        <f t="shared" si="19"/>
        <v>GP310528B832</v>
      </c>
      <c r="B1279" s="7" t="s">
        <v>288</v>
      </c>
      <c r="C1279" s="7" t="s">
        <v>653</v>
      </c>
      <c r="D1279" s="7" t="s">
        <v>19</v>
      </c>
      <c r="E1279" s="7" t="s">
        <v>1177</v>
      </c>
      <c r="F1279" s="7" t="s">
        <v>128</v>
      </c>
      <c r="G1279" s="7" t="s">
        <v>130</v>
      </c>
      <c r="H1279" s="7" t="s">
        <v>129</v>
      </c>
      <c r="I1279" s="30">
        <v>2</v>
      </c>
      <c r="J1279" s="7" t="s">
        <v>1177</v>
      </c>
      <c r="K1279" s="7" t="s">
        <v>1178</v>
      </c>
      <c r="L1279" s="7" t="s">
        <v>132</v>
      </c>
      <c r="M1279" s="7" t="s">
        <v>133</v>
      </c>
      <c r="N1279" s="30">
        <v>0</v>
      </c>
      <c r="O1279" s="30">
        <v>0</v>
      </c>
      <c r="P1279" s="30">
        <v>0</v>
      </c>
      <c r="Q1279" s="30">
        <v>0</v>
      </c>
      <c r="R1279" s="29">
        <v>0</v>
      </c>
      <c r="S1279" s="36">
        <v>0</v>
      </c>
      <c r="T1279" s="7" t="s">
        <v>131</v>
      </c>
      <c r="U1279" s="7" t="s">
        <v>654</v>
      </c>
      <c r="V1279" s="7" t="s">
        <v>654</v>
      </c>
      <c r="W1279" s="7" t="s">
        <v>1177</v>
      </c>
      <c r="X1279" s="30">
        <v>1</v>
      </c>
      <c r="Y1279" s="7" t="s">
        <v>1177</v>
      </c>
      <c r="Z1279" s="7" t="s">
        <v>1178</v>
      </c>
      <c r="AA1279" s="30">
        <v>0</v>
      </c>
      <c r="AB1279" s="36">
        <v>0</v>
      </c>
      <c r="AC1279" s="7" t="s">
        <v>1177</v>
      </c>
      <c r="AD1279" s="37">
        <v>0</v>
      </c>
      <c r="AE1279" s="7" t="s">
        <v>1177</v>
      </c>
      <c r="AF1279" s="7" t="s">
        <v>1177</v>
      </c>
      <c r="AG1279" s="7" t="s">
        <v>1177</v>
      </c>
      <c r="AH1279" s="38"/>
      <c r="AI1279" s="36">
        <v>0</v>
      </c>
      <c r="AJ1279" s="7" t="s">
        <v>1193</v>
      </c>
      <c r="AK1279" s="7" t="s">
        <v>1177</v>
      </c>
      <c r="AL1279" s="7" t="s">
        <v>1177</v>
      </c>
      <c r="AM1279" s="7" t="s">
        <v>1177</v>
      </c>
      <c r="AN1279" s="7" t="s">
        <v>3212</v>
      </c>
      <c r="AO1279" s="7" t="s">
        <v>1177</v>
      </c>
      <c r="AP1279" s="7" t="s">
        <v>1177</v>
      </c>
      <c r="AQ1279" s="7" t="s">
        <v>1177</v>
      </c>
      <c r="AR1279" s="29">
        <v>0</v>
      </c>
      <c r="AS1279" s="7" t="s">
        <v>1177</v>
      </c>
      <c r="AT1279" s="7" t="s">
        <v>1363</v>
      </c>
      <c r="AU1279" s="38">
        <v>46275</v>
      </c>
      <c r="AV1279" s="39">
        <v>0.62336805555555996</v>
      </c>
    </row>
    <row r="1280" spans="1:48" x14ac:dyDescent="0.35">
      <c r="A1280" t="str">
        <f t="shared" si="19"/>
        <v>GP310528B833</v>
      </c>
      <c r="B1280" s="7" t="s">
        <v>288</v>
      </c>
      <c r="C1280" s="7" t="s">
        <v>698</v>
      </c>
      <c r="D1280" s="7" t="s">
        <v>697</v>
      </c>
      <c r="E1280" s="7" t="s">
        <v>1177</v>
      </c>
      <c r="F1280" s="7" t="s">
        <v>128</v>
      </c>
      <c r="G1280" s="7" t="s">
        <v>130</v>
      </c>
      <c r="H1280" s="7" t="s">
        <v>129</v>
      </c>
      <c r="I1280" s="30">
        <v>2</v>
      </c>
      <c r="J1280" s="7" t="s">
        <v>1177</v>
      </c>
      <c r="K1280" s="7" t="s">
        <v>1178</v>
      </c>
      <c r="L1280" s="7" t="s">
        <v>132</v>
      </c>
      <c r="M1280" s="7" t="s">
        <v>133</v>
      </c>
      <c r="N1280" s="30">
        <v>0</v>
      </c>
      <c r="O1280" s="30">
        <v>0</v>
      </c>
      <c r="P1280" s="30">
        <v>0</v>
      </c>
      <c r="Q1280" s="30">
        <v>0</v>
      </c>
      <c r="R1280" s="29">
        <v>0</v>
      </c>
      <c r="S1280" s="36">
        <v>0</v>
      </c>
      <c r="T1280" s="7" t="s">
        <v>131</v>
      </c>
      <c r="U1280" s="7" t="s">
        <v>699</v>
      </c>
      <c r="V1280" s="7" t="s">
        <v>699</v>
      </c>
      <c r="W1280" s="7" t="s">
        <v>1177</v>
      </c>
      <c r="X1280" s="30">
        <v>1</v>
      </c>
      <c r="Y1280" s="7" t="s">
        <v>1177</v>
      </c>
      <c r="Z1280" s="7" t="s">
        <v>1178</v>
      </c>
      <c r="AA1280" s="30">
        <v>0</v>
      </c>
      <c r="AB1280" s="36">
        <v>0</v>
      </c>
      <c r="AC1280" s="7" t="s">
        <v>1177</v>
      </c>
      <c r="AD1280" s="37">
        <v>0</v>
      </c>
      <c r="AE1280" s="7" t="s">
        <v>1177</v>
      </c>
      <c r="AF1280" s="7" t="s">
        <v>1177</v>
      </c>
      <c r="AG1280" s="7" t="s">
        <v>1177</v>
      </c>
      <c r="AH1280" s="38"/>
      <c r="AI1280" s="36">
        <v>0</v>
      </c>
      <c r="AJ1280" s="7" t="s">
        <v>1193</v>
      </c>
      <c r="AK1280" s="7" t="s">
        <v>1177</v>
      </c>
      <c r="AL1280" s="7" t="s">
        <v>1177</v>
      </c>
      <c r="AM1280" s="7" t="s">
        <v>1177</v>
      </c>
      <c r="AN1280" s="7" t="s">
        <v>3212</v>
      </c>
      <c r="AO1280" s="7" t="s">
        <v>1177</v>
      </c>
      <c r="AP1280" s="7" t="s">
        <v>1177</v>
      </c>
      <c r="AQ1280" s="7" t="s">
        <v>1177</v>
      </c>
      <c r="AR1280" s="29">
        <v>0</v>
      </c>
      <c r="AS1280" s="7" t="s">
        <v>1177</v>
      </c>
      <c r="AT1280" s="7" t="s">
        <v>1363</v>
      </c>
      <c r="AU1280" s="38">
        <v>46275</v>
      </c>
      <c r="AV1280" s="39">
        <v>0.62349537037036995</v>
      </c>
    </row>
    <row r="1281" spans="1:48" x14ac:dyDescent="0.35">
      <c r="A1281" t="str">
        <f t="shared" si="19"/>
        <v>GP310528B856</v>
      </c>
      <c r="B1281" s="7" t="s">
        <v>288</v>
      </c>
      <c r="C1281" s="7" t="s">
        <v>852</v>
      </c>
      <c r="D1281" s="7" t="s">
        <v>21</v>
      </c>
      <c r="E1281" s="7" t="s">
        <v>1177</v>
      </c>
      <c r="F1281" s="7" t="s">
        <v>128</v>
      </c>
      <c r="G1281" s="7" t="s">
        <v>130</v>
      </c>
      <c r="H1281" s="7" t="s">
        <v>129</v>
      </c>
      <c r="I1281" s="30">
        <v>2</v>
      </c>
      <c r="J1281" s="7" t="s">
        <v>1177</v>
      </c>
      <c r="K1281" s="7" t="s">
        <v>1178</v>
      </c>
      <c r="L1281" s="7" t="s">
        <v>132</v>
      </c>
      <c r="M1281" s="7" t="s">
        <v>133</v>
      </c>
      <c r="N1281" s="30">
        <v>0</v>
      </c>
      <c r="O1281" s="30">
        <v>0</v>
      </c>
      <c r="P1281" s="30">
        <v>0</v>
      </c>
      <c r="Q1281" s="30">
        <v>0</v>
      </c>
      <c r="R1281" s="29">
        <v>0</v>
      </c>
      <c r="S1281" s="36">
        <v>0</v>
      </c>
      <c r="T1281" s="7" t="s">
        <v>131</v>
      </c>
      <c r="U1281" s="7" t="s">
        <v>853</v>
      </c>
      <c r="V1281" s="7" t="s">
        <v>853</v>
      </c>
      <c r="W1281" s="7" t="s">
        <v>1177</v>
      </c>
      <c r="X1281" s="30">
        <v>1</v>
      </c>
      <c r="Y1281" s="7" t="s">
        <v>1177</v>
      </c>
      <c r="Z1281" s="7" t="s">
        <v>1178</v>
      </c>
      <c r="AA1281" s="30">
        <v>0</v>
      </c>
      <c r="AB1281" s="36">
        <v>0</v>
      </c>
      <c r="AC1281" s="7" t="s">
        <v>1177</v>
      </c>
      <c r="AD1281" s="37">
        <v>0</v>
      </c>
      <c r="AE1281" s="7" t="s">
        <v>1177</v>
      </c>
      <c r="AF1281" s="7" t="s">
        <v>1177</v>
      </c>
      <c r="AG1281" s="7" t="s">
        <v>1177</v>
      </c>
      <c r="AH1281" s="38"/>
      <c r="AI1281" s="36">
        <v>0</v>
      </c>
      <c r="AJ1281" s="7" t="s">
        <v>1193</v>
      </c>
      <c r="AK1281" s="7" t="s">
        <v>1177</v>
      </c>
      <c r="AL1281" s="7" t="s">
        <v>1177</v>
      </c>
      <c r="AM1281" s="7" t="s">
        <v>1177</v>
      </c>
      <c r="AN1281" s="7" t="s">
        <v>3212</v>
      </c>
      <c r="AO1281" s="7" t="s">
        <v>1177</v>
      </c>
      <c r="AP1281" s="7" t="s">
        <v>1177</v>
      </c>
      <c r="AQ1281" s="7" t="s">
        <v>1177</v>
      </c>
      <c r="AR1281" s="29">
        <v>0</v>
      </c>
      <c r="AS1281" s="7" t="s">
        <v>1177</v>
      </c>
      <c r="AT1281" s="7" t="s">
        <v>1363</v>
      </c>
      <c r="AU1281" s="38">
        <v>46275</v>
      </c>
      <c r="AV1281" s="39">
        <v>0.62488425925926006</v>
      </c>
    </row>
    <row r="1282" spans="1:48" x14ac:dyDescent="0.35">
      <c r="A1282" t="str">
        <f t="shared" si="19"/>
        <v>GP310528B857</v>
      </c>
      <c r="B1282" s="7" t="s">
        <v>288</v>
      </c>
      <c r="C1282" s="7" t="s">
        <v>958</v>
      </c>
      <c r="D1282" s="7" t="s">
        <v>23</v>
      </c>
      <c r="E1282" s="7" t="s">
        <v>1177</v>
      </c>
      <c r="F1282" s="7" t="s">
        <v>128</v>
      </c>
      <c r="G1282" s="7" t="s">
        <v>130</v>
      </c>
      <c r="H1282" s="7" t="s">
        <v>129</v>
      </c>
      <c r="I1282" s="30">
        <v>2</v>
      </c>
      <c r="J1282" s="7" t="s">
        <v>1177</v>
      </c>
      <c r="K1282" s="7" t="s">
        <v>1178</v>
      </c>
      <c r="L1282" s="7" t="s">
        <v>132</v>
      </c>
      <c r="M1282" s="7" t="s">
        <v>133</v>
      </c>
      <c r="N1282" s="30">
        <v>0</v>
      </c>
      <c r="O1282" s="30">
        <v>0</v>
      </c>
      <c r="P1282" s="30">
        <v>0</v>
      </c>
      <c r="Q1282" s="30">
        <v>0</v>
      </c>
      <c r="R1282" s="29">
        <v>0</v>
      </c>
      <c r="S1282" s="36">
        <v>0</v>
      </c>
      <c r="T1282" s="7" t="s">
        <v>131</v>
      </c>
      <c r="U1282" s="7" t="s">
        <v>959</v>
      </c>
      <c r="V1282" s="7" t="s">
        <v>959</v>
      </c>
      <c r="W1282" s="7" t="s">
        <v>1177</v>
      </c>
      <c r="X1282" s="30">
        <v>1</v>
      </c>
      <c r="Y1282" s="7" t="s">
        <v>1177</v>
      </c>
      <c r="Z1282" s="7" t="s">
        <v>1178</v>
      </c>
      <c r="AA1282" s="30">
        <v>0</v>
      </c>
      <c r="AB1282" s="36">
        <v>0</v>
      </c>
      <c r="AC1282" s="7" t="s">
        <v>1177</v>
      </c>
      <c r="AD1282" s="37">
        <v>0</v>
      </c>
      <c r="AE1282" s="7" t="s">
        <v>1177</v>
      </c>
      <c r="AF1282" s="7" t="s">
        <v>1177</v>
      </c>
      <c r="AG1282" s="7" t="s">
        <v>1177</v>
      </c>
      <c r="AH1282" s="38"/>
      <c r="AI1282" s="36">
        <v>0</v>
      </c>
      <c r="AJ1282" s="7" t="s">
        <v>1193</v>
      </c>
      <c r="AK1282" s="7" t="s">
        <v>1177</v>
      </c>
      <c r="AL1282" s="7" t="s">
        <v>1177</v>
      </c>
      <c r="AM1282" s="7" t="s">
        <v>1177</v>
      </c>
      <c r="AN1282" s="7" t="s">
        <v>3212</v>
      </c>
      <c r="AO1282" s="7" t="s">
        <v>1177</v>
      </c>
      <c r="AP1282" s="7" t="s">
        <v>1177</v>
      </c>
      <c r="AQ1282" s="7" t="s">
        <v>1177</v>
      </c>
      <c r="AR1282" s="29">
        <v>0</v>
      </c>
      <c r="AS1282" s="7" t="s">
        <v>1177</v>
      </c>
      <c r="AT1282" s="7" t="s">
        <v>1363</v>
      </c>
      <c r="AU1282" s="38">
        <v>46275</v>
      </c>
      <c r="AV1282" s="39">
        <v>0.62513888888889002</v>
      </c>
    </row>
    <row r="1283" spans="1:48" x14ac:dyDescent="0.35">
      <c r="A1283" t="str">
        <f t="shared" ref="A1283:A1346" si="20">_xlfn.CONCAT(B1283,D1283)</f>
        <v>GP310528B865</v>
      </c>
      <c r="B1283" s="7" t="s">
        <v>288</v>
      </c>
      <c r="C1283" s="7" t="s">
        <v>1039</v>
      </c>
      <c r="D1283" s="7" t="s">
        <v>7</v>
      </c>
      <c r="E1283" s="7" t="s">
        <v>1177</v>
      </c>
      <c r="F1283" s="7" t="s">
        <v>128</v>
      </c>
      <c r="G1283" s="7" t="s">
        <v>130</v>
      </c>
      <c r="H1283" s="7" t="s">
        <v>129</v>
      </c>
      <c r="I1283" s="30">
        <v>2</v>
      </c>
      <c r="J1283" s="7" t="s">
        <v>1177</v>
      </c>
      <c r="K1283" s="7" t="s">
        <v>1178</v>
      </c>
      <c r="L1283" s="7" t="s">
        <v>132</v>
      </c>
      <c r="M1283" s="7" t="s">
        <v>133</v>
      </c>
      <c r="N1283" s="30">
        <v>0</v>
      </c>
      <c r="O1283" s="30">
        <v>0</v>
      </c>
      <c r="P1283" s="30">
        <v>0</v>
      </c>
      <c r="Q1283" s="30">
        <v>0</v>
      </c>
      <c r="R1283" s="29">
        <v>0</v>
      </c>
      <c r="S1283" s="36">
        <v>0</v>
      </c>
      <c r="T1283" s="7" t="s">
        <v>131</v>
      </c>
      <c r="U1283" s="7" t="s">
        <v>1040</v>
      </c>
      <c r="V1283" s="7" t="s">
        <v>1040</v>
      </c>
      <c r="W1283" s="7" t="s">
        <v>1177</v>
      </c>
      <c r="X1283" s="30">
        <v>1</v>
      </c>
      <c r="Y1283" s="7" t="s">
        <v>1177</v>
      </c>
      <c r="Z1283" s="7" t="s">
        <v>1178</v>
      </c>
      <c r="AA1283" s="30">
        <v>0</v>
      </c>
      <c r="AB1283" s="36">
        <v>0</v>
      </c>
      <c r="AC1283" s="7" t="s">
        <v>1177</v>
      </c>
      <c r="AD1283" s="37">
        <v>0</v>
      </c>
      <c r="AE1283" s="7" t="s">
        <v>1177</v>
      </c>
      <c r="AF1283" s="7" t="s">
        <v>1177</v>
      </c>
      <c r="AG1283" s="7" t="s">
        <v>1177</v>
      </c>
      <c r="AH1283" s="38"/>
      <c r="AI1283" s="36">
        <v>0</v>
      </c>
      <c r="AJ1283" s="7" t="s">
        <v>1193</v>
      </c>
      <c r="AK1283" s="7" t="s">
        <v>1177</v>
      </c>
      <c r="AL1283" s="7" t="s">
        <v>1177</v>
      </c>
      <c r="AM1283" s="7" t="s">
        <v>1177</v>
      </c>
      <c r="AN1283" s="7" t="s">
        <v>3212</v>
      </c>
      <c r="AO1283" s="7" t="s">
        <v>1177</v>
      </c>
      <c r="AP1283" s="7" t="s">
        <v>1177</v>
      </c>
      <c r="AQ1283" s="7" t="s">
        <v>1177</v>
      </c>
      <c r="AR1283" s="29">
        <v>0</v>
      </c>
      <c r="AS1283" s="7" t="s">
        <v>1177</v>
      </c>
      <c r="AT1283" s="7" t="s">
        <v>1363</v>
      </c>
      <c r="AU1283" s="38">
        <v>46275</v>
      </c>
      <c r="AV1283" s="39">
        <v>0.62675925925926002</v>
      </c>
    </row>
    <row r="1284" spans="1:48" x14ac:dyDescent="0.35">
      <c r="A1284" t="str">
        <f t="shared" si="20"/>
        <v>GP310528B867</v>
      </c>
      <c r="B1284" s="7" t="s">
        <v>288</v>
      </c>
      <c r="C1284" s="7" t="s">
        <v>1059</v>
      </c>
      <c r="D1284" s="7" t="s">
        <v>25</v>
      </c>
      <c r="E1284" s="7" t="s">
        <v>1177</v>
      </c>
      <c r="F1284" s="7" t="s">
        <v>128</v>
      </c>
      <c r="G1284" s="7" t="s">
        <v>130</v>
      </c>
      <c r="H1284" s="7" t="s">
        <v>129</v>
      </c>
      <c r="I1284" s="30">
        <v>4</v>
      </c>
      <c r="J1284" s="7" t="s">
        <v>1177</v>
      </c>
      <c r="K1284" s="7" t="s">
        <v>1178</v>
      </c>
      <c r="L1284" s="7" t="s">
        <v>132</v>
      </c>
      <c r="M1284" s="7" t="s">
        <v>133</v>
      </c>
      <c r="N1284" s="30">
        <v>0</v>
      </c>
      <c r="O1284" s="30">
        <v>0</v>
      </c>
      <c r="P1284" s="30">
        <v>0</v>
      </c>
      <c r="Q1284" s="30">
        <v>0</v>
      </c>
      <c r="R1284" s="29">
        <v>0</v>
      </c>
      <c r="S1284" s="36">
        <v>0</v>
      </c>
      <c r="T1284" s="7" t="s">
        <v>131</v>
      </c>
      <c r="U1284" s="7" t="s">
        <v>1060</v>
      </c>
      <c r="V1284" s="7" t="s">
        <v>1060</v>
      </c>
      <c r="W1284" s="7" t="s">
        <v>1177</v>
      </c>
      <c r="X1284" s="30">
        <v>1</v>
      </c>
      <c r="Y1284" s="7" t="s">
        <v>1177</v>
      </c>
      <c r="Z1284" s="7" t="s">
        <v>1178</v>
      </c>
      <c r="AA1284" s="30">
        <v>0</v>
      </c>
      <c r="AB1284" s="36">
        <v>0</v>
      </c>
      <c r="AC1284" s="7" t="s">
        <v>1177</v>
      </c>
      <c r="AD1284" s="37">
        <v>0</v>
      </c>
      <c r="AE1284" s="7" t="s">
        <v>1177</v>
      </c>
      <c r="AF1284" s="7" t="s">
        <v>1177</v>
      </c>
      <c r="AG1284" s="7" t="s">
        <v>1177</v>
      </c>
      <c r="AH1284" s="38"/>
      <c r="AI1284" s="36">
        <v>0</v>
      </c>
      <c r="AJ1284" s="7" t="s">
        <v>1193</v>
      </c>
      <c r="AK1284" s="7" t="s">
        <v>1177</v>
      </c>
      <c r="AL1284" s="7" t="s">
        <v>1177</v>
      </c>
      <c r="AM1284" s="7" t="s">
        <v>1177</v>
      </c>
      <c r="AN1284" s="7" t="s">
        <v>3212</v>
      </c>
      <c r="AO1284" s="7" t="s">
        <v>1177</v>
      </c>
      <c r="AP1284" s="7" t="s">
        <v>1177</v>
      </c>
      <c r="AQ1284" s="7" t="s">
        <v>1177</v>
      </c>
      <c r="AR1284" s="29">
        <v>0</v>
      </c>
      <c r="AS1284" s="7" t="s">
        <v>1177</v>
      </c>
      <c r="AT1284" s="7" t="s">
        <v>1363</v>
      </c>
      <c r="AU1284" s="38">
        <v>46275</v>
      </c>
      <c r="AV1284" s="39">
        <v>0.62712962962963004</v>
      </c>
    </row>
    <row r="1285" spans="1:48" x14ac:dyDescent="0.35">
      <c r="A1285" t="str">
        <f t="shared" si="20"/>
        <v>GP311012B838</v>
      </c>
      <c r="B1285" s="7" t="s">
        <v>761</v>
      </c>
      <c r="C1285" s="7" t="s">
        <v>744</v>
      </c>
      <c r="D1285" s="7" t="s">
        <v>48</v>
      </c>
      <c r="E1285" s="7" t="s">
        <v>1177</v>
      </c>
      <c r="F1285" s="7" t="s">
        <v>128</v>
      </c>
      <c r="G1285" s="7" t="s">
        <v>130</v>
      </c>
      <c r="H1285" s="7" t="s">
        <v>129</v>
      </c>
      <c r="I1285" s="30">
        <v>2</v>
      </c>
      <c r="J1285" s="7" t="s">
        <v>1177</v>
      </c>
      <c r="K1285" s="7" t="s">
        <v>1178</v>
      </c>
      <c r="L1285" s="7" t="s">
        <v>132</v>
      </c>
      <c r="M1285" s="7" t="s">
        <v>133</v>
      </c>
      <c r="N1285" s="30">
        <v>0</v>
      </c>
      <c r="O1285" s="30">
        <v>0</v>
      </c>
      <c r="P1285" s="30">
        <v>0</v>
      </c>
      <c r="Q1285" s="30">
        <v>0</v>
      </c>
      <c r="R1285" s="29">
        <v>0</v>
      </c>
      <c r="S1285" s="36">
        <v>0</v>
      </c>
      <c r="T1285" s="7" t="s">
        <v>131</v>
      </c>
      <c r="U1285" s="7" t="s">
        <v>745</v>
      </c>
      <c r="V1285" s="7" t="s">
        <v>745</v>
      </c>
      <c r="W1285" s="7" t="s">
        <v>1177</v>
      </c>
      <c r="X1285" s="30">
        <v>1</v>
      </c>
      <c r="Y1285" s="7" t="s">
        <v>1177</v>
      </c>
      <c r="Z1285" s="7" t="s">
        <v>1178</v>
      </c>
      <c r="AA1285" s="30">
        <v>0</v>
      </c>
      <c r="AB1285" s="36">
        <v>0</v>
      </c>
      <c r="AC1285" s="7" t="s">
        <v>1177</v>
      </c>
      <c r="AD1285" s="37">
        <v>0</v>
      </c>
      <c r="AE1285" s="7" t="s">
        <v>1177</v>
      </c>
      <c r="AF1285" s="7" t="s">
        <v>1177</v>
      </c>
      <c r="AG1285" s="7" t="s">
        <v>1177</v>
      </c>
      <c r="AH1285" s="38"/>
      <c r="AI1285" s="36">
        <v>0</v>
      </c>
      <c r="AJ1285" s="7" t="s">
        <v>1193</v>
      </c>
      <c r="AK1285" s="7" t="s">
        <v>1177</v>
      </c>
      <c r="AL1285" s="7" t="s">
        <v>1177</v>
      </c>
      <c r="AM1285" s="7" t="s">
        <v>1177</v>
      </c>
      <c r="AN1285" s="7" t="s">
        <v>3212</v>
      </c>
      <c r="AO1285" s="7" t="s">
        <v>1177</v>
      </c>
      <c r="AP1285" s="7" t="s">
        <v>1177</v>
      </c>
      <c r="AQ1285" s="7" t="s">
        <v>1177</v>
      </c>
      <c r="AR1285" s="29">
        <v>0</v>
      </c>
      <c r="AS1285" s="7" t="s">
        <v>1177</v>
      </c>
      <c r="AT1285" s="7" t="s">
        <v>1363</v>
      </c>
      <c r="AU1285" s="38">
        <v>46275</v>
      </c>
      <c r="AV1285" s="39">
        <v>0.62400462962962999</v>
      </c>
    </row>
    <row r="1286" spans="1:48" x14ac:dyDescent="0.35">
      <c r="A1286" t="str">
        <f t="shared" si="20"/>
        <v>GP311217B856</v>
      </c>
      <c r="B1286" s="7" t="s">
        <v>804</v>
      </c>
      <c r="C1286" s="7" t="s">
        <v>852</v>
      </c>
      <c r="D1286" s="7" t="s">
        <v>21</v>
      </c>
      <c r="E1286" s="7" t="s">
        <v>1177</v>
      </c>
      <c r="F1286" s="7" t="s">
        <v>128</v>
      </c>
      <c r="G1286" s="7" t="s">
        <v>130</v>
      </c>
      <c r="H1286" s="7" t="s">
        <v>129</v>
      </c>
      <c r="I1286" s="30">
        <v>1</v>
      </c>
      <c r="J1286" s="7" t="s">
        <v>1177</v>
      </c>
      <c r="K1286" s="7" t="s">
        <v>1178</v>
      </c>
      <c r="L1286" s="7" t="s">
        <v>132</v>
      </c>
      <c r="M1286" s="7" t="s">
        <v>133</v>
      </c>
      <c r="N1286" s="30">
        <v>0</v>
      </c>
      <c r="O1286" s="30">
        <v>0</v>
      </c>
      <c r="P1286" s="30">
        <v>0</v>
      </c>
      <c r="Q1286" s="30">
        <v>0</v>
      </c>
      <c r="R1286" s="29">
        <v>0</v>
      </c>
      <c r="S1286" s="36">
        <v>0</v>
      </c>
      <c r="T1286" s="7" t="s">
        <v>131</v>
      </c>
      <c r="U1286" s="7" t="s">
        <v>853</v>
      </c>
      <c r="V1286" s="7" t="s">
        <v>853</v>
      </c>
      <c r="W1286" s="7" t="s">
        <v>1177</v>
      </c>
      <c r="X1286" s="30">
        <v>1</v>
      </c>
      <c r="Y1286" s="7" t="s">
        <v>1177</v>
      </c>
      <c r="Z1286" s="7" t="s">
        <v>1178</v>
      </c>
      <c r="AA1286" s="30">
        <v>0</v>
      </c>
      <c r="AB1286" s="36">
        <v>0</v>
      </c>
      <c r="AC1286" s="7" t="s">
        <v>1177</v>
      </c>
      <c r="AD1286" s="37">
        <v>0</v>
      </c>
      <c r="AE1286" s="7" t="s">
        <v>1177</v>
      </c>
      <c r="AF1286" s="7" t="s">
        <v>1177</v>
      </c>
      <c r="AG1286" s="7" t="s">
        <v>1177</v>
      </c>
      <c r="AH1286" s="38"/>
      <c r="AI1286" s="36">
        <v>0</v>
      </c>
      <c r="AJ1286" s="7" t="s">
        <v>1193</v>
      </c>
      <c r="AK1286" s="7" t="s">
        <v>1177</v>
      </c>
      <c r="AL1286" s="7" t="s">
        <v>1177</v>
      </c>
      <c r="AM1286" s="7" t="s">
        <v>1177</v>
      </c>
      <c r="AN1286" s="7" t="s">
        <v>3212</v>
      </c>
      <c r="AO1286" s="7" t="s">
        <v>1177</v>
      </c>
      <c r="AP1286" s="7" t="s">
        <v>1177</v>
      </c>
      <c r="AQ1286" s="7" t="s">
        <v>1177</v>
      </c>
      <c r="AR1286" s="29">
        <v>0</v>
      </c>
      <c r="AS1286" s="7" t="s">
        <v>1177</v>
      </c>
      <c r="AT1286" s="7" t="s">
        <v>1363</v>
      </c>
      <c r="AU1286" s="38">
        <v>46275</v>
      </c>
      <c r="AV1286" s="39">
        <v>0.60524305555556002</v>
      </c>
    </row>
    <row r="1287" spans="1:48" x14ac:dyDescent="0.35">
      <c r="A1287" t="str">
        <f t="shared" si="20"/>
        <v>GP311217B864</v>
      </c>
      <c r="B1287" s="7" t="s">
        <v>804</v>
      </c>
      <c r="C1287" s="7" t="s">
        <v>1010</v>
      </c>
      <c r="D1287" s="7" t="s">
        <v>10</v>
      </c>
      <c r="E1287" s="7" t="s">
        <v>1177</v>
      </c>
      <c r="F1287" s="7" t="s">
        <v>128</v>
      </c>
      <c r="G1287" s="7" t="s">
        <v>130</v>
      </c>
      <c r="H1287" s="7" t="s">
        <v>129</v>
      </c>
      <c r="I1287" s="30">
        <v>2</v>
      </c>
      <c r="J1287" s="7" t="s">
        <v>1177</v>
      </c>
      <c r="K1287" s="7" t="s">
        <v>1178</v>
      </c>
      <c r="L1287" s="7" t="s">
        <v>132</v>
      </c>
      <c r="M1287" s="7" t="s">
        <v>133</v>
      </c>
      <c r="N1287" s="30">
        <v>0</v>
      </c>
      <c r="O1287" s="30">
        <v>0</v>
      </c>
      <c r="P1287" s="30">
        <v>0</v>
      </c>
      <c r="Q1287" s="30">
        <v>0</v>
      </c>
      <c r="R1287" s="29">
        <v>0</v>
      </c>
      <c r="S1287" s="36">
        <v>0</v>
      </c>
      <c r="T1287" s="7" t="s">
        <v>131</v>
      </c>
      <c r="U1287" s="7" t="s">
        <v>1011</v>
      </c>
      <c r="V1287" s="7" t="s">
        <v>1011</v>
      </c>
      <c r="W1287" s="7" t="s">
        <v>1177</v>
      </c>
      <c r="X1287" s="30">
        <v>1</v>
      </c>
      <c r="Y1287" s="7" t="s">
        <v>1177</v>
      </c>
      <c r="Z1287" s="7" t="s">
        <v>1178</v>
      </c>
      <c r="AA1287" s="30">
        <v>0</v>
      </c>
      <c r="AB1287" s="36">
        <v>0</v>
      </c>
      <c r="AC1287" s="7" t="s">
        <v>1177</v>
      </c>
      <c r="AD1287" s="37">
        <v>0</v>
      </c>
      <c r="AE1287" s="7" t="s">
        <v>1177</v>
      </c>
      <c r="AF1287" s="7" t="s">
        <v>1177</v>
      </c>
      <c r="AG1287" s="7" t="s">
        <v>1177</v>
      </c>
      <c r="AH1287" s="38"/>
      <c r="AI1287" s="36">
        <v>0</v>
      </c>
      <c r="AJ1287" s="7" t="s">
        <v>1193</v>
      </c>
      <c r="AK1287" s="7" t="s">
        <v>1177</v>
      </c>
      <c r="AL1287" s="7" t="s">
        <v>1177</v>
      </c>
      <c r="AM1287" s="7" t="s">
        <v>1177</v>
      </c>
      <c r="AN1287" s="7" t="s">
        <v>3212</v>
      </c>
      <c r="AO1287" s="7" t="s">
        <v>1177</v>
      </c>
      <c r="AP1287" s="7" t="s">
        <v>1177</v>
      </c>
      <c r="AQ1287" s="7" t="s">
        <v>1177</v>
      </c>
      <c r="AR1287" s="29">
        <v>0</v>
      </c>
      <c r="AS1287" s="7" t="s">
        <v>1177</v>
      </c>
      <c r="AT1287" s="7" t="s">
        <v>1363</v>
      </c>
      <c r="AU1287" s="38">
        <v>46275</v>
      </c>
      <c r="AV1287" s="39">
        <v>0.60542824074073998</v>
      </c>
    </row>
    <row r="1288" spans="1:48" x14ac:dyDescent="0.35">
      <c r="A1288" t="str">
        <f t="shared" si="20"/>
        <v>GP311217B865</v>
      </c>
      <c r="B1288" s="7" t="s">
        <v>804</v>
      </c>
      <c r="C1288" s="7" t="s">
        <v>1039</v>
      </c>
      <c r="D1288" s="7" t="s">
        <v>7</v>
      </c>
      <c r="E1288" s="7" t="s">
        <v>1177</v>
      </c>
      <c r="F1288" s="7" t="s">
        <v>128</v>
      </c>
      <c r="G1288" s="7" t="s">
        <v>130</v>
      </c>
      <c r="H1288" s="7" t="s">
        <v>129</v>
      </c>
      <c r="I1288" s="30">
        <v>2</v>
      </c>
      <c r="J1288" s="7" t="s">
        <v>1177</v>
      </c>
      <c r="K1288" s="7" t="s">
        <v>1178</v>
      </c>
      <c r="L1288" s="7" t="s">
        <v>132</v>
      </c>
      <c r="M1288" s="7" t="s">
        <v>133</v>
      </c>
      <c r="N1288" s="30">
        <v>0</v>
      </c>
      <c r="O1288" s="30">
        <v>0</v>
      </c>
      <c r="P1288" s="30">
        <v>0</v>
      </c>
      <c r="Q1288" s="30">
        <v>0</v>
      </c>
      <c r="R1288" s="29">
        <v>0</v>
      </c>
      <c r="S1288" s="36">
        <v>0</v>
      </c>
      <c r="T1288" s="7" t="s">
        <v>131</v>
      </c>
      <c r="U1288" s="7" t="s">
        <v>1040</v>
      </c>
      <c r="V1288" s="7" t="s">
        <v>1040</v>
      </c>
      <c r="W1288" s="7" t="s">
        <v>1177</v>
      </c>
      <c r="X1288" s="30">
        <v>1</v>
      </c>
      <c r="Y1288" s="7" t="s">
        <v>1177</v>
      </c>
      <c r="Z1288" s="7" t="s">
        <v>1178</v>
      </c>
      <c r="AA1288" s="30">
        <v>0</v>
      </c>
      <c r="AB1288" s="36">
        <v>0</v>
      </c>
      <c r="AC1288" s="7" t="s">
        <v>1177</v>
      </c>
      <c r="AD1288" s="37">
        <v>0</v>
      </c>
      <c r="AE1288" s="7" t="s">
        <v>1177</v>
      </c>
      <c r="AF1288" s="7" t="s">
        <v>1177</v>
      </c>
      <c r="AG1288" s="7" t="s">
        <v>1177</v>
      </c>
      <c r="AH1288" s="38"/>
      <c r="AI1288" s="36">
        <v>0</v>
      </c>
      <c r="AJ1288" s="7" t="s">
        <v>1193</v>
      </c>
      <c r="AK1288" s="7" t="s">
        <v>1177</v>
      </c>
      <c r="AL1288" s="7" t="s">
        <v>1177</v>
      </c>
      <c r="AM1288" s="7" t="s">
        <v>1177</v>
      </c>
      <c r="AN1288" s="7" t="s">
        <v>3212</v>
      </c>
      <c r="AO1288" s="7" t="s">
        <v>1177</v>
      </c>
      <c r="AP1288" s="7" t="s">
        <v>1177</v>
      </c>
      <c r="AQ1288" s="7" t="s">
        <v>1177</v>
      </c>
      <c r="AR1288" s="29">
        <v>0</v>
      </c>
      <c r="AS1288" s="7" t="s">
        <v>1177</v>
      </c>
      <c r="AT1288" s="7" t="s">
        <v>1363</v>
      </c>
      <c r="AU1288" s="38">
        <v>46275</v>
      </c>
      <c r="AV1288" s="39">
        <v>0.60549768518518998</v>
      </c>
    </row>
    <row r="1289" spans="1:48" x14ac:dyDescent="0.35">
      <c r="A1289" t="str">
        <f t="shared" si="20"/>
        <v>GP311567B856</v>
      </c>
      <c r="B1289" s="7" t="s">
        <v>883</v>
      </c>
      <c r="C1289" s="7" t="s">
        <v>852</v>
      </c>
      <c r="D1289" s="7" t="s">
        <v>21</v>
      </c>
      <c r="E1289" s="7" t="s">
        <v>1177</v>
      </c>
      <c r="F1289" s="7" t="s">
        <v>128</v>
      </c>
      <c r="G1289" s="7" t="s">
        <v>130</v>
      </c>
      <c r="H1289" s="7" t="s">
        <v>129</v>
      </c>
      <c r="I1289" s="30">
        <v>2</v>
      </c>
      <c r="J1289" s="7" t="s">
        <v>1177</v>
      </c>
      <c r="K1289" s="7" t="s">
        <v>1178</v>
      </c>
      <c r="L1289" s="7" t="s">
        <v>132</v>
      </c>
      <c r="M1289" s="7" t="s">
        <v>133</v>
      </c>
      <c r="N1289" s="30">
        <v>0</v>
      </c>
      <c r="O1289" s="30">
        <v>0</v>
      </c>
      <c r="P1289" s="30">
        <v>0</v>
      </c>
      <c r="Q1289" s="30">
        <v>0</v>
      </c>
      <c r="R1289" s="29">
        <v>0</v>
      </c>
      <c r="S1289" s="36">
        <v>0</v>
      </c>
      <c r="T1289" s="7" t="s">
        <v>131</v>
      </c>
      <c r="U1289" s="7" t="s">
        <v>853</v>
      </c>
      <c r="V1289" s="7" t="s">
        <v>853</v>
      </c>
      <c r="W1289" s="7" t="s">
        <v>1177</v>
      </c>
      <c r="X1289" s="30">
        <v>1</v>
      </c>
      <c r="Y1289" s="7" t="s">
        <v>1177</v>
      </c>
      <c r="Z1289" s="7" t="s">
        <v>1178</v>
      </c>
      <c r="AA1289" s="30">
        <v>0</v>
      </c>
      <c r="AB1289" s="36">
        <v>0</v>
      </c>
      <c r="AC1289" s="7" t="s">
        <v>1177</v>
      </c>
      <c r="AD1289" s="37">
        <v>0</v>
      </c>
      <c r="AE1289" s="7" t="s">
        <v>1177</v>
      </c>
      <c r="AF1289" s="7" t="s">
        <v>1177</v>
      </c>
      <c r="AG1289" s="7" t="s">
        <v>1177</v>
      </c>
      <c r="AH1289" s="38"/>
      <c r="AI1289" s="36">
        <v>0</v>
      </c>
      <c r="AJ1289" s="7" t="s">
        <v>1193</v>
      </c>
      <c r="AK1289" s="7" t="s">
        <v>1177</v>
      </c>
      <c r="AL1289" s="7" t="s">
        <v>1177</v>
      </c>
      <c r="AM1289" s="7" t="s">
        <v>1177</v>
      </c>
      <c r="AN1289" s="7" t="s">
        <v>3212</v>
      </c>
      <c r="AO1289" s="7" t="s">
        <v>1177</v>
      </c>
      <c r="AP1289" s="7" t="s">
        <v>1177</v>
      </c>
      <c r="AQ1289" s="7" t="s">
        <v>1177</v>
      </c>
      <c r="AR1289" s="29">
        <v>0</v>
      </c>
      <c r="AS1289" s="7" t="s">
        <v>1177</v>
      </c>
      <c r="AT1289" s="7" t="s">
        <v>1363</v>
      </c>
      <c r="AU1289" s="38">
        <v>46275</v>
      </c>
      <c r="AV1289" s="39">
        <v>0.62488425925926006</v>
      </c>
    </row>
    <row r="1290" spans="1:48" x14ac:dyDescent="0.35">
      <c r="A1290" t="str">
        <f t="shared" si="20"/>
        <v>GP311567B857</v>
      </c>
      <c r="B1290" s="7" t="s">
        <v>883</v>
      </c>
      <c r="C1290" s="7" t="s">
        <v>958</v>
      </c>
      <c r="D1290" s="7" t="s">
        <v>23</v>
      </c>
      <c r="E1290" s="7" t="s">
        <v>1177</v>
      </c>
      <c r="F1290" s="7" t="s">
        <v>128</v>
      </c>
      <c r="G1290" s="7" t="s">
        <v>130</v>
      </c>
      <c r="H1290" s="7" t="s">
        <v>129</v>
      </c>
      <c r="I1290" s="30">
        <v>2</v>
      </c>
      <c r="J1290" s="7" t="s">
        <v>1177</v>
      </c>
      <c r="K1290" s="7" t="s">
        <v>1178</v>
      </c>
      <c r="L1290" s="7" t="s">
        <v>132</v>
      </c>
      <c r="M1290" s="7" t="s">
        <v>133</v>
      </c>
      <c r="N1290" s="30">
        <v>0</v>
      </c>
      <c r="O1290" s="30">
        <v>0</v>
      </c>
      <c r="P1290" s="30">
        <v>0</v>
      </c>
      <c r="Q1290" s="30">
        <v>0</v>
      </c>
      <c r="R1290" s="29">
        <v>0</v>
      </c>
      <c r="S1290" s="36">
        <v>0</v>
      </c>
      <c r="T1290" s="7" t="s">
        <v>131</v>
      </c>
      <c r="U1290" s="7" t="s">
        <v>959</v>
      </c>
      <c r="V1290" s="7" t="s">
        <v>959</v>
      </c>
      <c r="W1290" s="7" t="s">
        <v>1177</v>
      </c>
      <c r="X1290" s="30">
        <v>1</v>
      </c>
      <c r="Y1290" s="7" t="s">
        <v>1177</v>
      </c>
      <c r="Z1290" s="7" t="s">
        <v>1178</v>
      </c>
      <c r="AA1290" s="30">
        <v>0</v>
      </c>
      <c r="AB1290" s="36">
        <v>0</v>
      </c>
      <c r="AC1290" s="7" t="s">
        <v>1177</v>
      </c>
      <c r="AD1290" s="37">
        <v>0</v>
      </c>
      <c r="AE1290" s="7" t="s">
        <v>1177</v>
      </c>
      <c r="AF1290" s="7" t="s">
        <v>1177</v>
      </c>
      <c r="AG1290" s="7" t="s">
        <v>1177</v>
      </c>
      <c r="AH1290" s="38"/>
      <c r="AI1290" s="36">
        <v>0</v>
      </c>
      <c r="AJ1290" s="7" t="s">
        <v>1193</v>
      </c>
      <c r="AK1290" s="7" t="s">
        <v>1177</v>
      </c>
      <c r="AL1290" s="7" t="s">
        <v>1177</v>
      </c>
      <c r="AM1290" s="7" t="s">
        <v>1177</v>
      </c>
      <c r="AN1290" s="7" t="s">
        <v>3212</v>
      </c>
      <c r="AO1290" s="7" t="s">
        <v>1177</v>
      </c>
      <c r="AP1290" s="7" t="s">
        <v>1177</v>
      </c>
      <c r="AQ1290" s="7" t="s">
        <v>1177</v>
      </c>
      <c r="AR1290" s="29">
        <v>0</v>
      </c>
      <c r="AS1290" s="7" t="s">
        <v>1177</v>
      </c>
      <c r="AT1290" s="7" t="s">
        <v>1363</v>
      </c>
      <c r="AU1290" s="38">
        <v>46275</v>
      </c>
      <c r="AV1290" s="39">
        <v>0.62513888888889002</v>
      </c>
    </row>
    <row r="1291" spans="1:48" x14ac:dyDescent="0.35">
      <c r="A1291" t="str">
        <f t="shared" si="20"/>
        <v>GP311567B864</v>
      </c>
      <c r="B1291" s="7" t="s">
        <v>883</v>
      </c>
      <c r="C1291" s="7" t="s">
        <v>1010</v>
      </c>
      <c r="D1291" s="7" t="s">
        <v>10</v>
      </c>
      <c r="E1291" s="7" t="s">
        <v>1177</v>
      </c>
      <c r="F1291" s="7" t="s">
        <v>128</v>
      </c>
      <c r="G1291" s="7" t="s">
        <v>130</v>
      </c>
      <c r="H1291" s="7" t="s">
        <v>129</v>
      </c>
      <c r="I1291" s="30">
        <v>2</v>
      </c>
      <c r="J1291" s="7" t="s">
        <v>1177</v>
      </c>
      <c r="K1291" s="7" t="s">
        <v>1178</v>
      </c>
      <c r="L1291" s="7" t="s">
        <v>132</v>
      </c>
      <c r="M1291" s="7" t="s">
        <v>133</v>
      </c>
      <c r="N1291" s="30">
        <v>0</v>
      </c>
      <c r="O1291" s="30">
        <v>0</v>
      </c>
      <c r="P1291" s="30">
        <v>0</v>
      </c>
      <c r="Q1291" s="30">
        <v>0</v>
      </c>
      <c r="R1291" s="29">
        <v>0</v>
      </c>
      <c r="S1291" s="36">
        <v>0</v>
      </c>
      <c r="T1291" s="7" t="s">
        <v>131</v>
      </c>
      <c r="U1291" s="7" t="s">
        <v>1011</v>
      </c>
      <c r="V1291" s="7" t="s">
        <v>1011</v>
      </c>
      <c r="W1291" s="7" t="s">
        <v>1177</v>
      </c>
      <c r="X1291" s="30">
        <v>1</v>
      </c>
      <c r="Y1291" s="7" t="s">
        <v>1177</v>
      </c>
      <c r="Z1291" s="7" t="s">
        <v>1178</v>
      </c>
      <c r="AA1291" s="30">
        <v>0</v>
      </c>
      <c r="AB1291" s="36">
        <v>0</v>
      </c>
      <c r="AC1291" s="7" t="s">
        <v>1177</v>
      </c>
      <c r="AD1291" s="37">
        <v>0</v>
      </c>
      <c r="AE1291" s="7" t="s">
        <v>1177</v>
      </c>
      <c r="AF1291" s="7" t="s">
        <v>1177</v>
      </c>
      <c r="AG1291" s="7" t="s">
        <v>1177</v>
      </c>
      <c r="AH1291" s="38"/>
      <c r="AI1291" s="36">
        <v>0</v>
      </c>
      <c r="AJ1291" s="7" t="s">
        <v>1193</v>
      </c>
      <c r="AK1291" s="7" t="s">
        <v>1177</v>
      </c>
      <c r="AL1291" s="7" t="s">
        <v>1177</v>
      </c>
      <c r="AM1291" s="7" t="s">
        <v>1177</v>
      </c>
      <c r="AN1291" s="7" t="s">
        <v>3212</v>
      </c>
      <c r="AO1291" s="7" t="s">
        <v>1177</v>
      </c>
      <c r="AP1291" s="7" t="s">
        <v>1177</v>
      </c>
      <c r="AQ1291" s="7" t="s">
        <v>1177</v>
      </c>
      <c r="AR1291" s="29">
        <v>0</v>
      </c>
      <c r="AS1291" s="7" t="s">
        <v>1177</v>
      </c>
      <c r="AT1291" s="7" t="s">
        <v>1363</v>
      </c>
      <c r="AU1291" s="38">
        <v>46275</v>
      </c>
      <c r="AV1291" s="39">
        <v>0.62631944444443999</v>
      </c>
    </row>
    <row r="1292" spans="1:48" x14ac:dyDescent="0.35">
      <c r="A1292" t="str">
        <f t="shared" si="20"/>
        <v>GP311809B832</v>
      </c>
      <c r="B1292" s="7" t="s">
        <v>683</v>
      </c>
      <c r="C1292" s="7" t="s">
        <v>653</v>
      </c>
      <c r="D1292" s="7" t="s">
        <v>19</v>
      </c>
      <c r="E1292" s="7" t="s">
        <v>1177</v>
      </c>
      <c r="F1292" s="7" t="s">
        <v>128</v>
      </c>
      <c r="G1292" s="7" t="s">
        <v>130</v>
      </c>
      <c r="H1292" s="7" t="s">
        <v>129</v>
      </c>
      <c r="I1292" s="30">
        <v>2</v>
      </c>
      <c r="J1292" s="7" t="s">
        <v>1177</v>
      </c>
      <c r="K1292" s="7" t="s">
        <v>1178</v>
      </c>
      <c r="L1292" s="7" t="s">
        <v>132</v>
      </c>
      <c r="M1292" s="7" t="s">
        <v>133</v>
      </c>
      <c r="N1292" s="30">
        <v>0</v>
      </c>
      <c r="O1292" s="30">
        <v>0</v>
      </c>
      <c r="P1292" s="30">
        <v>0</v>
      </c>
      <c r="Q1292" s="30">
        <v>0</v>
      </c>
      <c r="R1292" s="29">
        <v>0</v>
      </c>
      <c r="S1292" s="36">
        <v>0</v>
      </c>
      <c r="T1292" s="7" t="s">
        <v>131</v>
      </c>
      <c r="U1292" s="7" t="s">
        <v>654</v>
      </c>
      <c r="V1292" s="7" t="s">
        <v>654</v>
      </c>
      <c r="W1292" s="7" t="s">
        <v>1177</v>
      </c>
      <c r="X1292" s="30">
        <v>1</v>
      </c>
      <c r="Y1292" s="7" t="s">
        <v>1177</v>
      </c>
      <c r="Z1292" s="7" t="s">
        <v>1178</v>
      </c>
      <c r="AA1292" s="30">
        <v>0</v>
      </c>
      <c r="AB1292" s="36">
        <v>0</v>
      </c>
      <c r="AC1292" s="7" t="s">
        <v>1177</v>
      </c>
      <c r="AD1292" s="37">
        <v>0</v>
      </c>
      <c r="AE1292" s="7" t="s">
        <v>1177</v>
      </c>
      <c r="AF1292" s="7" t="s">
        <v>1177</v>
      </c>
      <c r="AG1292" s="7" t="s">
        <v>1177</v>
      </c>
      <c r="AH1292" s="38"/>
      <c r="AI1292" s="36">
        <v>0</v>
      </c>
      <c r="AJ1292" s="7" t="s">
        <v>1193</v>
      </c>
      <c r="AK1292" s="7" t="s">
        <v>1177</v>
      </c>
      <c r="AL1292" s="7" t="s">
        <v>1177</v>
      </c>
      <c r="AM1292" s="7" t="s">
        <v>1177</v>
      </c>
      <c r="AN1292" s="7" t="s">
        <v>3212</v>
      </c>
      <c r="AO1292" s="7" t="s">
        <v>1177</v>
      </c>
      <c r="AP1292" s="7" t="s">
        <v>1177</v>
      </c>
      <c r="AQ1292" s="7" t="s">
        <v>1177</v>
      </c>
      <c r="AR1292" s="29">
        <v>0</v>
      </c>
      <c r="AS1292" s="7" t="s">
        <v>1177</v>
      </c>
      <c r="AT1292" s="7" t="s">
        <v>1363</v>
      </c>
      <c r="AU1292" s="38">
        <v>46275</v>
      </c>
      <c r="AV1292" s="39">
        <v>0.62336805555555996</v>
      </c>
    </row>
    <row r="1293" spans="1:48" x14ac:dyDescent="0.35">
      <c r="A1293" t="str">
        <f t="shared" si="20"/>
        <v>GP311809B833</v>
      </c>
      <c r="B1293" s="7" t="s">
        <v>683</v>
      </c>
      <c r="C1293" s="7" t="s">
        <v>698</v>
      </c>
      <c r="D1293" s="7" t="s">
        <v>697</v>
      </c>
      <c r="E1293" s="7" t="s">
        <v>1177</v>
      </c>
      <c r="F1293" s="7" t="s">
        <v>128</v>
      </c>
      <c r="G1293" s="7" t="s">
        <v>130</v>
      </c>
      <c r="H1293" s="7" t="s">
        <v>129</v>
      </c>
      <c r="I1293" s="30">
        <v>2</v>
      </c>
      <c r="J1293" s="7" t="s">
        <v>1177</v>
      </c>
      <c r="K1293" s="7" t="s">
        <v>1178</v>
      </c>
      <c r="L1293" s="7" t="s">
        <v>132</v>
      </c>
      <c r="M1293" s="7" t="s">
        <v>133</v>
      </c>
      <c r="N1293" s="30">
        <v>0</v>
      </c>
      <c r="O1293" s="30">
        <v>0</v>
      </c>
      <c r="P1293" s="30">
        <v>0</v>
      </c>
      <c r="Q1293" s="30">
        <v>0</v>
      </c>
      <c r="R1293" s="29">
        <v>0</v>
      </c>
      <c r="S1293" s="36">
        <v>0</v>
      </c>
      <c r="T1293" s="7" t="s">
        <v>131</v>
      </c>
      <c r="U1293" s="7" t="s">
        <v>699</v>
      </c>
      <c r="V1293" s="7" t="s">
        <v>699</v>
      </c>
      <c r="W1293" s="7" t="s">
        <v>1177</v>
      </c>
      <c r="X1293" s="30">
        <v>1</v>
      </c>
      <c r="Y1293" s="7" t="s">
        <v>1177</v>
      </c>
      <c r="Z1293" s="7" t="s">
        <v>1178</v>
      </c>
      <c r="AA1293" s="30">
        <v>0</v>
      </c>
      <c r="AB1293" s="36">
        <v>0</v>
      </c>
      <c r="AC1293" s="7" t="s">
        <v>1177</v>
      </c>
      <c r="AD1293" s="37">
        <v>0</v>
      </c>
      <c r="AE1293" s="7" t="s">
        <v>1177</v>
      </c>
      <c r="AF1293" s="7" t="s">
        <v>1177</v>
      </c>
      <c r="AG1293" s="7" t="s">
        <v>1177</v>
      </c>
      <c r="AH1293" s="38"/>
      <c r="AI1293" s="36">
        <v>0</v>
      </c>
      <c r="AJ1293" s="7" t="s">
        <v>1193</v>
      </c>
      <c r="AK1293" s="7" t="s">
        <v>1177</v>
      </c>
      <c r="AL1293" s="7" t="s">
        <v>1177</v>
      </c>
      <c r="AM1293" s="7" t="s">
        <v>1177</v>
      </c>
      <c r="AN1293" s="7" t="s">
        <v>3212</v>
      </c>
      <c r="AO1293" s="7" t="s">
        <v>1177</v>
      </c>
      <c r="AP1293" s="7" t="s">
        <v>1177</v>
      </c>
      <c r="AQ1293" s="7" t="s">
        <v>1177</v>
      </c>
      <c r="AR1293" s="29">
        <v>0</v>
      </c>
      <c r="AS1293" s="7" t="s">
        <v>1177</v>
      </c>
      <c r="AT1293" s="7" t="s">
        <v>1363</v>
      </c>
      <c r="AU1293" s="38">
        <v>46275</v>
      </c>
      <c r="AV1293" s="39">
        <v>0.62349537037036995</v>
      </c>
    </row>
    <row r="1294" spans="1:48" x14ac:dyDescent="0.35">
      <c r="A1294" t="str">
        <f t="shared" si="20"/>
        <v>GP312102B856</v>
      </c>
      <c r="B1294" s="7" t="s">
        <v>884</v>
      </c>
      <c r="C1294" s="7" t="s">
        <v>852</v>
      </c>
      <c r="D1294" s="7" t="s">
        <v>21</v>
      </c>
      <c r="E1294" s="7" t="s">
        <v>1177</v>
      </c>
      <c r="F1294" s="7" t="s">
        <v>128</v>
      </c>
      <c r="G1294" s="7" t="s">
        <v>130</v>
      </c>
      <c r="H1294" s="7" t="s">
        <v>129</v>
      </c>
      <c r="I1294" s="30">
        <v>2</v>
      </c>
      <c r="J1294" s="7" t="s">
        <v>1177</v>
      </c>
      <c r="K1294" s="7" t="s">
        <v>1178</v>
      </c>
      <c r="L1294" s="7" t="s">
        <v>132</v>
      </c>
      <c r="M1294" s="7" t="s">
        <v>133</v>
      </c>
      <c r="N1294" s="30">
        <v>0</v>
      </c>
      <c r="O1294" s="30">
        <v>0</v>
      </c>
      <c r="P1294" s="30">
        <v>0</v>
      </c>
      <c r="Q1294" s="30">
        <v>0</v>
      </c>
      <c r="R1294" s="29">
        <v>0</v>
      </c>
      <c r="S1294" s="36">
        <v>0</v>
      </c>
      <c r="T1294" s="7" t="s">
        <v>131</v>
      </c>
      <c r="U1294" s="7" t="s">
        <v>853</v>
      </c>
      <c r="V1294" s="7" t="s">
        <v>853</v>
      </c>
      <c r="W1294" s="7" t="s">
        <v>1177</v>
      </c>
      <c r="X1294" s="30">
        <v>1</v>
      </c>
      <c r="Y1294" s="7" t="s">
        <v>1177</v>
      </c>
      <c r="Z1294" s="7" t="s">
        <v>1178</v>
      </c>
      <c r="AA1294" s="30">
        <v>0</v>
      </c>
      <c r="AB1294" s="36">
        <v>0</v>
      </c>
      <c r="AC1294" s="7" t="s">
        <v>1177</v>
      </c>
      <c r="AD1294" s="37">
        <v>0</v>
      </c>
      <c r="AE1294" s="7" t="s">
        <v>1177</v>
      </c>
      <c r="AF1294" s="7" t="s">
        <v>1177</v>
      </c>
      <c r="AG1294" s="7" t="s">
        <v>1177</v>
      </c>
      <c r="AH1294" s="38"/>
      <c r="AI1294" s="36">
        <v>0</v>
      </c>
      <c r="AJ1294" s="7" t="s">
        <v>1193</v>
      </c>
      <c r="AK1294" s="7" t="s">
        <v>1177</v>
      </c>
      <c r="AL1294" s="7" t="s">
        <v>1177</v>
      </c>
      <c r="AM1294" s="7" t="s">
        <v>1177</v>
      </c>
      <c r="AN1294" s="7" t="s">
        <v>3212</v>
      </c>
      <c r="AO1294" s="7" t="s">
        <v>1177</v>
      </c>
      <c r="AP1294" s="7" t="s">
        <v>1177</v>
      </c>
      <c r="AQ1294" s="7" t="s">
        <v>1177</v>
      </c>
      <c r="AR1294" s="29">
        <v>0</v>
      </c>
      <c r="AS1294" s="7" t="s">
        <v>1177</v>
      </c>
      <c r="AT1294" s="7" t="s">
        <v>1363</v>
      </c>
      <c r="AU1294" s="38">
        <v>46275</v>
      </c>
      <c r="AV1294" s="39">
        <v>0.62488425925926006</v>
      </c>
    </row>
    <row r="1295" spans="1:48" x14ac:dyDescent="0.35">
      <c r="A1295" t="str">
        <f t="shared" si="20"/>
        <v>GP312265B825</v>
      </c>
      <c r="B1295" s="7" t="s">
        <v>289</v>
      </c>
      <c r="C1295" s="7" t="s">
        <v>511</v>
      </c>
      <c r="D1295" s="7" t="s">
        <v>16</v>
      </c>
      <c r="E1295" s="7" t="s">
        <v>1177</v>
      </c>
      <c r="F1295" s="7" t="s">
        <v>128</v>
      </c>
      <c r="G1295" s="7" t="s">
        <v>130</v>
      </c>
      <c r="H1295" s="7" t="s">
        <v>129</v>
      </c>
      <c r="I1295" s="30">
        <v>2</v>
      </c>
      <c r="J1295" s="7" t="s">
        <v>1177</v>
      </c>
      <c r="K1295" s="7" t="s">
        <v>1178</v>
      </c>
      <c r="L1295" s="7" t="s">
        <v>132</v>
      </c>
      <c r="M1295" s="7" t="s">
        <v>133</v>
      </c>
      <c r="N1295" s="30">
        <v>0</v>
      </c>
      <c r="O1295" s="30">
        <v>0</v>
      </c>
      <c r="P1295" s="30">
        <v>0</v>
      </c>
      <c r="Q1295" s="30">
        <v>0</v>
      </c>
      <c r="R1295" s="29">
        <v>0</v>
      </c>
      <c r="S1295" s="36">
        <v>0</v>
      </c>
      <c r="T1295" s="7" t="s">
        <v>131</v>
      </c>
      <c r="U1295" s="7" t="s">
        <v>512</v>
      </c>
      <c r="V1295" s="7" t="s">
        <v>512</v>
      </c>
      <c r="W1295" s="7" t="s">
        <v>1177</v>
      </c>
      <c r="X1295" s="30">
        <v>1</v>
      </c>
      <c r="Y1295" s="7" t="s">
        <v>1177</v>
      </c>
      <c r="Z1295" s="7" t="s">
        <v>1178</v>
      </c>
      <c r="AA1295" s="30">
        <v>0</v>
      </c>
      <c r="AB1295" s="36">
        <v>0</v>
      </c>
      <c r="AC1295" s="7" t="s">
        <v>1177</v>
      </c>
      <c r="AD1295" s="37">
        <v>0</v>
      </c>
      <c r="AE1295" s="7" t="s">
        <v>1177</v>
      </c>
      <c r="AF1295" s="7" t="s">
        <v>1177</v>
      </c>
      <c r="AG1295" s="7" t="s">
        <v>1177</v>
      </c>
      <c r="AH1295" s="38"/>
      <c r="AI1295" s="36">
        <v>0</v>
      </c>
      <c r="AJ1295" s="7" t="s">
        <v>1193</v>
      </c>
      <c r="AK1295" s="7" t="s">
        <v>1177</v>
      </c>
      <c r="AL1295" s="7" t="s">
        <v>1177</v>
      </c>
      <c r="AM1295" s="7" t="s">
        <v>1177</v>
      </c>
      <c r="AN1295" s="7" t="s">
        <v>3212</v>
      </c>
      <c r="AO1295" s="7" t="s">
        <v>1177</v>
      </c>
      <c r="AP1295" s="7" t="s">
        <v>1177</v>
      </c>
      <c r="AQ1295" s="7" t="s">
        <v>1177</v>
      </c>
      <c r="AR1295" s="29">
        <v>0</v>
      </c>
      <c r="AS1295" s="7" t="s">
        <v>1177</v>
      </c>
      <c r="AT1295" s="7" t="s">
        <v>1363</v>
      </c>
      <c r="AU1295" s="38">
        <v>46275</v>
      </c>
      <c r="AV1295" s="39">
        <v>0.62303240740740995</v>
      </c>
    </row>
    <row r="1296" spans="1:48" x14ac:dyDescent="0.35">
      <c r="A1296" t="str">
        <f t="shared" si="20"/>
        <v>GP314696B857</v>
      </c>
      <c r="B1296" s="7" t="s">
        <v>981</v>
      </c>
      <c r="C1296" s="7" t="s">
        <v>958</v>
      </c>
      <c r="D1296" s="7" t="s">
        <v>23</v>
      </c>
      <c r="E1296" s="7" t="s">
        <v>1177</v>
      </c>
      <c r="F1296" s="7" t="s">
        <v>128</v>
      </c>
      <c r="G1296" s="7" t="s">
        <v>130</v>
      </c>
      <c r="H1296" s="7" t="s">
        <v>129</v>
      </c>
      <c r="I1296" s="30">
        <v>1</v>
      </c>
      <c r="J1296" s="7" t="s">
        <v>1177</v>
      </c>
      <c r="K1296" s="7" t="s">
        <v>1178</v>
      </c>
      <c r="L1296" s="7" t="s">
        <v>132</v>
      </c>
      <c r="M1296" s="7" t="s">
        <v>133</v>
      </c>
      <c r="N1296" s="30">
        <v>0</v>
      </c>
      <c r="O1296" s="30">
        <v>0</v>
      </c>
      <c r="P1296" s="30">
        <v>0</v>
      </c>
      <c r="Q1296" s="30">
        <v>0</v>
      </c>
      <c r="R1296" s="29">
        <v>0</v>
      </c>
      <c r="S1296" s="36">
        <v>0</v>
      </c>
      <c r="T1296" s="7" t="s">
        <v>131</v>
      </c>
      <c r="U1296" s="7" t="s">
        <v>959</v>
      </c>
      <c r="V1296" s="7" t="s">
        <v>959</v>
      </c>
      <c r="W1296" s="7" t="s">
        <v>1177</v>
      </c>
      <c r="X1296" s="30">
        <v>1</v>
      </c>
      <c r="Y1296" s="7" t="s">
        <v>1177</v>
      </c>
      <c r="Z1296" s="7" t="s">
        <v>1178</v>
      </c>
      <c r="AA1296" s="30">
        <v>0</v>
      </c>
      <c r="AB1296" s="36">
        <v>0</v>
      </c>
      <c r="AC1296" s="7" t="s">
        <v>1177</v>
      </c>
      <c r="AD1296" s="37">
        <v>0</v>
      </c>
      <c r="AE1296" s="7" t="s">
        <v>1177</v>
      </c>
      <c r="AF1296" s="7" t="s">
        <v>1177</v>
      </c>
      <c r="AG1296" s="7" t="s">
        <v>1177</v>
      </c>
      <c r="AH1296" s="38"/>
      <c r="AI1296" s="36">
        <v>0</v>
      </c>
      <c r="AJ1296" s="7" t="s">
        <v>1193</v>
      </c>
      <c r="AK1296" s="7" t="s">
        <v>1177</v>
      </c>
      <c r="AL1296" s="7" t="s">
        <v>1177</v>
      </c>
      <c r="AM1296" s="7" t="s">
        <v>1177</v>
      </c>
      <c r="AN1296" s="7" t="s">
        <v>3212</v>
      </c>
      <c r="AO1296" s="7" t="s">
        <v>1177</v>
      </c>
      <c r="AP1296" s="7" t="s">
        <v>1177</v>
      </c>
      <c r="AQ1296" s="7" t="s">
        <v>1177</v>
      </c>
      <c r="AR1296" s="29">
        <v>0</v>
      </c>
      <c r="AS1296" s="7" t="s">
        <v>1177</v>
      </c>
      <c r="AT1296" s="7" t="s">
        <v>1363</v>
      </c>
      <c r="AU1296" s="38">
        <v>46275</v>
      </c>
      <c r="AV1296" s="39">
        <v>0.62513888888889002</v>
      </c>
    </row>
    <row r="1297" spans="1:48" x14ac:dyDescent="0.35">
      <c r="A1297" t="str">
        <f t="shared" si="20"/>
        <v>GP315334B856</v>
      </c>
      <c r="B1297" s="7" t="s">
        <v>805</v>
      </c>
      <c r="C1297" s="7" t="s">
        <v>852</v>
      </c>
      <c r="D1297" s="7" t="s">
        <v>21</v>
      </c>
      <c r="E1297" s="7" t="s">
        <v>1177</v>
      </c>
      <c r="F1297" s="7" t="s">
        <v>128</v>
      </c>
      <c r="G1297" s="7" t="s">
        <v>130</v>
      </c>
      <c r="H1297" s="7" t="s">
        <v>129</v>
      </c>
      <c r="I1297" s="30">
        <v>2</v>
      </c>
      <c r="J1297" s="7" t="s">
        <v>1177</v>
      </c>
      <c r="K1297" s="7" t="s">
        <v>1178</v>
      </c>
      <c r="L1297" s="7" t="s">
        <v>132</v>
      </c>
      <c r="M1297" s="7" t="s">
        <v>133</v>
      </c>
      <c r="N1297" s="30">
        <v>0</v>
      </c>
      <c r="O1297" s="30">
        <v>0</v>
      </c>
      <c r="P1297" s="30">
        <v>0</v>
      </c>
      <c r="Q1297" s="30">
        <v>0</v>
      </c>
      <c r="R1297" s="29">
        <v>0</v>
      </c>
      <c r="S1297" s="36">
        <v>0</v>
      </c>
      <c r="T1297" s="7" t="s">
        <v>131</v>
      </c>
      <c r="U1297" s="7" t="s">
        <v>853</v>
      </c>
      <c r="V1297" s="7" t="s">
        <v>853</v>
      </c>
      <c r="W1297" s="7" t="s">
        <v>1177</v>
      </c>
      <c r="X1297" s="30">
        <v>1</v>
      </c>
      <c r="Y1297" s="7" t="s">
        <v>1177</v>
      </c>
      <c r="Z1297" s="7" t="s">
        <v>1178</v>
      </c>
      <c r="AA1297" s="30">
        <v>0</v>
      </c>
      <c r="AB1297" s="36">
        <v>0</v>
      </c>
      <c r="AC1297" s="7" t="s">
        <v>1177</v>
      </c>
      <c r="AD1297" s="37">
        <v>0</v>
      </c>
      <c r="AE1297" s="7" t="s">
        <v>1177</v>
      </c>
      <c r="AF1297" s="7" t="s">
        <v>1177</v>
      </c>
      <c r="AG1297" s="7" t="s">
        <v>1177</v>
      </c>
      <c r="AH1297" s="38"/>
      <c r="AI1297" s="36">
        <v>0</v>
      </c>
      <c r="AJ1297" s="7" t="s">
        <v>1193</v>
      </c>
      <c r="AK1297" s="7" t="s">
        <v>1177</v>
      </c>
      <c r="AL1297" s="7" t="s">
        <v>1177</v>
      </c>
      <c r="AM1297" s="7" t="s">
        <v>1177</v>
      </c>
      <c r="AN1297" s="7" t="s">
        <v>3212</v>
      </c>
      <c r="AO1297" s="7" t="s">
        <v>1177</v>
      </c>
      <c r="AP1297" s="7" t="s">
        <v>1177</v>
      </c>
      <c r="AQ1297" s="7" t="s">
        <v>1177</v>
      </c>
      <c r="AR1297" s="29">
        <v>0</v>
      </c>
      <c r="AS1297" s="7" t="s">
        <v>1177</v>
      </c>
      <c r="AT1297" s="7" t="s">
        <v>1363</v>
      </c>
      <c r="AU1297" s="38">
        <v>46275</v>
      </c>
      <c r="AV1297" s="39">
        <v>0.62488425925926006</v>
      </c>
    </row>
    <row r="1298" spans="1:48" x14ac:dyDescent="0.35">
      <c r="A1298" t="str">
        <f t="shared" si="20"/>
        <v>GP315334B857</v>
      </c>
      <c r="B1298" s="7" t="s">
        <v>805</v>
      </c>
      <c r="C1298" s="7" t="s">
        <v>958</v>
      </c>
      <c r="D1298" s="7" t="s">
        <v>23</v>
      </c>
      <c r="E1298" s="7" t="s">
        <v>1177</v>
      </c>
      <c r="F1298" s="7" t="s">
        <v>128</v>
      </c>
      <c r="G1298" s="7" t="s">
        <v>130</v>
      </c>
      <c r="H1298" s="7" t="s">
        <v>129</v>
      </c>
      <c r="I1298" s="30">
        <v>2</v>
      </c>
      <c r="J1298" s="7" t="s">
        <v>1177</v>
      </c>
      <c r="K1298" s="7" t="s">
        <v>1178</v>
      </c>
      <c r="L1298" s="7" t="s">
        <v>132</v>
      </c>
      <c r="M1298" s="7" t="s">
        <v>133</v>
      </c>
      <c r="N1298" s="30">
        <v>0</v>
      </c>
      <c r="O1298" s="30">
        <v>0</v>
      </c>
      <c r="P1298" s="30">
        <v>0</v>
      </c>
      <c r="Q1298" s="30">
        <v>0</v>
      </c>
      <c r="R1298" s="29">
        <v>0</v>
      </c>
      <c r="S1298" s="36">
        <v>0</v>
      </c>
      <c r="T1298" s="7" t="s">
        <v>131</v>
      </c>
      <c r="U1298" s="7" t="s">
        <v>959</v>
      </c>
      <c r="V1298" s="7" t="s">
        <v>959</v>
      </c>
      <c r="W1298" s="7" t="s">
        <v>1177</v>
      </c>
      <c r="X1298" s="30">
        <v>1</v>
      </c>
      <c r="Y1298" s="7" t="s">
        <v>1177</v>
      </c>
      <c r="Z1298" s="7" t="s">
        <v>1178</v>
      </c>
      <c r="AA1298" s="30">
        <v>0</v>
      </c>
      <c r="AB1298" s="36">
        <v>0</v>
      </c>
      <c r="AC1298" s="7" t="s">
        <v>1177</v>
      </c>
      <c r="AD1298" s="37">
        <v>0</v>
      </c>
      <c r="AE1298" s="7" t="s">
        <v>1177</v>
      </c>
      <c r="AF1298" s="7" t="s">
        <v>1177</v>
      </c>
      <c r="AG1298" s="7" t="s">
        <v>1177</v>
      </c>
      <c r="AH1298" s="38"/>
      <c r="AI1298" s="36">
        <v>0</v>
      </c>
      <c r="AJ1298" s="7" t="s">
        <v>1193</v>
      </c>
      <c r="AK1298" s="7" t="s">
        <v>1177</v>
      </c>
      <c r="AL1298" s="7" t="s">
        <v>1177</v>
      </c>
      <c r="AM1298" s="7" t="s">
        <v>1177</v>
      </c>
      <c r="AN1298" s="7" t="s">
        <v>3212</v>
      </c>
      <c r="AO1298" s="7" t="s">
        <v>1177</v>
      </c>
      <c r="AP1298" s="7" t="s">
        <v>1177</v>
      </c>
      <c r="AQ1298" s="7" t="s">
        <v>1177</v>
      </c>
      <c r="AR1298" s="29">
        <v>0</v>
      </c>
      <c r="AS1298" s="7" t="s">
        <v>1177</v>
      </c>
      <c r="AT1298" s="7" t="s">
        <v>1363</v>
      </c>
      <c r="AU1298" s="38">
        <v>46275</v>
      </c>
      <c r="AV1298" s="39">
        <v>0.62513888888889002</v>
      </c>
    </row>
    <row r="1299" spans="1:48" x14ac:dyDescent="0.35">
      <c r="A1299" t="str">
        <f t="shared" si="20"/>
        <v>GP315334B867</v>
      </c>
      <c r="B1299" s="7" t="s">
        <v>805</v>
      </c>
      <c r="C1299" s="7" t="s">
        <v>1059</v>
      </c>
      <c r="D1299" s="7" t="s">
        <v>25</v>
      </c>
      <c r="E1299" s="7" t="s">
        <v>1177</v>
      </c>
      <c r="F1299" s="7" t="s">
        <v>128</v>
      </c>
      <c r="G1299" s="7" t="s">
        <v>130</v>
      </c>
      <c r="H1299" s="7" t="s">
        <v>129</v>
      </c>
      <c r="I1299" s="30">
        <v>2</v>
      </c>
      <c r="J1299" s="7" t="s">
        <v>1177</v>
      </c>
      <c r="K1299" s="7" t="s">
        <v>1178</v>
      </c>
      <c r="L1299" s="7" t="s">
        <v>132</v>
      </c>
      <c r="M1299" s="7" t="s">
        <v>133</v>
      </c>
      <c r="N1299" s="30">
        <v>0</v>
      </c>
      <c r="O1299" s="30">
        <v>0</v>
      </c>
      <c r="P1299" s="30">
        <v>0</v>
      </c>
      <c r="Q1299" s="30">
        <v>0</v>
      </c>
      <c r="R1299" s="29">
        <v>0</v>
      </c>
      <c r="S1299" s="36">
        <v>0</v>
      </c>
      <c r="T1299" s="7" t="s">
        <v>131</v>
      </c>
      <c r="U1299" s="7" t="s">
        <v>1060</v>
      </c>
      <c r="V1299" s="7" t="s">
        <v>1060</v>
      </c>
      <c r="W1299" s="7" t="s">
        <v>1177</v>
      </c>
      <c r="X1299" s="30">
        <v>1</v>
      </c>
      <c r="Y1299" s="7" t="s">
        <v>1177</v>
      </c>
      <c r="Z1299" s="7" t="s">
        <v>1178</v>
      </c>
      <c r="AA1299" s="30">
        <v>0</v>
      </c>
      <c r="AB1299" s="36">
        <v>0</v>
      </c>
      <c r="AC1299" s="7" t="s">
        <v>1177</v>
      </c>
      <c r="AD1299" s="37">
        <v>0</v>
      </c>
      <c r="AE1299" s="7" t="s">
        <v>1177</v>
      </c>
      <c r="AF1299" s="7" t="s">
        <v>1177</v>
      </c>
      <c r="AG1299" s="7" t="s">
        <v>1177</v>
      </c>
      <c r="AH1299" s="38"/>
      <c r="AI1299" s="36">
        <v>0</v>
      </c>
      <c r="AJ1299" s="7" t="s">
        <v>1193</v>
      </c>
      <c r="AK1299" s="7" t="s">
        <v>1177</v>
      </c>
      <c r="AL1299" s="7" t="s">
        <v>1177</v>
      </c>
      <c r="AM1299" s="7" t="s">
        <v>1177</v>
      </c>
      <c r="AN1299" s="7" t="s">
        <v>3212</v>
      </c>
      <c r="AO1299" s="7" t="s">
        <v>1177</v>
      </c>
      <c r="AP1299" s="7" t="s">
        <v>1177</v>
      </c>
      <c r="AQ1299" s="7" t="s">
        <v>1177</v>
      </c>
      <c r="AR1299" s="29">
        <v>0</v>
      </c>
      <c r="AS1299" s="7" t="s">
        <v>1177</v>
      </c>
      <c r="AT1299" s="7" t="s">
        <v>1363</v>
      </c>
      <c r="AU1299" s="38">
        <v>46275</v>
      </c>
      <c r="AV1299" s="39">
        <v>0.62712962962963004</v>
      </c>
    </row>
    <row r="1300" spans="1:48" x14ac:dyDescent="0.35">
      <c r="A1300" t="str">
        <f t="shared" si="20"/>
        <v>GP316861B856</v>
      </c>
      <c r="B1300" s="7" t="s">
        <v>807</v>
      </c>
      <c r="C1300" s="7" t="s">
        <v>852</v>
      </c>
      <c r="D1300" s="7" t="s">
        <v>21</v>
      </c>
      <c r="E1300" s="7" t="s">
        <v>1177</v>
      </c>
      <c r="F1300" s="7" t="s">
        <v>128</v>
      </c>
      <c r="G1300" s="7" t="s">
        <v>130</v>
      </c>
      <c r="H1300" s="7" t="s">
        <v>129</v>
      </c>
      <c r="I1300" s="30">
        <v>2</v>
      </c>
      <c r="J1300" s="7" t="s">
        <v>1177</v>
      </c>
      <c r="K1300" s="7" t="s">
        <v>1178</v>
      </c>
      <c r="L1300" s="7" t="s">
        <v>132</v>
      </c>
      <c r="M1300" s="7" t="s">
        <v>133</v>
      </c>
      <c r="N1300" s="30">
        <v>0</v>
      </c>
      <c r="O1300" s="30">
        <v>0</v>
      </c>
      <c r="P1300" s="30">
        <v>0</v>
      </c>
      <c r="Q1300" s="30">
        <v>0</v>
      </c>
      <c r="R1300" s="29">
        <v>0</v>
      </c>
      <c r="S1300" s="36">
        <v>0</v>
      </c>
      <c r="T1300" s="7" t="s">
        <v>131</v>
      </c>
      <c r="U1300" s="7" t="s">
        <v>853</v>
      </c>
      <c r="V1300" s="7" t="s">
        <v>853</v>
      </c>
      <c r="W1300" s="7" t="s">
        <v>1177</v>
      </c>
      <c r="X1300" s="30">
        <v>1</v>
      </c>
      <c r="Y1300" s="7" t="s">
        <v>1177</v>
      </c>
      <c r="Z1300" s="7" t="s">
        <v>1178</v>
      </c>
      <c r="AA1300" s="30">
        <v>0</v>
      </c>
      <c r="AB1300" s="36">
        <v>0</v>
      </c>
      <c r="AC1300" s="7" t="s">
        <v>1177</v>
      </c>
      <c r="AD1300" s="37">
        <v>0</v>
      </c>
      <c r="AE1300" s="7" t="s">
        <v>1177</v>
      </c>
      <c r="AF1300" s="7" t="s">
        <v>1177</v>
      </c>
      <c r="AG1300" s="7" t="s">
        <v>1177</v>
      </c>
      <c r="AH1300" s="38"/>
      <c r="AI1300" s="36">
        <v>0</v>
      </c>
      <c r="AJ1300" s="7" t="s">
        <v>1193</v>
      </c>
      <c r="AK1300" s="7" t="s">
        <v>1177</v>
      </c>
      <c r="AL1300" s="7" t="s">
        <v>1177</v>
      </c>
      <c r="AM1300" s="7" t="s">
        <v>1177</v>
      </c>
      <c r="AN1300" s="7" t="s">
        <v>3212</v>
      </c>
      <c r="AO1300" s="7" t="s">
        <v>1177</v>
      </c>
      <c r="AP1300" s="7" t="s">
        <v>1177</v>
      </c>
      <c r="AQ1300" s="7" t="s">
        <v>1177</v>
      </c>
      <c r="AR1300" s="29">
        <v>0</v>
      </c>
      <c r="AS1300" s="7" t="s">
        <v>1177</v>
      </c>
      <c r="AT1300" s="7" t="s">
        <v>1363</v>
      </c>
      <c r="AU1300" s="38">
        <v>46275</v>
      </c>
      <c r="AV1300" s="39">
        <v>0.62488425925926006</v>
      </c>
    </row>
    <row r="1301" spans="1:48" x14ac:dyDescent="0.35">
      <c r="A1301" t="str">
        <f t="shared" si="20"/>
        <v>GP316861B857</v>
      </c>
      <c r="B1301" s="7" t="s">
        <v>807</v>
      </c>
      <c r="C1301" s="7" t="s">
        <v>958</v>
      </c>
      <c r="D1301" s="7" t="s">
        <v>23</v>
      </c>
      <c r="E1301" s="7" t="s">
        <v>1177</v>
      </c>
      <c r="F1301" s="7" t="s">
        <v>128</v>
      </c>
      <c r="G1301" s="7" t="s">
        <v>130</v>
      </c>
      <c r="H1301" s="7" t="s">
        <v>129</v>
      </c>
      <c r="I1301" s="30">
        <v>1</v>
      </c>
      <c r="J1301" s="7" t="s">
        <v>1177</v>
      </c>
      <c r="K1301" s="7" t="s">
        <v>1178</v>
      </c>
      <c r="L1301" s="7" t="s">
        <v>132</v>
      </c>
      <c r="M1301" s="7" t="s">
        <v>133</v>
      </c>
      <c r="N1301" s="30">
        <v>0</v>
      </c>
      <c r="O1301" s="30">
        <v>0</v>
      </c>
      <c r="P1301" s="30">
        <v>0</v>
      </c>
      <c r="Q1301" s="30">
        <v>0</v>
      </c>
      <c r="R1301" s="29">
        <v>0</v>
      </c>
      <c r="S1301" s="36">
        <v>0</v>
      </c>
      <c r="T1301" s="7" t="s">
        <v>131</v>
      </c>
      <c r="U1301" s="7" t="s">
        <v>959</v>
      </c>
      <c r="V1301" s="7" t="s">
        <v>959</v>
      </c>
      <c r="W1301" s="7" t="s">
        <v>1177</v>
      </c>
      <c r="X1301" s="30">
        <v>1</v>
      </c>
      <c r="Y1301" s="7" t="s">
        <v>1177</v>
      </c>
      <c r="Z1301" s="7" t="s">
        <v>1178</v>
      </c>
      <c r="AA1301" s="30">
        <v>0</v>
      </c>
      <c r="AB1301" s="36">
        <v>0</v>
      </c>
      <c r="AC1301" s="7" t="s">
        <v>1177</v>
      </c>
      <c r="AD1301" s="37">
        <v>0</v>
      </c>
      <c r="AE1301" s="7" t="s">
        <v>1177</v>
      </c>
      <c r="AF1301" s="7" t="s">
        <v>1177</v>
      </c>
      <c r="AG1301" s="7" t="s">
        <v>1177</v>
      </c>
      <c r="AH1301" s="38"/>
      <c r="AI1301" s="36">
        <v>0</v>
      </c>
      <c r="AJ1301" s="7" t="s">
        <v>1193</v>
      </c>
      <c r="AK1301" s="7" t="s">
        <v>1177</v>
      </c>
      <c r="AL1301" s="7" t="s">
        <v>1177</v>
      </c>
      <c r="AM1301" s="7" t="s">
        <v>1177</v>
      </c>
      <c r="AN1301" s="7" t="s">
        <v>3212</v>
      </c>
      <c r="AO1301" s="7" t="s">
        <v>1177</v>
      </c>
      <c r="AP1301" s="7" t="s">
        <v>1177</v>
      </c>
      <c r="AQ1301" s="7" t="s">
        <v>1177</v>
      </c>
      <c r="AR1301" s="29">
        <v>0</v>
      </c>
      <c r="AS1301" s="7" t="s">
        <v>1177</v>
      </c>
      <c r="AT1301" s="7" t="s">
        <v>1363</v>
      </c>
      <c r="AU1301" s="38">
        <v>46275</v>
      </c>
      <c r="AV1301" s="39">
        <v>0.62513888888889002</v>
      </c>
    </row>
    <row r="1302" spans="1:48" x14ac:dyDescent="0.35">
      <c r="A1302" t="str">
        <f t="shared" si="20"/>
        <v>GP316861B867</v>
      </c>
      <c r="B1302" s="7" t="s">
        <v>807</v>
      </c>
      <c r="C1302" s="7" t="s">
        <v>1059</v>
      </c>
      <c r="D1302" s="7" t="s">
        <v>25</v>
      </c>
      <c r="E1302" s="7" t="s">
        <v>1177</v>
      </c>
      <c r="F1302" s="7" t="s">
        <v>128</v>
      </c>
      <c r="G1302" s="7" t="s">
        <v>130</v>
      </c>
      <c r="H1302" s="7" t="s">
        <v>129</v>
      </c>
      <c r="I1302" s="30">
        <v>2</v>
      </c>
      <c r="J1302" s="7" t="s">
        <v>1177</v>
      </c>
      <c r="K1302" s="7" t="s">
        <v>1178</v>
      </c>
      <c r="L1302" s="7" t="s">
        <v>132</v>
      </c>
      <c r="M1302" s="7" t="s">
        <v>133</v>
      </c>
      <c r="N1302" s="30">
        <v>0</v>
      </c>
      <c r="O1302" s="30">
        <v>0</v>
      </c>
      <c r="P1302" s="30">
        <v>0</v>
      </c>
      <c r="Q1302" s="30">
        <v>0</v>
      </c>
      <c r="R1302" s="29">
        <v>0</v>
      </c>
      <c r="S1302" s="36">
        <v>0</v>
      </c>
      <c r="T1302" s="7" t="s">
        <v>131</v>
      </c>
      <c r="U1302" s="7" t="s">
        <v>1060</v>
      </c>
      <c r="V1302" s="7" t="s">
        <v>1060</v>
      </c>
      <c r="W1302" s="7" t="s">
        <v>1177</v>
      </c>
      <c r="X1302" s="30">
        <v>1</v>
      </c>
      <c r="Y1302" s="7" t="s">
        <v>1177</v>
      </c>
      <c r="Z1302" s="7" t="s">
        <v>1178</v>
      </c>
      <c r="AA1302" s="30">
        <v>0</v>
      </c>
      <c r="AB1302" s="36">
        <v>0</v>
      </c>
      <c r="AC1302" s="7" t="s">
        <v>1177</v>
      </c>
      <c r="AD1302" s="37">
        <v>0</v>
      </c>
      <c r="AE1302" s="7" t="s">
        <v>1177</v>
      </c>
      <c r="AF1302" s="7" t="s">
        <v>1177</v>
      </c>
      <c r="AG1302" s="7" t="s">
        <v>1177</v>
      </c>
      <c r="AH1302" s="38"/>
      <c r="AI1302" s="36">
        <v>0</v>
      </c>
      <c r="AJ1302" s="7" t="s">
        <v>1193</v>
      </c>
      <c r="AK1302" s="7" t="s">
        <v>1177</v>
      </c>
      <c r="AL1302" s="7" t="s">
        <v>1177</v>
      </c>
      <c r="AM1302" s="7" t="s">
        <v>1177</v>
      </c>
      <c r="AN1302" s="7" t="s">
        <v>3212</v>
      </c>
      <c r="AO1302" s="7" t="s">
        <v>1177</v>
      </c>
      <c r="AP1302" s="7" t="s">
        <v>1177</v>
      </c>
      <c r="AQ1302" s="7" t="s">
        <v>1177</v>
      </c>
      <c r="AR1302" s="29">
        <v>0</v>
      </c>
      <c r="AS1302" s="7" t="s">
        <v>1177</v>
      </c>
      <c r="AT1302" s="7" t="s">
        <v>1363</v>
      </c>
      <c r="AU1302" s="38">
        <v>46275</v>
      </c>
      <c r="AV1302" s="39">
        <v>0.62712962962963004</v>
      </c>
    </row>
    <row r="1303" spans="1:48" x14ac:dyDescent="0.35">
      <c r="A1303" t="str">
        <f t="shared" si="20"/>
        <v>GP317614B856</v>
      </c>
      <c r="B1303" s="7" t="s">
        <v>886</v>
      </c>
      <c r="C1303" s="7" t="s">
        <v>852</v>
      </c>
      <c r="D1303" s="7" t="s">
        <v>21</v>
      </c>
      <c r="E1303" s="7" t="s">
        <v>1177</v>
      </c>
      <c r="F1303" s="7" t="s">
        <v>128</v>
      </c>
      <c r="G1303" s="7" t="s">
        <v>130</v>
      </c>
      <c r="H1303" s="7" t="s">
        <v>129</v>
      </c>
      <c r="I1303" s="30">
        <v>2</v>
      </c>
      <c r="J1303" s="7" t="s">
        <v>1177</v>
      </c>
      <c r="K1303" s="7" t="s">
        <v>1178</v>
      </c>
      <c r="L1303" s="7" t="s">
        <v>132</v>
      </c>
      <c r="M1303" s="7" t="s">
        <v>133</v>
      </c>
      <c r="N1303" s="30">
        <v>0</v>
      </c>
      <c r="O1303" s="30">
        <v>0</v>
      </c>
      <c r="P1303" s="30">
        <v>0</v>
      </c>
      <c r="Q1303" s="30">
        <v>0</v>
      </c>
      <c r="R1303" s="29">
        <v>0</v>
      </c>
      <c r="S1303" s="36">
        <v>0</v>
      </c>
      <c r="T1303" s="7" t="s">
        <v>131</v>
      </c>
      <c r="U1303" s="7" t="s">
        <v>853</v>
      </c>
      <c r="V1303" s="7" t="s">
        <v>853</v>
      </c>
      <c r="W1303" s="7" t="s">
        <v>1177</v>
      </c>
      <c r="X1303" s="30">
        <v>1</v>
      </c>
      <c r="Y1303" s="7" t="s">
        <v>1177</v>
      </c>
      <c r="Z1303" s="7" t="s">
        <v>1178</v>
      </c>
      <c r="AA1303" s="30">
        <v>0</v>
      </c>
      <c r="AB1303" s="36">
        <v>0</v>
      </c>
      <c r="AC1303" s="7" t="s">
        <v>1177</v>
      </c>
      <c r="AD1303" s="37">
        <v>0</v>
      </c>
      <c r="AE1303" s="7" t="s">
        <v>1177</v>
      </c>
      <c r="AF1303" s="7" t="s">
        <v>1177</v>
      </c>
      <c r="AG1303" s="7" t="s">
        <v>1177</v>
      </c>
      <c r="AH1303" s="38"/>
      <c r="AI1303" s="36">
        <v>0</v>
      </c>
      <c r="AJ1303" s="7" t="s">
        <v>1193</v>
      </c>
      <c r="AK1303" s="7" t="s">
        <v>1177</v>
      </c>
      <c r="AL1303" s="7" t="s">
        <v>1177</v>
      </c>
      <c r="AM1303" s="7" t="s">
        <v>1177</v>
      </c>
      <c r="AN1303" s="7" t="s">
        <v>3212</v>
      </c>
      <c r="AO1303" s="7" t="s">
        <v>1177</v>
      </c>
      <c r="AP1303" s="7" t="s">
        <v>1177</v>
      </c>
      <c r="AQ1303" s="7" t="s">
        <v>1177</v>
      </c>
      <c r="AR1303" s="29">
        <v>0</v>
      </c>
      <c r="AS1303" s="7" t="s">
        <v>1177</v>
      </c>
      <c r="AT1303" s="7" t="s">
        <v>1363</v>
      </c>
      <c r="AU1303" s="38">
        <v>46275</v>
      </c>
      <c r="AV1303" s="39">
        <v>0.62488425925926006</v>
      </c>
    </row>
    <row r="1304" spans="1:48" x14ac:dyDescent="0.35">
      <c r="A1304" t="str">
        <f t="shared" si="20"/>
        <v>GP320366B867</v>
      </c>
      <c r="B1304" s="7" t="s">
        <v>1068</v>
      </c>
      <c r="C1304" s="7" t="s">
        <v>1059</v>
      </c>
      <c r="D1304" s="7" t="s">
        <v>25</v>
      </c>
      <c r="E1304" s="7" t="s">
        <v>1177</v>
      </c>
      <c r="F1304" s="7" t="s">
        <v>128</v>
      </c>
      <c r="G1304" s="7" t="s">
        <v>130</v>
      </c>
      <c r="H1304" s="7" t="s">
        <v>129</v>
      </c>
      <c r="I1304" s="30">
        <v>1</v>
      </c>
      <c r="J1304" s="7" t="s">
        <v>1177</v>
      </c>
      <c r="K1304" s="7" t="s">
        <v>1178</v>
      </c>
      <c r="L1304" s="7" t="s">
        <v>132</v>
      </c>
      <c r="M1304" s="7" t="s">
        <v>1177</v>
      </c>
      <c r="N1304" s="30">
        <v>0</v>
      </c>
      <c r="O1304" s="30">
        <v>0</v>
      </c>
      <c r="P1304" s="30">
        <v>0</v>
      </c>
      <c r="Q1304" s="30">
        <v>0</v>
      </c>
      <c r="R1304" s="29">
        <v>0</v>
      </c>
      <c r="S1304" s="36">
        <v>0</v>
      </c>
      <c r="T1304" s="7" t="s">
        <v>131</v>
      </c>
      <c r="U1304" s="7" t="s">
        <v>1060</v>
      </c>
      <c r="V1304" s="7" t="s">
        <v>1060</v>
      </c>
      <c r="W1304" s="7" t="s">
        <v>1177</v>
      </c>
      <c r="X1304" s="30">
        <v>1</v>
      </c>
      <c r="Y1304" s="7" t="s">
        <v>1177</v>
      </c>
      <c r="Z1304" s="7" t="s">
        <v>1178</v>
      </c>
      <c r="AA1304" s="30">
        <v>0</v>
      </c>
      <c r="AB1304" s="36">
        <v>0</v>
      </c>
      <c r="AC1304" s="7" t="s">
        <v>1177</v>
      </c>
      <c r="AD1304" s="37">
        <v>0</v>
      </c>
      <c r="AE1304" s="7" t="s">
        <v>1177</v>
      </c>
      <c r="AF1304" s="7" t="s">
        <v>1177</v>
      </c>
      <c r="AG1304" s="7" t="s">
        <v>1177</v>
      </c>
      <c r="AH1304" s="38"/>
      <c r="AI1304" s="36">
        <v>0</v>
      </c>
      <c r="AJ1304" s="7" t="s">
        <v>1193</v>
      </c>
      <c r="AK1304" s="7" t="s">
        <v>1177</v>
      </c>
      <c r="AL1304" s="7" t="s">
        <v>1177</v>
      </c>
      <c r="AM1304" s="7" t="s">
        <v>1177</v>
      </c>
      <c r="AN1304" s="7" t="s">
        <v>3212</v>
      </c>
      <c r="AO1304" s="7" t="s">
        <v>1177</v>
      </c>
      <c r="AP1304" s="7" t="s">
        <v>1177</v>
      </c>
      <c r="AQ1304" s="7" t="s">
        <v>1177</v>
      </c>
      <c r="AR1304" s="29">
        <v>0</v>
      </c>
      <c r="AS1304" s="7" t="s">
        <v>1177</v>
      </c>
      <c r="AT1304" s="7" t="s">
        <v>1363</v>
      </c>
      <c r="AU1304" s="38">
        <v>46275</v>
      </c>
      <c r="AV1304" s="39">
        <v>0.62730324074073995</v>
      </c>
    </row>
    <row r="1305" spans="1:48" x14ac:dyDescent="0.35">
      <c r="A1305" t="str">
        <f t="shared" si="20"/>
        <v>GP320879B856</v>
      </c>
      <c r="B1305" s="7" t="s">
        <v>808</v>
      </c>
      <c r="C1305" s="7" t="s">
        <v>852</v>
      </c>
      <c r="D1305" s="7" t="s">
        <v>21</v>
      </c>
      <c r="E1305" s="7" t="s">
        <v>1177</v>
      </c>
      <c r="F1305" s="7" t="s">
        <v>128</v>
      </c>
      <c r="G1305" s="7" t="s">
        <v>130</v>
      </c>
      <c r="H1305" s="7" t="s">
        <v>129</v>
      </c>
      <c r="I1305" s="30">
        <v>1</v>
      </c>
      <c r="J1305" s="7" t="s">
        <v>1177</v>
      </c>
      <c r="K1305" s="7" t="s">
        <v>1178</v>
      </c>
      <c r="L1305" s="7" t="s">
        <v>132</v>
      </c>
      <c r="M1305" s="7" t="s">
        <v>133</v>
      </c>
      <c r="N1305" s="30">
        <v>0</v>
      </c>
      <c r="O1305" s="30">
        <v>0</v>
      </c>
      <c r="P1305" s="30">
        <v>0</v>
      </c>
      <c r="Q1305" s="30">
        <v>0</v>
      </c>
      <c r="R1305" s="29">
        <v>0</v>
      </c>
      <c r="S1305" s="36">
        <v>0</v>
      </c>
      <c r="T1305" s="7" t="s">
        <v>131</v>
      </c>
      <c r="U1305" s="7" t="s">
        <v>853</v>
      </c>
      <c r="V1305" s="7" t="s">
        <v>853</v>
      </c>
      <c r="W1305" s="7" t="s">
        <v>1177</v>
      </c>
      <c r="X1305" s="30">
        <v>1</v>
      </c>
      <c r="Y1305" s="7" t="s">
        <v>1177</v>
      </c>
      <c r="Z1305" s="7" t="s">
        <v>1178</v>
      </c>
      <c r="AA1305" s="30">
        <v>0</v>
      </c>
      <c r="AB1305" s="36">
        <v>0</v>
      </c>
      <c r="AC1305" s="7" t="s">
        <v>1177</v>
      </c>
      <c r="AD1305" s="37">
        <v>0</v>
      </c>
      <c r="AE1305" s="7" t="s">
        <v>1177</v>
      </c>
      <c r="AF1305" s="7" t="s">
        <v>1177</v>
      </c>
      <c r="AG1305" s="7" t="s">
        <v>1177</v>
      </c>
      <c r="AH1305" s="38"/>
      <c r="AI1305" s="36">
        <v>0</v>
      </c>
      <c r="AJ1305" s="7" t="s">
        <v>1193</v>
      </c>
      <c r="AK1305" s="7" t="s">
        <v>1177</v>
      </c>
      <c r="AL1305" s="7" t="s">
        <v>1177</v>
      </c>
      <c r="AM1305" s="7" t="s">
        <v>1177</v>
      </c>
      <c r="AN1305" s="7" t="s">
        <v>3212</v>
      </c>
      <c r="AO1305" s="7" t="s">
        <v>1177</v>
      </c>
      <c r="AP1305" s="7" t="s">
        <v>1177</v>
      </c>
      <c r="AQ1305" s="7" t="s">
        <v>1177</v>
      </c>
      <c r="AR1305" s="29">
        <v>0</v>
      </c>
      <c r="AS1305" s="7" t="s">
        <v>1177</v>
      </c>
      <c r="AT1305" s="7" t="s">
        <v>1363</v>
      </c>
      <c r="AU1305" s="38">
        <v>46275</v>
      </c>
      <c r="AV1305" s="39">
        <v>0.62488425925926006</v>
      </c>
    </row>
    <row r="1306" spans="1:48" x14ac:dyDescent="0.35">
      <c r="A1306" t="str">
        <f t="shared" si="20"/>
        <v>GP321116B856</v>
      </c>
      <c r="B1306" s="7" t="s">
        <v>887</v>
      </c>
      <c r="C1306" s="7" t="s">
        <v>852</v>
      </c>
      <c r="D1306" s="7" t="s">
        <v>21</v>
      </c>
      <c r="E1306" s="7" t="s">
        <v>1177</v>
      </c>
      <c r="F1306" s="7" t="s">
        <v>128</v>
      </c>
      <c r="G1306" s="7" t="s">
        <v>130</v>
      </c>
      <c r="H1306" s="7" t="s">
        <v>129</v>
      </c>
      <c r="I1306" s="30">
        <v>1</v>
      </c>
      <c r="J1306" s="7" t="s">
        <v>1177</v>
      </c>
      <c r="K1306" s="7" t="s">
        <v>1178</v>
      </c>
      <c r="L1306" s="7" t="s">
        <v>132</v>
      </c>
      <c r="M1306" s="7" t="s">
        <v>133</v>
      </c>
      <c r="N1306" s="30">
        <v>0</v>
      </c>
      <c r="O1306" s="30">
        <v>0</v>
      </c>
      <c r="P1306" s="30">
        <v>0</v>
      </c>
      <c r="Q1306" s="30">
        <v>0</v>
      </c>
      <c r="R1306" s="29">
        <v>0</v>
      </c>
      <c r="S1306" s="36">
        <v>0</v>
      </c>
      <c r="T1306" s="7" t="s">
        <v>131</v>
      </c>
      <c r="U1306" s="7" t="s">
        <v>853</v>
      </c>
      <c r="V1306" s="7" t="s">
        <v>853</v>
      </c>
      <c r="W1306" s="7" t="s">
        <v>1177</v>
      </c>
      <c r="X1306" s="30">
        <v>1</v>
      </c>
      <c r="Y1306" s="7" t="s">
        <v>1177</v>
      </c>
      <c r="Z1306" s="7" t="s">
        <v>1178</v>
      </c>
      <c r="AA1306" s="30">
        <v>0</v>
      </c>
      <c r="AB1306" s="36">
        <v>0</v>
      </c>
      <c r="AC1306" s="7" t="s">
        <v>1177</v>
      </c>
      <c r="AD1306" s="37">
        <v>0</v>
      </c>
      <c r="AE1306" s="7" t="s">
        <v>1177</v>
      </c>
      <c r="AF1306" s="7" t="s">
        <v>1177</v>
      </c>
      <c r="AG1306" s="7" t="s">
        <v>1177</v>
      </c>
      <c r="AH1306" s="38"/>
      <c r="AI1306" s="36">
        <v>0</v>
      </c>
      <c r="AJ1306" s="7" t="s">
        <v>1193</v>
      </c>
      <c r="AK1306" s="7" t="s">
        <v>1177</v>
      </c>
      <c r="AL1306" s="7" t="s">
        <v>1177</v>
      </c>
      <c r="AM1306" s="7" t="s">
        <v>1177</v>
      </c>
      <c r="AN1306" s="7" t="s">
        <v>3212</v>
      </c>
      <c r="AO1306" s="7" t="s">
        <v>1177</v>
      </c>
      <c r="AP1306" s="7" t="s">
        <v>1177</v>
      </c>
      <c r="AQ1306" s="7" t="s">
        <v>1177</v>
      </c>
      <c r="AR1306" s="29">
        <v>0</v>
      </c>
      <c r="AS1306" s="7" t="s">
        <v>1177</v>
      </c>
      <c r="AT1306" s="7" t="s">
        <v>1363</v>
      </c>
      <c r="AU1306" s="38">
        <v>46275</v>
      </c>
      <c r="AV1306" s="39">
        <v>0.62488425925926006</v>
      </c>
    </row>
    <row r="1307" spans="1:48" x14ac:dyDescent="0.35">
      <c r="A1307" t="str">
        <f t="shared" si="20"/>
        <v>GP321121B856</v>
      </c>
      <c r="B1307" s="7" t="s">
        <v>888</v>
      </c>
      <c r="C1307" s="7" t="s">
        <v>852</v>
      </c>
      <c r="D1307" s="7" t="s">
        <v>21</v>
      </c>
      <c r="E1307" s="7" t="s">
        <v>1177</v>
      </c>
      <c r="F1307" s="7" t="s">
        <v>128</v>
      </c>
      <c r="G1307" s="7" t="s">
        <v>130</v>
      </c>
      <c r="H1307" s="7" t="s">
        <v>129</v>
      </c>
      <c r="I1307" s="30">
        <v>1</v>
      </c>
      <c r="J1307" s="7" t="s">
        <v>1177</v>
      </c>
      <c r="K1307" s="7" t="s">
        <v>1178</v>
      </c>
      <c r="L1307" s="7" t="s">
        <v>132</v>
      </c>
      <c r="M1307" s="7" t="s">
        <v>133</v>
      </c>
      <c r="N1307" s="30">
        <v>0</v>
      </c>
      <c r="O1307" s="30">
        <v>0</v>
      </c>
      <c r="P1307" s="30">
        <v>0</v>
      </c>
      <c r="Q1307" s="30">
        <v>0</v>
      </c>
      <c r="R1307" s="29">
        <v>0</v>
      </c>
      <c r="S1307" s="36">
        <v>0</v>
      </c>
      <c r="T1307" s="7" t="s">
        <v>131</v>
      </c>
      <c r="U1307" s="7" t="s">
        <v>853</v>
      </c>
      <c r="V1307" s="7" t="s">
        <v>853</v>
      </c>
      <c r="W1307" s="7" t="s">
        <v>1177</v>
      </c>
      <c r="X1307" s="30">
        <v>1</v>
      </c>
      <c r="Y1307" s="7" t="s">
        <v>1177</v>
      </c>
      <c r="Z1307" s="7" t="s">
        <v>1178</v>
      </c>
      <c r="AA1307" s="30">
        <v>0</v>
      </c>
      <c r="AB1307" s="36">
        <v>0</v>
      </c>
      <c r="AC1307" s="7" t="s">
        <v>1177</v>
      </c>
      <c r="AD1307" s="37">
        <v>0</v>
      </c>
      <c r="AE1307" s="7" t="s">
        <v>1177</v>
      </c>
      <c r="AF1307" s="7" t="s">
        <v>1177</v>
      </c>
      <c r="AG1307" s="7" t="s">
        <v>1177</v>
      </c>
      <c r="AH1307" s="38"/>
      <c r="AI1307" s="36">
        <v>0</v>
      </c>
      <c r="AJ1307" s="7" t="s">
        <v>1193</v>
      </c>
      <c r="AK1307" s="7" t="s">
        <v>1177</v>
      </c>
      <c r="AL1307" s="7" t="s">
        <v>1177</v>
      </c>
      <c r="AM1307" s="7" t="s">
        <v>1177</v>
      </c>
      <c r="AN1307" s="7" t="s">
        <v>3212</v>
      </c>
      <c r="AO1307" s="7" t="s">
        <v>1177</v>
      </c>
      <c r="AP1307" s="7" t="s">
        <v>1177</v>
      </c>
      <c r="AQ1307" s="7" t="s">
        <v>1177</v>
      </c>
      <c r="AR1307" s="29">
        <v>0</v>
      </c>
      <c r="AS1307" s="7" t="s">
        <v>1177</v>
      </c>
      <c r="AT1307" s="7" t="s">
        <v>1363</v>
      </c>
      <c r="AU1307" s="38">
        <v>46275</v>
      </c>
      <c r="AV1307" s="39">
        <v>0.62487268518519001</v>
      </c>
    </row>
    <row r="1308" spans="1:48" x14ac:dyDescent="0.35">
      <c r="A1308" t="str">
        <f t="shared" si="20"/>
        <v>GP321121B867</v>
      </c>
      <c r="B1308" s="7" t="s">
        <v>888</v>
      </c>
      <c r="C1308" s="7" t="s">
        <v>1059</v>
      </c>
      <c r="D1308" s="7" t="s">
        <v>25</v>
      </c>
      <c r="E1308" s="7" t="s">
        <v>1177</v>
      </c>
      <c r="F1308" s="7" t="s">
        <v>128</v>
      </c>
      <c r="G1308" s="7" t="s">
        <v>130</v>
      </c>
      <c r="H1308" s="7" t="s">
        <v>129</v>
      </c>
      <c r="I1308" s="30">
        <v>2</v>
      </c>
      <c r="J1308" s="7" t="s">
        <v>1177</v>
      </c>
      <c r="K1308" s="7" t="s">
        <v>1178</v>
      </c>
      <c r="L1308" s="7" t="s">
        <v>132</v>
      </c>
      <c r="M1308" s="7" t="s">
        <v>133</v>
      </c>
      <c r="N1308" s="30">
        <v>0</v>
      </c>
      <c r="O1308" s="30">
        <v>0</v>
      </c>
      <c r="P1308" s="30">
        <v>0</v>
      </c>
      <c r="Q1308" s="30">
        <v>0</v>
      </c>
      <c r="R1308" s="29">
        <v>0</v>
      </c>
      <c r="S1308" s="36">
        <v>0</v>
      </c>
      <c r="T1308" s="7" t="s">
        <v>131</v>
      </c>
      <c r="U1308" s="7" t="s">
        <v>1060</v>
      </c>
      <c r="V1308" s="7" t="s">
        <v>1060</v>
      </c>
      <c r="W1308" s="7" t="s">
        <v>1177</v>
      </c>
      <c r="X1308" s="30">
        <v>1</v>
      </c>
      <c r="Y1308" s="7" t="s">
        <v>1177</v>
      </c>
      <c r="Z1308" s="7" t="s">
        <v>1178</v>
      </c>
      <c r="AA1308" s="30">
        <v>0</v>
      </c>
      <c r="AB1308" s="36">
        <v>0</v>
      </c>
      <c r="AC1308" s="7" t="s">
        <v>1177</v>
      </c>
      <c r="AD1308" s="37">
        <v>0</v>
      </c>
      <c r="AE1308" s="7" t="s">
        <v>1177</v>
      </c>
      <c r="AF1308" s="7" t="s">
        <v>1177</v>
      </c>
      <c r="AG1308" s="7" t="s">
        <v>1177</v>
      </c>
      <c r="AH1308" s="38"/>
      <c r="AI1308" s="36">
        <v>0</v>
      </c>
      <c r="AJ1308" s="7" t="s">
        <v>1193</v>
      </c>
      <c r="AK1308" s="7" t="s">
        <v>1177</v>
      </c>
      <c r="AL1308" s="7" t="s">
        <v>1177</v>
      </c>
      <c r="AM1308" s="7" t="s">
        <v>1177</v>
      </c>
      <c r="AN1308" s="7" t="s">
        <v>3212</v>
      </c>
      <c r="AO1308" s="7" t="s">
        <v>1177</v>
      </c>
      <c r="AP1308" s="7" t="s">
        <v>1177</v>
      </c>
      <c r="AQ1308" s="7" t="s">
        <v>1177</v>
      </c>
      <c r="AR1308" s="29">
        <v>0</v>
      </c>
      <c r="AS1308" s="7" t="s">
        <v>1177</v>
      </c>
      <c r="AT1308" s="7" t="s">
        <v>1363</v>
      </c>
      <c r="AU1308" s="38">
        <v>46275</v>
      </c>
      <c r="AV1308" s="39">
        <v>0.62712962962963004</v>
      </c>
    </row>
    <row r="1309" spans="1:48" x14ac:dyDescent="0.35">
      <c r="A1309" t="str">
        <f t="shared" si="20"/>
        <v>GP321370B832</v>
      </c>
      <c r="B1309" s="7" t="s">
        <v>684</v>
      </c>
      <c r="C1309" s="7" t="s">
        <v>653</v>
      </c>
      <c r="D1309" s="7" t="s">
        <v>19</v>
      </c>
      <c r="E1309" s="7" t="s">
        <v>1177</v>
      </c>
      <c r="F1309" s="7" t="s">
        <v>128</v>
      </c>
      <c r="G1309" s="7" t="s">
        <v>130</v>
      </c>
      <c r="H1309" s="7" t="s">
        <v>129</v>
      </c>
      <c r="I1309" s="30">
        <v>2</v>
      </c>
      <c r="J1309" s="7" t="s">
        <v>1177</v>
      </c>
      <c r="K1309" s="7" t="s">
        <v>1178</v>
      </c>
      <c r="L1309" s="7" t="s">
        <v>132</v>
      </c>
      <c r="M1309" s="7" t="s">
        <v>133</v>
      </c>
      <c r="N1309" s="30">
        <v>0</v>
      </c>
      <c r="O1309" s="30">
        <v>0</v>
      </c>
      <c r="P1309" s="30">
        <v>0</v>
      </c>
      <c r="Q1309" s="30">
        <v>0</v>
      </c>
      <c r="R1309" s="29">
        <v>0</v>
      </c>
      <c r="S1309" s="36">
        <v>0</v>
      </c>
      <c r="T1309" s="7" t="s">
        <v>131</v>
      </c>
      <c r="U1309" s="7" t="s">
        <v>654</v>
      </c>
      <c r="V1309" s="7" t="s">
        <v>654</v>
      </c>
      <c r="W1309" s="7" t="s">
        <v>1177</v>
      </c>
      <c r="X1309" s="30">
        <v>1</v>
      </c>
      <c r="Y1309" s="7" t="s">
        <v>1177</v>
      </c>
      <c r="Z1309" s="7" t="s">
        <v>1178</v>
      </c>
      <c r="AA1309" s="30">
        <v>0</v>
      </c>
      <c r="AB1309" s="36">
        <v>0</v>
      </c>
      <c r="AC1309" s="7" t="s">
        <v>1177</v>
      </c>
      <c r="AD1309" s="37">
        <v>0</v>
      </c>
      <c r="AE1309" s="7" t="s">
        <v>1177</v>
      </c>
      <c r="AF1309" s="7" t="s">
        <v>1177</v>
      </c>
      <c r="AG1309" s="7" t="s">
        <v>1177</v>
      </c>
      <c r="AH1309" s="38"/>
      <c r="AI1309" s="36">
        <v>0</v>
      </c>
      <c r="AJ1309" s="7" t="s">
        <v>1193</v>
      </c>
      <c r="AK1309" s="7" t="s">
        <v>1177</v>
      </c>
      <c r="AL1309" s="7" t="s">
        <v>1177</v>
      </c>
      <c r="AM1309" s="7" t="s">
        <v>1177</v>
      </c>
      <c r="AN1309" s="7" t="s">
        <v>3212</v>
      </c>
      <c r="AO1309" s="7" t="s">
        <v>1177</v>
      </c>
      <c r="AP1309" s="7" t="s">
        <v>1177</v>
      </c>
      <c r="AQ1309" s="7" t="s">
        <v>1177</v>
      </c>
      <c r="AR1309" s="29">
        <v>0</v>
      </c>
      <c r="AS1309" s="7" t="s">
        <v>1177</v>
      </c>
      <c r="AT1309" s="7" t="s">
        <v>1363</v>
      </c>
      <c r="AU1309" s="38">
        <v>46275</v>
      </c>
      <c r="AV1309" s="39">
        <v>0.62336805555555996</v>
      </c>
    </row>
    <row r="1310" spans="1:48" x14ac:dyDescent="0.35">
      <c r="A1310" t="str">
        <f t="shared" si="20"/>
        <v>GP322848B856</v>
      </c>
      <c r="B1310" s="7" t="s">
        <v>889</v>
      </c>
      <c r="C1310" s="7" t="s">
        <v>852</v>
      </c>
      <c r="D1310" s="7" t="s">
        <v>21</v>
      </c>
      <c r="E1310" s="7" t="s">
        <v>1177</v>
      </c>
      <c r="F1310" s="7" t="s">
        <v>128</v>
      </c>
      <c r="G1310" s="7" t="s">
        <v>130</v>
      </c>
      <c r="H1310" s="7" t="s">
        <v>129</v>
      </c>
      <c r="I1310" s="30">
        <v>2</v>
      </c>
      <c r="J1310" s="7" t="s">
        <v>1177</v>
      </c>
      <c r="K1310" s="7" t="s">
        <v>1178</v>
      </c>
      <c r="L1310" s="7" t="s">
        <v>132</v>
      </c>
      <c r="M1310" s="7" t="s">
        <v>133</v>
      </c>
      <c r="N1310" s="30">
        <v>0</v>
      </c>
      <c r="O1310" s="30">
        <v>0</v>
      </c>
      <c r="P1310" s="30">
        <v>0</v>
      </c>
      <c r="Q1310" s="30">
        <v>0</v>
      </c>
      <c r="R1310" s="29">
        <v>0</v>
      </c>
      <c r="S1310" s="36">
        <v>0</v>
      </c>
      <c r="T1310" s="7" t="s">
        <v>131</v>
      </c>
      <c r="U1310" s="7" t="s">
        <v>853</v>
      </c>
      <c r="V1310" s="7" t="s">
        <v>853</v>
      </c>
      <c r="W1310" s="7" t="s">
        <v>1177</v>
      </c>
      <c r="X1310" s="30">
        <v>1</v>
      </c>
      <c r="Y1310" s="7" t="s">
        <v>1177</v>
      </c>
      <c r="Z1310" s="7" t="s">
        <v>1178</v>
      </c>
      <c r="AA1310" s="30">
        <v>0</v>
      </c>
      <c r="AB1310" s="36">
        <v>0</v>
      </c>
      <c r="AC1310" s="7" t="s">
        <v>1177</v>
      </c>
      <c r="AD1310" s="37">
        <v>0</v>
      </c>
      <c r="AE1310" s="7" t="s">
        <v>1177</v>
      </c>
      <c r="AF1310" s="7" t="s">
        <v>1177</v>
      </c>
      <c r="AG1310" s="7" t="s">
        <v>1177</v>
      </c>
      <c r="AH1310" s="38"/>
      <c r="AI1310" s="36">
        <v>0</v>
      </c>
      <c r="AJ1310" s="7" t="s">
        <v>1193</v>
      </c>
      <c r="AK1310" s="7" t="s">
        <v>1177</v>
      </c>
      <c r="AL1310" s="7" t="s">
        <v>1177</v>
      </c>
      <c r="AM1310" s="7" t="s">
        <v>1177</v>
      </c>
      <c r="AN1310" s="7" t="s">
        <v>3212</v>
      </c>
      <c r="AO1310" s="7" t="s">
        <v>1177</v>
      </c>
      <c r="AP1310" s="7" t="s">
        <v>1177</v>
      </c>
      <c r="AQ1310" s="7" t="s">
        <v>1177</v>
      </c>
      <c r="AR1310" s="29">
        <v>0</v>
      </c>
      <c r="AS1310" s="7" t="s">
        <v>1177</v>
      </c>
      <c r="AT1310" s="7" t="s">
        <v>1363</v>
      </c>
      <c r="AU1310" s="38">
        <v>46275</v>
      </c>
      <c r="AV1310" s="39">
        <v>0.62489583333332999</v>
      </c>
    </row>
    <row r="1311" spans="1:48" x14ac:dyDescent="0.35">
      <c r="A1311" t="str">
        <f t="shared" si="20"/>
        <v>GP322848B857</v>
      </c>
      <c r="B1311" s="7" t="s">
        <v>889</v>
      </c>
      <c r="C1311" s="7" t="s">
        <v>958</v>
      </c>
      <c r="D1311" s="7" t="s">
        <v>23</v>
      </c>
      <c r="E1311" s="7" t="s">
        <v>1177</v>
      </c>
      <c r="F1311" s="7" t="s">
        <v>128</v>
      </c>
      <c r="G1311" s="7" t="s">
        <v>130</v>
      </c>
      <c r="H1311" s="7" t="s">
        <v>129</v>
      </c>
      <c r="I1311" s="30">
        <v>2</v>
      </c>
      <c r="J1311" s="7" t="s">
        <v>1177</v>
      </c>
      <c r="K1311" s="7" t="s">
        <v>1178</v>
      </c>
      <c r="L1311" s="7" t="s">
        <v>132</v>
      </c>
      <c r="M1311" s="7" t="s">
        <v>133</v>
      </c>
      <c r="N1311" s="30">
        <v>0</v>
      </c>
      <c r="O1311" s="30">
        <v>0</v>
      </c>
      <c r="P1311" s="30">
        <v>0</v>
      </c>
      <c r="Q1311" s="30">
        <v>0</v>
      </c>
      <c r="R1311" s="29">
        <v>0</v>
      </c>
      <c r="S1311" s="36">
        <v>0</v>
      </c>
      <c r="T1311" s="7" t="s">
        <v>131</v>
      </c>
      <c r="U1311" s="7" t="s">
        <v>959</v>
      </c>
      <c r="V1311" s="7" t="s">
        <v>959</v>
      </c>
      <c r="W1311" s="7" t="s">
        <v>1177</v>
      </c>
      <c r="X1311" s="30">
        <v>1</v>
      </c>
      <c r="Y1311" s="7" t="s">
        <v>1177</v>
      </c>
      <c r="Z1311" s="7" t="s">
        <v>1178</v>
      </c>
      <c r="AA1311" s="30">
        <v>0</v>
      </c>
      <c r="AB1311" s="36">
        <v>0</v>
      </c>
      <c r="AC1311" s="7" t="s">
        <v>1177</v>
      </c>
      <c r="AD1311" s="37">
        <v>0</v>
      </c>
      <c r="AE1311" s="7" t="s">
        <v>1177</v>
      </c>
      <c r="AF1311" s="7" t="s">
        <v>1177</v>
      </c>
      <c r="AG1311" s="7" t="s">
        <v>1177</v>
      </c>
      <c r="AH1311" s="38"/>
      <c r="AI1311" s="36">
        <v>0</v>
      </c>
      <c r="AJ1311" s="7" t="s">
        <v>1193</v>
      </c>
      <c r="AK1311" s="7" t="s">
        <v>1177</v>
      </c>
      <c r="AL1311" s="7" t="s">
        <v>1177</v>
      </c>
      <c r="AM1311" s="7" t="s">
        <v>1177</v>
      </c>
      <c r="AN1311" s="7" t="s">
        <v>3212</v>
      </c>
      <c r="AO1311" s="7" t="s">
        <v>1177</v>
      </c>
      <c r="AP1311" s="7" t="s">
        <v>1177</v>
      </c>
      <c r="AQ1311" s="7" t="s">
        <v>1177</v>
      </c>
      <c r="AR1311" s="29">
        <v>0</v>
      </c>
      <c r="AS1311" s="7" t="s">
        <v>1177</v>
      </c>
      <c r="AT1311" s="7" t="s">
        <v>1363</v>
      </c>
      <c r="AU1311" s="38">
        <v>46275</v>
      </c>
      <c r="AV1311" s="39">
        <v>0.62513888888889002</v>
      </c>
    </row>
    <row r="1312" spans="1:48" x14ac:dyDescent="0.35">
      <c r="A1312" t="str">
        <f t="shared" si="20"/>
        <v>GP322849B856</v>
      </c>
      <c r="B1312" s="7" t="s">
        <v>890</v>
      </c>
      <c r="C1312" s="7" t="s">
        <v>852</v>
      </c>
      <c r="D1312" s="7" t="s">
        <v>21</v>
      </c>
      <c r="E1312" s="7" t="s">
        <v>1177</v>
      </c>
      <c r="F1312" s="7" t="s">
        <v>128</v>
      </c>
      <c r="G1312" s="7" t="s">
        <v>130</v>
      </c>
      <c r="H1312" s="7" t="s">
        <v>129</v>
      </c>
      <c r="I1312" s="30">
        <v>2</v>
      </c>
      <c r="J1312" s="7" t="s">
        <v>1177</v>
      </c>
      <c r="K1312" s="7" t="s">
        <v>1178</v>
      </c>
      <c r="L1312" s="7" t="s">
        <v>132</v>
      </c>
      <c r="M1312" s="7" t="s">
        <v>133</v>
      </c>
      <c r="N1312" s="30">
        <v>0</v>
      </c>
      <c r="O1312" s="30">
        <v>0</v>
      </c>
      <c r="P1312" s="30">
        <v>0</v>
      </c>
      <c r="Q1312" s="30">
        <v>0</v>
      </c>
      <c r="R1312" s="29">
        <v>0</v>
      </c>
      <c r="S1312" s="36">
        <v>0</v>
      </c>
      <c r="T1312" s="7" t="s">
        <v>131</v>
      </c>
      <c r="U1312" s="7" t="s">
        <v>853</v>
      </c>
      <c r="V1312" s="7" t="s">
        <v>853</v>
      </c>
      <c r="W1312" s="7" t="s">
        <v>1177</v>
      </c>
      <c r="X1312" s="30">
        <v>1</v>
      </c>
      <c r="Y1312" s="7" t="s">
        <v>1177</v>
      </c>
      <c r="Z1312" s="7" t="s">
        <v>1178</v>
      </c>
      <c r="AA1312" s="30">
        <v>0</v>
      </c>
      <c r="AB1312" s="36">
        <v>0</v>
      </c>
      <c r="AC1312" s="7" t="s">
        <v>1177</v>
      </c>
      <c r="AD1312" s="37">
        <v>0</v>
      </c>
      <c r="AE1312" s="7" t="s">
        <v>1177</v>
      </c>
      <c r="AF1312" s="7" t="s">
        <v>1177</v>
      </c>
      <c r="AG1312" s="7" t="s">
        <v>1177</v>
      </c>
      <c r="AH1312" s="38"/>
      <c r="AI1312" s="36">
        <v>0</v>
      </c>
      <c r="AJ1312" s="7" t="s">
        <v>1193</v>
      </c>
      <c r="AK1312" s="7" t="s">
        <v>1177</v>
      </c>
      <c r="AL1312" s="7" t="s">
        <v>1177</v>
      </c>
      <c r="AM1312" s="7" t="s">
        <v>1177</v>
      </c>
      <c r="AN1312" s="7" t="s">
        <v>3212</v>
      </c>
      <c r="AO1312" s="7" t="s">
        <v>1177</v>
      </c>
      <c r="AP1312" s="7" t="s">
        <v>1177</v>
      </c>
      <c r="AQ1312" s="7" t="s">
        <v>1177</v>
      </c>
      <c r="AR1312" s="29">
        <v>0</v>
      </c>
      <c r="AS1312" s="7" t="s">
        <v>1177</v>
      </c>
      <c r="AT1312" s="7" t="s">
        <v>1363</v>
      </c>
      <c r="AU1312" s="38">
        <v>46275</v>
      </c>
      <c r="AV1312" s="39">
        <v>0.62489583333332999</v>
      </c>
    </row>
    <row r="1313" spans="1:48" x14ac:dyDescent="0.35">
      <c r="A1313" t="str">
        <f t="shared" si="20"/>
        <v>GP322888B856</v>
      </c>
      <c r="B1313" s="7" t="s">
        <v>809</v>
      </c>
      <c r="C1313" s="7" t="s">
        <v>852</v>
      </c>
      <c r="D1313" s="7" t="s">
        <v>21</v>
      </c>
      <c r="E1313" s="7" t="s">
        <v>1177</v>
      </c>
      <c r="F1313" s="7" t="s">
        <v>128</v>
      </c>
      <c r="G1313" s="7" t="s">
        <v>130</v>
      </c>
      <c r="H1313" s="7" t="s">
        <v>129</v>
      </c>
      <c r="I1313" s="30">
        <v>1</v>
      </c>
      <c r="J1313" s="7" t="s">
        <v>1177</v>
      </c>
      <c r="K1313" s="7" t="s">
        <v>1178</v>
      </c>
      <c r="L1313" s="7" t="s">
        <v>132</v>
      </c>
      <c r="M1313" s="7" t="s">
        <v>133</v>
      </c>
      <c r="N1313" s="30">
        <v>0</v>
      </c>
      <c r="O1313" s="30">
        <v>0</v>
      </c>
      <c r="P1313" s="30">
        <v>0</v>
      </c>
      <c r="Q1313" s="30">
        <v>0</v>
      </c>
      <c r="R1313" s="29">
        <v>0</v>
      </c>
      <c r="S1313" s="36">
        <v>0</v>
      </c>
      <c r="T1313" s="7" t="s">
        <v>131</v>
      </c>
      <c r="U1313" s="7" t="s">
        <v>853</v>
      </c>
      <c r="V1313" s="7" t="s">
        <v>853</v>
      </c>
      <c r="W1313" s="7" t="s">
        <v>1177</v>
      </c>
      <c r="X1313" s="30">
        <v>1</v>
      </c>
      <c r="Y1313" s="7" t="s">
        <v>1177</v>
      </c>
      <c r="Z1313" s="7" t="s">
        <v>1178</v>
      </c>
      <c r="AA1313" s="30">
        <v>0</v>
      </c>
      <c r="AB1313" s="36">
        <v>0</v>
      </c>
      <c r="AC1313" s="7" t="s">
        <v>1177</v>
      </c>
      <c r="AD1313" s="37">
        <v>0</v>
      </c>
      <c r="AE1313" s="7" t="s">
        <v>1177</v>
      </c>
      <c r="AF1313" s="7" t="s">
        <v>1177</v>
      </c>
      <c r="AG1313" s="7" t="s">
        <v>1177</v>
      </c>
      <c r="AH1313" s="38"/>
      <c r="AI1313" s="36">
        <v>0</v>
      </c>
      <c r="AJ1313" s="7" t="s">
        <v>1193</v>
      </c>
      <c r="AK1313" s="7" t="s">
        <v>1177</v>
      </c>
      <c r="AL1313" s="7" t="s">
        <v>1177</v>
      </c>
      <c r="AM1313" s="7" t="s">
        <v>1177</v>
      </c>
      <c r="AN1313" s="7" t="s">
        <v>3212</v>
      </c>
      <c r="AO1313" s="7" t="s">
        <v>1177</v>
      </c>
      <c r="AP1313" s="7" t="s">
        <v>1177</v>
      </c>
      <c r="AQ1313" s="7" t="s">
        <v>1177</v>
      </c>
      <c r="AR1313" s="29">
        <v>0</v>
      </c>
      <c r="AS1313" s="7" t="s">
        <v>1177</v>
      </c>
      <c r="AT1313" s="7" t="s">
        <v>1363</v>
      </c>
      <c r="AU1313" s="38">
        <v>46275</v>
      </c>
      <c r="AV1313" s="39">
        <v>0.62489583333332999</v>
      </c>
    </row>
    <row r="1314" spans="1:48" x14ac:dyDescent="0.35">
      <c r="A1314" t="str">
        <f t="shared" si="20"/>
        <v>GP322888B857</v>
      </c>
      <c r="B1314" s="7" t="s">
        <v>809</v>
      </c>
      <c r="C1314" s="7" t="s">
        <v>958</v>
      </c>
      <c r="D1314" s="7" t="s">
        <v>23</v>
      </c>
      <c r="E1314" s="7" t="s">
        <v>1177</v>
      </c>
      <c r="F1314" s="7" t="s">
        <v>128</v>
      </c>
      <c r="G1314" s="7" t="s">
        <v>130</v>
      </c>
      <c r="H1314" s="7" t="s">
        <v>129</v>
      </c>
      <c r="I1314" s="30">
        <v>2</v>
      </c>
      <c r="J1314" s="7" t="s">
        <v>1177</v>
      </c>
      <c r="K1314" s="7" t="s">
        <v>1178</v>
      </c>
      <c r="L1314" s="7" t="s">
        <v>132</v>
      </c>
      <c r="M1314" s="7" t="s">
        <v>133</v>
      </c>
      <c r="N1314" s="30">
        <v>0</v>
      </c>
      <c r="O1314" s="30">
        <v>0</v>
      </c>
      <c r="P1314" s="30">
        <v>0</v>
      </c>
      <c r="Q1314" s="30">
        <v>0</v>
      </c>
      <c r="R1314" s="29">
        <v>0</v>
      </c>
      <c r="S1314" s="36">
        <v>0</v>
      </c>
      <c r="T1314" s="7" t="s">
        <v>131</v>
      </c>
      <c r="U1314" s="7" t="s">
        <v>959</v>
      </c>
      <c r="V1314" s="7" t="s">
        <v>959</v>
      </c>
      <c r="W1314" s="7" t="s">
        <v>1177</v>
      </c>
      <c r="X1314" s="30">
        <v>1</v>
      </c>
      <c r="Y1314" s="7" t="s">
        <v>1177</v>
      </c>
      <c r="Z1314" s="7" t="s">
        <v>1178</v>
      </c>
      <c r="AA1314" s="30">
        <v>0</v>
      </c>
      <c r="AB1314" s="36">
        <v>0</v>
      </c>
      <c r="AC1314" s="7" t="s">
        <v>1177</v>
      </c>
      <c r="AD1314" s="37">
        <v>0</v>
      </c>
      <c r="AE1314" s="7" t="s">
        <v>1177</v>
      </c>
      <c r="AF1314" s="7" t="s">
        <v>1177</v>
      </c>
      <c r="AG1314" s="7" t="s">
        <v>1177</v>
      </c>
      <c r="AH1314" s="38"/>
      <c r="AI1314" s="36">
        <v>0</v>
      </c>
      <c r="AJ1314" s="7" t="s">
        <v>1193</v>
      </c>
      <c r="AK1314" s="7" t="s">
        <v>1177</v>
      </c>
      <c r="AL1314" s="7" t="s">
        <v>1177</v>
      </c>
      <c r="AM1314" s="7" t="s">
        <v>1177</v>
      </c>
      <c r="AN1314" s="7" t="s">
        <v>3212</v>
      </c>
      <c r="AO1314" s="7" t="s">
        <v>1177</v>
      </c>
      <c r="AP1314" s="7" t="s">
        <v>1177</v>
      </c>
      <c r="AQ1314" s="7" t="s">
        <v>1177</v>
      </c>
      <c r="AR1314" s="29">
        <v>0</v>
      </c>
      <c r="AS1314" s="7" t="s">
        <v>1177</v>
      </c>
      <c r="AT1314" s="7" t="s">
        <v>1363</v>
      </c>
      <c r="AU1314" s="38">
        <v>46275</v>
      </c>
      <c r="AV1314" s="39">
        <v>0.62513888888889002</v>
      </c>
    </row>
    <row r="1315" spans="1:48" x14ac:dyDescent="0.35">
      <c r="A1315" t="str">
        <f t="shared" si="20"/>
        <v>GP322888B864</v>
      </c>
      <c r="B1315" s="7" t="s">
        <v>809</v>
      </c>
      <c r="C1315" s="7" t="s">
        <v>1010</v>
      </c>
      <c r="D1315" s="7" t="s">
        <v>10</v>
      </c>
      <c r="E1315" s="7" t="s">
        <v>1177</v>
      </c>
      <c r="F1315" s="7" t="s">
        <v>128</v>
      </c>
      <c r="G1315" s="7" t="s">
        <v>130</v>
      </c>
      <c r="H1315" s="7" t="s">
        <v>129</v>
      </c>
      <c r="I1315" s="30">
        <v>2</v>
      </c>
      <c r="J1315" s="7" t="s">
        <v>1177</v>
      </c>
      <c r="K1315" s="7" t="s">
        <v>1178</v>
      </c>
      <c r="L1315" s="7" t="s">
        <v>132</v>
      </c>
      <c r="M1315" s="7" t="s">
        <v>133</v>
      </c>
      <c r="N1315" s="30">
        <v>0</v>
      </c>
      <c r="O1315" s="30">
        <v>0</v>
      </c>
      <c r="P1315" s="30">
        <v>0</v>
      </c>
      <c r="Q1315" s="30">
        <v>0</v>
      </c>
      <c r="R1315" s="29">
        <v>0</v>
      </c>
      <c r="S1315" s="36">
        <v>0</v>
      </c>
      <c r="T1315" s="7" t="s">
        <v>131</v>
      </c>
      <c r="U1315" s="7" t="s">
        <v>1011</v>
      </c>
      <c r="V1315" s="7" t="s">
        <v>1011</v>
      </c>
      <c r="W1315" s="7" t="s">
        <v>1177</v>
      </c>
      <c r="X1315" s="30">
        <v>1</v>
      </c>
      <c r="Y1315" s="7" t="s">
        <v>1177</v>
      </c>
      <c r="Z1315" s="7" t="s">
        <v>1178</v>
      </c>
      <c r="AA1315" s="30">
        <v>0</v>
      </c>
      <c r="AB1315" s="36">
        <v>0</v>
      </c>
      <c r="AC1315" s="7" t="s">
        <v>1177</v>
      </c>
      <c r="AD1315" s="37">
        <v>0</v>
      </c>
      <c r="AE1315" s="7" t="s">
        <v>1177</v>
      </c>
      <c r="AF1315" s="7" t="s">
        <v>1177</v>
      </c>
      <c r="AG1315" s="7" t="s">
        <v>1177</v>
      </c>
      <c r="AH1315" s="38"/>
      <c r="AI1315" s="36">
        <v>0</v>
      </c>
      <c r="AJ1315" s="7" t="s">
        <v>1193</v>
      </c>
      <c r="AK1315" s="7" t="s">
        <v>1177</v>
      </c>
      <c r="AL1315" s="7" t="s">
        <v>1177</v>
      </c>
      <c r="AM1315" s="7" t="s">
        <v>1177</v>
      </c>
      <c r="AN1315" s="7" t="s">
        <v>3212</v>
      </c>
      <c r="AO1315" s="7" t="s">
        <v>1177</v>
      </c>
      <c r="AP1315" s="7" t="s">
        <v>1177</v>
      </c>
      <c r="AQ1315" s="7" t="s">
        <v>1177</v>
      </c>
      <c r="AR1315" s="29">
        <v>0</v>
      </c>
      <c r="AS1315" s="7" t="s">
        <v>1177</v>
      </c>
      <c r="AT1315" s="7" t="s">
        <v>1363</v>
      </c>
      <c r="AU1315" s="38">
        <v>46275</v>
      </c>
      <c r="AV1315" s="39">
        <v>0.62631944444443999</v>
      </c>
    </row>
    <row r="1316" spans="1:48" x14ac:dyDescent="0.35">
      <c r="A1316" t="str">
        <f t="shared" si="20"/>
        <v>GP322888B865</v>
      </c>
      <c r="B1316" s="7" t="s">
        <v>809</v>
      </c>
      <c r="C1316" s="7" t="s">
        <v>1039</v>
      </c>
      <c r="D1316" s="7" t="s">
        <v>7</v>
      </c>
      <c r="E1316" s="7" t="s">
        <v>1177</v>
      </c>
      <c r="F1316" s="7" t="s">
        <v>128</v>
      </c>
      <c r="G1316" s="7" t="s">
        <v>130</v>
      </c>
      <c r="H1316" s="7" t="s">
        <v>129</v>
      </c>
      <c r="I1316" s="30">
        <v>2</v>
      </c>
      <c r="J1316" s="7" t="s">
        <v>1177</v>
      </c>
      <c r="K1316" s="7" t="s">
        <v>1178</v>
      </c>
      <c r="L1316" s="7" t="s">
        <v>132</v>
      </c>
      <c r="M1316" s="7" t="s">
        <v>133</v>
      </c>
      <c r="N1316" s="30">
        <v>0</v>
      </c>
      <c r="O1316" s="30">
        <v>0</v>
      </c>
      <c r="P1316" s="30">
        <v>0</v>
      </c>
      <c r="Q1316" s="30">
        <v>0</v>
      </c>
      <c r="R1316" s="29">
        <v>0</v>
      </c>
      <c r="S1316" s="36">
        <v>0</v>
      </c>
      <c r="T1316" s="7" t="s">
        <v>131</v>
      </c>
      <c r="U1316" s="7" t="s">
        <v>1040</v>
      </c>
      <c r="V1316" s="7" t="s">
        <v>1040</v>
      </c>
      <c r="W1316" s="7" t="s">
        <v>1177</v>
      </c>
      <c r="X1316" s="30">
        <v>1</v>
      </c>
      <c r="Y1316" s="7" t="s">
        <v>1177</v>
      </c>
      <c r="Z1316" s="7" t="s">
        <v>1178</v>
      </c>
      <c r="AA1316" s="30">
        <v>0</v>
      </c>
      <c r="AB1316" s="36">
        <v>0</v>
      </c>
      <c r="AC1316" s="7" t="s">
        <v>1177</v>
      </c>
      <c r="AD1316" s="37">
        <v>0</v>
      </c>
      <c r="AE1316" s="7" t="s">
        <v>1177</v>
      </c>
      <c r="AF1316" s="7" t="s">
        <v>1177</v>
      </c>
      <c r="AG1316" s="7" t="s">
        <v>1177</v>
      </c>
      <c r="AH1316" s="38"/>
      <c r="AI1316" s="36">
        <v>0</v>
      </c>
      <c r="AJ1316" s="7" t="s">
        <v>1193</v>
      </c>
      <c r="AK1316" s="7" t="s">
        <v>1177</v>
      </c>
      <c r="AL1316" s="7" t="s">
        <v>1177</v>
      </c>
      <c r="AM1316" s="7" t="s">
        <v>1177</v>
      </c>
      <c r="AN1316" s="7" t="s">
        <v>3212</v>
      </c>
      <c r="AO1316" s="7" t="s">
        <v>1177</v>
      </c>
      <c r="AP1316" s="7" t="s">
        <v>1177</v>
      </c>
      <c r="AQ1316" s="7" t="s">
        <v>1177</v>
      </c>
      <c r="AR1316" s="29">
        <v>0</v>
      </c>
      <c r="AS1316" s="7" t="s">
        <v>1177</v>
      </c>
      <c r="AT1316" s="7" t="s">
        <v>1363</v>
      </c>
      <c r="AU1316" s="38">
        <v>46275</v>
      </c>
      <c r="AV1316" s="39">
        <v>0.62675925925926002</v>
      </c>
    </row>
    <row r="1317" spans="1:48" x14ac:dyDescent="0.35">
      <c r="A1317" t="str">
        <f t="shared" si="20"/>
        <v>GP322888B867</v>
      </c>
      <c r="B1317" s="7" t="s">
        <v>809</v>
      </c>
      <c r="C1317" s="7" t="s">
        <v>1059</v>
      </c>
      <c r="D1317" s="7" t="s">
        <v>25</v>
      </c>
      <c r="E1317" s="7" t="s">
        <v>1177</v>
      </c>
      <c r="F1317" s="7" t="s">
        <v>128</v>
      </c>
      <c r="G1317" s="7" t="s">
        <v>130</v>
      </c>
      <c r="H1317" s="7" t="s">
        <v>129</v>
      </c>
      <c r="I1317" s="30">
        <v>2</v>
      </c>
      <c r="J1317" s="7" t="s">
        <v>1177</v>
      </c>
      <c r="K1317" s="7" t="s">
        <v>1178</v>
      </c>
      <c r="L1317" s="7" t="s">
        <v>132</v>
      </c>
      <c r="M1317" s="7" t="s">
        <v>133</v>
      </c>
      <c r="N1317" s="30">
        <v>0</v>
      </c>
      <c r="O1317" s="30">
        <v>0</v>
      </c>
      <c r="P1317" s="30">
        <v>0</v>
      </c>
      <c r="Q1317" s="30">
        <v>0</v>
      </c>
      <c r="R1317" s="29">
        <v>0</v>
      </c>
      <c r="S1317" s="36">
        <v>0</v>
      </c>
      <c r="T1317" s="7" t="s">
        <v>131</v>
      </c>
      <c r="U1317" s="7" t="s">
        <v>1060</v>
      </c>
      <c r="V1317" s="7" t="s">
        <v>1060</v>
      </c>
      <c r="W1317" s="7" t="s">
        <v>1177</v>
      </c>
      <c r="X1317" s="30">
        <v>1</v>
      </c>
      <c r="Y1317" s="7" t="s">
        <v>1177</v>
      </c>
      <c r="Z1317" s="7" t="s">
        <v>1178</v>
      </c>
      <c r="AA1317" s="30">
        <v>0</v>
      </c>
      <c r="AB1317" s="36">
        <v>0</v>
      </c>
      <c r="AC1317" s="7" t="s">
        <v>1177</v>
      </c>
      <c r="AD1317" s="37">
        <v>0</v>
      </c>
      <c r="AE1317" s="7" t="s">
        <v>1177</v>
      </c>
      <c r="AF1317" s="7" t="s">
        <v>1177</v>
      </c>
      <c r="AG1317" s="7" t="s">
        <v>1177</v>
      </c>
      <c r="AH1317" s="38"/>
      <c r="AI1317" s="36">
        <v>0</v>
      </c>
      <c r="AJ1317" s="7" t="s">
        <v>1193</v>
      </c>
      <c r="AK1317" s="7" t="s">
        <v>1177</v>
      </c>
      <c r="AL1317" s="7" t="s">
        <v>1177</v>
      </c>
      <c r="AM1317" s="7" t="s">
        <v>1177</v>
      </c>
      <c r="AN1317" s="7" t="s">
        <v>3212</v>
      </c>
      <c r="AO1317" s="7" t="s">
        <v>1177</v>
      </c>
      <c r="AP1317" s="7" t="s">
        <v>1177</v>
      </c>
      <c r="AQ1317" s="7" t="s">
        <v>1177</v>
      </c>
      <c r="AR1317" s="29">
        <v>0</v>
      </c>
      <c r="AS1317" s="7" t="s">
        <v>1177</v>
      </c>
      <c r="AT1317" s="7" t="s">
        <v>1363</v>
      </c>
      <c r="AU1317" s="38">
        <v>46275</v>
      </c>
      <c r="AV1317" s="39">
        <v>0.62712962962963004</v>
      </c>
    </row>
    <row r="1318" spans="1:48" x14ac:dyDescent="0.35">
      <c r="A1318" t="str">
        <f t="shared" si="20"/>
        <v>GP322891B856</v>
      </c>
      <c r="B1318" s="7" t="s">
        <v>891</v>
      </c>
      <c r="C1318" s="7" t="s">
        <v>852</v>
      </c>
      <c r="D1318" s="7" t="s">
        <v>21</v>
      </c>
      <c r="E1318" s="7" t="s">
        <v>1177</v>
      </c>
      <c r="F1318" s="7" t="s">
        <v>128</v>
      </c>
      <c r="G1318" s="7" t="s">
        <v>130</v>
      </c>
      <c r="H1318" s="7" t="s">
        <v>129</v>
      </c>
      <c r="I1318" s="30">
        <v>2</v>
      </c>
      <c r="J1318" s="7" t="s">
        <v>1177</v>
      </c>
      <c r="K1318" s="7" t="s">
        <v>1178</v>
      </c>
      <c r="L1318" s="7" t="s">
        <v>132</v>
      </c>
      <c r="M1318" s="7" t="s">
        <v>133</v>
      </c>
      <c r="N1318" s="30">
        <v>0</v>
      </c>
      <c r="O1318" s="30">
        <v>0</v>
      </c>
      <c r="P1318" s="30">
        <v>0</v>
      </c>
      <c r="Q1318" s="30">
        <v>0</v>
      </c>
      <c r="R1318" s="29">
        <v>0</v>
      </c>
      <c r="S1318" s="36">
        <v>0</v>
      </c>
      <c r="T1318" s="7" t="s">
        <v>131</v>
      </c>
      <c r="U1318" s="7" t="s">
        <v>853</v>
      </c>
      <c r="V1318" s="7" t="s">
        <v>853</v>
      </c>
      <c r="W1318" s="7" t="s">
        <v>1177</v>
      </c>
      <c r="X1318" s="30">
        <v>1</v>
      </c>
      <c r="Y1318" s="7" t="s">
        <v>1177</v>
      </c>
      <c r="Z1318" s="7" t="s">
        <v>1178</v>
      </c>
      <c r="AA1318" s="30">
        <v>0</v>
      </c>
      <c r="AB1318" s="36">
        <v>0</v>
      </c>
      <c r="AC1318" s="7" t="s">
        <v>1177</v>
      </c>
      <c r="AD1318" s="37">
        <v>0</v>
      </c>
      <c r="AE1318" s="7" t="s">
        <v>1177</v>
      </c>
      <c r="AF1318" s="7" t="s">
        <v>1177</v>
      </c>
      <c r="AG1318" s="7" t="s">
        <v>1177</v>
      </c>
      <c r="AH1318" s="38"/>
      <c r="AI1318" s="36">
        <v>0</v>
      </c>
      <c r="AJ1318" s="7" t="s">
        <v>1193</v>
      </c>
      <c r="AK1318" s="7" t="s">
        <v>1177</v>
      </c>
      <c r="AL1318" s="7" t="s">
        <v>1177</v>
      </c>
      <c r="AM1318" s="7" t="s">
        <v>1177</v>
      </c>
      <c r="AN1318" s="7" t="s">
        <v>3212</v>
      </c>
      <c r="AO1318" s="7" t="s">
        <v>1177</v>
      </c>
      <c r="AP1318" s="7" t="s">
        <v>1177</v>
      </c>
      <c r="AQ1318" s="7" t="s">
        <v>1177</v>
      </c>
      <c r="AR1318" s="29">
        <v>0</v>
      </c>
      <c r="AS1318" s="7" t="s">
        <v>1177</v>
      </c>
      <c r="AT1318" s="7" t="s">
        <v>1363</v>
      </c>
      <c r="AU1318" s="38">
        <v>46275</v>
      </c>
      <c r="AV1318" s="39">
        <v>0.62489583333332999</v>
      </c>
    </row>
    <row r="1319" spans="1:48" x14ac:dyDescent="0.35">
      <c r="A1319" t="str">
        <f t="shared" si="20"/>
        <v>GP322891B857</v>
      </c>
      <c r="B1319" s="7" t="s">
        <v>891</v>
      </c>
      <c r="C1319" s="7" t="s">
        <v>958</v>
      </c>
      <c r="D1319" s="7" t="s">
        <v>23</v>
      </c>
      <c r="E1319" s="7" t="s">
        <v>1177</v>
      </c>
      <c r="F1319" s="7" t="s">
        <v>128</v>
      </c>
      <c r="G1319" s="7" t="s">
        <v>130</v>
      </c>
      <c r="H1319" s="7" t="s">
        <v>129</v>
      </c>
      <c r="I1319" s="30">
        <v>1</v>
      </c>
      <c r="J1319" s="7" t="s">
        <v>1177</v>
      </c>
      <c r="K1319" s="7" t="s">
        <v>1178</v>
      </c>
      <c r="L1319" s="7" t="s">
        <v>132</v>
      </c>
      <c r="M1319" s="7" t="s">
        <v>133</v>
      </c>
      <c r="N1319" s="30">
        <v>0</v>
      </c>
      <c r="O1319" s="30">
        <v>0</v>
      </c>
      <c r="P1319" s="30">
        <v>0</v>
      </c>
      <c r="Q1319" s="30">
        <v>0</v>
      </c>
      <c r="R1319" s="29">
        <v>0</v>
      </c>
      <c r="S1319" s="36">
        <v>0</v>
      </c>
      <c r="T1319" s="7" t="s">
        <v>131</v>
      </c>
      <c r="U1319" s="7" t="s">
        <v>959</v>
      </c>
      <c r="V1319" s="7" t="s">
        <v>959</v>
      </c>
      <c r="W1319" s="7" t="s">
        <v>1177</v>
      </c>
      <c r="X1319" s="30">
        <v>1</v>
      </c>
      <c r="Y1319" s="7" t="s">
        <v>1177</v>
      </c>
      <c r="Z1319" s="7" t="s">
        <v>1178</v>
      </c>
      <c r="AA1319" s="30">
        <v>0</v>
      </c>
      <c r="AB1319" s="36">
        <v>0</v>
      </c>
      <c r="AC1319" s="7" t="s">
        <v>1177</v>
      </c>
      <c r="AD1319" s="37">
        <v>0</v>
      </c>
      <c r="AE1319" s="7" t="s">
        <v>1177</v>
      </c>
      <c r="AF1319" s="7" t="s">
        <v>1177</v>
      </c>
      <c r="AG1319" s="7" t="s">
        <v>1177</v>
      </c>
      <c r="AH1319" s="38"/>
      <c r="AI1319" s="36">
        <v>0</v>
      </c>
      <c r="AJ1319" s="7" t="s">
        <v>1193</v>
      </c>
      <c r="AK1319" s="7" t="s">
        <v>1177</v>
      </c>
      <c r="AL1319" s="7" t="s">
        <v>1177</v>
      </c>
      <c r="AM1319" s="7" t="s">
        <v>1177</v>
      </c>
      <c r="AN1319" s="7" t="s">
        <v>3212</v>
      </c>
      <c r="AO1319" s="7" t="s">
        <v>1177</v>
      </c>
      <c r="AP1319" s="7" t="s">
        <v>1177</v>
      </c>
      <c r="AQ1319" s="7" t="s">
        <v>1177</v>
      </c>
      <c r="AR1319" s="29">
        <v>0</v>
      </c>
      <c r="AS1319" s="7" t="s">
        <v>1177</v>
      </c>
      <c r="AT1319" s="7" t="s">
        <v>1363</v>
      </c>
      <c r="AU1319" s="38">
        <v>46275</v>
      </c>
      <c r="AV1319" s="39">
        <v>0.62513888888889002</v>
      </c>
    </row>
    <row r="1320" spans="1:48" x14ac:dyDescent="0.35">
      <c r="A1320" t="str">
        <f t="shared" si="20"/>
        <v>GP323355B856</v>
      </c>
      <c r="B1320" s="7" t="s">
        <v>892</v>
      </c>
      <c r="C1320" s="7" t="s">
        <v>852</v>
      </c>
      <c r="D1320" s="7" t="s">
        <v>21</v>
      </c>
      <c r="E1320" s="7" t="s">
        <v>1177</v>
      </c>
      <c r="F1320" s="7" t="s">
        <v>128</v>
      </c>
      <c r="G1320" s="7" t="s">
        <v>130</v>
      </c>
      <c r="H1320" s="7" t="s">
        <v>129</v>
      </c>
      <c r="I1320" s="30">
        <v>2</v>
      </c>
      <c r="J1320" s="7" t="s">
        <v>1177</v>
      </c>
      <c r="K1320" s="7" t="s">
        <v>1178</v>
      </c>
      <c r="L1320" s="7" t="s">
        <v>132</v>
      </c>
      <c r="M1320" s="7" t="s">
        <v>133</v>
      </c>
      <c r="N1320" s="30">
        <v>0</v>
      </c>
      <c r="O1320" s="30">
        <v>0</v>
      </c>
      <c r="P1320" s="30">
        <v>0</v>
      </c>
      <c r="Q1320" s="30">
        <v>0</v>
      </c>
      <c r="R1320" s="29">
        <v>0</v>
      </c>
      <c r="S1320" s="36">
        <v>0</v>
      </c>
      <c r="T1320" s="7" t="s">
        <v>131</v>
      </c>
      <c r="U1320" s="7" t="s">
        <v>853</v>
      </c>
      <c r="V1320" s="7" t="s">
        <v>853</v>
      </c>
      <c r="W1320" s="7" t="s">
        <v>1177</v>
      </c>
      <c r="X1320" s="30">
        <v>1</v>
      </c>
      <c r="Y1320" s="7" t="s">
        <v>1177</v>
      </c>
      <c r="Z1320" s="7" t="s">
        <v>1178</v>
      </c>
      <c r="AA1320" s="30">
        <v>0</v>
      </c>
      <c r="AB1320" s="36">
        <v>0</v>
      </c>
      <c r="AC1320" s="7" t="s">
        <v>1177</v>
      </c>
      <c r="AD1320" s="37">
        <v>0</v>
      </c>
      <c r="AE1320" s="7" t="s">
        <v>1177</v>
      </c>
      <c r="AF1320" s="7" t="s">
        <v>1177</v>
      </c>
      <c r="AG1320" s="7" t="s">
        <v>1177</v>
      </c>
      <c r="AH1320" s="38"/>
      <c r="AI1320" s="36">
        <v>0</v>
      </c>
      <c r="AJ1320" s="7" t="s">
        <v>1193</v>
      </c>
      <c r="AK1320" s="7" t="s">
        <v>1177</v>
      </c>
      <c r="AL1320" s="7" t="s">
        <v>1177</v>
      </c>
      <c r="AM1320" s="7" t="s">
        <v>1177</v>
      </c>
      <c r="AN1320" s="7" t="s">
        <v>3212</v>
      </c>
      <c r="AO1320" s="7" t="s">
        <v>1177</v>
      </c>
      <c r="AP1320" s="7" t="s">
        <v>1177</v>
      </c>
      <c r="AQ1320" s="7" t="s">
        <v>1177</v>
      </c>
      <c r="AR1320" s="29">
        <v>0</v>
      </c>
      <c r="AS1320" s="7" t="s">
        <v>1177</v>
      </c>
      <c r="AT1320" s="7" t="s">
        <v>1363</v>
      </c>
      <c r="AU1320" s="38">
        <v>46275</v>
      </c>
      <c r="AV1320" s="39">
        <v>0.62489583333332999</v>
      </c>
    </row>
    <row r="1321" spans="1:48" x14ac:dyDescent="0.35">
      <c r="A1321" t="str">
        <f t="shared" si="20"/>
        <v>GP323355B857</v>
      </c>
      <c r="B1321" s="7" t="s">
        <v>892</v>
      </c>
      <c r="C1321" s="7" t="s">
        <v>958</v>
      </c>
      <c r="D1321" s="7" t="s">
        <v>23</v>
      </c>
      <c r="E1321" s="7" t="s">
        <v>1177</v>
      </c>
      <c r="F1321" s="7" t="s">
        <v>128</v>
      </c>
      <c r="G1321" s="7" t="s">
        <v>130</v>
      </c>
      <c r="H1321" s="7" t="s">
        <v>129</v>
      </c>
      <c r="I1321" s="30">
        <v>3</v>
      </c>
      <c r="J1321" s="7" t="s">
        <v>1177</v>
      </c>
      <c r="K1321" s="7" t="s">
        <v>1178</v>
      </c>
      <c r="L1321" s="7" t="s">
        <v>132</v>
      </c>
      <c r="M1321" s="7" t="s">
        <v>133</v>
      </c>
      <c r="N1321" s="30">
        <v>0</v>
      </c>
      <c r="O1321" s="30">
        <v>0</v>
      </c>
      <c r="P1321" s="30">
        <v>0</v>
      </c>
      <c r="Q1321" s="30">
        <v>0</v>
      </c>
      <c r="R1321" s="29">
        <v>0</v>
      </c>
      <c r="S1321" s="36">
        <v>0</v>
      </c>
      <c r="T1321" s="7" t="s">
        <v>131</v>
      </c>
      <c r="U1321" s="7" t="s">
        <v>959</v>
      </c>
      <c r="V1321" s="7" t="s">
        <v>959</v>
      </c>
      <c r="W1321" s="7" t="s">
        <v>1177</v>
      </c>
      <c r="X1321" s="30">
        <v>1</v>
      </c>
      <c r="Y1321" s="7" t="s">
        <v>1177</v>
      </c>
      <c r="Z1321" s="7" t="s">
        <v>1178</v>
      </c>
      <c r="AA1321" s="30">
        <v>0</v>
      </c>
      <c r="AB1321" s="36">
        <v>0</v>
      </c>
      <c r="AC1321" s="7" t="s">
        <v>1177</v>
      </c>
      <c r="AD1321" s="37">
        <v>0</v>
      </c>
      <c r="AE1321" s="7" t="s">
        <v>1177</v>
      </c>
      <c r="AF1321" s="7" t="s">
        <v>1177</v>
      </c>
      <c r="AG1321" s="7" t="s">
        <v>1177</v>
      </c>
      <c r="AH1321" s="38"/>
      <c r="AI1321" s="36">
        <v>0</v>
      </c>
      <c r="AJ1321" s="7" t="s">
        <v>1193</v>
      </c>
      <c r="AK1321" s="7" t="s">
        <v>1177</v>
      </c>
      <c r="AL1321" s="7" t="s">
        <v>1177</v>
      </c>
      <c r="AM1321" s="7" t="s">
        <v>1177</v>
      </c>
      <c r="AN1321" s="7" t="s">
        <v>3212</v>
      </c>
      <c r="AO1321" s="7" t="s">
        <v>1177</v>
      </c>
      <c r="AP1321" s="7" t="s">
        <v>1177</v>
      </c>
      <c r="AQ1321" s="7" t="s">
        <v>1177</v>
      </c>
      <c r="AR1321" s="29">
        <v>0</v>
      </c>
      <c r="AS1321" s="7" t="s">
        <v>1177</v>
      </c>
      <c r="AT1321" s="7" t="s">
        <v>1363</v>
      </c>
      <c r="AU1321" s="38">
        <v>46275</v>
      </c>
      <c r="AV1321" s="39">
        <v>0.62513888888889002</v>
      </c>
    </row>
    <row r="1322" spans="1:48" x14ac:dyDescent="0.35">
      <c r="A1322" t="str">
        <f t="shared" si="20"/>
        <v>GP323355B865</v>
      </c>
      <c r="B1322" s="7" t="s">
        <v>892</v>
      </c>
      <c r="C1322" s="7" t="s">
        <v>1039</v>
      </c>
      <c r="D1322" s="7" t="s">
        <v>7</v>
      </c>
      <c r="E1322" s="7" t="s">
        <v>1177</v>
      </c>
      <c r="F1322" s="7" t="s">
        <v>128</v>
      </c>
      <c r="G1322" s="7" t="s">
        <v>130</v>
      </c>
      <c r="H1322" s="7" t="s">
        <v>129</v>
      </c>
      <c r="I1322" s="30">
        <v>2</v>
      </c>
      <c r="J1322" s="7" t="s">
        <v>1177</v>
      </c>
      <c r="K1322" s="7" t="s">
        <v>1178</v>
      </c>
      <c r="L1322" s="7" t="s">
        <v>132</v>
      </c>
      <c r="M1322" s="7" t="s">
        <v>133</v>
      </c>
      <c r="N1322" s="30">
        <v>0</v>
      </c>
      <c r="O1322" s="30">
        <v>0</v>
      </c>
      <c r="P1322" s="30">
        <v>0</v>
      </c>
      <c r="Q1322" s="30">
        <v>0</v>
      </c>
      <c r="R1322" s="29">
        <v>0</v>
      </c>
      <c r="S1322" s="36">
        <v>0</v>
      </c>
      <c r="T1322" s="7" t="s">
        <v>131</v>
      </c>
      <c r="U1322" s="7" t="s">
        <v>1040</v>
      </c>
      <c r="V1322" s="7" t="s">
        <v>1040</v>
      </c>
      <c r="W1322" s="7" t="s">
        <v>1177</v>
      </c>
      <c r="X1322" s="30">
        <v>1</v>
      </c>
      <c r="Y1322" s="7" t="s">
        <v>1177</v>
      </c>
      <c r="Z1322" s="7" t="s">
        <v>1178</v>
      </c>
      <c r="AA1322" s="30">
        <v>0</v>
      </c>
      <c r="AB1322" s="36">
        <v>0</v>
      </c>
      <c r="AC1322" s="7" t="s">
        <v>1177</v>
      </c>
      <c r="AD1322" s="37">
        <v>0</v>
      </c>
      <c r="AE1322" s="7" t="s">
        <v>1177</v>
      </c>
      <c r="AF1322" s="7" t="s">
        <v>1177</v>
      </c>
      <c r="AG1322" s="7" t="s">
        <v>1177</v>
      </c>
      <c r="AH1322" s="38"/>
      <c r="AI1322" s="36">
        <v>0</v>
      </c>
      <c r="AJ1322" s="7" t="s">
        <v>1193</v>
      </c>
      <c r="AK1322" s="7" t="s">
        <v>1177</v>
      </c>
      <c r="AL1322" s="7" t="s">
        <v>1177</v>
      </c>
      <c r="AM1322" s="7" t="s">
        <v>1177</v>
      </c>
      <c r="AN1322" s="7" t="s">
        <v>3212</v>
      </c>
      <c r="AO1322" s="7" t="s">
        <v>1177</v>
      </c>
      <c r="AP1322" s="7" t="s">
        <v>1177</v>
      </c>
      <c r="AQ1322" s="7" t="s">
        <v>1177</v>
      </c>
      <c r="AR1322" s="29">
        <v>0</v>
      </c>
      <c r="AS1322" s="7" t="s">
        <v>1177</v>
      </c>
      <c r="AT1322" s="7" t="s">
        <v>1363</v>
      </c>
      <c r="AU1322" s="38">
        <v>46275</v>
      </c>
      <c r="AV1322" s="39">
        <v>0.62675925925926002</v>
      </c>
    </row>
    <row r="1323" spans="1:48" x14ac:dyDescent="0.35">
      <c r="A1323" t="str">
        <f t="shared" si="20"/>
        <v>GP323356B856</v>
      </c>
      <c r="B1323" s="7" t="s">
        <v>893</v>
      </c>
      <c r="C1323" s="7" t="s">
        <v>852</v>
      </c>
      <c r="D1323" s="7" t="s">
        <v>21</v>
      </c>
      <c r="E1323" s="7" t="s">
        <v>1177</v>
      </c>
      <c r="F1323" s="7" t="s">
        <v>128</v>
      </c>
      <c r="G1323" s="7" t="s">
        <v>130</v>
      </c>
      <c r="H1323" s="7" t="s">
        <v>129</v>
      </c>
      <c r="I1323" s="30">
        <v>2</v>
      </c>
      <c r="J1323" s="7" t="s">
        <v>1177</v>
      </c>
      <c r="K1323" s="7" t="s">
        <v>1178</v>
      </c>
      <c r="L1323" s="7" t="s">
        <v>132</v>
      </c>
      <c r="M1323" s="7" t="s">
        <v>133</v>
      </c>
      <c r="N1323" s="30">
        <v>0</v>
      </c>
      <c r="O1323" s="30">
        <v>0</v>
      </c>
      <c r="P1323" s="30">
        <v>0</v>
      </c>
      <c r="Q1323" s="30">
        <v>0</v>
      </c>
      <c r="R1323" s="29">
        <v>0</v>
      </c>
      <c r="S1323" s="36">
        <v>0</v>
      </c>
      <c r="T1323" s="7" t="s">
        <v>131</v>
      </c>
      <c r="U1323" s="7" t="s">
        <v>853</v>
      </c>
      <c r="V1323" s="7" t="s">
        <v>853</v>
      </c>
      <c r="W1323" s="7" t="s">
        <v>1177</v>
      </c>
      <c r="X1323" s="30">
        <v>1</v>
      </c>
      <c r="Y1323" s="7" t="s">
        <v>1177</v>
      </c>
      <c r="Z1323" s="7" t="s">
        <v>1178</v>
      </c>
      <c r="AA1323" s="30">
        <v>0</v>
      </c>
      <c r="AB1323" s="36">
        <v>0</v>
      </c>
      <c r="AC1323" s="7" t="s">
        <v>1177</v>
      </c>
      <c r="AD1323" s="37">
        <v>0</v>
      </c>
      <c r="AE1323" s="7" t="s">
        <v>1177</v>
      </c>
      <c r="AF1323" s="7" t="s">
        <v>1177</v>
      </c>
      <c r="AG1323" s="7" t="s">
        <v>1177</v>
      </c>
      <c r="AH1323" s="38"/>
      <c r="AI1323" s="36">
        <v>0</v>
      </c>
      <c r="AJ1323" s="7" t="s">
        <v>1193</v>
      </c>
      <c r="AK1323" s="7" t="s">
        <v>1177</v>
      </c>
      <c r="AL1323" s="7" t="s">
        <v>1177</v>
      </c>
      <c r="AM1323" s="7" t="s">
        <v>1177</v>
      </c>
      <c r="AN1323" s="7" t="s">
        <v>3212</v>
      </c>
      <c r="AO1323" s="7" t="s">
        <v>1177</v>
      </c>
      <c r="AP1323" s="7" t="s">
        <v>1177</v>
      </c>
      <c r="AQ1323" s="7" t="s">
        <v>1177</v>
      </c>
      <c r="AR1323" s="29">
        <v>0</v>
      </c>
      <c r="AS1323" s="7" t="s">
        <v>1177</v>
      </c>
      <c r="AT1323" s="7" t="s">
        <v>1363</v>
      </c>
      <c r="AU1323" s="38">
        <v>46275</v>
      </c>
      <c r="AV1323" s="39">
        <v>0.62488425925926006</v>
      </c>
    </row>
    <row r="1324" spans="1:48" x14ac:dyDescent="0.35">
      <c r="A1324" t="str">
        <f t="shared" si="20"/>
        <v>GP323356B857</v>
      </c>
      <c r="B1324" s="7" t="s">
        <v>893</v>
      </c>
      <c r="C1324" s="7" t="s">
        <v>958</v>
      </c>
      <c r="D1324" s="7" t="s">
        <v>23</v>
      </c>
      <c r="E1324" s="7" t="s">
        <v>1177</v>
      </c>
      <c r="F1324" s="7" t="s">
        <v>128</v>
      </c>
      <c r="G1324" s="7" t="s">
        <v>130</v>
      </c>
      <c r="H1324" s="7" t="s">
        <v>129</v>
      </c>
      <c r="I1324" s="30">
        <v>3</v>
      </c>
      <c r="J1324" s="7" t="s">
        <v>1177</v>
      </c>
      <c r="K1324" s="7" t="s">
        <v>1178</v>
      </c>
      <c r="L1324" s="7" t="s">
        <v>132</v>
      </c>
      <c r="M1324" s="7" t="s">
        <v>133</v>
      </c>
      <c r="N1324" s="30">
        <v>0</v>
      </c>
      <c r="O1324" s="30">
        <v>0</v>
      </c>
      <c r="P1324" s="30">
        <v>0</v>
      </c>
      <c r="Q1324" s="30">
        <v>0</v>
      </c>
      <c r="R1324" s="29">
        <v>0</v>
      </c>
      <c r="S1324" s="36">
        <v>0</v>
      </c>
      <c r="T1324" s="7" t="s">
        <v>131</v>
      </c>
      <c r="U1324" s="7" t="s">
        <v>959</v>
      </c>
      <c r="V1324" s="7" t="s">
        <v>959</v>
      </c>
      <c r="W1324" s="7" t="s">
        <v>1177</v>
      </c>
      <c r="X1324" s="30">
        <v>1</v>
      </c>
      <c r="Y1324" s="7" t="s">
        <v>1177</v>
      </c>
      <c r="Z1324" s="7" t="s">
        <v>1178</v>
      </c>
      <c r="AA1324" s="30">
        <v>0</v>
      </c>
      <c r="AB1324" s="36">
        <v>0</v>
      </c>
      <c r="AC1324" s="7" t="s">
        <v>1177</v>
      </c>
      <c r="AD1324" s="37">
        <v>0</v>
      </c>
      <c r="AE1324" s="7" t="s">
        <v>1177</v>
      </c>
      <c r="AF1324" s="7" t="s">
        <v>1177</v>
      </c>
      <c r="AG1324" s="7" t="s">
        <v>1177</v>
      </c>
      <c r="AH1324" s="38"/>
      <c r="AI1324" s="36">
        <v>0</v>
      </c>
      <c r="AJ1324" s="7" t="s">
        <v>1193</v>
      </c>
      <c r="AK1324" s="7" t="s">
        <v>1177</v>
      </c>
      <c r="AL1324" s="7" t="s">
        <v>1177</v>
      </c>
      <c r="AM1324" s="7" t="s">
        <v>1177</v>
      </c>
      <c r="AN1324" s="7" t="s">
        <v>3212</v>
      </c>
      <c r="AO1324" s="7" t="s">
        <v>1177</v>
      </c>
      <c r="AP1324" s="7" t="s">
        <v>1177</v>
      </c>
      <c r="AQ1324" s="7" t="s">
        <v>1177</v>
      </c>
      <c r="AR1324" s="29">
        <v>0</v>
      </c>
      <c r="AS1324" s="7" t="s">
        <v>1177</v>
      </c>
      <c r="AT1324" s="7" t="s">
        <v>1363</v>
      </c>
      <c r="AU1324" s="38">
        <v>46275</v>
      </c>
      <c r="AV1324" s="39">
        <v>0.62513888888889002</v>
      </c>
    </row>
    <row r="1325" spans="1:48" x14ac:dyDescent="0.35">
      <c r="A1325" t="str">
        <f t="shared" si="20"/>
        <v>GP323356B865</v>
      </c>
      <c r="B1325" s="7" t="s">
        <v>893</v>
      </c>
      <c r="C1325" s="7" t="s">
        <v>1039</v>
      </c>
      <c r="D1325" s="7" t="s">
        <v>7</v>
      </c>
      <c r="E1325" s="7" t="s">
        <v>1177</v>
      </c>
      <c r="F1325" s="7" t="s">
        <v>128</v>
      </c>
      <c r="G1325" s="7" t="s">
        <v>130</v>
      </c>
      <c r="H1325" s="7" t="s">
        <v>129</v>
      </c>
      <c r="I1325" s="30">
        <v>2</v>
      </c>
      <c r="J1325" s="7" t="s">
        <v>1177</v>
      </c>
      <c r="K1325" s="7" t="s">
        <v>1178</v>
      </c>
      <c r="L1325" s="7" t="s">
        <v>132</v>
      </c>
      <c r="M1325" s="7" t="s">
        <v>133</v>
      </c>
      <c r="N1325" s="30">
        <v>0</v>
      </c>
      <c r="O1325" s="30">
        <v>0</v>
      </c>
      <c r="P1325" s="30">
        <v>0</v>
      </c>
      <c r="Q1325" s="30">
        <v>0</v>
      </c>
      <c r="R1325" s="29">
        <v>0</v>
      </c>
      <c r="S1325" s="36">
        <v>0</v>
      </c>
      <c r="T1325" s="7" t="s">
        <v>131</v>
      </c>
      <c r="U1325" s="7" t="s">
        <v>1040</v>
      </c>
      <c r="V1325" s="7" t="s">
        <v>1040</v>
      </c>
      <c r="W1325" s="7" t="s">
        <v>1177</v>
      </c>
      <c r="X1325" s="30">
        <v>1</v>
      </c>
      <c r="Y1325" s="7" t="s">
        <v>1177</v>
      </c>
      <c r="Z1325" s="7" t="s">
        <v>1178</v>
      </c>
      <c r="AA1325" s="30">
        <v>0</v>
      </c>
      <c r="AB1325" s="36">
        <v>0</v>
      </c>
      <c r="AC1325" s="7" t="s">
        <v>1177</v>
      </c>
      <c r="AD1325" s="37">
        <v>0</v>
      </c>
      <c r="AE1325" s="7" t="s">
        <v>1177</v>
      </c>
      <c r="AF1325" s="7" t="s">
        <v>1177</v>
      </c>
      <c r="AG1325" s="7" t="s">
        <v>1177</v>
      </c>
      <c r="AH1325" s="38"/>
      <c r="AI1325" s="36">
        <v>0</v>
      </c>
      <c r="AJ1325" s="7" t="s">
        <v>1193</v>
      </c>
      <c r="AK1325" s="7" t="s">
        <v>1177</v>
      </c>
      <c r="AL1325" s="7" t="s">
        <v>1177</v>
      </c>
      <c r="AM1325" s="7" t="s">
        <v>1177</v>
      </c>
      <c r="AN1325" s="7" t="s">
        <v>3212</v>
      </c>
      <c r="AO1325" s="7" t="s">
        <v>1177</v>
      </c>
      <c r="AP1325" s="7" t="s">
        <v>1177</v>
      </c>
      <c r="AQ1325" s="7" t="s">
        <v>1177</v>
      </c>
      <c r="AR1325" s="29">
        <v>0</v>
      </c>
      <c r="AS1325" s="7" t="s">
        <v>1177</v>
      </c>
      <c r="AT1325" s="7" t="s">
        <v>1363</v>
      </c>
      <c r="AU1325" s="38">
        <v>46275</v>
      </c>
      <c r="AV1325" s="39">
        <v>0.62675925925926002</v>
      </c>
    </row>
    <row r="1326" spans="1:48" x14ac:dyDescent="0.35">
      <c r="A1326" t="str">
        <f t="shared" si="20"/>
        <v>GP323356B867</v>
      </c>
      <c r="B1326" s="7" t="s">
        <v>893</v>
      </c>
      <c r="C1326" s="7" t="s">
        <v>1059</v>
      </c>
      <c r="D1326" s="7" t="s">
        <v>25</v>
      </c>
      <c r="E1326" s="7" t="s">
        <v>1177</v>
      </c>
      <c r="F1326" s="7" t="s">
        <v>128</v>
      </c>
      <c r="G1326" s="7" t="s">
        <v>130</v>
      </c>
      <c r="H1326" s="7" t="s">
        <v>129</v>
      </c>
      <c r="I1326" s="30">
        <v>2</v>
      </c>
      <c r="J1326" s="7" t="s">
        <v>1177</v>
      </c>
      <c r="K1326" s="7" t="s">
        <v>1178</v>
      </c>
      <c r="L1326" s="7" t="s">
        <v>132</v>
      </c>
      <c r="M1326" s="7" t="s">
        <v>133</v>
      </c>
      <c r="N1326" s="30">
        <v>0</v>
      </c>
      <c r="O1326" s="30">
        <v>0</v>
      </c>
      <c r="P1326" s="30">
        <v>0</v>
      </c>
      <c r="Q1326" s="30">
        <v>0</v>
      </c>
      <c r="R1326" s="29">
        <v>0</v>
      </c>
      <c r="S1326" s="36">
        <v>0</v>
      </c>
      <c r="T1326" s="7" t="s">
        <v>131</v>
      </c>
      <c r="U1326" s="7" t="s">
        <v>1060</v>
      </c>
      <c r="V1326" s="7" t="s">
        <v>1060</v>
      </c>
      <c r="W1326" s="7" t="s">
        <v>1177</v>
      </c>
      <c r="X1326" s="30">
        <v>1</v>
      </c>
      <c r="Y1326" s="7" t="s">
        <v>1177</v>
      </c>
      <c r="Z1326" s="7" t="s">
        <v>1178</v>
      </c>
      <c r="AA1326" s="30">
        <v>0</v>
      </c>
      <c r="AB1326" s="36">
        <v>0</v>
      </c>
      <c r="AC1326" s="7" t="s">
        <v>1177</v>
      </c>
      <c r="AD1326" s="37">
        <v>0</v>
      </c>
      <c r="AE1326" s="7" t="s">
        <v>1177</v>
      </c>
      <c r="AF1326" s="7" t="s">
        <v>1177</v>
      </c>
      <c r="AG1326" s="7" t="s">
        <v>1177</v>
      </c>
      <c r="AH1326" s="38"/>
      <c r="AI1326" s="36">
        <v>0</v>
      </c>
      <c r="AJ1326" s="7" t="s">
        <v>1193</v>
      </c>
      <c r="AK1326" s="7" t="s">
        <v>1177</v>
      </c>
      <c r="AL1326" s="7" t="s">
        <v>1177</v>
      </c>
      <c r="AM1326" s="7" t="s">
        <v>1177</v>
      </c>
      <c r="AN1326" s="7" t="s">
        <v>3212</v>
      </c>
      <c r="AO1326" s="7" t="s">
        <v>1177</v>
      </c>
      <c r="AP1326" s="7" t="s">
        <v>1177</v>
      </c>
      <c r="AQ1326" s="7" t="s">
        <v>1177</v>
      </c>
      <c r="AR1326" s="29">
        <v>0</v>
      </c>
      <c r="AS1326" s="7" t="s">
        <v>1177</v>
      </c>
      <c r="AT1326" s="7" t="s">
        <v>1363</v>
      </c>
      <c r="AU1326" s="38">
        <v>46275</v>
      </c>
      <c r="AV1326" s="39">
        <v>0.62711805555555999</v>
      </c>
    </row>
    <row r="1327" spans="1:48" x14ac:dyDescent="0.35">
      <c r="A1327" t="str">
        <f t="shared" si="20"/>
        <v>GP323357B856</v>
      </c>
      <c r="B1327" s="7" t="s">
        <v>894</v>
      </c>
      <c r="C1327" s="7" t="s">
        <v>852</v>
      </c>
      <c r="D1327" s="7" t="s">
        <v>21</v>
      </c>
      <c r="E1327" s="7" t="s">
        <v>1177</v>
      </c>
      <c r="F1327" s="7" t="s">
        <v>128</v>
      </c>
      <c r="G1327" s="7" t="s">
        <v>130</v>
      </c>
      <c r="H1327" s="7" t="s">
        <v>129</v>
      </c>
      <c r="I1327" s="30">
        <v>2</v>
      </c>
      <c r="J1327" s="7" t="s">
        <v>1177</v>
      </c>
      <c r="K1327" s="7" t="s">
        <v>1178</v>
      </c>
      <c r="L1327" s="7" t="s">
        <v>132</v>
      </c>
      <c r="M1327" s="7" t="s">
        <v>133</v>
      </c>
      <c r="N1327" s="30">
        <v>0</v>
      </c>
      <c r="O1327" s="30">
        <v>0</v>
      </c>
      <c r="P1327" s="30">
        <v>0</v>
      </c>
      <c r="Q1327" s="30">
        <v>0</v>
      </c>
      <c r="R1327" s="29">
        <v>0</v>
      </c>
      <c r="S1327" s="36">
        <v>0</v>
      </c>
      <c r="T1327" s="7" t="s">
        <v>131</v>
      </c>
      <c r="U1327" s="7" t="s">
        <v>853</v>
      </c>
      <c r="V1327" s="7" t="s">
        <v>853</v>
      </c>
      <c r="W1327" s="7" t="s">
        <v>1177</v>
      </c>
      <c r="X1327" s="30">
        <v>1</v>
      </c>
      <c r="Y1327" s="7" t="s">
        <v>1177</v>
      </c>
      <c r="Z1327" s="7" t="s">
        <v>1178</v>
      </c>
      <c r="AA1327" s="30">
        <v>0</v>
      </c>
      <c r="AB1327" s="36">
        <v>0</v>
      </c>
      <c r="AC1327" s="7" t="s">
        <v>1177</v>
      </c>
      <c r="AD1327" s="37">
        <v>0</v>
      </c>
      <c r="AE1327" s="7" t="s">
        <v>1177</v>
      </c>
      <c r="AF1327" s="7" t="s">
        <v>1177</v>
      </c>
      <c r="AG1327" s="7" t="s">
        <v>1177</v>
      </c>
      <c r="AH1327" s="38"/>
      <c r="AI1327" s="36">
        <v>0</v>
      </c>
      <c r="AJ1327" s="7" t="s">
        <v>1193</v>
      </c>
      <c r="AK1327" s="7" t="s">
        <v>1177</v>
      </c>
      <c r="AL1327" s="7" t="s">
        <v>1177</v>
      </c>
      <c r="AM1327" s="7" t="s">
        <v>1177</v>
      </c>
      <c r="AN1327" s="7" t="s">
        <v>3212</v>
      </c>
      <c r="AO1327" s="7" t="s">
        <v>1177</v>
      </c>
      <c r="AP1327" s="7" t="s">
        <v>1177</v>
      </c>
      <c r="AQ1327" s="7" t="s">
        <v>1177</v>
      </c>
      <c r="AR1327" s="29">
        <v>0</v>
      </c>
      <c r="AS1327" s="7" t="s">
        <v>1177</v>
      </c>
      <c r="AT1327" s="7" t="s">
        <v>1363</v>
      </c>
      <c r="AU1327" s="38">
        <v>46275</v>
      </c>
      <c r="AV1327" s="39">
        <v>0.62488425925926006</v>
      </c>
    </row>
    <row r="1328" spans="1:48" x14ac:dyDescent="0.35">
      <c r="A1328" t="str">
        <f t="shared" si="20"/>
        <v>GP323357B857</v>
      </c>
      <c r="B1328" s="7" t="s">
        <v>894</v>
      </c>
      <c r="C1328" s="7" t="s">
        <v>958</v>
      </c>
      <c r="D1328" s="7" t="s">
        <v>23</v>
      </c>
      <c r="E1328" s="7" t="s">
        <v>1177</v>
      </c>
      <c r="F1328" s="7" t="s">
        <v>128</v>
      </c>
      <c r="G1328" s="7" t="s">
        <v>130</v>
      </c>
      <c r="H1328" s="7" t="s">
        <v>129</v>
      </c>
      <c r="I1328" s="30">
        <v>3</v>
      </c>
      <c r="J1328" s="7" t="s">
        <v>1177</v>
      </c>
      <c r="K1328" s="7" t="s">
        <v>1178</v>
      </c>
      <c r="L1328" s="7" t="s">
        <v>132</v>
      </c>
      <c r="M1328" s="7" t="s">
        <v>133</v>
      </c>
      <c r="N1328" s="30">
        <v>0</v>
      </c>
      <c r="O1328" s="30">
        <v>0</v>
      </c>
      <c r="P1328" s="30">
        <v>0</v>
      </c>
      <c r="Q1328" s="30">
        <v>0</v>
      </c>
      <c r="R1328" s="29">
        <v>0</v>
      </c>
      <c r="S1328" s="36">
        <v>0</v>
      </c>
      <c r="T1328" s="7" t="s">
        <v>131</v>
      </c>
      <c r="U1328" s="7" t="s">
        <v>959</v>
      </c>
      <c r="V1328" s="7" t="s">
        <v>959</v>
      </c>
      <c r="W1328" s="7" t="s">
        <v>1177</v>
      </c>
      <c r="X1328" s="30">
        <v>1</v>
      </c>
      <c r="Y1328" s="7" t="s">
        <v>1177</v>
      </c>
      <c r="Z1328" s="7" t="s">
        <v>1178</v>
      </c>
      <c r="AA1328" s="30">
        <v>0</v>
      </c>
      <c r="AB1328" s="36">
        <v>0</v>
      </c>
      <c r="AC1328" s="7" t="s">
        <v>1177</v>
      </c>
      <c r="AD1328" s="37">
        <v>0</v>
      </c>
      <c r="AE1328" s="7" t="s">
        <v>1177</v>
      </c>
      <c r="AF1328" s="7" t="s">
        <v>1177</v>
      </c>
      <c r="AG1328" s="7" t="s">
        <v>1177</v>
      </c>
      <c r="AH1328" s="38"/>
      <c r="AI1328" s="36">
        <v>0</v>
      </c>
      <c r="AJ1328" s="7" t="s">
        <v>1193</v>
      </c>
      <c r="AK1328" s="7" t="s">
        <v>1177</v>
      </c>
      <c r="AL1328" s="7" t="s">
        <v>1177</v>
      </c>
      <c r="AM1328" s="7" t="s">
        <v>1177</v>
      </c>
      <c r="AN1328" s="7" t="s">
        <v>3212</v>
      </c>
      <c r="AO1328" s="7" t="s">
        <v>1177</v>
      </c>
      <c r="AP1328" s="7" t="s">
        <v>1177</v>
      </c>
      <c r="AQ1328" s="7" t="s">
        <v>1177</v>
      </c>
      <c r="AR1328" s="29">
        <v>0</v>
      </c>
      <c r="AS1328" s="7" t="s">
        <v>1177</v>
      </c>
      <c r="AT1328" s="7" t="s">
        <v>1363</v>
      </c>
      <c r="AU1328" s="38">
        <v>46275</v>
      </c>
      <c r="AV1328" s="39">
        <v>0.62513888888889002</v>
      </c>
    </row>
    <row r="1329" spans="1:48" x14ac:dyDescent="0.35">
      <c r="A1329" t="str">
        <f t="shared" si="20"/>
        <v>GP323357B864</v>
      </c>
      <c r="B1329" s="7" t="s">
        <v>894</v>
      </c>
      <c r="C1329" s="7" t="s">
        <v>1010</v>
      </c>
      <c r="D1329" s="7" t="s">
        <v>10</v>
      </c>
      <c r="E1329" s="7" t="s">
        <v>1177</v>
      </c>
      <c r="F1329" s="7" t="s">
        <v>128</v>
      </c>
      <c r="G1329" s="7" t="s">
        <v>130</v>
      </c>
      <c r="H1329" s="7" t="s">
        <v>129</v>
      </c>
      <c r="I1329" s="30">
        <v>2</v>
      </c>
      <c r="J1329" s="7" t="s">
        <v>1177</v>
      </c>
      <c r="K1329" s="7" t="s">
        <v>1178</v>
      </c>
      <c r="L1329" s="7" t="s">
        <v>132</v>
      </c>
      <c r="M1329" s="7" t="s">
        <v>133</v>
      </c>
      <c r="N1329" s="30">
        <v>0</v>
      </c>
      <c r="O1329" s="30">
        <v>0</v>
      </c>
      <c r="P1329" s="30">
        <v>0</v>
      </c>
      <c r="Q1329" s="30">
        <v>0</v>
      </c>
      <c r="R1329" s="29">
        <v>0</v>
      </c>
      <c r="S1329" s="36">
        <v>0</v>
      </c>
      <c r="T1329" s="7" t="s">
        <v>131</v>
      </c>
      <c r="U1329" s="7" t="s">
        <v>1011</v>
      </c>
      <c r="V1329" s="7" t="s">
        <v>1011</v>
      </c>
      <c r="W1329" s="7" t="s">
        <v>1177</v>
      </c>
      <c r="X1329" s="30">
        <v>1</v>
      </c>
      <c r="Y1329" s="7" t="s">
        <v>1177</v>
      </c>
      <c r="Z1329" s="7" t="s">
        <v>1178</v>
      </c>
      <c r="AA1329" s="30">
        <v>0</v>
      </c>
      <c r="AB1329" s="36">
        <v>0</v>
      </c>
      <c r="AC1329" s="7" t="s">
        <v>1177</v>
      </c>
      <c r="AD1329" s="37">
        <v>0</v>
      </c>
      <c r="AE1329" s="7" t="s">
        <v>1177</v>
      </c>
      <c r="AF1329" s="7" t="s">
        <v>1177</v>
      </c>
      <c r="AG1329" s="7" t="s">
        <v>1177</v>
      </c>
      <c r="AH1329" s="38"/>
      <c r="AI1329" s="36">
        <v>0</v>
      </c>
      <c r="AJ1329" s="7" t="s">
        <v>1193</v>
      </c>
      <c r="AK1329" s="7" t="s">
        <v>1177</v>
      </c>
      <c r="AL1329" s="7" t="s">
        <v>1177</v>
      </c>
      <c r="AM1329" s="7" t="s">
        <v>1177</v>
      </c>
      <c r="AN1329" s="7" t="s">
        <v>3212</v>
      </c>
      <c r="AO1329" s="7" t="s">
        <v>1177</v>
      </c>
      <c r="AP1329" s="7" t="s">
        <v>1177</v>
      </c>
      <c r="AQ1329" s="7" t="s">
        <v>1177</v>
      </c>
      <c r="AR1329" s="29">
        <v>0</v>
      </c>
      <c r="AS1329" s="7" t="s">
        <v>1177</v>
      </c>
      <c r="AT1329" s="7" t="s">
        <v>1363</v>
      </c>
      <c r="AU1329" s="38">
        <v>46275</v>
      </c>
      <c r="AV1329" s="39">
        <v>0.62631944444443999</v>
      </c>
    </row>
    <row r="1330" spans="1:48" x14ac:dyDescent="0.35">
      <c r="A1330" t="str">
        <f t="shared" si="20"/>
        <v>GP323357B865</v>
      </c>
      <c r="B1330" s="7" t="s">
        <v>894</v>
      </c>
      <c r="C1330" s="7" t="s">
        <v>1039</v>
      </c>
      <c r="D1330" s="7" t="s">
        <v>7</v>
      </c>
      <c r="E1330" s="7" t="s">
        <v>1177</v>
      </c>
      <c r="F1330" s="7" t="s">
        <v>128</v>
      </c>
      <c r="G1330" s="7" t="s">
        <v>130</v>
      </c>
      <c r="H1330" s="7" t="s">
        <v>129</v>
      </c>
      <c r="I1330" s="30">
        <v>2</v>
      </c>
      <c r="J1330" s="7" t="s">
        <v>1177</v>
      </c>
      <c r="K1330" s="7" t="s">
        <v>1178</v>
      </c>
      <c r="L1330" s="7" t="s">
        <v>132</v>
      </c>
      <c r="M1330" s="7" t="s">
        <v>133</v>
      </c>
      <c r="N1330" s="30">
        <v>0</v>
      </c>
      <c r="O1330" s="30">
        <v>0</v>
      </c>
      <c r="P1330" s="30">
        <v>0</v>
      </c>
      <c r="Q1330" s="30">
        <v>0</v>
      </c>
      <c r="R1330" s="29">
        <v>0</v>
      </c>
      <c r="S1330" s="36">
        <v>0</v>
      </c>
      <c r="T1330" s="7" t="s">
        <v>131</v>
      </c>
      <c r="U1330" s="7" t="s">
        <v>1040</v>
      </c>
      <c r="V1330" s="7" t="s">
        <v>1040</v>
      </c>
      <c r="W1330" s="7" t="s">
        <v>1177</v>
      </c>
      <c r="X1330" s="30">
        <v>1</v>
      </c>
      <c r="Y1330" s="7" t="s">
        <v>1177</v>
      </c>
      <c r="Z1330" s="7" t="s">
        <v>1178</v>
      </c>
      <c r="AA1330" s="30">
        <v>0</v>
      </c>
      <c r="AB1330" s="36">
        <v>0</v>
      </c>
      <c r="AC1330" s="7" t="s">
        <v>1177</v>
      </c>
      <c r="AD1330" s="37">
        <v>0</v>
      </c>
      <c r="AE1330" s="7" t="s">
        <v>1177</v>
      </c>
      <c r="AF1330" s="7" t="s">
        <v>1177</v>
      </c>
      <c r="AG1330" s="7" t="s">
        <v>1177</v>
      </c>
      <c r="AH1330" s="38"/>
      <c r="AI1330" s="36">
        <v>0</v>
      </c>
      <c r="AJ1330" s="7" t="s">
        <v>1193</v>
      </c>
      <c r="AK1330" s="7" t="s">
        <v>1177</v>
      </c>
      <c r="AL1330" s="7" t="s">
        <v>1177</v>
      </c>
      <c r="AM1330" s="7" t="s">
        <v>1177</v>
      </c>
      <c r="AN1330" s="7" t="s">
        <v>3212</v>
      </c>
      <c r="AO1330" s="7" t="s">
        <v>1177</v>
      </c>
      <c r="AP1330" s="7" t="s">
        <v>1177</v>
      </c>
      <c r="AQ1330" s="7" t="s">
        <v>1177</v>
      </c>
      <c r="AR1330" s="29">
        <v>0</v>
      </c>
      <c r="AS1330" s="7" t="s">
        <v>1177</v>
      </c>
      <c r="AT1330" s="7" t="s">
        <v>1363</v>
      </c>
      <c r="AU1330" s="38">
        <v>46275</v>
      </c>
      <c r="AV1330" s="39">
        <v>0.62675925925926002</v>
      </c>
    </row>
    <row r="1331" spans="1:48" x14ac:dyDescent="0.35">
      <c r="A1331" t="str">
        <f t="shared" si="20"/>
        <v>GP323357B867</v>
      </c>
      <c r="B1331" s="7" t="s">
        <v>894</v>
      </c>
      <c r="C1331" s="7" t="s">
        <v>1059</v>
      </c>
      <c r="D1331" s="7" t="s">
        <v>25</v>
      </c>
      <c r="E1331" s="7" t="s">
        <v>1177</v>
      </c>
      <c r="F1331" s="7" t="s">
        <v>128</v>
      </c>
      <c r="G1331" s="7" t="s">
        <v>130</v>
      </c>
      <c r="H1331" s="7" t="s">
        <v>129</v>
      </c>
      <c r="I1331" s="30">
        <v>2</v>
      </c>
      <c r="J1331" s="7" t="s">
        <v>1177</v>
      </c>
      <c r="K1331" s="7" t="s">
        <v>1178</v>
      </c>
      <c r="L1331" s="7" t="s">
        <v>132</v>
      </c>
      <c r="M1331" s="7" t="s">
        <v>133</v>
      </c>
      <c r="N1331" s="30">
        <v>0</v>
      </c>
      <c r="O1331" s="30">
        <v>0</v>
      </c>
      <c r="P1331" s="30">
        <v>0</v>
      </c>
      <c r="Q1331" s="30">
        <v>0</v>
      </c>
      <c r="R1331" s="29">
        <v>0</v>
      </c>
      <c r="S1331" s="36">
        <v>0</v>
      </c>
      <c r="T1331" s="7" t="s">
        <v>131</v>
      </c>
      <c r="U1331" s="7" t="s">
        <v>1060</v>
      </c>
      <c r="V1331" s="7" t="s">
        <v>1060</v>
      </c>
      <c r="W1331" s="7" t="s">
        <v>1177</v>
      </c>
      <c r="X1331" s="30">
        <v>1</v>
      </c>
      <c r="Y1331" s="7" t="s">
        <v>1177</v>
      </c>
      <c r="Z1331" s="7" t="s">
        <v>1178</v>
      </c>
      <c r="AA1331" s="30">
        <v>0</v>
      </c>
      <c r="AB1331" s="36">
        <v>0</v>
      </c>
      <c r="AC1331" s="7" t="s">
        <v>1177</v>
      </c>
      <c r="AD1331" s="37">
        <v>0</v>
      </c>
      <c r="AE1331" s="7" t="s">
        <v>1177</v>
      </c>
      <c r="AF1331" s="7" t="s">
        <v>1177</v>
      </c>
      <c r="AG1331" s="7" t="s">
        <v>1177</v>
      </c>
      <c r="AH1331" s="38"/>
      <c r="AI1331" s="36">
        <v>0</v>
      </c>
      <c r="AJ1331" s="7" t="s">
        <v>1193</v>
      </c>
      <c r="AK1331" s="7" t="s">
        <v>1177</v>
      </c>
      <c r="AL1331" s="7" t="s">
        <v>1177</v>
      </c>
      <c r="AM1331" s="7" t="s">
        <v>1177</v>
      </c>
      <c r="AN1331" s="7" t="s">
        <v>3212</v>
      </c>
      <c r="AO1331" s="7" t="s">
        <v>1177</v>
      </c>
      <c r="AP1331" s="7" t="s">
        <v>1177</v>
      </c>
      <c r="AQ1331" s="7" t="s">
        <v>1177</v>
      </c>
      <c r="AR1331" s="29">
        <v>0</v>
      </c>
      <c r="AS1331" s="7" t="s">
        <v>1177</v>
      </c>
      <c r="AT1331" s="7" t="s">
        <v>1363</v>
      </c>
      <c r="AU1331" s="38">
        <v>46275</v>
      </c>
      <c r="AV1331" s="39">
        <v>0.62711805555555999</v>
      </c>
    </row>
    <row r="1332" spans="1:48" x14ac:dyDescent="0.35">
      <c r="A1332" t="str">
        <f t="shared" si="20"/>
        <v>GP323359B856</v>
      </c>
      <c r="B1332" s="7" t="s">
        <v>896</v>
      </c>
      <c r="C1332" s="7" t="s">
        <v>852</v>
      </c>
      <c r="D1332" s="7" t="s">
        <v>21</v>
      </c>
      <c r="E1332" s="7" t="s">
        <v>1177</v>
      </c>
      <c r="F1332" s="7" t="s">
        <v>128</v>
      </c>
      <c r="G1332" s="7" t="s">
        <v>130</v>
      </c>
      <c r="H1332" s="7" t="s">
        <v>129</v>
      </c>
      <c r="I1332" s="30">
        <v>2</v>
      </c>
      <c r="J1332" s="7" t="s">
        <v>1177</v>
      </c>
      <c r="K1332" s="7" t="s">
        <v>1178</v>
      </c>
      <c r="L1332" s="7" t="s">
        <v>132</v>
      </c>
      <c r="M1332" s="7" t="s">
        <v>133</v>
      </c>
      <c r="N1332" s="30">
        <v>0</v>
      </c>
      <c r="O1332" s="30">
        <v>0</v>
      </c>
      <c r="P1332" s="30">
        <v>0</v>
      </c>
      <c r="Q1332" s="30">
        <v>0</v>
      </c>
      <c r="R1332" s="29">
        <v>0</v>
      </c>
      <c r="S1332" s="36">
        <v>0</v>
      </c>
      <c r="T1332" s="7" t="s">
        <v>131</v>
      </c>
      <c r="U1332" s="7" t="s">
        <v>853</v>
      </c>
      <c r="V1332" s="7" t="s">
        <v>853</v>
      </c>
      <c r="W1332" s="7" t="s">
        <v>1177</v>
      </c>
      <c r="X1332" s="30">
        <v>1</v>
      </c>
      <c r="Y1332" s="7" t="s">
        <v>1177</v>
      </c>
      <c r="Z1332" s="7" t="s">
        <v>1178</v>
      </c>
      <c r="AA1332" s="30">
        <v>0</v>
      </c>
      <c r="AB1332" s="36">
        <v>0</v>
      </c>
      <c r="AC1332" s="7" t="s">
        <v>1177</v>
      </c>
      <c r="AD1332" s="37">
        <v>0</v>
      </c>
      <c r="AE1332" s="7" t="s">
        <v>1177</v>
      </c>
      <c r="AF1332" s="7" t="s">
        <v>1177</v>
      </c>
      <c r="AG1332" s="7" t="s">
        <v>1177</v>
      </c>
      <c r="AH1332" s="38"/>
      <c r="AI1332" s="36">
        <v>0</v>
      </c>
      <c r="AJ1332" s="7" t="s">
        <v>1193</v>
      </c>
      <c r="AK1332" s="7" t="s">
        <v>1177</v>
      </c>
      <c r="AL1332" s="7" t="s">
        <v>1177</v>
      </c>
      <c r="AM1332" s="7" t="s">
        <v>1177</v>
      </c>
      <c r="AN1332" s="7" t="s">
        <v>3212</v>
      </c>
      <c r="AO1332" s="7" t="s">
        <v>1177</v>
      </c>
      <c r="AP1332" s="7" t="s">
        <v>1177</v>
      </c>
      <c r="AQ1332" s="7" t="s">
        <v>1177</v>
      </c>
      <c r="AR1332" s="29">
        <v>0</v>
      </c>
      <c r="AS1332" s="7" t="s">
        <v>1177</v>
      </c>
      <c r="AT1332" s="7" t="s">
        <v>1363</v>
      </c>
      <c r="AU1332" s="38">
        <v>46275</v>
      </c>
      <c r="AV1332" s="39">
        <v>0.62486111111110998</v>
      </c>
    </row>
    <row r="1333" spans="1:48" x14ac:dyDescent="0.35">
      <c r="A1333" t="str">
        <f t="shared" si="20"/>
        <v>GP323359B857</v>
      </c>
      <c r="B1333" s="7" t="s">
        <v>896</v>
      </c>
      <c r="C1333" s="7" t="s">
        <v>958</v>
      </c>
      <c r="D1333" s="7" t="s">
        <v>23</v>
      </c>
      <c r="E1333" s="7" t="s">
        <v>1177</v>
      </c>
      <c r="F1333" s="7" t="s">
        <v>128</v>
      </c>
      <c r="G1333" s="7" t="s">
        <v>130</v>
      </c>
      <c r="H1333" s="7" t="s">
        <v>129</v>
      </c>
      <c r="I1333" s="30">
        <v>1</v>
      </c>
      <c r="J1333" s="7" t="s">
        <v>1177</v>
      </c>
      <c r="K1333" s="7" t="s">
        <v>1178</v>
      </c>
      <c r="L1333" s="7" t="s">
        <v>132</v>
      </c>
      <c r="M1333" s="7" t="s">
        <v>133</v>
      </c>
      <c r="N1333" s="30">
        <v>0</v>
      </c>
      <c r="O1333" s="30">
        <v>0</v>
      </c>
      <c r="P1333" s="30">
        <v>0</v>
      </c>
      <c r="Q1333" s="30">
        <v>0</v>
      </c>
      <c r="R1333" s="29">
        <v>0</v>
      </c>
      <c r="S1333" s="36">
        <v>0</v>
      </c>
      <c r="T1333" s="7" t="s">
        <v>131</v>
      </c>
      <c r="U1333" s="7" t="s">
        <v>959</v>
      </c>
      <c r="V1333" s="7" t="s">
        <v>959</v>
      </c>
      <c r="W1333" s="7" t="s">
        <v>1177</v>
      </c>
      <c r="X1333" s="30">
        <v>1</v>
      </c>
      <c r="Y1333" s="7" t="s">
        <v>1177</v>
      </c>
      <c r="Z1333" s="7" t="s">
        <v>1178</v>
      </c>
      <c r="AA1333" s="30">
        <v>0</v>
      </c>
      <c r="AB1333" s="36">
        <v>0</v>
      </c>
      <c r="AC1333" s="7" t="s">
        <v>1177</v>
      </c>
      <c r="AD1333" s="37">
        <v>0</v>
      </c>
      <c r="AE1333" s="7" t="s">
        <v>1177</v>
      </c>
      <c r="AF1333" s="7" t="s">
        <v>1177</v>
      </c>
      <c r="AG1333" s="7" t="s">
        <v>1177</v>
      </c>
      <c r="AH1333" s="38"/>
      <c r="AI1333" s="36">
        <v>0</v>
      </c>
      <c r="AJ1333" s="7" t="s">
        <v>1193</v>
      </c>
      <c r="AK1333" s="7" t="s">
        <v>1177</v>
      </c>
      <c r="AL1333" s="7" t="s">
        <v>1177</v>
      </c>
      <c r="AM1333" s="7" t="s">
        <v>1177</v>
      </c>
      <c r="AN1333" s="7" t="s">
        <v>3212</v>
      </c>
      <c r="AO1333" s="7" t="s">
        <v>1177</v>
      </c>
      <c r="AP1333" s="7" t="s">
        <v>1177</v>
      </c>
      <c r="AQ1333" s="7" t="s">
        <v>1177</v>
      </c>
      <c r="AR1333" s="29">
        <v>0</v>
      </c>
      <c r="AS1333" s="7" t="s">
        <v>1177</v>
      </c>
      <c r="AT1333" s="7" t="s">
        <v>1363</v>
      </c>
      <c r="AU1333" s="38">
        <v>46275</v>
      </c>
      <c r="AV1333" s="39">
        <v>0.62512731481480999</v>
      </c>
    </row>
    <row r="1334" spans="1:48" x14ac:dyDescent="0.35">
      <c r="A1334" t="str">
        <f t="shared" si="20"/>
        <v>GP323497B857</v>
      </c>
      <c r="B1334" s="7" t="s">
        <v>982</v>
      </c>
      <c r="C1334" s="7" t="s">
        <v>958</v>
      </c>
      <c r="D1334" s="7" t="s">
        <v>23</v>
      </c>
      <c r="E1334" s="7" t="s">
        <v>1177</v>
      </c>
      <c r="F1334" s="7" t="s">
        <v>128</v>
      </c>
      <c r="G1334" s="7" t="s">
        <v>130</v>
      </c>
      <c r="H1334" s="7" t="s">
        <v>129</v>
      </c>
      <c r="I1334" s="30">
        <v>1</v>
      </c>
      <c r="J1334" s="7" t="s">
        <v>1177</v>
      </c>
      <c r="K1334" s="7" t="s">
        <v>1178</v>
      </c>
      <c r="L1334" s="7" t="s">
        <v>132</v>
      </c>
      <c r="M1334" s="7" t="s">
        <v>133</v>
      </c>
      <c r="N1334" s="30">
        <v>0</v>
      </c>
      <c r="O1334" s="30">
        <v>0</v>
      </c>
      <c r="P1334" s="30">
        <v>0</v>
      </c>
      <c r="Q1334" s="30">
        <v>0</v>
      </c>
      <c r="R1334" s="29">
        <v>0</v>
      </c>
      <c r="S1334" s="36">
        <v>0</v>
      </c>
      <c r="T1334" s="7" t="s">
        <v>131</v>
      </c>
      <c r="U1334" s="7" t="s">
        <v>959</v>
      </c>
      <c r="V1334" s="7" t="s">
        <v>959</v>
      </c>
      <c r="W1334" s="7" t="s">
        <v>1177</v>
      </c>
      <c r="X1334" s="30">
        <v>1</v>
      </c>
      <c r="Y1334" s="7" t="s">
        <v>1177</v>
      </c>
      <c r="Z1334" s="7" t="s">
        <v>1178</v>
      </c>
      <c r="AA1334" s="30">
        <v>0</v>
      </c>
      <c r="AB1334" s="36">
        <v>0</v>
      </c>
      <c r="AC1334" s="7" t="s">
        <v>1177</v>
      </c>
      <c r="AD1334" s="37">
        <v>0</v>
      </c>
      <c r="AE1334" s="7" t="s">
        <v>1177</v>
      </c>
      <c r="AF1334" s="7" t="s">
        <v>1177</v>
      </c>
      <c r="AG1334" s="7" t="s">
        <v>1177</v>
      </c>
      <c r="AH1334" s="38"/>
      <c r="AI1334" s="36">
        <v>0</v>
      </c>
      <c r="AJ1334" s="7" t="s">
        <v>1193</v>
      </c>
      <c r="AK1334" s="7" t="s">
        <v>1177</v>
      </c>
      <c r="AL1334" s="7" t="s">
        <v>1177</v>
      </c>
      <c r="AM1334" s="7" t="s">
        <v>1177</v>
      </c>
      <c r="AN1334" s="7" t="s">
        <v>3212</v>
      </c>
      <c r="AO1334" s="7" t="s">
        <v>1177</v>
      </c>
      <c r="AP1334" s="7" t="s">
        <v>1177</v>
      </c>
      <c r="AQ1334" s="7" t="s">
        <v>1177</v>
      </c>
      <c r="AR1334" s="29">
        <v>0</v>
      </c>
      <c r="AS1334" s="7" t="s">
        <v>1177</v>
      </c>
      <c r="AT1334" s="7" t="s">
        <v>1363</v>
      </c>
      <c r="AU1334" s="38">
        <v>46275</v>
      </c>
      <c r="AV1334" s="39">
        <v>0.62512731481480999</v>
      </c>
    </row>
    <row r="1335" spans="1:48" x14ac:dyDescent="0.35">
      <c r="A1335" t="str">
        <f t="shared" si="20"/>
        <v>GP325616B825</v>
      </c>
      <c r="B1335" s="7" t="s">
        <v>188</v>
      </c>
      <c r="C1335" s="7" t="s">
        <v>511</v>
      </c>
      <c r="D1335" s="7" t="s">
        <v>16</v>
      </c>
      <c r="E1335" s="7" t="s">
        <v>1177</v>
      </c>
      <c r="F1335" s="7" t="s">
        <v>128</v>
      </c>
      <c r="G1335" s="7" t="s">
        <v>130</v>
      </c>
      <c r="H1335" s="7" t="s">
        <v>129</v>
      </c>
      <c r="I1335" s="30">
        <v>2</v>
      </c>
      <c r="J1335" s="7" t="s">
        <v>1177</v>
      </c>
      <c r="K1335" s="7" t="s">
        <v>1178</v>
      </c>
      <c r="L1335" s="7" t="s">
        <v>132</v>
      </c>
      <c r="M1335" s="7" t="s">
        <v>133</v>
      </c>
      <c r="N1335" s="30">
        <v>0</v>
      </c>
      <c r="O1335" s="30">
        <v>0</v>
      </c>
      <c r="P1335" s="30">
        <v>0</v>
      </c>
      <c r="Q1335" s="30">
        <v>0</v>
      </c>
      <c r="R1335" s="29">
        <v>0</v>
      </c>
      <c r="S1335" s="36">
        <v>0</v>
      </c>
      <c r="T1335" s="7" t="s">
        <v>131</v>
      </c>
      <c r="U1335" s="7" t="s">
        <v>512</v>
      </c>
      <c r="V1335" s="7" t="s">
        <v>512</v>
      </c>
      <c r="W1335" s="7" t="s">
        <v>1177</v>
      </c>
      <c r="X1335" s="30">
        <v>1</v>
      </c>
      <c r="Y1335" s="7" t="s">
        <v>1177</v>
      </c>
      <c r="Z1335" s="7" t="s">
        <v>1178</v>
      </c>
      <c r="AA1335" s="30">
        <v>0</v>
      </c>
      <c r="AB1335" s="36">
        <v>0</v>
      </c>
      <c r="AC1335" s="7" t="s">
        <v>1177</v>
      </c>
      <c r="AD1335" s="37">
        <v>0</v>
      </c>
      <c r="AE1335" s="7" t="s">
        <v>1177</v>
      </c>
      <c r="AF1335" s="7" t="s">
        <v>1177</v>
      </c>
      <c r="AG1335" s="7" t="s">
        <v>1177</v>
      </c>
      <c r="AH1335" s="38"/>
      <c r="AI1335" s="36">
        <v>0</v>
      </c>
      <c r="AJ1335" s="7" t="s">
        <v>1193</v>
      </c>
      <c r="AK1335" s="7" t="s">
        <v>1177</v>
      </c>
      <c r="AL1335" s="7" t="s">
        <v>1177</v>
      </c>
      <c r="AM1335" s="7" t="s">
        <v>1177</v>
      </c>
      <c r="AN1335" s="7" t="s">
        <v>3212</v>
      </c>
      <c r="AO1335" s="7" t="s">
        <v>1177</v>
      </c>
      <c r="AP1335" s="7" t="s">
        <v>1177</v>
      </c>
      <c r="AQ1335" s="7" t="s">
        <v>1177</v>
      </c>
      <c r="AR1335" s="29">
        <v>0</v>
      </c>
      <c r="AS1335" s="7" t="s">
        <v>1177</v>
      </c>
      <c r="AT1335" s="7" t="s">
        <v>1363</v>
      </c>
      <c r="AU1335" s="38">
        <v>46275</v>
      </c>
      <c r="AV1335" s="39">
        <v>0.60349537037037004</v>
      </c>
    </row>
    <row r="1336" spans="1:48" x14ac:dyDescent="0.35">
      <c r="A1336" t="str">
        <f t="shared" si="20"/>
        <v>GP325623B857</v>
      </c>
      <c r="B1336" s="7" t="s">
        <v>983</v>
      </c>
      <c r="C1336" s="7" t="s">
        <v>958</v>
      </c>
      <c r="D1336" s="7" t="s">
        <v>23</v>
      </c>
      <c r="E1336" s="7" t="s">
        <v>1177</v>
      </c>
      <c r="F1336" s="7" t="s">
        <v>128</v>
      </c>
      <c r="G1336" s="7" t="s">
        <v>130</v>
      </c>
      <c r="H1336" s="7" t="s">
        <v>129</v>
      </c>
      <c r="I1336" s="30">
        <v>2</v>
      </c>
      <c r="J1336" s="7" t="s">
        <v>1177</v>
      </c>
      <c r="K1336" s="7" t="s">
        <v>1178</v>
      </c>
      <c r="L1336" s="7" t="s">
        <v>132</v>
      </c>
      <c r="M1336" s="7" t="s">
        <v>133</v>
      </c>
      <c r="N1336" s="30">
        <v>0</v>
      </c>
      <c r="O1336" s="30">
        <v>0</v>
      </c>
      <c r="P1336" s="30">
        <v>0</v>
      </c>
      <c r="Q1336" s="30">
        <v>0</v>
      </c>
      <c r="R1336" s="29">
        <v>0</v>
      </c>
      <c r="S1336" s="36">
        <v>0</v>
      </c>
      <c r="T1336" s="7" t="s">
        <v>131</v>
      </c>
      <c r="U1336" s="7" t="s">
        <v>959</v>
      </c>
      <c r="V1336" s="7" t="s">
        <v>959</v>
      </c>
      <c r="W1336" s="7" t="s">
        <v>1177</v>
      </c>
      <c r="X1336" s="30">
        <v>1</v>
      </c>
      <c r="Y1336" s="7" t="s">
        <v>1177</v>
      </c>
      <c r="Z1336" s="7" t="s">
        <v>1178</v>
      </c>
      <c r="AA1336" s="30">
        <v>0</v>
      </c>
      <c r="AB1336" s="36">
        <v>0</v>
      </c>
      <c r="AC1336" s="7" t="s">
        <v>1177</v>
      </c>
      <c r="AD1336" s="37">
        <v>0</v>
      </c>
      <c r="AE1336" s="7" t="s">
        <v>1177</v>
      </c>
      <c r="AF1336" s="7" t="s">
        <v>1177</v>
      </c>
      <c r="AG1336" s="7" t="s">
        <v>1177</v>
      </c>
      <c r="AH1336" s="38"/>
      <c r="AI1336" s="36">
        <v>0</v>
      </c>
      <c r="AJ1336" s="7" t="s">
        <v>1193</v>
      </c>
      <c r="AK1336" s="7" t="s">
        <v>1177</v>
      </c>
      <c r="AL1336" s="7" t="s">
        <v>1177</v>
      </c>
      <c r="AM1336" s="7" t="s">
        <v>1177</v>
      </c>
      <c r="AN1336" s="7" t="s">
        <v>3212</v>
      </c>
      <c r="AO1336" s="7" t="s">
        <v>1177</v>
      </c>
      <c r="AP1336" s="7" t="s">
        <v>1177</v>
      </c>
      <c r="AQ1336" s="7" t="s">
        <v>1177</v>
      </c>
      <c r="AR1336" s="29">
        <v>0</v>
      </c>
      <c r="AS1336" s="7" t="s">
        <v>1177</v>
      </c>
      <c r="AT1336" s="7" t="s">
        <v>1363</v>
      </c>
      <c r="AU1336" s="38">
        <v>46275</v>
      </c>
      <c r="AV1336" s="39">
        <v>0.62512731481480999</v>
      </c>
    </row>
    <row r="1337" spans="1:48" x14ac:dyDescent="0.35">
      <c r="A1337" t="str">
        <f t="shared" si="20"/>
        <v>GP326250B825</v>
      </c>
      <c r="B1337" s="7" t="s">
        <v>189</v>
      </c>
      <c r="C1337" s="7" t="s">
        <v>511</v>
      </c>
      <c r="D1337" s="7" t="s">
        <v>16</v>
      </c>
      <c r="E1337" s="7" t="s">
        <v>1177</v>
      </c>
      <c r="F1337" s="7" t="s">
        <v>128</v>
      </c>
      <c r="G1337" s="7" t="s">
        <v>130</v>
      </c>
      <c r="H1337" s="7" t="s">
        <v>129</v>
      </c>
      <c r="I1337" s="30">
        <v>2</v>
      </c>
      <c r="J1337" s="7" t="s">
        <v>1177</v>
      </c>
      <c r="K1337" s="7" t="s">
        <v>1178</v>
      </c>
      <c r="L1337" s="7" t="s">
        <v>132</v>
      </c>
      <c r="M1337" s="7" t="s">
        <v>133</v>
      </c>
      <c r="N1337" s="30">
        <v>0</v>
      </c>
      <c r="O1337" s="30">
        <v>0</v>
      </c>
      <c r="P1337" s="30">
        <v>0</v>
      </c>
      <c r="Q1337" s="30">
        <v>0</v>
      </c>
      <c r="R1337" s="29">
        <v>0</v>
      </c>
      <c r="S1337" s="36">
        <v>0</v>
      </c>
      <c r="T1337" s="7" t="s">
        <v>131</v>
      </c>
      <c r="U1337" s="7" t="s">
        <v>512</v>
      </c>
      <c r="V1337" s="7" t="s">
        <v>512</v>
      </c>
      <c r="W1337" s="7" t="s">
        <v>1177</v>
      </c>
      <c r="X1337" s="30">
        <v>1</v>
      </c>
      <c r="Y1337" s="7" t="s">
        <v>1177</v>
      </c>
      <c r="Z1337" s="7" t="s">
        <v>1178</v>
      </c>
      <c r="AA1337" s="30">
        <v>0</v>
      </c>
      <c r="AB1337" s="36">
        <v>0</v>
      </c>
      <c r="AC1337" s="7" t="s">
        <v>1177</v>
      </c>
      <c r="AD1337" s="37">
        <v>0</v>
      </c>
      <c r="AE1337" s="7" t="s">
        <v>1177</v>
      </c>
      <c r="AF1337" s="7" t="s">
        <v>1177</v>
      </c>
      <c r="AG1337" s="7" t="s">
        <v>1177</v>
      </c>
      <c r="AH1337" s="38"/>
      <c r="AI1337" s="36">
        <v>0</v>
      </c>
      <c r="AJ1337" s="7" t="s">
        <v>1193</v>
      </c>
      <c r="AK1337" s="7" t="s">
        <v>1177</v>
      </c>
      <c r="AL1337" s="7" t="s">
        <v>1177</v>
      </c>
      <c r="AM1337" s="7" t="s">
        <v>1177</v>
      </c>
      <c r="AN1337" s="7" t="s">
        <v>3212</v>
      </c>
      <c r="AO1337" s="7" t="s">
        <v>1177</v>
      </c>
      <c r="AP1337" s="7" t="s">
        <v>1177</v>
      </c>
      <c r="AQ1337" s="7" t="s">
        <v>1177</v>
      </c>
      <c r="AR1337" s="29">
        <v>0</v>
      </c>
      <c r="AS1337" s="7" t="s">
        <v>1177</v>
      </c>
      <c r="AT1337" s="7" t="s">
        <v>1363</v>
      </c>
      <c r="AU1337" s="38">
        <v>46275</v>
      </c>
      <c r="AV1337" s="39">
        <v>0.60349537037037004</v>
      </c>
    </row>
    <row r="1338" spans="1:48" x14ac:dyDescent="0.35">
      <c r="A1338" t="str">
        <f t="shared" si="20"/>
        <v>GP326250B838</v>
      </c>
      <c r="B1338" s="7" t="s">
        <v>189</v>
      </c>
      <c r="C1338" s="7" t="s">
        <v>744</v>
      </c>
      <c r="D1338" s="7" t="s">
        <v>48</v>
      </c>
      <c r="E1338" s="7" t="s">
        <v>1177</v>
      </c>
      <c r="F1338" s="7" t="s">
        <v>128</v>
      </c>
      <c r="G1338" s="7" t="s">
        <v>130</v>
      </c>
      <c r="H1338" s="7" t="s">
        <v>129</v>
      </c>
      <c r="I1338" s="30">
        <v>2</v>
      </c>
      <c r="J1338" s="7" t="s">
        <v>1177</v>
      </c>
      <c r="K1338" s="7" t="s">
        <v>1178</v>
      </c>
      <c r="L1338" s="7" t="s">
        <v>132</v>
      </c>
      <c r="M1338" s="7" t="s">
        <v>133</v>
      </c>
      <c r="N1338" s="30">
        <v>0</v>
      </c>
      <c r="O1338" s="30">
        <v>0</v>
      </c>
      <c r="P1338" s="30">
        <v>0</v>
      </c>
      <c r="Q1338" s="30">
        <v>0</v>
      </c>
      <c r="R1338" s="29">
        <v>0</v>
      </c>
      <c r="S1338" s="36">
        <v>0</v>
      </c>
      <c r="T1338" s="7" t="s">
        <v>131</v>
      </c>
      <c r="U1338" s="7" t="s">
        <v>745</v>
      </c>
      <c r="V1338" s="7" t="s">
        <v>745</v>
      </c>
      <c r="W1338" s="7" t="s">
        <v>1177</v>
      </c>
      <c r="X1338" s="30">
        <v>1</v>
      </c>
      <c r="Y1338" s="7" t="s">
        <v>1177</v>
      </c>
      <c r="Z1338" s="7" t="s">
        <v>1178</v>
      </c>
      <c r="AA1338" s="30">
        <v>0</v>
      </c>
      <c r="AB1338" s="36">
        <v>0</v>
      </c>
      <c r="AC1338" s="7" t="s">
        <v>1177</v>
      </c>
      <c r="AD1338" s="37">
        <v>0</v>
      </c>
      <c r="AE1338" s="7" t="s">
        <v>1177</v>
      </c>
      <c r="AF1338" s="7" t="s">
        <v>1177</v>
      </c>
      <c r="AG1338" s="7" t="s">
        <v>1177</v>
      </c>
      <c r="AH1338" s="38"/>
      <c r="AI1338" s="36">
        <v>0</v>
      </c>
      <c r="AJ1338" s="7" t="s">
        <v>1193</v>
      </c>
      <c r="AK1338" s="7" t="s">
        <v>1177</v>
      </c>
      <c r="AL1338" s="7" t="s">
        <v>1177</v>
      </c>
      <c r="AM1338" s="7" t="s">
        <v>1177</v>
      </c>
      <c r="AN1338" s="7" t="s">
        <v>3212</v>
      </c>
      <c r="AO1338" s="7" t="s">
        <v>1177</v>
      </c>
      <c r="AP1338" s="7" t="s">
        <v>1177</v>
      </c>
      <c r="AQ1338" s="7" t="s">
        <v>1177</v>
      </c>
      <c r="AR1338" s="29">
        <v>0</v>
      </c>
      <c r="AS1338" s="7" t="s">
        <v>1177</v>
      </c>
      <c r="AT1338" s="7" t="s">
        <v>1363</v>
      </c>
      <c r="AU1338" s="38">
        <v>46275</v>
      </c>
      <c r="AV1338" s="39">
        <v>0.60465277777778004</v>
      </c>
    </row>
    <row r="1339" spans="1:48" x14ac:dyDescent="0.35">
      <c r="A1339" t="str">
        <f t="shared" si="20"/>
        <v>GP326354B833</v>
      </c>
      <c r="B1339" s="7" t="s">
        <v>717</v>
      </c>
      <c r="C1339" s="7" t="s">
        <v>698</v>
      </c>
      <c r="D1339" s="7" t="s">
        <v>697</v>
      </c>
      <c r="E1339" s="7" t="s">
        <v>1177</v>
      </c>
      <c r="F1339" s="7" t="s">
        <v>128</v>
      </c>
      <c r="G1339" s="7" t="s">
        <v>130</v>
      </c>
      <c r="H1339" s="7" t="s">
        <v>129</v>
      </c>
      <c r="I1339" s="30">
        <v>2</v>
      </c>
      <c r="J1339" s="7" t="s">
        <v>1177</v>
      </c>
      <c r="K1339" s="7" t="s">
        <v>1178</v>
      </c>
      <c r="L1339" s="7" t="s">
        <v>132</v>
      </c>
      <c r="M1339" s="7" t="s">
        <v>133</v>
      </c>
      <c r="N1339" s="30">
        <v>0</v>
      </c>
      <c r="O1339" s="30">
        <v>0</v>
      </c>
      <c r="P1339" s="30">
        <v>0</v>
      </c>
      <c r="Q1339" s="30">
        <v>0</v>
      </c>
      <c r="R1339" s="29">
        <v>0</v>
      </c>
      <c r="S1339" s="36">
        <v>0</v>
      </c>
      <c r="T1339" s="7" t="s">
        <v>131</v>
      </c>
      <c r="U1339" s="7" t="s">
        <v>699</v>
      </c>
      <c r="V1339" s="7" t="s">
        <v>699</v>
      </c>
      <c r="W1339" s="7" t="s">
        <v>1177</v>
      </c>
      <c r="X1339" s="30">
        <v>1</v>
      </c>
      <c r="Y1339" s="7" t="s">
        <v>1177</v>
      </c>
      <c r="Z1339" s="7" t="s">
        <v>1178</v>
      </c>
      <c r="AA1339" s="30">
        <v>0</v>
      </c>
      <c r="AB1339" s="36">
        <v>0</v>
      </c>
      <c r="AC1339" s="7" t="s">
        <v>1177</v>
      </c>
      <c r="AD1339" s="37">
        <v>0</v>
      </c>
      <c r="AE1339" s="7" t="s">
        <v>1177</v>
      </c>
      <c r="AF1339" s="7" t="s">
        <v>1177</v>
      </c>
      <c r="AG1339" s="7" t="s">
        <v>1177</v>
      </c>
      <c r="AH1339" s="38"/>
      <c r="AI1339" s="36">
        <v>0</v>
      </c>
      <c r="AJ1339" s="7" t="s">
        <v>1193</v>
      </c>
      <c r="AK1339" s="7" t="s">
        <v>1177</v>
      </c>
      <c r="AL1339" s="7" t="s">
        <v>1177</v>
      </c>
      <c r="AM1339" s="7" t="s">
        <v>1177</v>
      </c>
      <c r="AN1339" s="7" t="s">
        <v>3212</v>
      </c>
      <c r="AO1339" s="7" t="s">
        <v>1177</v>
      </c>
      <c r="AP1339" s="7" t="s">
        <v>1177</v>
      </c>
      <c r="AQ1339" s="7" t="s">
        <v>1177</v>
      </c>
      <c r="AR1339" s="29">
        <v>0</v>
      </c>
      <c r="AS1339" s="7" t="s">
        <v>1177</v>
      </c>
      <c r="AT1339" s="7" t="s">
        <v>1363</v>
      </c>
      <c r="AU1339" s="38">
        <v>46275</v>
      </c>
      <c r="AV1339" s="39">
        <v>0.62349537037036995</v>
      </c>
    </row>
    <row r="1340" spans="1:48" x14ac:dyDescent="0.35">
      <c r="A1340" t="str">
        <f t="shared" si="20"/>
        <v>GP326751B867</v>
      </c>
      <c r="B1340" s="7" t="s">
        <v>1069</v>
      </c>
      <c r="C1340" s="7" t="s">
        <v>1059</v>
      </c>
      <c r="D1340" s="7" t="s">
        <v>25</v>
      </c>
      <c r="E1340" s="7" t="s">
        <v>1177</v>
      </c>
      <c r="F1340" s="7" t="s">
        <v>128</v>
      </c>
      <c r="G1340" s="7" t="s">
        <v>130</v>
      </c>
      <c r="H1340" s="7" t="s">
        <v>129</v>
      </c>
      <c r="I1340" s="30">
        <v>2</v>
      </c>
      <c r="J1340" s="7" t="s">
        <v>1177</v>
      </c>
      <c r="K1340" s="7" t="s">
        <v>1178</v>
      </c>
      <c r="L1340" s="7" t="s">
        <v>132</v>
      </c>
      <c r="M1340" s="7" t="s">
        <v>133</v>
      </c>
      <c r="N1340" s="30">
        <v>0</v>
      </c>
      <c r="O1340" s="30">
        <v>0</v>
      </c>
      <c r="P1340" s="30">
        <v>0</v>
      </c>
      <c r="Q1340" s="30">
        <v>0</v>
      </c>
      <c r="R1340" s="29">
        <v>0</v>
      </c>
      <c r="S1340" s="36">
        <v>0</v>
      </c>
      <c r="T1340" s="7" t="s">
        <v>131</v>
      </c>
      <c r="U1340" s="7" t="s">
        <v>1060</v>
      </c>
      <c r="V1340" s="7" t="s">
        <v>1060</v>
      </c>
      <c r="W1340" s="7" t="s">
        <v>1177</v>
      </c>
      <c r="X1340" s="30">
        <v>1</v>
      </c>
      <c r="Y1340" s="7" t="s">
        <v>1177</v>
      </c>
      <c r="Z1340" s="7" t="s">
        <v>1178</v>
      </c>
      <c r="AA1340" s="30">
        <v>0</v>
      </c>
      <c r="AB1340" s="36">
        <v>0</v>
      </c>
      <c r="AC1340" s="7" t="s">
        <v>1177</v>
      </c>
      <c r="AD1340" s="37">
        <v>0</v>
      </c>
      <c r="AE1340" s="7" t="s">
        <v>1177</v>
      </c>
      <c r="AF1340" s="7" t="s">
        <v>1177</v>
      </c>
      <c r="AG1340" s="7" t="s">
        <v>1177</v>
      </c>
      <c r="AH1340" s="38"/>
      <c r="AI1340" s="36">
        <v>0</v>
      </c>
      <c r="AJ1340" s="7" t="s">
        <v>1193</v>
      </c>
      <c r="AK1340" s="7" t="s">
        <v>1177</v>
      </c>
      <c r="AL1340" s="7" t="s">
        <v>1177</v>
      </c>
      <c r="AM1340" s="7" t="s">
        <v>1177</v>
      </c>
      <c r="AN1340" s="7" t="s">
        <v>3212</v>
      </c>
      <c r="AO1340" s="7" t="s">
        <v>1177</v>
      </c>
      <c r="AP1340" s="7" t="s">
        <v>1177</v>
      </c>
      <c r="AQ1340" s="7" t="s">
        <v>1177</v>
      </c>
      <c r="AR1340" s="29">
        <v>0</v>
      </c>
      <c r="AS1340" s="7" t="s">
        <v>1177</v>
      </c>
      <c r="AT1340" s="7" t="s">
        <v>1363</v>
      </c>
      <c r="AU1340" s="38">
        <v>46275</v>
      </c>
      <c r="AV1340" s="39">
        <v>0.62711805555555999</v>
      </c>
    </row>
    <row r="1341" spans="1:48" x14ac:dyDescent="0.35">
      <c r="A1341" t="str">
        <f t="shared" si="20"/>
        <v>GP326958B838</v>
      </c>
      <c r="B1341" s="7" t="s">
        <v>763</v>
      </c>
      <c r="C1341" s="7" t="s">
        <v>744</v>
      </c>
      <c r="D1341" s="7" t="s">
        <v>48</v>
      </c>
      <c r="E1341" s="7" t="s">
        <v>1177</v>
      </c>
      <c r="F1341" s="7" t="s">
        <v>128</v>
      </c>
      <c r="G1341" s="7" t="s">
        <v>130</v>
      </c>
      <c r="H1341" s="7" t="s">
        <v>129</v>
      </c>
      <c r="I1341" s="30">
        <v>2</v>
      </c>
      <c r="J1341" s="7" t="s">
        <v>1177</v>
      </c>
      <c r="K1341" s="7" t="s">
        <v>1178</v>
      </c>
      <c r="L1341" s="7" t="s">
        <v>132</v>
      </c>
      <c r="M1341" s="7" t="s">
        <v>133</v>
      </c>
      <c r="N1341" s="30">
        <v>0</v>
      </c>
      <c r="O1341" s="30">
        <v>0</v>
      </c>
      <c r="P1341" s="30">
        <v>0</v>
      </c>
      <c r="Q1341" s="30">
        <v>0</v>
      </c>
      <c r="R1341" s="29">
        <v>0</v>
      </c>
      <c r="S1341" s="36">
        <v>0</v>
      </c>
      <c r="T1341" s="7" t="s">
        <v>131</v>
      </c>
      <c r="U1341" s="7" t="s">
        <v>745</v>
      </c>
      <c r="V1341" s="7" t="s">
        <v>745</v>
      </c>
      <c r="W1341" s="7" t="s">
        <v>1177</v>
      </c>
      <c r="X1341" s="30">
        <v>1</v>
      </c>
      <c r="Y1341" s="7" t="s">
        <v>1177</v>
      </c>
      <c r="Z1341" s="7" t="s">
        <v>1178</v>
      </c>
      <c r="AA1341" s="30">
        <v>0</v>
      </c>
      <c r="AB1341" s="36">
        <v>0</v>
      </c>
      <c r="AC1341" s="7" t="s">
        <v>1177</v>
      </c>
      <c r="AD1341" s="37">
        <v>0</v>
      </c>
      <c r="AE1341" s="7" t="s">
        <v>1177</v>
      </c>
      <c r="AF1341" s="7" t="s">
        <v>1177</v>
      </c>
      <c r="AG1341" s="7" t="s">
        <v>1177</v>
      </c>
      <c r="AH1341" s="38"/>
      <c r="AI1341" s="36">
        <v>0</v>
      </c>
      <c r="AJ1341" s="7" t="s">
        <v>1193</v>
      </c>
      <c r="AK1341" s="7" t="s">
        <v>1177</v>
      </c>
      <c r="AL1341" s="7" t="s">
        <v>1177</v>
      </c>
      <c r="AM1341" s="7" t="s">
        <v>1177</v>
      </c>
      <c r="AN1341" s="7" t="s">
        <v>3212</v>
      </c>
      <c r="AO1341" s="7" t="s">
        <v>1177</v>
      </c>
      <c r="AP1341" s="7" t="s">
        <v>1177</v>
      </c>
      <c r="AQ1341" s="7" t="s">
        <v>1177</v>
      </c>
      <c r="AR1341" s="29">
        <v>0</v>
      </c>
      <c r="AS1341" s="7" t="s">
        <v>1177</v>
      </c>
      <c r="AT1341" s="7" t="s">
        <v>1363</v>
      </c>
      <c r="AU1341" s="38">
        <v>46275</v>
      </c>
      <c r="AV1341" s="39">
        <v>0.62399305555555995</v>
      </c>
    </row>
    <row r="1342" spans="1:48" x14ac:dyDescent="0.35">
      <c r="A1342" t="str">
        <f t="shared" si="20"/>
        <v>GP327268B856</v>
      </c>
      <c r="B1342" s="7" t="s">
        <v>452</v>
      </c>
      <c r="C1342" s="7" t="s">
        <v>852</v>
      </c>
      <c r="D1342" s="7" t="s">
        <v>21</v>
      </c>
      <c r="E1342" s="7" t="s">
        <v>1177</v>
      </c>
      <c r="F1342" s="7" t="s">
        <v>128</v>
      </c>
      <c r="G1342" s="7" t="s">
        <v>130</v>
      </c>
      <c r="H1342" s="7" t="s">
        <v>129</v>
      </c>
      <c r="I1342" s="30">
        <v>2</v>
      </c>
      <c r="J1342" s="7" t="s">
        <v>1177</v>
      </c>
      <c r="K1342" s="7" t="s">
        <v>1178</v>
      </c>
      <c r="L1342" s="7" t="s">
        <v>132</v>
      </c>
      <c r="M1342" s="7" t="s">
        <v>133</v>
      </c>
      <c r="N1342" s="30">
        <v>0</v>
      </c>
      <c r="O1342" s="30">
        <v>0</v>
      </c>
      <c r="P1342" s="30">
        <v>0</v>
      </c>
      <c r="Q1342" s="30">
        <v>0</v>
      </c>
      <c r="R1342" s="29">
        <v>0</v>
      </c>
      <c r="S1342" s="36">
        <v>0</v>
      </c>
      <c r="T1342" s="7" t="s">
        <v>131</v>
      </c>
      <c r="U1342" s="7" t="s">
        <v>853</v>
      </c>
      <c r="V1342" s="7" t="s">
        <v>853</v>
      </c>
      <c r="W1342" s="7" t="s">
        <v>1177</v>
      </c>
      <c r="X1342" s="30">
        <v>1</v>
      </c>
      <c r="Y1342" s="7" t="s">
        <v>1177</v>
      </c>
      <c r="Z1342" s="7" t="s">
        <v>1178</v>
      </c>
      <c r="AA1342" s="30">
        <v>0</v>
      </c>
      <c r="AB1342" s="36">
        <v>0</v>
      </c>
      <c r="AC1342" s="7" t="s">
        <v>1177</v>
      </c>
      <c r="AD1342" s="37">
        <v>0</v>
      </c>
      <c r="AE1342" s="7" t="s">
        <v>1177</v>
      </c>
      <c r="AF1342" s="7" t="s">
        <v>1177</v>
      </c>
      <c r="AG1342" s="7" t="s">
        <v>1177</v>
      </c>
      <c r="AH1342" s="38"/>
      <c r="AI1342" s="36">
        <v>0</v>
      </c>
      <c r="AJ1342" s="7" t="s">
        <v>1193</v>
      </c>
      <c r="AK1342" s="7" t="s">
        <v>1177</v>
      </c>
      <c r="AL1342" s="7" t="s">
        <v>1177</v>
      </c>
      <c r="AM1342" s="7" t="s">
        <v>1177</v>
      </c>
      <c r="AN1342" s="7" t="s">
        <v>3212</v>
      </c>
      <c r="AO1342" s="7" t="s">
        <v>1177</v>
      </c>
      <c r="AP1342" s="7" t="s">
        <v>1177</v>
      </c>
      <c r="AQ1342" s="7" t="s">
        <v>1177</v>
      </c>
      <c r="AR1342" s="29">
        <v>0</v>
      </c>
      <c r="AS1342" s="7" t="s">
        <v>1177</v>
      </c>
      <c r="AT1342" s="7" t="s">
        <v>1363</v>
      </c>
      <c r="AU1342" s="38">
        <v>46275</v>
      </c>
      <c r="AV1342" s="39">
        <v>0.60524305555556002</v>
      </c>
    </row>
    <row r="1343" spans="1:48" x14ac:dyDescent="0.35">
      <c r="A1343" t="str">
        <f t="shared" si="20"/>
        <v>GP327268B857</v>
      </c>
      <c r="B1343" s="7" t="s">
        <v>452</v>
      </c>
      <c r="C1343" s="7" t="s">
        <v>958</v>
      </c>
      <c r="D1343" s="7" t="s">
        <v>23</v>
      </c>
      <c r="E1343" s="7" t="s">
        <v>1177</v>
      </c>
      <c r="F1343" s="7" t="s">
        <v>128</v>
      </c>
      <c r="G1343" s="7" t="s">
        <v>130</v>
      </c>
      <c r="H1343" s="7" t="s">
        <v>129</v>
      </c>
      <c r="I1343" s="30">
        <v>2</v>
      </c>
      <c r="J1343" s="7" t="s">
        <v>1177</v>
      </c>
      <c r="K1343" s="7" t="s">
        <v>1178</v>
      </c>
      <c r="L1343" s="7" t="s">
        <v>132</v>
      </c>
      <c r="M1343" s="7" t="s">
        <v>133</v>
      </c>
      <c r="N1343" s="30">
        <v>0</v>
      </c>
      <c r="O1343" s="30">
        <v>0</v>
      </c>
      <c r="P1343" s="30">
        <v>0</v>
      </c>
      <c r="Q1343" s="30">
        <v>0</v>
      </c>
      <c r="R1343" s="29">
        <v>0</v>
      </c>
      <c r="S1343" s="36">
        <v>0</v>
      </c>
      <c r="T1343" s="7" t="s">
        <v>131</v>
      </c>
      <c r="U1343" s="7" t="s">
        <v>959</v>
      </c>
      <c r="V1343" s="7" t="s">
        <v>959</v>
      </c>
      <c r="W1343" s="7" t="s">
        <v>1177</v>
      </c>
      <c r="X1343" s="30">
        <v>1</v>
      </c>
      <c r="Y1343" s="7" t="s">
        <v>1177</v>
      </c>
      <c r="Z1343" s="7" t="s">
        <v>1178</v>
      </c>
      <c r="AA1343" s="30">
        <v>0</v>
      </c>
      <c r="AB1343" s="36">
        <v>0</v>
      </c>
      <c r="AC1343" s="7" t="s">
        <v>1177</v>
      </c>
      <c r="AD1343" s="37">
        <v>0</v>
      </c>
      <c r="AE1343" s="7" t="s">
        <v>1177</v>
      </c>
      <c r="AF1343" s="7" t="s">
        <v>1177</v>
      </c>
      <c r="AG1343" s="7" t="s">
        <v>1177</v>
      </c>
      <c r="AH1343" s="38"/>
      <c r="AI1343" s="36">
        <v>0</v>
      </c>
      <c r="AJ1343" s="7" t="s">
        <v>1193</v>
      </c>
      <c r="AK1343" s="7" t="s">
        <v>1177</v>
      </c>
      <c r="AL1343" s="7" t="s">
        <v>1177</v>
      </c>
      <c r="AM1343" s="7" t="s">
        <v>1177</v>
      </c>
      <c r="AN1343" s="7" t="s">
        <v>3212</v>
      </c>
      <c r="AO1343" s="7" t="s">
        <v>1177</v>
      </c>
      <c r="AP1343" s="7" t="s">
        <v>1177</v>
      </c>
      <c r="AQ1343" s="7" t="s">
        <v>1177</v>
      </c>
      <c r="AR1343" s="29">
        <v>0</v>
      </c>
      <c r="AS1343" s="7" t="s">
        <v>1177</v>
      </c>
      <c r="AT1343" s="7" t="s">
        <v>1363</v>
      </c>
      <c r="AU1343" s="38">
        <v>46275</v>
      </c>
      <c r="AV1343" s="39">
        <v>0.60524305555556002</v>
      </c>
    </row>
    <row r="1344" spans="1:48" x14ac:dyDescent="0.35">
      <c r="A1344" t="str">
        <f t="shared" si="20"/>
        <v>GP327268B865</v>
      </c>
      <c r="B1344" s="7" t="s">
        <v>452</v>
      </c>
      <c r="C1344" s="7" t="s">
        <v>1039</v>
      </c>
      <c r="D1344" s="7" t="s">
        <v>7</v>
      </c>
      <c r="E1344" s="7" t="s">
        <v>1177</v>
      </c>
      <c r="F1344" s="7" t="s">
        <v>128</v>
      </c>
      <c r="G1344" s="7" t="s">
        <v>130</v>
      </c>
      <c r="H1344" s="7" t="s">
        <v>129</v>
      </c>
      <c r="I1344" s="30">
        <v>1</v>
      </c>
      <c r="J1344" s="7" t="s">
        <v>1177</v>
      </c>
      <c r="K1344" s="7" t="s">
        <v>1178</v>
      </c>
      <c r="L1344" s="7" t="s">
        <v>132</v>
      </c>
      <c r="M1344" s="7" t="s">
        <v>133</v>
      </c>
      <c r="N1344" s="30">
        <v>0</v>
      </c>
      <c r="O1344" s="30">
        <v>0</v>
      </c>
      <c r="P1344" s="30">
        <v>0</v>
      </c>
      <c r="Q1344" s="30">
        <v>0</v>
      </c>
      <c r="R1344" s="29">
        <v>0</v>
      </c>
      <c r="S1344" s="36">
        <v>0</v>
      </c>
      <c r="T1344" s="7" t="s">
        <v>131</v>
      </c>
      <c r="U1344" s="7" t="s">
        <v>1040</v>
      </c>
      <c r="V1344" s="7" t="s">
        <v>1040</v>
      </c>
      <c r="W1344" s="7" t="s">
        <v>1177</v>
      </c>
      <c r="X1344" s="30">
        <v>1</v>
      </c>
      <c r="Y1344" s="7" t="s">
        <v>1177</v>
      </c>
      <c r="Z1344" s="7" t="s">
        <v>1178</v>
      </c>
      <c r="AA1344" s="30">
        <v>0</v>
      </c>
      <c r="AB1344" s="36">
        <v>0</v>
      </c>
      <c r="AC1344" s="7" t="s">
        <v>1177</v>
      </c>
      <c r="AD1344" s="37">
        <v>0</v>
      </c>
      <c r="AE1344" s="7" t="s">
        <v>1177</v>
      </c>
      <c r="AF1344" s="7" t="s">
        <v>1177</v>
      </c>
      <c r="AG1344" s="7" t="s">
        <v>1177</v>
      </c>
      <c r="AH1344" s="38"/>
      <c r="AI1344" s="36">
        <v>0</v>
      </c>
      <c r="AJ1344" s="7" t="s">
        <v>1193</v>
      </c>
      <c r="AK1344" s="7" t="s">
        <v>1177</v>
      </c>
      <c r="AL1344" s="7" t="s">
        <v>1177</v>
      </c>
      <c r="AM1344" s="7" t="s">
        <v>1177</v>
      </c>
      <c r="AN1344" s="7" t="s">
        <v>3212</v>
      </c>
      <c r="AO1344" s="7" t="s">
        <v>1177</v>
      </c>
      <c r="AP1344" s="7" t="s">
        <v>1177</v>
      </c>
      <c r="AQ1344" s="7" t="s">
        <v>1177</v>
      </c>
      <c r="AR1344" s="29">
        <v>0</v>
      </c>
      <c r="AS1344" s="7" t="s">
        <v>1177</v>
      </c>
      <c r="AT1344" s="7" t="s">
        <v>1363</v>
      </c>
      <c r="AU1344" s="38">
        <v>46275</v>
      </c>
      <c r="AV1344" s="39">
        <v>0.60549768518518998</v>
      </c>
    </row>
    <row r="1345" spans="1:48" x14ac:dyDescent="0.35">
      <c r="A1345" t="str">
        <f t="shared" si="20"/>
        <v>GP327268B867</v>
      </c>
      <c r="B1345" s="7" t="s">
        <v>452</v>
      </c>
      <c r="C1345" s="7" t="s">
        <v>1059</v>
      </c>
      <c r="D1345" s="7" t="s">
        <v>25</v>
      </c>
      <c r="E1345" s="7" t="s">
        <v>1177</v>
      </c>
      <c r="F1345" s="7" t="s">
        <v>128</v>
      </c>
      <c r="G1345" s="7" t="s">
        <v>130</v>
      </c>
      <c r="H1345" s="7" t="s">
        <v>129</v>
      </c>
      <c r="I1345" s="30">
        <v>1</v>
      </c>
      <c r="J1345" s="7" t="s">
        <v>1177</v>
      </c>
      <c r="K1345" s="7" t="s">
        <v>1178</v>
      </c>
      <c r="L1345" s="7" t="s">
        <v>132</v>
      </c>
      <c r="M1345" s="7" t="s">
        <v>133</v>
      </c>
      <c r="N1345" s="30">
        <v>0</v>
      </c>
      <c r="O1345" s="30">
        <v>0</v>
      </c>
      <c r="P1345" s="30">
        <v>0</v>
      </c>
      <c r="Q1345" s="30">
        <v>0</v>
      </c>
      <c r="R1345" s="29">
        <v>0</v>
      </c>
      <c r="S1345" s="36">
        <v>0</v>
      </c>
      <c r="T1345" s="7" t="s">
        <v>131</v>
      </c>
      <c r="U1345" s="7" t="s">
        <v>1060</v>
      </c>
      <c r="V1345" s="7" t="s">
        <v>1060</v>
      </c>
      <c r="W1345" s="7" t="s">
        <v>1177</v>
      </c>
      <c r="X1345" s="30">
        <v>1</v>
      </c>
      <c r="Y1345" s="7" t="s">
        <v>1177</v>
      </c>
      <c r="Z1345" s="7" t="s">
        <v>1178</v>
      </c>
      <c r="AA1345" s="30">
        <v>0</v>
      </c>
      <c r="AB1345" s="36">
        <v>0</v>
      </c>
      <c r="AC1345" s="7" t="s">
        <v>1177</v>
      </c>
      <c r="AD1345" s="37">
        <v>0</v>
      </c>
      <c r="AE1345" s="7" t="s">
        <v>1177</v>
      </c>
      <c r="AF1345" s="7" t="s">
        <v>1177</v>
      </c>
      <c r="AG1345" s="7" t="s">
        <v>1177</v>
      </c>
      <c r="AH1345" s="38"/>
      <c r="AI1345" s="36">
        <v>0</v>
      </c>
      <c r="AJ1345" s="7" t="s">
        <v>1193</v>
      </c>
      <c r="AK1345" s="7" t="s">
        <v>1177</v>
      </c>
      <c r="AL1345" s="7" t="s">
        <v>1177</v>
      </c>
      <c r="AM1345" s="7" t="s">
        <v>1177</v>
      </c>
      <c r="AN1345" s="7" t="s">
        <v>3212</v>
      </c>
      <c r="AO1345" s="7" t="s">
        <v>1177</v>
      </c>
      <c r="AP1345" s="7" t="s">
        <v>1177</v>
      </c>
      <c r="AQ1345" s="7" t="s">
        <v>1177</v>
      </c>
      <c r="AR1345" s="29">
        <v>0</v>
      </c>
      <c r="AS1345" s="7" t="s">
        <v>1177</v>
      </c>
      <c r="AT1345" s="7" t="s">
        <v>1363</v>
      </c>
      <c r="AU1345" s="38">
        <v>46275</v>
      </c>
      <c r="AV1345" s="39">
        <v>0.60563657407407001</v>
      </c>
    </row>
    <row r="1346" spans="1:48" x14ac:dyDescent="0.35">
      <c r="A1346" t="str">
        <f t="shared" si="20"/>
        <v>GP328005B864</v>
      </c>
      <c r="B1346" s="7" t="s">
        <v>1021</v>
      </c>
      <c r="C1346" s="7" t="s">
        <v>1010</v>
      </c>
      <c r="D1346" s="7" t="s">
        <v>10</v>
      </c>
      <c r="E1346" s="7" t="s">
        <v>1177</v>
      </c>
      <c r="F1346" s="7" t="s">
        <v>128</v>
      </c>
      <c r="G1346" s="7" t="s">
        <v>130</v>
      </c>
      <c r="H1346" s="7" t="s">
        <v>129</v>
      </c>
      <c r="I1346" s="30">
        <v>6</v>
      </c>
      <c r="J1346" s="7" t="s">
        <v>1177</v>
      </c>
      <c r="K1346" s="7" t="s">
        <v>1178</v>
      </c>
      <c r="L1346" s="7" t="s">
        <v>132</v>
      </c>
      <c r="M1346" s="7" t="s">
        <v>133</v>
      </c>
      <c r="N1346" s="30">
        <v>0</v>
      </c>
      <c r="O1346" s="30">
        <v>0</v>
      </c>
      <c r="P1346" s="30">
        <v>0</v>
      </c>
      <c r="Q1346" s="30">
        <v>0</v>
      </c>
      <c r="R1346" s="29">
        <v>0</v>
      </c>
      <c r="S1346" s="36">
        <v>0</v>
      </c>
      <c r="T1346" s="7" t="s">
        <v>131</v>
      </c>
      <c r="U1346" s="7" t="s">
        <v>1011</v>
      </c>
      <c r="V1346" s="7" t="s">
        <v>1011</v>
      </c>
      <c r="W1346" s="7" t="s">
        <v>1177</v>
      </c>
      <c r="X1346" s="30">
        <v>2</v>
      </c>
      <c r="Y1346" s="7" t="s">
        <v>1177</v>
      </c>
      <c r="Z1346" s="7" t="s">
        <v>1178</v>
      </c>
      <c r="AA1346" s="30">
        <v>0</v>
      </c>
      <c r="AB1346" s="36">
        <v>0</v>
      </c>
      <c r="AC1346" s="7" t="s">
        <v>1177</v>
      </c>
      <c r="AD1346" s="37">
        <v>0</v>
      </c>
      <c r="AE1346" s="7" t="s">
        <v>1177</v>
      </c>
      <c r="AF1346" s="7" t="s">
        <v>1177</v>
      </c>
      <c r="AG1346" s="7" t="s">
        <v>1177</v>
      </c>
      <c r="AH1346" s="38"/>
      <c r="AI1346" s="36">
        <v>0</v>
      </c>
      <c r="AJ1346" s="7" t="s">
        <v>1193</v>
      </c>
      <c r="AK1346" s="7" t="s">
        <v>1177</v>
      </c>
      <c r="AL1346" s="7" t="s">
        <v>1177</v>
      </c>
      <c r="AM1346" s="7" t="s">
        <v>1177</v>
      </c>
      <c r="AN1346" s="7" t="s">
        <v>3212</v>
      </c>
      <c r="AO1346" s="7" t="s">
        <v>1177</v>
      </c>
      <c r="AP1346" s="7" t="s">
        <v>1177</v>
      </c>
      <c r="AQ1346" s="7" t="s">
        <v>1177</v>
      </c>
      <c r="AR1346" s="29">
        <v>0</v>
      </c>
      <c r="AS1346" s="7" t="s">
        <v>1177</v>
      </c>
      <c r="AT1346" s="7" t="s">
        <v>1363</v>
      </c>
      <c r="AU1346" s="38">
        <v>46275</v>
      </c>
      <c r="AV1346" s="39">
        <v>0.62631944444443999</v>
      </c>
    </row>
    <row r="1347" spans="1:48" x14ac:dyDescent="0.35">
      <c r="A1347" t="str">
        <f t="shared" ref="A1347:A1410" si="21">_xlfn.CONCAT(B1347,D1347)</f>
        <v>GP328005B865</v>
      </c>
      <c r="B1347" s="7" t="s">
        <v>1021</v>
      </c>
      <c r="C1347" s="7" t="s">
        <v>1039</v>
      </c>
      <c r="D1347" s="7" t="s">
        <v>7</v>
      </c>
      <c r="E1347" s="7" t="s">
        <v>1177</v>
      </c>
      <c r="F1347" s="7" t="s">
        <v>128</v>
      </c>
      <c r="G1347" s="7" t="s">
        <v>130</v>
      </c>
      <c r="H1347" s="7" t="s">
        <v>129</v>
      </c>
      <c r="I1347" s="30">
        <v>6</v>
      </c>
      <c r="J1347" s="7" t="s">
        <v>1177</v>
      </c>
      <c r="K1347" s="7" t="s">
        <v>1178</v>
      </c>
      <c r="L1347" s="7" t="s">
        <v>132</v>
      </c>
      <c r="M1347" s="7" t="s">
        <v>133</v>
      </c>
      <c r="N1347" s="30">
        <v>0</v>
      </c>
      <c r="O1347" s="30">
        <v>0</v>
      </c>
      <c r="P1347" s="30">
        <v>0</v>
      </c>
      <c r="Q1347" s="30">
        <v>0</v>
      </c>
      <c r="R1347" s="29">
        <v>0</v>
      </c>
      <c r="S1347" s="36">
        <v>0</v>
      </c>
      <c r="T1347" s="7" t="s">
        <v>131</v>
      </c>
      <c r="U1347" s="7" t="s">
        <v>1040</v>
      </c>
      <c r="V1347" s="7" t="s">
        <v>1040</v>
      </c>
      <c r="W1347" s="7" t="s">
        <v>1177</v>
      </c>
      <c r="X1347" s="30">
        <v>2</v>
      </c>
      <c r="Y1347" s="7" t="s">
        <v>1177</v>
      </c>
      <c r="Z1347" s="7" t="s">
        <v>1178</v>
      </c>
      <c r="AA1347" s="30">
        <v>0</v>
      </c>
      <c r="AB1347" s="36">
        <v>0</v>
      </c>
      <c r="AC1347" s="7" t="s">
        <v>1177</v>
      </c>
      <c r="AD1347" s="37">
        <v>0</v>
      </c>
      <c r="AE1347" s="7" t="s">
        <v>1177</v>
      </c>
      <c r="AF1347" s="7" t="s">
        <v>1177</v>
      </c>
      <c r="AG1347" s="7" t="s">
        <v>1177</v>
      </c>
      <c r="AH1347" s="38"/>
      <c r="AI1347" s="36">
        <v>0</v>
      </c>
      <c r="AJ1347" s="7" t="s">
        <v>1193</v>
      </c>
      <c r="AK1347" s="7" t="s">
        <v>1177</v>
      </c>
      <c r="AL1347" s="7" t="s">
        <v>1177</v>
      </c>
      <c r="AM1347" s="7" t="s">
        <v>1177</v>
      </c>
      <c r="AN1347" s="7" t="s">
        <v>3212</v>
      </c>
      <c r="AO1347" s="7" t="s">
        <v>1177</v>
      </c>
      <c r="AP1347" s="7" t="s">
        <v>1177</v>
      </c>
      <c r="AQ1347" s="7" t="s">
        <v>1177</v>
      </c>
      <c r="AR1347" s="29">
        <v>0</v>
      </c>
      <c r="AS1347" s="7" t="s">
        <v>1177</v>
      </c>
      <c r="AT1347" s="7" t="s">
        <v>1363</v>
      </c>
      <c r="AU1347" s="38">
        <v>46275</v>
      </c>
      <c r="AV1347" s="39">
        <v>0.62675925925926002</v>
      </c>
    </row>
    <row r="1348" spans="1:48" x14ac:dyDescent="0.35">
      <c r="A1348" t="str">
        <f t="shared" si="21"/>
        <v>GP328006B864</v>
      </c>
      <c r="B1348" s="7" t="s">
        <v>1023</v>
      </c>
      <c r="C1348" s="7" t="s">
        <v>1010</v>
      </c>
      <c r="D1348" s="7" t="s">
        <v>10</v>
      </c>
      <c r="E1348" s="7" t="s">
        <v>1177</v>
      </c>
      <c r="F1348" s="7" t="s">
        <v>128</v>
      </c>
      <c r="G1348" s="7" t="s">
        <v>130</v>
      </c>
      <c r="H1348" s="7" t="s">
        <v>129</v>
      </c>
      <c r="I1348" s="30">
        <v>6</v>
      </c>
      <c r="J1348" s="7" t="s">
        <v>1177</v>
      </c>
      <c r="K1348" s="7" t="s">
        <v>1178</v>
      </c>
      <c r="L1348" s="7" t="s">
        <v>132</v>
      </c>
      <c r="M1348" s="7" t="s">
        <v>133</v>
      </c>
      <c r="N1348" s="30">
        <v>0</v>
      </c>
      <c r="O1348" s="30">
        <v>0</v>
      </c>
      <c r="P1348" s="30">
        <v>0</v>
      </c>
      <c r="Q1348" s="30">
        <v>0</v>
      </c>
      <c r="R1348" s="29">
        <v>0</v>
      </c>
      <c r="S1348" s="36">
        <v>0</v>
      </c>
      <c r="T1348" s="7" t="s">
        <v>131</v>
      </c>
      <c r="U1348" s="7" t="s">
        <v>1011</v>
      </c>
      <c r="V1348" s="7" t="s">
        <v>1011</v>
      </c>
      <c r="W1348" s="7" t="s">
        <v>1177</v>
      </c>
      <c r="X1348" s="30">
        <v>2</v>
      </c>
      <c r="Y1348" s="7" t="s">
        <v>1177</v>
      </c>
      <c r="Z1348" s="7" t="s">
        <v>1178</v>
      </c>
      <c r="AA1348" s="30">
        <v>0</v>
      </c>
      <c r="AB1348" s="36">
        <v>0</v>
      </c>
      <c r="AC1348" s="7" t="s">
        <v>1177</v>
      </c>
      <c r="AD1348" s="37">
        <v>0</v>
      </c>
      <c r="AE1348" s="7" t="s">
        <v>1177</v>
      </c>
      <c r="AF1348" s="7" t="s">
        <v>1177</v>
      </c>
      <c r="AG1348" s="7" t="s">
        <v>1177</v>
      </c>
      <c r="AH1348" s="38"/>
      <c r="AI1348" s="36">
        <v>0</v>
      </c>
      <c r="AJ1348" s="7" t="s">
        <v>1193</v>
      </c>
      <c r="AK1348" s="7" t="s">
        <v>1177</v>
      </c>
      <c r="AL1348" s="7" t="s">
        <v>1177</v>
      </c>
      <c r="AM1348" s="7" t="s">
        <v>1177</v>
      </c>
      <c r="AN1348" s="7" t="s">
        <v>3212</v>
      </c>
      <c r="AO1348" s="7" t="s">
        <v>1177</v>
      </c>
      <c r="AP1348" s="7" t="s">
        <v>1177</v>
      </c>
      <c r="AQ1348" s="7" t="s">
        <v>1177</v>
      </c>
      <c r="AR1348" s="29">
        <v>0</v>
      </c>
      <c r="AS1348" s="7" t="s">
        <v>1177</v>
      </c>
      <c r="AT1348" s="7" t="s">
        <v>1363</v>
      </c>
      <c r="AU1348" s="38">
        <v>46275</v>
      </c>
      <c r="AV1348" s="39">
        <v>0.62631944444443999</v>
      </c>
    </row>
    <row r="1349" spans="1:48" x14ac:dyDescent="0.35">
      <c r="A1349" t="str">
        <f t="shared" si="21"/>
        <v>GP328006B865</v>
      </c>
      <c r="B1349" s="7" t="s">
        <v>1023</v>
      </c>
      <c r="C1349" s="7" t="s">
        <v>1039</v>
      </c>
      <c r="D1349" s="7" t="s">
        <v>7</v>
      </c>
      <c r="E1349" s="7" t="s">
        <v>1177</v>
      </c>
      <c r="F1349" s="7" t="s">
        <v>128</v>
      </c>
      <c r="G1349" s="7" t="s">
        <v>130</v>
      </c>
      <c r="H1349" s="7" t="s">
        <v>129</v>
      </c>
      <c r="I1349" s="30">
        <v>6</v>
      </c>
      <c r="J1349" s="7" t="s">
        <v>1177</v>
      </c>
      <c r="K1349" s="7" t="s">
        <v>1178</v>
      </c>
      <c r="L1349" s="7" t="s">
        <v>132</v>
      </c>
      <c r="M1349" s="7" t="s">
        <v>133</v>
      </c>
      <c r="N1349" s="30">
        <v>0</v>
      </c>
      <c r="O1349" s="30">
        <v>0</v>
      </c>
      <c r="P1349" s="30">
        <v>0</v>
      </c>
      <c r="Q1349" s="30">
        <v>0</v>
      </c>
      <c r="R1349" s="29">
        <v>0</v>
      </c>
      <c r="S1349" s="36">
        <v>0</v>
      </c>
      <c r="T1349" s="7" t="s">
        <v>131</v>
      </c>
      <c r="U1349" s="7" t="s">
        <v>1040</v>
      </c>
      <c r="V1349" s="7" t="s">
        <v>1040</v>
      </c>
      <c r="W1349" s="7" t="s">
        <v>1177</v>
      </c>
      <c r="X1349" s="30">
        <v>2</v>
      </c>
      <c r="Y1349" s="7" t="s">
        <v>1177</v>
      </c>
      <c r="Z1349" s="7" t="s">
        <v>1178</v>
      </c>
      <c r="AA1349" s="30">
        <v>0</v>
      </c>
      <c r="AB1349" s="36">
        <v>0</v>
      </c>
      <c r="AC1349" s="7" t="s">
        <v>1177</v>
      </c>
      <c r="AD1349" s="37">
        <v>0</v>
      </c>
      <c r="AE1349" s="7" t="s">
        <v>1177</v>
      </c>
      <c r="AF1349" s="7" t="s">
        <v>1177</v>
      </c>
      <c r="AG1349" s="7" t="s">
        <v>1177</v>
      </c>
      <c r="AH1349" s="38"/>
      <c r="AI1349" s="36">
        <v>0</v>
      </c>
      <c r="AJ1349" s="7" t="s">
        <v>1193</v>
      </c>
      <c r="AK1349" s="7" t="s">
        <v>1177</v>
      </c>
      <c r="AL1349" s="7" t="s">
        <v>1177</v>
      </c>
      <c r="AM1349" s="7" t="s">
        <v>1177</v>
      </c>
      <c r="AN1349" s="7" t="s">
        <v>3212</v>
      </c>
      <c r="AO1349" s="7" t="s">
        <v>1177</v>
      </c>
      <c r="AP1349" s="7" t="s">
        <v>1177</v>
      </c>
      <c r="AQ1349" s="7" t="s">
        <v>1177</v>
      </c>
      <c r="AR1349" s="29">
        <v>0</v>
      </c>
      <c r="AS1349" s="7" t="s">
        <v>1177</v>
      </c>
      <c r="AT1349" s="7" t="s">
        <v>1363</v>
      </c>
      <c r="AU1349" s="38">
        <v>46275</v>
      </c>
      <c r="AV1349" s="39">
        <v>0.62675925925926002</v>
      </c>
    </row>
    <row r="1350" spans="1:48" x14ac:dyDescent="0.35">
      <c r="A1350" t="str">
        <f t="shared" si="21"/>
        <v>GP328007B864</v>
      </c>
      <c r="B1350" s="7" t="s">
        <v>1024</v>
      </c>
      <c r="C1350" s="7" t="s">
        <v>1010</v>
      </c>
      <c r="D1350" s="7" t="s">
        <v>10</v>
      </c>
      <c r="E1350" s="7" t="s">
        <v>1177</v>
      </c>
      <c r="F1350" s="7" t="s">
        <v>128</v>
      </c>
      <c r="G1350" s="7" t="s">
        <v>130</v>
      </c>
      <c r="H1350" s="7" t="s">
        <v>129</v>
      </c>
      <c r="I1350" s="30">
        <v>5</v>
      </c>
      <c r="J1350" s="7" t="s">
        <v>1177</v>
      </c>
      <c r="K1350" s="7" t="s">
        <v>1178</v>
      </c>
      <c r="L1350" s="7" t="s">
        <v>132</v>
      </c>
      <c r="M1350" s="7" t="s">
        <v>133</v>
      </c>
      <c r="N1350" s="30">
        <v>0</v>
      </c>
      <c r="O1350" s="30">
        <v>0</v>
      </c>
      <c r="P1350" s="30">
        <v>0</v>
      </c>
      <c r="Q1350" s="30">
        <v>0</v>
      </c>
      <c r="R1350" s="29">
        <v>0</v>
      </c>
      <c r="S1350" s="36">
        <v>0</v>
      </c>
      <c r="T1350" s="7" t="s">
        <v>131</v>
      </c>
      <c r="U1350" s="7" t="s">
        <v>1011</v>
      </c>
      <c r="V1350" s="7" t="s">
        <v>1011</v>
      </c>
      <c r="W1350" s="7" t="s">
        <v>1177</v>
      </c>
      <c r="X1350" s="30">
        <v>1</v>
      </c>
      <c r="Y1350" s="7" t="s">
        <v>1177</v>
      </c>
      <c r="Z1350" s="7" t="s">
        <v>1178</v>
      </c>
      <c r="AA1350" s="30">
        <v>0</v>
      </c>
      <c r="AB1350" s="36">
        <v>0</v>
      </c>
      <c r="AC1350" s="7" t="s">
        <v>1177</v>
      </c>
      <c r="AD1350" s="37">
        <v>0</v>
      </c>
      <c r="AE1350" s="7" t="s">
        <v>1177</v>
      </c>
      <c r="AF1350" s="7" t="s">
        <v>1177</v>
      </c>
      <c r="AG1350" s="7" t="s">
        <v>1177</v>
      </c>
      <c r="AH1350" s="38"/>
      <c r="AI1350" s="36">
        <v>0</v>
      </c>
      <c r="AJ1350" s="7" t="s">
        <v>1193</v>
      </c>
      <c r="AK1350" s="7" t="s">
        <v>1177</v>
      </c>
      <c r="AL1350" s="7" t="s">
        <v>1177</v>
      </c>
      <c r="AM1350" s="7" t="s">
        <v>1177</v>
      </c>
      <c r="AN1350" s="7" t="s">
        <v>3212</v>
      </c>
      <c r="AO1350" s="7" t="s">
        <v>1177</v>
      </c>
      <c r="AP1350" s="7" t="s">
        <v>1177</v>
      </c>
      <c r="AQ1350" s="7" t="s">
        <v>1177</v>
      </c>
      <c r="AR1350" s="29">
        <v>0</v>
      </c>
      <c r="AS1350" s="7" t="s">
        <v>1177</v>
      </c>
      <c r="AT1350" s="7" t="s">
        <v>1363</v>
      </c>
      <c r="AU1350" s="38">
        <v>46275</v>
      </c>
      <c r="AV1350" s="39">
        <v>0.62633101851852002</v>
      </c>
    </row>
    <row r="1351" spans="1:48" x14ac:dyDescent="0.35">
      <c r="A1351" t="str">
        <f t="shared" si="21"/>
        <v>GP328007B865</v>
      </c>
      <c r="B1351" s="7" t="s">
        <v>1024</v>
      </c>
      <c r="C1351" s="7" t="s">
        <v>1039</v>
      </c>
      <c r="D1351" s="7" t="s">
        <v>7</v>
      </c>
      <c r="E1351" s="7" t="s">
        <v>1177</v>
      </c>
      <c r="F1351" s="7" t="s">
        <v>128</v>
      </c>
      <c r="G1351" s="7" t="s">
        <v>130</v>
      </c>
      <c r="H1351" s="7" t="s">
        <v>129</v>
      </c>
      <c r="I1351" s="30">
        <v>6</v>
      </c>
      <c r="J1351" s="7" t="s">
        <v>1177</v>
      </c>
      <c r="K1351" s="7" t="s">
        <v>1178</v>
      </c>
      <c r="L1351" s="7" t="s">
        <v>132</v>
      </c>
      <c r="M1351" s="7" t="s">
        <v>133</v>
      </c>
      <c r="N1351" s="30">
        <v>0</v>
      </c>
      <c r="O1351" s="30">
        <v>0</v>
      </c>
      <c r="P1351" s="30">
        <v>0</v>
      </c>
      <c r="Q1351" s="30">
        <v>0</v>
      </c>
      <c r="R1351" s="29">
        <v>0</v>
      </c>
      <c r="S1351" s="36">
        <v>0</v>
      </c>
      <c r="T1351" s="7" t="s">
        <v>131</v>
      </c>
      <c r="U1351" s="7" t="s">
        <v>1040</v>
      </c>
      <c r="V1351" s="7" t="s">
        <v>1040</v>
      </c>
      <c r="W1351" s="7" t="s">
        <v>1177</v>
      </c>
      <c r="X1351" s="30">
        <v>2</v>
      </c>
      <c r="Y1351" s="7" t="s">
        <v>1177</v>
      </c>
      <c r="Z1351" s="7" t="s">
        <v>1178</v>
      </c>
      <c r="AA1351" s="30">
        <v>0</v>
      </c>
      <c r="AB1351" s="36">
        <v>0</v>
      </c>
      <c r="AC1351" s="7" t="s">
        <v>1177</v>
      </c>
      <c r="AD1351" s="37">
        <v>0</v>
      </c>
      <c r="AE1351" s="7" t="s">
        <v>1177</v>
      </c>
      <c r="AF1351" s="7" t="s">
        <v>1177</v>
      </c>
      <c r="AG1351" s="7" t="s">
        <v>1177</v>
      </c>
      <c r="AH1351" s="38"/>
      <c r="AI1351" s="36">
        <v>0</v>
      </c>
      <c r="AJ1351" s="7" t="s">
        <v>1193</v>
      </c>
      <c r="AK1351" s="7" t="s">
        <v>1177</v>
      </c>
      <c r="AL1351" s="7" t="s">
        <v>1177</v>
      </c>
      <c r="AM1351" s="7" t="s">
        <v>1177</v>
      </c>
      <c r="AN1351" s="7" t="s">
        <v>3212</v>
      </c>
      <c r="AO1351" s="7" t="s">
        <v>1177</v>
      </c>
      <c r="AP1351" s="7" t="s">
        <v>1177</v>
      </c>
      <c r="AQ1351" s="7" t="s">
        <v>1177</v>
      </c>
      <c r="AR1351" s="29">
        <v>0</v>
      </c>
      <c r="AS1351" s="7" t="s">
        <v>1177</v>
      </c>
      <c r="AT1351" s="7" t="s">
        <v>1363</v>
      </c>
      <c r="AU1351" s="38">
        <v>46275</v>
      </c>
      <c r="AV1351" s="39">
        <v>0.62675925925926002</v>
      </c>
    </row>
    <row r="1352" spans="1:48" x14ac:dyDescent="0.35">
      <c r="A1352" t="str">
        <f t="shared" si="21"/>
        <v>GP328601B825</v>
      </c>
      <c r="B1352" s="7" t="s">
        <v>603</v>
      </c>
      <c r="C1352" s="7" t="s">
        <v>511</v>
      </c>
      <c r="D1352" s="7" t="s">
        <v>16</v>
      </c>
      <c r="E1352" s="7" t="s">
        <v>1177</v>
      </c>
      <c r="F1352" s="7" t="s">
        <v>128</v>
      </c>
      <c r="G1352" s="7" t="s">
        <v>130</v>
      </c>
      <c r="H1352" s="7" t="s">
        <v>129</v>
      </c>
      <c r="I1352" s="30">
        <v>2</v>
      </c>
      <c r="J1352" s="7" t="s">
        <v>1177</v>
      </c>
      <c r="K1352" s="7" t="s">
        <v>1178</v>
      </c>
      <c r="L1352" s="7" t="s">
        <v>132</v>
      </c>
      <c r="M1352" s="7" t="s">
        <v>133</v>
      </c>
      <c r="N1352" s="30">
        <v>0</v>
      </c>
      <c r="O1352" s="30">
        <v>0</v>
      </c>
      <c r="P1352" s="30">
        <v>0</v>
      </c>
      <c r="Q1352" s="30">
        <v>0</v>
      </c>
      <c r="R1352" s="29">
        <v>0</v>
      </c>
      <c r="S1352" s="36">
        <v>0</v>
      </c>
      <c r="T1352" s="7" t="s">
        <v>131</v>
      </c>
      <c r="U1352" s="7" t="s">
        <v>512</v>
      </c>
      <c r="V1352" s="7" t="s">
        <v>512</v>
      </c>
      <c r="W1352" s="7" t="s">
        <v>1177</v>
      </c>
      <c r="X1352" s="30">
        <v>1</v>
      </c>
      <c r="Y1352" s="7" t="s">
        <v>1177</v>
      </c>
      <c r="Z1352" s="7" t="s">
        <v>1178</v>
      </c>
      <c r="AA1352" s="30">
        <v>0</v>
      </c>
      <c r="AB1352" s="36">
        <v>0</v>
      </c>
      <c r="AC1352" s="7" t="s">
        <v>1177</v>
      </c>
      <c r="AD1352" s="37">
        <v>0</v>
      </c>
      <c r="AE1352" s="7" t="s">
        <v>1177</v>
      </c>
      <c r="AF1352" s="7" t="s">
        <v>1177</v>
      </c>
      <c r="AG1352" s="7" t="s">
        <v>1177</v>
      </c>
      <c r="AH1352" s="38"/>
      <c r="AI1352" s="36">
        <v>0</v>
      </c>
      <c r="AJ1352" s="7" t="s">
        <v>1193</v>
      </c>
      <c r="AK1352" s="7" t="s">
        <v>1177</v>
      </c>
      <c r="AL1352" s="7" t="s">
        <v>1177</v>
      </c>
      <c r="AM1352" s="7" t="s">
        <v>1177</v>
      </c>
      <c r="AN1352" s="7" t="s">
        <v>3212</v>
      </c>
      <c r="AO1352" s="7" t="s">
        <v>1177</v>
      </c>
      <c r="AP1352" s="7" t="s">
        <v>1177</v>
      </c>
      <c r="AQ1352" s="7" t="s">
        <v>1177</v>
      </c>
      <c r="AR1352" s="29">
        <v>0</v>
      </c>
      <c r="AS1352" s="7" t="s">
        <v>1177</v>
      </c>
      <c r="AT1352" s="7" t="s">
        <v>1363</v>
      </c>
      <c r="AU1352" s="38">
        <v>46275</v>
      </c>
      <c r="AV1352" s="39">
        <v>0.62304398148147999</v>
      </c>
    </row>
    <row r="1353" spans="1:48" x14ac:dyDescent="0.35">
      <c r="A1353" t="str">
        <f t="shared" si="21"/>
        <v>GP330313B856</v>
      </c>
      <c r="B1353" s="7" t="s">
        <v>897</v>
      </c>
      <c r="C1353" s="7" t="s">
        <v>852</v>
      </c>
      <c r="D1353" s="7" t="s">
        <v>21</v>
      </c>
      <c r="E1353" s="7" t="s">
        <v>1177</v>
      </c>
      <c r="F1353" s="7" t="s">
        <v>128</v>
      </c>
      <c r="G1353" s="7" t="s">
        <v>130</v>
      </c>
      <c r="H1353" s="7" t="s">
        <v>129</v>
      </c>
      <c r="I1353" s="30">
        <v>1</v>
      </c>
      <c r="J1353" s="7" t="s">
        <v>1177</v>
      </c>
      <c r="K1353" s="7" t="s">
        <v>1178</v>
      </c>
      <c r="L1353" s="7" t="s">
        <v>132</v>
      </c>
      <c r="M1353" s="7" t="s">
        <v>133</v>
      </c>
      <c r="N1353" s="30">
        <v>0</v>
      </c>
      <c r="O1353" s="30">
        <v>0</v>
      </c>
      <c r="P1353" s="30">
        <v>0</v>
      </c>
      <c r="Q1353" s="30">
        <v>0</v>
      </c>
      <c r="R1353" s="29">
        <v>0</v>
      </c>
      <c r="S1353" s="36">
        <v>0</v>
      </c>
      <c r="T1353" s="7" t="s">
        <v>131</v>
      </c>
      <c r="U1353" s="7" t="s">
        <v>853</v>
      </c>
      <c r="V1353" s="7" t="s">
        <v>853</v>
      </c>
      <c r="W1353" s="7" t="s">
        <v>1177</v>
      </c>
      <c r="X1353" s="30">
        <v>1</v>
      </c>
      <c r="Y1353" s="7" t="s">
        <v>1177</v>
      </c>
      <c r="Z1353" s="7" t="s">
        <v>1178</v>
      </c>
      <c r="AA1353" s="30">
        <v>0</v>
      </c>
      <c r="AB1353" s="36">
        <v>0</v>
      </c>
      <c r="AC1353" s="7" t="s">
        <v>1177</v>
      </c>
      <c r="AD1353" s="37">
        <v>0</v>
      </c>
      <c r="AE1353" s="7" t="s">
        <v>1177</v>
      </c>
      <c r="AF1353" s="7" t="s">
        <v>1177</v>
      </c>
      <c r="AG1353" s="7" t="s">
        <v>1177</v>
      </c>
      <c r="AH1353" s="38"/>
      <c r="AI1353" s="36">
        <v>0</v>
      </c>
      <c r="AJ1353" s="7" t="s">
        <v>1193</v>
      </c>
      <c r="AK1353" s="7" t="s">
        <v>1177</v>
      </c>
      <c r="AL1353" s="7" t="s">
        <v>1177</v>
      </c>
      <c r="AM1353" s="7" t="s">
        <v>1177</v>
      </c>
      <c r="AN1353" s="7" t="s">
        <v>3212</v>
      </c>
      <c r="AO1353" s="7" t="s">
        <v>1177</v>
      </c>
      <c r="AP1353" s="7" t="s">
        <v>1177</v>
      </c>
      <c r="AQ1353" s="7" t="s">
        <v>1177</v>
      </c>
      <c r="AR1353" s="29">
        <v>0</v>
      </c>
      <c r="AS1353" s="7" t="s">
        <v>1177</v>
      </c>
      <c r="AT1353" s="7" t="s">
        <v>1363</v>
      </c>
      <c r="AU1353" s="38">
        <v>46275</v>
      </c>
      <c r="AV1353" s="39">
        <v>0.62486111111110998</v>
      </c>
    </row>
    <row r="1354" spans="1:48" x14ac:dyDescent="0.35">
      <c r="A1354" t="str">
        <f t="shared" si="21"/>
        <v>GP330313B864</v>
      </c>
      <c r="B1354" s="7" t="s">
        <v>897</v>
      </c>
      <c r="C1354" s="7" t="s">
        <v>1010</v>
      </c>
      <c r="D1354" s="7" t="s">
        <v>10</v>
      </c>
      <c r="E1354" s="7" t="s">
        <v>1177</v>
      </c>
      <c r="F1354" s="7" t="s">
        <v>128</v>
      </c>
      <c r="G1354" s="7" t="s">
        <v>130</v>
      </c>
      <c r="H1354" s="7" t="s">
        <v>129</v>
      </c>
      <c r="I1354" s="30">
        <v>4</v>
      </c>
      <c r="J1354" s="7" t="s">
        <v>1177</v>
      </c>
      <c r="K1354" s="7" t="s">
        <v>1178</v>
      </c>
      <c r="L1354" s="7" t="s">
        <v>132</v>
      </c>
      <c r="M1354" s="7" t="s">
        <v>133</v>
      </c>
      <c r="N1354" s="30">
        <v>0</v>
      </c>
      <c r="O1354" s="30">
        <v>0</v>
      </c>
      <c r="P1354" s="30">
        <v>0</v>
      </c>
      <c r="Q1354" s="30">
        <v>0</v>
      </c>
      <c r="R1354" s="29">
        <v>0</v>
      </c>
      <c r="S1354" s="36">
        <v>0</v>
      </c>
      <c r="T1354" s="7" t="s">
        <v>131</v>
      </c>
      <c r="U1354" s="7" t="s">
        <v>1011</v>
      </c>
      <c r="V1354" s="7" t="s">
        <v>1011</v>
      </c>
      <c r="W1354" s="7" t="s">
        <v>1177</v>
      </c>
      <c r="X1354" s="30">
        <v>1</v>
      </c>
      <c r="Y1354" s="7" t="s">
        <v>1177</v>
      </c>
      <c r="Z1354" s="7" t="s">
        <v>1178</v>
      </c>
      <c r="AA1354" s="30">
        <v>0</v>
      </c>
      <c r="AB1354" s="36">
        <v>0</v>
      </c>
      <c r="AC1354" s="7" t="s">
        <v>1177</v>
      </c>
      <c r="AD1354" s="37">
        <v>0</v>
      </c>
      <c r="AE1354" s="7" t="s">
        <v>1177</v>
      </c>
      <c r="AF1354" s="7" t="s">
        <v>1177</v>
      </c>
      <c r="AG1354" s="7" t="s">
        <v>1177</v>
      </c>
      <c r="AH1354" s="38"/>
      <c r="AI1354" s="36">
        <v>0</v>
      </c>
      <c r="AJ1354" s="7" t="s">
        <v>1193</v>
      </c>
      <c r="AK1354" s="7" t="s">
        <v>1177</v>
      </c>
      <c r="AL1354" s="7" t="s">
        <v>1177</v>
      </c>
      <c r="AM1354" s="7" t="s">
        <v>1177</v>
      </c>
      <c r="AN1354" s="7" t="s">
        <v>3212</v>
      </c>
      <c r="AO1354" s="7" t="s">
        <v>1177</v>
      </c>
      <c r="AP1354" s="7" t="s">
        <v>1177</v>
      </c>
      <c r="AQ1354" s="7" t="s">
        <v>1177</v>
      </c>
      <c r="AR1354" s="29">
        <v>0</v>
      </c>
      <c r="AS1354" s="7" t="s">
        <v>1177</v>
      </c>
      <c r="AT1354" s="7" t="s">
        <v>1363</v>
      </c>
      <c r="AU1354" s="38">
        <v>46275</v>
      </c>
      <c r="AV1354" s="39">
        <v>0.62633101851852002</v>
      </c>
    </row>
    <row r="1355" spans="1:48" x14ac:dyDescent="0.35">
      <c r="A1355" t="str">
        <f t="shared" si="21"/>
        <v>GP330313B865</v>
      </c>
      <c r="B1355" s="7" t="s">
        <v>897</v>
      </c>
      <c r="C1355" s="7" t="s">
        <v>1039</v>
      </c>
      <c r="D1355" s="7" t="s">
        <v>7</v>
      </c>
      <c r="E1355" s="7" t="s">
        <v>1177</v>
      </c>
      <c r="F1355" s="7" t="s">
        <v>128</v>
      </c>
      <c r="G1355" s="7" t="s">
        <v>130</v>
      </c>
      <c r="H1355" s="7" t="s">
        <v>129</v>
      </c>
      <c r="I1355" s="30">
        <v>4</v>
      </c>
      <c r="J1355" s="7" t="s">
        <v>1177</v>
      </c>
      <c r="K1355" s="7" t="s">
        <v>1178</v>
      </c>
      <c r="L1355" s="7" t="s">
        <v>132</v>
      </c>
      <c r="M1355" s="7" t="s">
        <v>133</v>
      </c>
      <c r="N1355" s="30">
        <v>0</v>
      </c>
      <c r="O1355" s="30">
        <v>0</v>
      </c>
      <c r="P1355" s="30">
        <v>0</v>
      </c>
      <c r="Q1355" s="30">
        <v>0</v>
      </c>
      <c r="R1355" s="29">
        <v>0</v>
      </c>
      <c r="S1355" s="36">
        <v>0</v>
      </c>
      <c r="T1355" s="7" t="s">
        <v>131</v>
      </c>
      <c r="U1355" s="7" t="s">
        <v>1040</v>
      </c>
      <c r="V1355" s="7" t="s">
        <v>1040</v>
      </c>
      <c r="W1355" s="7" t="s">
        <v>1177</v>
      </c>
      <c r="X1355" s="30">
        <v>1</v>
      </c>
      <c r="Y1355" s="7" t="s">
        <v>1177</v>
      </c>
      <c r="Z1355" s="7" t="s">
        <v>1178</v>
      </c>
      <c r="AA1355" s="30">
        <v>0</v>
      </c>
      <c r="AB1355" s="36">
        <v>0</v>
      </c>
      <c r="AC1355" s="7" t="s">
        <v>1177</v>
      </c>
      <c r="AD1355" s="37">
        <v>0</v>
      </c>
      <c r="AE1355" s="7" t="s">
        <v>1177</v>
      </c>
      <c r="AF1355" s="7" t="s">
        <v>1177</v>
      </c>
      <c r="AG1355" s="7" t="s">
        <v>1177</v>
      </c>
      <c r="AH1355" s="38"/>
      <c r="AI1355" s="36">
        <v>0</v>
      </c>
      <c r="AJ1355" s="7" t="s">
        <v>1193</v>
      </c>
      <c r="AK1355" s="7" t="s">
        <v>1177</v>
      </c>
      <c r="AL1355" s="7" t="s">
        <v>1177</v>
      </c>
      <c r="AM1355" s="7" t="s">
        <v>1177</v>
      </c>
      <c r="AN1355" s="7" t="s">
        <v>3212</v>
      </c>
      <c r="AO1355" s="7" t="s">
        <v>1177</v>
      </c>
      <c r="AP1355" s="7" t="s">
        <v>1177</v>
      </c>
      <c r="AQ1355" s="7" t="s">
        <v>1177</v>
      </c>
      <c r="AR1355" s="29">
        <v>0</v>
      </c>
      <c r="AS1355" s="7" t="s">
        <v>1177</v>
      </c>
      <c r="AT1355" s="7" t="s">
        <v>1363</v>
      </c>
      <c r="AU1355" s="38">
        <v>46275</v>
      </c>
      <c r="AV1355" s="39">
        <v>0.62675925925926002</v>
      </c>
    </row>
    <row r="1356" spans="1:48" x14ac:dyDescent="0.35">
      <c r="A1356" t="str">
        <f t="shared" si="21"/>
        <v>GP330314B867</v>
      </c>
      <c r="B1356" s="7" t="s">
        <v>1070</v>
      </c>
      <c r="C1356" s="7" t="s">
        <v>1059</v>
      </c>
      <c r="D1356" s="7" t="s">
        <v>25</v>
      </c>
      <c r="E1356" s="7" t="s">
        <v>1177</v>
      </c>
      <c r="F1356" s="7" t="s">
        <v>128</v>
      </c>
      <c r="G1356" s="7" t="s">
        <v>130</v>
      </c>
      <c r="H1356" s="7" t="s">
        <v>129</v>
      </c>
      <c r="I1356" s="30">
        <v>2</v>
      </c>
      <c r="J1356" s="7" t="s">
        <v>1177</v>
      </c>
      <c r="K1356" s="7" t="s">
        <v>1178</v>
      </c>
      <c r="L1356" s="7" t="s">
        <v>132</v>
      </c>
      <c r="M1356" s="7" t="s">
        <v>133</v>
      </c>
      <c r="N1356" s="30">
        <v>0</v>
      </c>
      <c r="O1356" s="30">
        <v>0</v>
      </c>
      <c r="P1356" s="30">
        <v>0</v>
      </c>
      <c r="Q1356" s="30">
        <v>0</v>
      </c>
      <c r="R1356" s="29">
        <v>0</v>
      </c>
      <c r="S1356" s="36">
        <v>0</v>
      </c>
      <c r="T1356" s="7" t="s">
        <v>131</v>
      </c>
      <c r="U1356" s="7" t="s">
        <v>1060</v>
      </c>
      <c r="V1356" s="7" t="s">
        <v>1060</v>
      </c>
      <c r="W1356" s="7" t="s">
        <v>1177</v>
      </c>
      <c r="X1356" s="30">
        <v>1</v>
      </c>
      <c r="Y1356" s="7" t="s">
        <v>1177</v>
      </c>
      <c r="Z1356" s="7" t="s">
        <v>1178</v>
      </c>
      <c r="AA1356" s="30">
        <v>0</v>
      </c>
      <c r="AB1356" s="36">
        <v>0</v>
      </c>
      <c r="AC1356" s="7" t="s">
        <v>1177</v>
      </c>
      <c r="AD1356" s="37">
        <v>0</v>
      </c>
      <c r="AE1356" s="7" t="s">
        <v>1177</v>
      </c>
      <c r="AF1356" s="7" t="s">
        <v>1177</v>
      </c>
      <c r="AG1356" s="7" t="s">
        <v>1177</v>
      </c>
      <c r="AH1356" s="38"/>
      <c r="AI1356" s="36">
        <v>0</v>
      </c>
      <c r="AJ1356" s="7" t="s">
        <v>1193</v>
      </c>
      <c r="AK1356" s="7" t="s">
        <v>1177</v>
      </c>
      <c r="AL1356" s="7" t="s">
        <v>1177</v>
      </c>
      <c r="AM1356" s="7" t="s">
        <v>1177</v>
      </c>
      <c r="AN1356" s="7" t="s">
        <v>3212</v>
      </c>
      <c r="AO1356" s="7" t="s">
        <v>1177</v>
      </c>
      <c r="AP1356" s="7" t="s">
        <v>1177</v>
      </c>
      <c r="AQ1356" s="7" t="s">
        <v>1177</v>
      </c>
      <c r="AR1356" s="29">
        <v>0</v>
      </c>
      <c r="AS1356" s="7" t="s">
        <v>1177</v>
      </c>
      <c r="AT1356" s="7" t="s">
        <v>1363</v>
      </c>
      <c r="AU1356" s="38">
        <v>46275</v>
      </c>
      <c r="AV1356" s="39">
        <v>0.62712962962963004</v>
      </c>
    </row>
    <row r="1357" spans="1:48" x14ac:dyDescent="0.35">
      <c r="A1357" t="str">
        <f t="shared" si="21"/>
        <v>GP330582B856</v>
      </c>
      <c r="B1357" s="7" t="s">
        <v>898</v>
      </c>
      <c r="C1357" s="7" t="s">
        <v>852</v>
      </c>
      <c r="D1357" s="7" t="s">
        <v>21</v>
      </c>
      <c r="E1357" s="7" t="s">
        <v>1177</v>
      </c>
      <c r="F1357" s="7" t="s">
        <v>128</v>
      </c>
      <c r="G1357" s="7" t="s">
        <v>130</v>
      </c>
      <c r="H1357" s="7" t="s">
        <v>129</v>
      </c>
      <c r="I1357" s="30">
        <v>2</v>
      </c>
      <c r="J1357" s="7" t="s">
        <v>1177</v>
      </c>
      <c r="K1357" s="7" t="s">
        <v>1178</v>
      </c>
      <c r="L1357" s="7" t="s">
        <v>132</v>
      </c>
      <c r="M1357" s="7" t="s">
        <v>133</v>
      </c>
      <c r="N1357" s="30">
        <v>0</v>
      </c>
      <c r="O1357" s="30">
        <v>0</v>
      </c>
      <c r="P1357" s="30">
        <v>0</v>
      </c>
      <c r="Q1357" s="30">
        <v>0</v>
      </c>
      <c r="R1357" s="29">
        <v>0</v>
      </c>
      <c r="S1357" s="36">
        <v>0</v>
      </c>
      <c r="T1357" s="7" t="s">
        <v>131</v>
      </c>
      <c r="U1357" s="7" t="s">
        <v>853</v>
      </c>
      <c r="V1357" s="7" t="s">
        <v>853</v>
      </c>
      <c r="W1357" s="7" t="s">
        <v>1177</v>
      </c>
      <c r="X1357" s="30">
        <v>1</v>
      </c>
      <c r="Y1357" s="7" t="s">
        <v>1177</v>
      </c>
      <c r="Z1357" s="7" t="s">
        <v>1178</v>
      </c>
      <c r="AA1357" s="30">
        <v>0</v>
      </c>
      <c r="AB1357" s="36">
        <v>0</v>
      </c>
      <c r="AC1357" s="7" t="s">
        <v>1177</v>
      </c>
      <c r="AD1357" s="37">
        <v>0</v>
      </c>
      <c r="AE1357" s="7" t="s">
        <v>1177</v>
      </c>
      <c r="AF1357" s="7" t="s">
        <v>1177</v>
      </c>
      <c r="AG1357" s="7" t="s">
        <v>1177</v>
      </c>
      <c r="AH1357" s="38"/>
      <c r="AI1357" s="36">
        <v>0</v>
      </c>
      <c r="AJ1357" s="7" t="s">
        <v>1193</v>
      </c>
      <c r="AK1357" s="7" t="s">
        <v>1177</v>
      </c>
      <c r="AL1357" s="7" t="s">
        <v>1177</v>
      </c>
      <c r="AM1357" s="7" t="s">
        <v>1177</v>
      </c>
      <c r="AN1357" s="7" t="s">
        <v>3212</v>
      </c>
      <c r="AO1357" s="7" t="s">
        <v>1177</v>
      </c>
      <c r="AP1357" s="7" t="s">
        <v>1177</v>
      </c>
      <c r="AQ1357" s="7" t="s">
        <v>1177</v>
      </c>
      <c r="AR1357" s="29">
        <v>0</v>
      </c>
      <c r="AS1357" s="7" t="s">
        <v>1177</v>
      </c>
      <c r="AT1357" s="7" t="s">
        <v>1363</v>
      </c>
      <c r="AU1357" s="38">
        <v>46275</v>
      </c>
      <c r="AV1357" s="39">
        <v>0.62486111111110998</v>
      </c>
    </row>
    <row r="1358" spans="1:48" x14ac:dyDescent="0.35">
      <c r="A1358" t="str">
        <f t="shared" si="21"/>
        <v>GP330582B857</v>
      </c>
      <c r="B1358" s="7" t="s">
        <v>898</v>
      </c>
      <c r="C1358" s="7" t="s">
        <v>958</v>
      </c>
      <c r="D1358" s="7" t="s">
        <v>23</v>
      </c>
      <c r="E1358" s="7" t="s">
        <v>1177</v>
      </c>
      <c r="F1358" s="7" t="s">
        <v>128</v>
      </c>
      <c r="G1358" s="7" t="s">
        <v>130</v>
      </c>
      <c r="H1358" s="7" t="s">
        <v>129</v>
      </c>
      <c r="I1358" s="30">
        <v>1</v>
      </c>
      <c r="J1358" s="7" t="s">
        <v>1177</v>
      </c>
      <c r="K1358" s="7" t="s">
        <v>1178</v>
      </c>
      <c r="L1358" s="7" t="s">
        <v>132</v>
      </c>
      <c r="M1358" s="7" t="s">
        <v>133</v>
      </c>
      <c r="N1358" s="30">
        <v>0</v>
      </c>
      <c r="O1358" s="30">
        <v>0</v>
      </c>
      <c r="P1358" s="30">
        <v>0</v>
      </c>
      <c r="Q1358" s="30">
        <v>0</v>
      </c>
      <c r="R1358" s="29">
        <v>0</v>
      </c>
      <c r="S1358" s="36">
        <v>0</v>
      </c>
      <c r="T1358" s="7" t="s">
        <v>131</v>
      </c>
      <c r="U1358" s="7" t="s">
        <v>959</v>
      </c>
      <c r="V1358" s="7" t="s">
        <v>959</v>
      </c>
      <c r="W1358" s="7" t="s">
        <v>1177</v>
      </c>
      <c r="X1358" s="30">
        <v>1</v>
      </c>
      <c r="Y1358" s="7" t="s">
        <v>1177</v>
      </c>
      <c r="Z1358" s="7" t="s">
        <v>1178</v>
      </c>
      <c r="AA1358" s="30">
        <v>0</v>
      </c>
      <c r="AB1358" s="36">
        <v>0</v>
      </c>
      <c r="AC1358" s="7" t="s">
        <v>1177</v>
      </c>
      <c r="AD1358" s="37">
        <v>0</v>
      </c>
      <c r="AE1358" s="7" t="s">
        <v>1177</v>
      </c>
      <c r="AF1358" s="7" t="s">
        <v>1177</v>
      </c>
      <c r="AG1358" s="7" t="s">
        <v>1177</v>
      </c>
      <c r="AH1358" s="38"/>
      <c r="AI1358" s="36">
        <v>0</v>
      </c>
      <c r="AJ1358" s="7" t="s">
        <v>1193</v>
      </c>
      <c r="AK1358" s="7" t="s">
        <v>1177</v>
      </c>
      <c r="AL1358" s="7" t="s">
        <v>1177</v>
      </c>
      <c r="AM1358" s="7" t="s">
        <v>1177</v>
      </c>
      <c r="AN1358" s="7" t="s">
        <v>3212</v>
      </c>
      <c r="AO1358" s="7" t="s">
        <v>1177</v>
      </c>
      <c r="AP1358" s="7" t="s">
        <v>1177</v>
      </c>
      <c r="AQ1358" s="7" t="s">
        <v>1177</v>
      </c>
      <c r="AR1358" s="29">
        <v>0</v>
      </c>
      <c r="AS1358" s="7" t="s">
        <v>1177</v>
      </c>
      <c r="AT1358" s="7" t="s">
        <v>1363</v>
      </c>
      <c r="AU1358" s="38">
        <v>46275</v>
      </c>
      <c r="AV1358" s="39">
        <v>0.62512731481480999</v>
      </c>
    </row>
    <row r="1359" spans="1:48" x14ac:dyDescent="0.35">
      <c r="A1359" t="str">
        <f t="shared" si="21"/>
        <v>GP330657B857</v>
      </c>
      <c r="B1359" s="7" t="s">
        <v>810</v>
      </c>
      <c r="C1359" s="7" t="s">
        <v>958</v>
      </c>
      <c r="D1359" s="7" t="s">
        <v>23</v>
      </c>
      <c r="E1359" s="7" t="s">
        <v>1177</v>
      </c>
      <c r="F1359" s="7" t="s">
        <v>128</v>
      </c>
      <c r="G1359" s="7" t="s">
        <v>130</v>
      </c>
      <c r="H1359" s="7" t="s">
        <v>129</v>
      </c>
      <c r="I1359" s="30">
        <v>2</v>
      </c>
      <c r="J1359" s="7" t="s">
        <v>1177</v>
      </c>
      <c r="K1359" s="7" t="s">
        <v>1178</v>
      </c>
      <c r="L1359" s="7" t="s">
        <v>132</v>
      </c>
      <c r="M1359" s="7" t="s">
        <v>133</v>
      </c>
      <c r="N1359" s="30">
        <v>0</v>
      </c>
      <c r="O1359" s="30">
        <v>0</v>
      </c>
      <c r="P1359" s="30">
        <v>0</v>
      </c>
      <c r="Q1359" s="30">
        <v>0</v>
      </c>
      <c r="R1359" s="29">
        <v>0</v>
      </c>
      <c r="S1359" s="36">
        <v>0</v>
      </c>
      <c r="T1359" s="7" t="s">
        <v>131</v>
      </c>
      <c r="U1359" s="7" t="s">
        <v>959</v>
      </c>
      <c r="V1359" s="7" t="s">
        <v>959</v>
      </c>
      <c r="W1359" s="7" t="s">
        <v>1177</v>
      </c>
      <c r="X1359" s="30">
        <v>1</v>
      </c>
      <c r="Y1359" s="7" t="s">
        <v>1177</v>
      </c>
      <c r="Z1359" s="7" t="s">
        <v>1178</v>
      </c>
      <c r="AA1359" s="30">
        <v>0</v>
      </c>
      <c r="AB1359" s="36">
        <v>0</v>
      </c>
      <c r="AC1359" s="7" t="s">
        <v>1177</v>
      </c>
      <c r="AD1359" s="37">
        <v>0</v>
      </c>
      <c r="AE1359" s="7" t="s">
        <v>1177</v>
      </c>
      <c r="AF1359" s="7" t="s">
        <v>1177</v>
      </c>
      <c r="AG1359" s="7" t="s">
        <v>1177</v>
      </c>
      <c r="AH1359" s="38"/>
      <c r="AI1359" s="36">
        <v>0</v>
      </c>
      <c r="AJ1359" s="7" t="s">
        <v>1193</v>
      </c>
      <c r="AK1359" s="7" t="s">
        <v>1177</v>
      </c>
      <c r="AL1359" s="7" t="s">
        <v>1177</v>
      </c>
      <c r="AM1359" s="7" t="s">
        <v>1177</v>
      </c>
      <c r="AN1359" s="7" t="s">
        <v>3212</v>
      </c>
      <c r="AO1359" s="7" t="s">
        <v>1177</v>
      </c>
      <c r="AP1359" s="7" t="s">
        <v>1177</v>
      </c>
      <c r="AQ1359" s="7" t="s">
        <v>1177</v>
      </c>
      <c r="AR1359" s="29">
        <v>0</v>
      </c>
      <c r="AS1359" s="7" t="s">
        <v>1177</v>
      </c>
      <c r="AT1359" s="7" t="s">
        <v>1363</v>
      </c>
      <c r="AU1359" s="38">
        <v>46275</v>
      </c>
      <c r="AV1359" s="39">
        <v>0.62512731481480999</v>
      </c>
    </row>
    <row r="1360" spans="1:48" x14ac:dyDescent="0.35">
      <c r="A1360" t="str">
        <f t="shared" si="21"/>
        <v>GP330657B865</v>
      </c>
      <c r="B1360" s="7" t="s">
        <v>810</v>
      </c>
      <c r="C1360" s="7" t="s">
        <v>1039</v>
      </c>
      <c r="D1360" s="7" t="s">
        <v>7</v>
      </c>
      <c r="E1360" s="7" t="s">
        <v>1177</v>
      </c>
      <c r="F1360" s="7" t="s">
        <v>128</v>
      </c>
      <c r="G1360" s="7" t="s">
        <v>130</v>
      </c>
      <c r="H1360" s="7" t="s">
        <v>129</v>
      </c>
      <c r="I1360" s="30">
        <v>2</v>
      </c>
      <c r="J1360" s="7" t="s">
        <v>1177</v>
      </c>
      <c r="K1360" s="7" t="s">
        <v>1178</v>
      </c>
      <c r="L1360" s="7" t="s">
        <v>132</v>
      </c>
      <c r="M1360" s="7" t="s">
        <v>133</v>
      </c>
      <c r="N1360" s="30">
        <v>0</v>
      </c>
      <c r="O1360" s="30">
        <v>0</v>
      </c>
      <c r="P1360" s="30">
        <v>0</v>
      </c>
      <c r="Q1360" s="30">
        <v>0</v>
      </c>
      <c r="R1360" s="29">
        <v>0</v>
      </c>
      <c r="S1360" s="36">
        <v>0</v>
      </c>
      <c r="T1360" s="7" t="s">
        <v>131</v>
      </c>
      <c r="U1360" s="7" t="s">
        <v>1040</v>
      </c>
      <c r="V1360" s="7" t="s">
        <v>1040</v>
      </c>
      <c r="W1360" s="7" t="s">
        <v>1177</v>
      </c>
      <c r="X1360" s="30">
        <v>1</v>
      </c>
      <c r="Y1360" s="7" t="s">
        <v>1177</v>
      </c>
      <c r="Z1360" s="7" t="s">
        <v>1178</v>
      </c>
      <c r="AA1360" s="30">
        <v>0</v>
      </c>
      <c r="AB1360" s="36">
        <v>0</v>
      </c>
      <c r="AC1360" s="7" t="s">
        <v>1177</v>
      </c>
      <c r="AD1360" s="37">
        <v>0</v>
      </c>
      <c r="AE1360" s="7" t="s">
        <v>1177</v>
      </c>
      <c r="AF1360" s="7" t="s">
        <v>1177</v>
      </c>
      <c r="AG1360" s="7" t="s">
        <v>1177</v>
      </c>
      <c r="AH1360" s="38"/>
      <c r="AI1360" s="36">
        <v>0</v>
      </c>
      <c r="AJ1360" s="7" t="s">
        <v>1193</v>
      </c>
      <c r="AK1360" s="7" t="s">
        <v>1177</v>
      </c>
      <c r="AL1360" s="7" t="s">
        <v>1177</v>
      </c>
      <c r="AM1360" s="7" t="s">
        <v>1177</v>
      </c>
      <c r="AN1360" s="7" t="s">
        <v>3212</v>
      </c>
      <c r="AO1360" s="7" t="s">
        <v>1177</v>
      </c>
      <c r="AP1360" s="7" t="s">
        <v>1177</v>
      </c>
      <c r="AQ1360" s="7" t="s">
        <v>1177</v>
      </c>
      <c r="AR1360" s="29">
        <v>0</v>
      </c>
      <c r="AS1360" s="7" t="s">
        <v>1177</v>
      </c>
      <c r="AT1360" s="7" t="s">
        <v>1363</v>
      </c>
      <c r="AU1360" s="38">
        <v>46275</v>
      </c>
      <c r="AV1360" s="39">
        <v>0.62675925925926002</v>
      </c>
    </row>
    <row r="1361" spans="1:48" x14ac:dyDescent="0.35">
      <c r="A1361" t="str">
        <f t="shared" si="21"/>
        <v>GP330658B832</v>
      </c>
      <c r="B1361" s="7" t="s">
        <v>685</v>
      </c>
      <c r="C1361" s="7" t="s">
        <v>653</v>
      </c>
      <c r="D1361" s="7" t="s">
        <v>19</v>
      </c>
      <c r="E1361" s="7" t="s">
        <v>1177</v>
      </c>
      <c r="F1361" s="7" t="s">
        <v>128</v>
      </c>
      <c r="G1361" s="7" t="s">
        <v>130</v>
      </c>
      <c r="H1361" s="7" t="s">
        <v>129</v>
      </c>
      <c r="I1361" s="30">
        <v>2</v>
      </c>
      <c r="J1361" s="7" t="s">
        <v>1177</v>
      </c>
      <c r="K1361" s="7" t="s">
        <v>1178</v>
      </c>
      <c r="L1361" s="7" t="s">
        <v>132</v>
      </c>
      <c r="M1361" s="7" t="s">
        <v>133</v>
      </c>
      <c r="N1361" s="30">
        <v>0</v>
      </c>
      <c r="O1361" s="30">
        <v>0</v>
      </c>
      <c r="P1361" s="30">
        <v>0</v>
      </c>
      <c r="Q1361" s="30">
        <v>0</v>
      </c>
      <c r="R1361" s="29">
        <v>0</v>
      </c>
      <c r="S1361" s="36">
        <v>0</v>
      </c>
      <c r="T1361" s="7" t="s">
        <v>131</v>
      </c>
      <c r="U1361" s="7" t="s">
        <v>654</v>
      </c>
      <c r="V1361" s="7" t="s">
        <v>654</v>
      </c>
      <c r="W1361" s="7" t="s">
        <v>1177</v>
      </c>
      <c r="X1361" s="30">
        <v>1</v>
      </c>
      <c r="Y1361" s="7" t="s">
        <v>1177</v>
      </c>
      <c r="Z1361" s="7" t="s">
        <v>1178</v>
      </c>
      <c r="AA1361" s="30">
        <v>0</v>
      </c>
      <c r="AB1361" s="36">
        <v>0</v>
      </c>
      <c r="AC1361" s="7" t="s">
        <v>1177</v>
      </c>
      <c r="AD1361" s="37">
        <v>0</v>
      </c>
      <c r="AE1361" s="7" t="s">
        <v>1177</v>
      </c>
      <c r="AF1361" s="7" t="s">
        <v>1177</v>
      </c>
      <c r="AG1361" s="7" t="s">
        <v>1177</v>
      </c>
      <c r="AH1361" s="38"/>
      <c r="AI1361" s="36">
        <v>0</v>
      </c>
      <c r="AJ1361" s="7" t="s">
        <v>1193</v>
      </c>
      <c r="AK1361" s="7" t="s">
        <v>1177</v>
      </c>
      <c r="AL1361" s="7" t="s">
        <v>1177</v>
      </c>
      <c r="AM1361" s="7" t="s">
        <v>1177</v>
      </c>
      <c r="AN1361" s="7" t="s">
        <v>3212</v>
      </c>
      <c r="AO1361" s="7" t="s">
        <v>1177</v>
      </c>
      <c r="AP1361" s="7" t="s">
        <v>1177</v>
      </c>
      <c r="AQ1361" s="7" t="s">
        <v>1177</v>
      </c>
      <c r="AR1361" s="29">
        <v>0</v>
      </c>
      <c r="AS1361" s="7" t="s">
        <v>1177</v>
      </c>
      <c r="AT1361" s="7" t="s">
        <v>1363</v>
      </c>
      <c r="AU1361" s="38">
        <v>46275</v>
      </c>
      <c r="AV1361" s="39">
        <v>0.62336805555555996</v>
      </c>
    </row>
    <row r="1362" spans="1:48" x14ac:dyDescent="0.35">
      <c r="A1362" t="str">
        <f t="shared" si="21"/>
        <v>GP330681B825</v>
      </c>
      <c r="B1362" s="7" t="s">
        <v>480</v>
      </c>
      <c r="C1362" s="7" t="s">
        <v>511</v>
      </c>
      <c r="D1362" s="7" t="s">
        <v>16</v>
      </c>
      <c r="E1362" s="7" t="s">
        <v>1177</v>
      </c>
      <c r="F1362" s="7" t="s">
        <v>128</v>
      </c>
      <c r="G1362" s="7" t="s">
        <v>130</v>
      </c>
      <c r="H1362" s="7" t="s">
        <v>129</v>
      </c>
      <c r="I1362" s="30">
        <v>2</v>
      </c>
      <c r="J1362" s="7" t="s">
        <v>1177</v>
      </c>
      <c r="K1362" s="7" t="s">
        <v>1178</v>
      </c>
      <c r="L1362" s="7" t="s">
        <v>132</v>
      </c>
      <c r="M1362" s="7" t="s">
        <v>133</v>
      </c>
      <c r="N1362" s="30">
        <v>0</v>
      </c>
      <c r="O1362" s="30">
        <v>0</v>
      </c>
      <c r="P1362" s="30">
        <v>0</v>
      </c>
      <c r="Q1362" s="30">
        <v>0</v>
      </c>
      <c r="R1362" s="29">
        <v>0</v>
      </c>
      <c r="S1362" s="36">
        <v>0</v>
      </c>
      <c r="T1362" s="7" t="s">
        <v>131</v>
      </c>
      <c r="U1362" s="7" t="s">
        <v>512</v>
      </c>
      <c r="V1362" s="7" t="s">
        <v>512</v>
      </c>
      <c r="W1362" s="7" t="s">
        <v>1177</v>
      </c>
      <c r="X1362" s="30">
        <v>1</v>
      </c>
      <c r="Y1362" s="7" t="s">
        <v>1177</v>
      </c>
      <c r="Z1362" s="7" t="s">
        <v>1178</v>
      </c>
      <c r="AA1362" s="30">
        <v>0</v>
      </c>
      <c r="AB1362" s="36">
        <v>0</v>
      </c>
      <c r="AC1362" s="7" t="s">
        <v>1177</v>
      </c>
      <c r="AD1362" s="37">
        <v>0</v>
      </c>
      <c r="AE1362" s="7" t="s">
        <v>1177</v>
      </c>
      <c r="AF1362" s="7" t="s">
        <v>1177</v>
      </c>
      <c r="AG1362" s="7" t="s">
        <v>1177</v>
      </c>
      <c r="AH1362" s="38"/>
      <c r="AI1362" s="36">
        <v>0</v>
      </c>
      <c r="AJ1362" s="7" t="s">
        <v>1193</v>
      </c>
      <c r="AK1362" s="7" t="s">
        <v>1177</v>
      </c>
      <c r="AL1362" s="7" t="s">
        <v>1177</v>
      </c>
      <c r="AM1362" s="7" t="s">
        <v>1177</v>
      </c>
      <c r="AN1362" s="7" t="s">
        <v>3212</v>
      </c>
      <c r="AO1362" s="7" t="s">
        <v>1177</v>
      </c>
      <c r="AP1362" s="7" t="s">
        <v>1177</v>
      </c>
      <c r="AQ1362" s="7" t="s">
        <v>1177</v>
      </c>
      <c r="AR1362" s="29">
        <v>0</v>
      </c>
      <c r="AS1362" s="7" t="s">
        <v>1177</v>
      </c>
      <c r="AT1362" s="7" t="s">
        <v>1363</v>
      </c>
      <c r="AU1362" s="38">
        <v>46275</v>
      </c>
      <c r="AV1362" s="39">
        <v>0.62305555555556003</v>
      </c>
    </row>
    <row r="1363" spans="1:48" x14ac:dyDescent="0.35">
      <c r="A1363" t="str">
        <f t="shared" si="21"/>
        <v>GP330681B857</v>
      </c>
      <c r="B1363" s="7" t="s">
        <v>480</v>
      </c>
      <c r="C1363" s="7" t="s">
        <v>958</v>
      </c>
      <c r="D1363" s="7" t="s">
        <v>23</v>
      </c>
      <c r="E1363" s="7" t="s">
        <v>1177</v>
      </c>
      <c r="F1363" s="7" t="s">
        <v>128</v>
      </c>
      <c r="G1363" s="7" t="s">
        <v>130</v>
      </c>
      <c r="H1363" s="7" t="s">
        <v>129</v>
      </c>
      <c r="I1363" s="30">
        <v>1</v>
      </c>
      <c r="J1363" s="7" t="s">
        <v>1177</v>
      </c>
      <c r="K1363" s="7" t="s">
        <v>1178</v>
      </c>
      <c r="L1363" s="7" t="s">
        <v>132</v>
      </c>
      <c r="M1363" s="7" t="s">
        <v>133</v>
      </c>
      <c r="N1363" s="30">
        <v>0</v>
      </c>
      <c r="O1363" s="30">
        <v>0</v>
      </c>
      <c r="P1363" s="30">
        <v>0</v>
      </c>
      <c r="Q1363" s="30">
        <v>0</v>
      </c>
      <c r="R1363" s="29">
        <v>0</v>
      </c>
      <c r="S1363" s="36">
        <v>0</v>
      </c>
      <c r="T1363" s="7" t="s">
        <v>131</v>
      </c>
      <c r="U1363" s="7" t="s">
        <v>959</v>
      </c>
      <c r="V1363" s="7" t="s">
        <v>959</v>
      </c>
      <c r="W1363" s="7" t="s">
        <v>1177</v>
      </c>
      <c r="X1363" s="30">
        <v>1</v>
      </c>
      <c r="Y1363" s="7" t="s">
        <v>1177</v>
      </c>
      <c r="Z1363" s="7" t="s">
        <v>1178</v>
      </c>
      <c r="AA1363" s="30">
        <v>0</v>
      </c>
      <c r="AB1363" s="36">
        <v>0</v>
      </c>
      <c r="AC1363" s="7" t="s">
        <v>1177</v>
      </c>
      <c r="AD1363" s="37">
        <v>0</v>
      </c>
      <c r="AE1363" s="7" t="s">
        <v>1177</v>
      </c>
      <c r="AF1363" s="7" t="s">
        <v>1177</v>
      </c>
      <c r="AG1363" s="7" t="s">
        <v>1177</v>
      </c>
      <c r="AH1363" s="38"/>
      <c r="AI1363" s="36">
        <v>0</v>
      </c>
      <c r="AJ1363" s="7" t="s">
        <v>1193</v>
      </c>
      <c r="AK1363" s="7" t="s">
        <v>1177</v>
      </c>
      <c r="AL1363" s="7" t="s">
        <v>1177</v>
      </c>
      <c r="AM1363" s="7" t="s">
        <v>1177</v>
      </c>
      <c r="AN1363" s="7" t="s">
        <v>3212</v>
      </c>
      <c r="AO1363" s="7" t="s">
        <v>1177</v>
      </c>
      <c r="AP1363" s="7" t="s">
        <v>1177</v>
      </c>
      <c r="AQ1363" s="7" t="s">
        <v>1177</v>
      </c>
      <c r="AR1363" s="29">
        <v>0</v>
      </c>
      <c r="AS1363" s="7" t="s">
        <v>1177</v>
      </c>
      <c r="AT1363" s="7" t="s">
        <v>1363</v>
      </c>
      <c r="AU1363" s="38">
        <v>46275</v>
      </c>
      <c r="AV1363" s="39">
        <v>0.62512731481480999</v>
      </c>
    </row>
    <row r="1364" spans="1:48" x14ac:dyDescent="0.35">
      <c r="A1364" t="str">
        <f t="shared" si="21"/>
        <v>GP330681B864</v>
      </c>
      <c r="B1364" s="7" t="s">
        <v>480</v>
      </c>
      <c r="C1364" s="7" t="s">
        <v>1010</v>
      </c>
      <c r="D1364" s="7" t="s">
        <v>10</v>
      </c>
      <c r="E1364" s="7" t="s">
        <v>1177</v>
      </c>
      <c r="F1364" s="7" t="s">
        <v>128</v>
      </c>
      <c r="G1364" s="7" t="s">
        <v>130</v>
      </c>
      <c r="H1364" s="7" t="s">
        <v>129</v>
      </c>
      <c r="I1364" s="30">
        <v>2</v>
      </c>
      <c r="J1364" s="7" t="s">
        <v>1177</v>
      </c>
      <c r="K1364" s="7" t="s">
        <v>1178</v>
      </c>
      <c r="L1364" s="7" t="s">
        <v>132</v>
      </c>
      <c r="M1364" s="7" t="s">
        <v>133</v>
      </c>
      <c r="N1364" s="30">
        <v>0</v>
      </c>
      <c r="O1364" s="30">
        <v>0</v>
      </c>
      <c r="P1364" s="30">
        <v>0</v>
      </c>
      <c r="Q1364" s="30">
        <v>0</v>
      </c>
      <c r="R1364" s="29">
        <v>0</v>
      </c>
      <c r="S1364" s="36">
        <v>0</v>
      </c>
      <c r="T1364" s="7" t="s">
        <v>131</v>
      </c>
      <c r="U1364" s="7" t="s">
        <v>1011</v>
      </c>
      <c r="V1364" s="7" t="s">
        <v>1011</v>
      </c>
      <c r="W1364" s="7" t="s">
        <v>1177</v>
      </c>
      <c r="X1364" s="30">
        <v>1</v>
      </c>
      <c r="Y1364" s="7" t="s">
        <v>1177</v>
      </c>
      <c r="Z1364" s="7" t="s">
        <v>1178</v>
      </c>
      <c r="AA1364" s="30">
        <v>0</v>
      </c>
      <c r="AB1364" s="36">
        <v>0</v>
      </c>
      <c r="AC1364" s="7" t="s">
        <v>1177</v>
      </c>
      <c r="AD1364" s="37">
        <v>0</v>
      </c>
      <c r="AE1364" s="7" t="s">
        <v>1177</v>
      </c>
      <c r="AF1364" s="7" t="s">
        <v>1177</v>
      </c>
      <c r="AG1364" s="7" t="s">
        <v>1177</v>
      </c>
      <c r="AH1364" s="38"/>
      <c r="AI1364" s="36">
        <v>0</v>
      </c>
      <c r="AJ1364" s="7" t="s">
        <v>1193</v>
      </c>
      <c r="AK1364" s="7" t="s">
        <v>1177</v>
      </c>
      <c r="AL1364" s="7" t="s">
        <v>1177</v>
      </c>
      <c r="AM1364" s="7" t="s">
        <v>1177</v>
      </c>
      <c r="AN1364" s="7" t="s">
        <v>3212</v>
      </c>
      <c r="AO1364" s="7" t="s">
        <v>1177</v>
      </c>
      <c r="AP1364" s="7" t="s">
        <v>1177</v>
      </c>
      <c r="AQ1364" s="7" t="s">
        <v>1177</v>
      </c>
      <c r="AR1364" s="29">
        <v>0</v>
      </c>
      <c r="AS1364" s="7" t="s">
        <v>1177</v>
      </c>
      <c r="AT1364" s="7" t="s">
        <v>1363</v>
      </c>
      <c r="AU1364" s="38">
        <v>46275</v>
      </c>
      <c r="AV1364" s="39">
        <v>0.62633101851852002</v>
      </c>
    </row>
    <row r="1365" spans="1:48" x14ac:dyDescent="0.35">
      <c r="A1365" t="str">
        <f t="shared" si="21"/>
        <v>GP330681B865</v>
      </c>
      <c r="B1365" s="7" t="s">
        <v>480</v>
      </c>
      <c r="C1365" s="7" t="s">
        <v>1039</v>
      </c>
      <c r="D1365" s="7" t="s">
        <v>7</v>
      </c>
      <c r="E1365" s="7" t="s">
        <v>1177</v>
      </c>
      <c r="F1365" s="7" t="s">
        <v>128</v>
      </c>
      <c r="G1365" s="7" t="s">
        <v>130</v>
      </c>
      <c r="H1365" s="7" t="s">
        <v>129</v>
      </c>
      <c r="I1365" s="30">
        <v>2</v>
      </c>
      <c r="J1365" s="7" t="s">
        <v>1177</v>
      </c>
      <c r="K1365" s="7" t="s">
        <v>1178</v>
      </c>
      <c r="L1365" s="7" t="s">
        <v>132</v>
      </c>
      <c r="M1365" s="7" t="s">
        <v>133</v>
      </c>
      <c r="N1365" s="30">
        <v>0</v>
      </c>
      <c r="O1365" s="30">
        <v>0</v>
      </c>
      <c r="P1365" s="30">
        <v>0</v>
      </c>
      <c r="Q1365" s="30">
        <v>0</v>
      </c>
      <c r="R1365" s="29">
        <v>0</v>
      </c>
      <c r="S1365" s="36">
        <v>0</v>
      </c>
      <c r="T1365" s="7" t="s">
        <v>131</v>
      </c>
      <c r="U1365" s="7" t="s">
        <v>1040</v>
      </c>
      <c r="V1365" s="7" t="s">
        <v>1040</v>
      </c>
      <c r="W1365" s="7" t="s">
        <v>1177</v>
      </c>
      <c r="X1365" s="30">
        <v>1</v>
      </c>
      <c r="Y1365" s="7" t="s">
        <v>1177</v>
      </c>
      <c r="Z1365" s="7" t="s">
        <v>1178</v>
      </c>
      <c r="AA1365" s="30">
        <v>0</v>
      </c>
      <c r="AB1365" s="36">
        <v>0</v>
      </c>
      <c r="AC1365" s="7" t="s">
        <v>1177</v>
      </c>
      <c r="AD1365" s="37">
        <v>0</v>
      </c>
      <c r="AE1365" s="7" t="s">
        <v>1177</v>
      </c>
      <c r="AF1365" s="7" t="s">
        <v>1177</v>
      </c>
      <c r="AG1365" s="7" t="s">
        <v>1177</v>
      </c>
      <c r="AH1365" s="38"/>
      <c r="AI1365" s="36">
        <v>0</v>
      </c>
      <c r="AJ1365" s="7" t="s">
        <v>1193</v>
      </c>
      <c r="AK1365" s="7" t="s">
        <v>1177</v>
      </c>
      <c r="AL1365" s="7" t="s">
        <v>1177</v>
      </c>
      <c r="AM1365" s="7" t="s">
        <v>1177</v>
      </c>
      <c r="AN1365" s="7" t="s">
        <v>3212</v>
      </c>
      <c r="AO1365" s="7" t="s">
        <v>1177</v>
      </c>
      <c r="AP1365" s="7" t="s">
        <v>1177</v>
      </c>
      <c r="AQ1365" s="7" t="s">
        <v>1177</v>
      </c>
      <c r="AR1365" s="29">
        <v>0</v>
      </c>
      <c r="AS1365" s="7" t="s">
        <v>1177</v>
      </c>
      <c r="AT1365" s="7" t="s">
        <v>1363</v>
      </c>
      <c r="AU1365" s="38">
        <v>46275</v>
      </c>
      <c r="AV1365" s="39">
        <v>0.62675925925926002</v>
      </c>
    </row>
    <row r="1366" spans="1:48" x14ac:dyDescent="0.35">
      <c r="A1366" t="str">
        <f t="shared" si="21"/>
        <v>GP330724B867</v>
      </c>
      <c r="B1366" s="7" t="s">
        <v>1071</v>
      </c>
      <c r="C1366" s="7" t="s">
        <v>1059</v>
      </c>
      <c r="D1366" s="7" t="s">
        <v>25</v>
      </c>
      <c r="E1366" s="7" t="s">
        <v>1177</v>
      </c>
      <c r="F1366" s="7" t="s">
        <v>128</v>
      </c>
      <c r="G1366" s="7" t="s">
        <v>130</v>
      </c>
      <c r="H1366" s="7" t="s">
        <v>129</v>
      </c>
      <c r="I1366" s="30">
        <v>2</v>
      </c>
      <c r="J1366" s="7" t="s">
        <v>1177</v>
      </c>
      <c r="K1366" s="7" t="s">
        <v>1178</v>
      </c>
      <c r="L1366" s="7" t="s">
        <v>132</v>
      </c>
      <c r="M1366" s="7" t="s">
        <v>133</v>
      </c>
      <c r="N1366" s="30">
        <v>0</v>
      </c>
      <c r="O1366" s="30">
        <v>0</v>
      </c>
      <c r="P1366" s="30">
        <v>0</v>
      </c>
      <c r="Q1366" s="30">
        <v>0</v>
      </c>
      <c r="R1366" s="29">
        <v>0</v>
      </c>
      <c r="S1366" s="36">
        <v>0</v>
      </c>
      <c r="T1366" s="7" t="s">
        <v>131</v>
      </c>
      <c r="U1366" s="7" t="s">
        <v>1060</v>
      </c>
      <c r="V1366" s="7" t="s">
        <v>1060</v>
      </c>
      <c r="W1366" s="7" t="s">
        <v>1177</v>
      </c>
      <c r="X1366" s="30">
        <v>1</v>
      </c>
      <c r="Y1366" s="7" t="s">
        <v>1177</v>
      </c>
      <c r="Z1366" s="7" t="s">
        <v>1178</v>
      </c>
      <c r="AA1366" s="30">
        <v>0</v>
      </c>
      <c r="AB1366" s="36">
        <v>0</v>
      </c>
      <c r="AC1366" s="7" t="s">
        <v>1177</v>
      </c>
      <c r="AD1366" s="37">
        <v>0</v>
      </c>
      <c r="AE1366" s="7" t="s">
        <v>1177</v>
      </c>
      <c r="AF1366" s="7" t="s">
        <v>1177</v>
      </c>
      <c r="AG1366" s="7" t="s">
        <v>1177</v>
      </c>
      <c r="AH1366" s="38"/>
      <c r="AI1366" s="36">
        <v>0</v>
      </c>
      <c r="AJ1366" s="7" t="s">
        <v>1193</v>
      </c>
      <c r="AK1366" s="7" t="s">
        <v>1177</v>
      </c>
      <c r="AL1366" s="7" t="s">
        <v>1177</v>
      </c>
      <c r="AM1366" s="7" t="s">
        <v>1177</v>
      </c>
      <c r="AN1366" s="7" t="s">
        <v>3212</v>
      </c>
      <c r="AO1366" s="7" t="s">
        <v>1177</v>
      </c>
      <c r="AP1366" s="7" t="s">
        <v>1177</v>
      </c>
      <c r="AQ1366" s="7" t="s">
        <v>1177</v>
      </c>
      <c r="AR1366" s="29">
        <v>0</v>
      </c>
      <c r="AS1366" s="7" t="s">
        <v>1177</v>
      </c>
      <c r="AT1366" s="7" t="s">
        <v>1363</v>
      </c>
      <c r="AU1366" s="38">
        <v>46275</v>
      </c>
      <c r="AV1366" s="39">
        <v>0.62714120370369997</v>
      </c>
    </row>
    <row r="1367" spans="1:48" x14ac:dyDescent="0.35">
      <c r="A1367" t="str">
        <f t="shared" si="21"/>
        <v>GP331368B825</v>
      </c>
      <c r="B1367" s="7" t="s">
        <v>605</v>
      </c>
      <c r="C1367" s="7" t="s">
        <v>511</v>
      </c>
      <c r="D1367" s="7" t="s">
        <v>16</v>
      </c>
      <c r="E1367" s="7" t="s">
        <v>1177</v>
      </c>
      <c r="F1367" s="7" t="s">
        <v>128</v>
      </c>
      <c r="G1367" s="7" t="s">
        <v>130</v>
      </c>
      <c r="H1367" s="7" t="s">
        <v>129</v>
      </c>
      <c r="I1367" s="30">
        <v>2</v>
      </c>
      <c r="J1367" s="7" t="s">
        <v>1177</v>
      </c>
      <c r="K1367" s="7" t="s">
        <v>1178</v>
      </c>
      <c r="L1367" s="7" t="s">
        <v>132</v>
      </c>
      <c r="M1367" s="7" t="s">
        <v>133</v>
      </c>
      <c r="N1367" s="30">
        <v>0</v>
      </c>
      <c r="O1367" s="30">
        <v>0</v>
      </c>
      <c r="P1367" s="30">
        <v>0</v>
      </c>
      <c r="Q1367" s="30">
        <v>0</v>
      </c>
      <c r="R1367" s="29">
        <v>0</v>
      </c>
      <c r="S1367" s="36">
        <v>0</v>
      </c>
      <c r="T1367" s="7" t="s">
        <v>131</v>
      </c>
      <c r="U1367" s="7" t="s">
        <v>512</v>
      </c>
      <c r="V1367" s="7" t="s">
        <v>512</v>
      </c>
      <c r="W1367" s="7" t="s">
        <v>1177</v>
      </c>
      <c r="X1367" s="30">
        <v>1</v>
      </c>
      <c r="Y1367" s="7" t="s">
        <v>1177</v>
      </c>
      <c r="Z1367" s="7" t="s">
        <v>1178</v>
      </c>
      <c r="AA1367" s="30">
        <v>0</v>
      </c>
      <c r="AB1367" s="36">
        <v>0</v>
      </c>
      <c r="AC1367" s="7" t="s">
        <v>1177</v>
      </c>
      <c r="AD1367" s="37">
        <v>0</v>
      </c>
      <c r="AE1367" s="7" t="s">
        <v>1177</v>
      </c>
      <c r="AF1367" s="7" t="s">
        <v>1177</v>
      </c>
      <c r="AG1367" s="7" t="s">
        <v>1177</v>
      </c>
      <c r="AH1367" s="38"/>
      <c r="AI1367" s="36">
        <v>0</v>
      </c>
      <c r="AJ1367" s="7" t="s">
        <v>1193</v>
      </c>
      <c r="AK1367" s="7" t="s">
        <v>1177</v>
      </c>
      <c r="AL1367" s="7" t="s">
        <v>1177</v>
      </c>
      <c r="AM1367" s="7" t="s">
        <v>1177</v>
      </c>
      <c r="AN1367" s="7" t="s">
        <v>3212</v>
      </c>
      <c r="AO1367" s="7" t="s">
        <v>1177</v>
      </c>
      <c r="AP1367" s="7" t="s">
        <v>1177</v>
      </c>
      <c r="AQ1367" s="7" t="s">
        <v>1177</v>
      </c>
      <c r="AR1367" s="29">
        <v>0</v>
      </c>
      <c r="AS1367" s="7" t="s">
        <v>1177</v>
      </c>
      <c r="AT1367" s="7" t="s">
        <v>1363</v>
      </c>
      <c r="AU1367" s="38">
        <v>46275</v>
      </c>
      <c r="AV1367" s="39">
        <v>0.60349537037037004</v>
      </c>
    </row>
    <row r="1368" spans="1:48" x14ac:dyDescent="0.35">
      <c r="A1368" t="str">
        <f t="shared" si="21"/>
        <v>GP331368B856</v>
      </c>
      <c r="B1368" s="7" t="s">
        <v>605</v>
      </c>
      <c r="C1368" s="7" t="s">
        <v>852</v>
      </c>
      <c r="D1368" s="7" t="s">
        <v>21</v>
      </c>
      <c r="E1368" s="7" t="s">
        <v>1177</v>
      </c>
      <c r="F1368" s="7" t="s">
        <v>128</v>
      </c>
      <c r="G1368" s="7" t="s">
        <v>130</v>
      </c>
      <c r="H1368" s="7" t="s">
        <v>129</v>
      </c>
      <c r="I1368" s="30">
        <v>2</v>
      </c>
      <c r="J1368" s="7" t="s">
        <v>1177</v>
      </c>
      <c r="K1368" s="7" t="s">
        <v>1178</v>
      </c>
      <c r="L1368" s="7" t="s">
        <v>132</v>
      </c>
      <c r="M1368" s="7" t="s">
        <v>133</v>
      </c>
      <c r="N1368" s="30">
        <v>0</v>
      </c>
      <c r="O1368" s="30">
        <v>0</v>
      </c>
      <c r="P1368" s="30">
        <v>0</v>
      </c>
      <c r="Q1368" s="30">
        <v>0</v>
      </c>
      <c r="R1368" s="29">
        <v>0</v>
      </c>
      <c r="S1368" s="36">
        <v>0</v>
      </c>
      <c r="T1368" s="7" t="s">
        <v>131</v>
      </c>
      <c r="U1368" s="7" t="s">
        <v>853</v>
      </c>
      <c r="V1368" s="7" t="s">
        <v>853</v>
      </c>
      <c r="W1368" s="7" t="s">
        <v>1177</v>
      </c>
      <c r="X1368" s="30">
        <v>1</v>
      </c>
      <c r="Y1368" s="7" t="s">
        <v>1177</v>
      </c>
      <c r="Z1368" s="7" t="s">
        <v>1178</v>
      </c>
      <c r="AA1368" s="30">
        <v>0</v>
      </c>
      <c r="AB1368" s="36">
        <v>0</v>
      </c>
      <c r="AC1368" s="7" t="s">
        <v>1177</v>
      </c>
      <c r="AD1368" s="37">
        <v>0</v>
      </c>
      <c r="AE1368" s="7" t="s">
        <v>1177</v>
      </c>
      <c r="AF1368" s="7" t="s">
        <v>1177</v>
      </c>
      <c r="AG1368" s="7" t="s">
        <v>1177</v>
      </c>
      <c r="AH1368" s="38"/>
      <c r="AI1368" s="36">
        <v>0</v>
      </c>
      <c r="AJ1368" s="7" t="s">
        <v>1193</v>
      </c>
      <c r="AK1368" s="7" t="s">
        <v>1177</v>
      </c>
      <c r="AL1368" s="7" t="s">
        <v>1177</v>
      </c>
      <c r="AM1368" s="7" t="s">
        <v>1177</v>
      </c>
      <c r="AN1368" s="7" t="s">
        <v>3212</v>
      </c>
      <c r="AO1368" s="7" t="s">
        <v>1177</v>
      </c>
      <c r="AP1368" s="7" t="s">
        <v>1177</v>
      </c>
      <c r="AQ1368" s="7" t="s">
        <v>1177</v>
      </c>
      <c r="AR1368" s="29">
        <v>0</v>
      </c>
      <c r="AS1368" s="7" t="s">
        <v>1177</v>
      </c>
      <c r="AT1368" s="7" t="s">
        <v>1363</v>
      </c>
      <c r="AU1368" s="38">
        <v>46275</v>
      </c>
      <c r="AV1368" s="39">
        <v>0.60524305555556002</v>
      </c>
    </row>
    <row r="1369" spans="1:48" x14ac:dyDescent="0.35">
      <c r="A1369" t="str">
        <f t="shared" si="21"/>
        <v>GP331368B857</v>
      </c>
      <c r="B1369" s="7" t="s">
        <v>605</v>
      </c>
      <c r="C1369" s="7" t="s">
        <v>958</v>
      </c>
      <c r="D1369" s="7" t="s">
        <v>23</v>
      </c>
      <c r="E1369" s="7" t="s">
        <v>1177</v>
      </c>
      <c r="F1369" s="7" t="s">
        <v>128</v>
      </c>
      <c r="G1369" s="7" t="s">
        <v>130</v>
      </c>
      <c r="H1369" s="7" t="s">
        <v>129</v>
      </c>
      <c r="I1369" s="30">
        <v>2</v>
      </c>
      <c r="J1369" s="7" t="s">
        <v>1177</v>
      </c>
      <c r="K1369" s="7" t="s">
        <v>1178</v>
      </c>
      <c r="L1369" s="7" t="s">
        <v>132</v>
      </c>
      <c r="M1369" s="7" t="s">
        <v>133</v>
      </c>
      <c r="N1369" s="30">
        <v>0</v>
      </c>
      <c r="O1369" s="30">
        <v>0</v>
      </c>
      <c r="P1369" s="30">
        <v>0</v>
      </c>
      <c r="Q1369" s="30">
        <v>0</v>
      </c>
      <c r="R1369" s="29">
        <v>0</v>
      </c>
      <c r="S1369" s="36">
        <v>0</v>
      </c>
      <c r="T1369" s="7" t="s">
        <v>131</v>
      </c>
      <c r="U1369" s="7" t="s">
        <v>959</v>
      </c>
      <c r="V1369" s="7" t="s">
        <v>959</v>
      </c>
      <c r="W1369" s="7" t="s">
        <v>1177</v>
      </c>
      <c r="X1369" s="30">
        <v>1</v>
      </c>
      <c r="Y1369" s="7" t="s">
        <v>1177</v>
      </c>
      <c r="Z1369" s="7" t="s">
        <v>1178</v>
      </c>
      <c r="AA1369" s="30">
        <v>0</v>
      </c>
      <c r="AB1369" s="36">
        <v>0</v>
      </c>
      <c r="AC1369" s="7" t="s">
        <v>1177</v>
      </c>
      <c r="AD1369" s="37">
        <v>0</v>
      </c>
      <c r="AE1369" s="7" t="s">
        <v>1177</v>
      </c>
      <c r="AF1369" s="7" t="s">
        <v>1177</v>
      </c>
      <c r="AG1369" s="7" t="s">
        <v>1177</v>
      </c>
      <c r="AH1369" s="38"/>
      <c r="AI1369" s="36">
        <v>0</v>
      </c>
      <c r="AJ1369" s="7" t="s">
        <v>1193</v>
      </c>
      <c r="AK1369" s="7" t="s">
        <v>1177</v>
      </c>
      <c r="AL1369" s="7" t="s">
        <v>1177</v>
      </c>
      <c r="AM1369" s="7" t="s">
        <v>1177</v>
      </c>
      <c r="AN1369" s="7" t="s">
        <v>3212</v>
      </c>
      <c r="AO1369" s="7" t="s">
        <v>1177</v>
      </c>
      <c r="AP1369" s="7" t="s">
        <v>1177</v>
      </c>
      <c r="AQ1369" s="7" t="s">
        <v>1177</v>
      </c>
      <c r="AR1369" s="29">
        <v>0</v>
      </c>
      <c r="AS1369" s="7" t="s">
        <v>1177</v>
      </c>
      <c r="AT1369" s="7" t="s">
        <v>1363</v>
      </c>
      <c r="AU1369" s="38">
        <v>46275</v>
      </c>
      <c r="AV1369" s="39">
        <v>0.60524305555556002</v>
      </c>
    </row>
    <row r="1370" spans="1:48" x14ac:dyDescent="0.35">
      <c r="A1370" t="str">
        <f t="shared" si="21"/>
        <v>GP331368B864</v>
      </c>
      <c r="B1370" s="7" t="s">
        <v>605</v>
      </c>
      <c r="C1370" s="7" t="s">
        <v>1010</v>
      </c>
      <c r="D1370" s="7" t="s">
        <v>10</v>
      </c>
      <c r="E1370" s="7" t="s">
        <v>1177</v>
      </c>
      <c r="F1370" s="7" t="s">
        <v>128</v>
      </c>
      <c r="G1370" s="7" t="s">
        <v>130</v>
      </c>
      <c r="H1370" s="7" t="s">
        <v>129</v>
      </c>
      <c r="I1370" s="30">
        <v>2</v>
      </c>
      <c r="J1370" s="7" t="s">
        <v>1177</v>
      </c>
      <c r="K1370" s="7" t="s">
        <v>1178</v>
      </c>
      <c r="L1370" s="7" t="s">
        <v>132</v>
      </c>
      <c r="M1370" s="7" t="s">
        <v>133</v>
      </c>
      <c r="N1370" s="30">
        <v>0</v>
      </c>
      <c r="O1370" s="30">
        <v>0</v>
      </c>
      <c r="P1370" s="30">
        <v>0</v>
      </c>
      <c r="Q1370" s="30">
        <v>0</v>
      </c>
      <c r="R1370" s="29">
        <v>0</v>
      </c>
      <c r="S1370" s="36">
        <v>0</v>
      </c>
      <c r="T1370" s="7" t="s">
        <v>131</v>
      </c>
      <c r="U1370" s="7" t="s">
        <v>1011</v>
      </c>
      <c r="V1370" s="7" t="s">
        <v>1011</v>
      </c>
      <c r="W1370" s="7" t="s">
        <v>1177</v>
      </c>
      <c r="X1370" s="30">
        <v>1</v>
      </c>
      <c r="Y1370" s="7" t="s">
        <v>1177</v>
      </c>
      <c r="Z1370" s="7" t="s">
        <v>1178</v>
      </c>
      <c r="AA1370" s="30">
        <v>0</v>
      </c>
      <c r="AB1370" s="36">
        <v>0</v>
      </c>
      <c r="AC1370" s="7" t="s">
        <v>1177</v>
      </c>
      <c r="AD1370" s="37">
        <v>0</v>
      </c>
      <c r="AE1370" s="7" t="s">
        <v>1177</v>
      </c>
      <c r="AF1370" s="7" t="s">
        <v>1177</v>
      </c>
      <c r="AG1370" s="7" t="s">
        <v>1177</v>
      </c>
      <c r="AH1370" s="38"/>
      <c r="AI1370" s="36">
        <v>0</v>
      </c>
      <c r="AJ1370" s="7" t="s">
        <v>1193</v>
      </c>
      <c r="AK1370" s="7" t="s">
        <v>1177</v>
      </c>
      <c r="AL1370" s="7" t="s">
        <v>1177</v>
      </c>
      <c r="AM1370" s="7" t="s">
        <v>1177</v>
      </c>
      <c r="AN1370" s="7" t="s">
        <v>3212</v>
      </c>
      <c r="AO1370" s="7" t="s">
        <v>1177</v>
      </c>
      <c r="AP1370" s="7" t="s">
        <v>1177</v>
      </c>
      <c r="AQ1370" s="7" t="s">
        <v>1177</v>
      </c>
      <c r="AR1370" s="29">
        <v>0</v>
      </c>
      <c r="AS1370" s="7" t="s">
        <v>1177</v>
      </c>
      <c r="AT1370" s="7" t="s">
        <v>1363</v>
      </c>
      <c r="AU1370" s="38">
        <v>46275</v>
      </c>
      <c r="AV1370" s="39">
        <v>0.60542824074073998</v>
      </c>
    </row>
    <row r="1371" spans="1:48" x14ac:dyDescent="0.35">
      <c r="A1371" t="str">
        <f t="shared" si="21"/>
        <v>GP331368B865</v>
      </c>
      <c r="B1371" s="7" t="s">
        <v>605</v>
      </c>
      <c r="C1371" s="7" t="s">
        <v>1039</v>
      </c>
      <c r="D1371" s="7" t="s">
        <v>7</v>
      </c>
      <c r="E1371" s="7" t="s">
        <v>1177</v>
      </c>
      <c r="F1371" s="7" t="s">
        <v>128</v>
      </c>
      <c r="G1371" s="7" t="s">
        <v>130</v>
      </c>
      <c r="H1371" s="7" t="s">
        <v>129</v>
      </c>
      <c r="I1371" s="30">
        <v>1</v>
      </c>
      <c r="J1371" s="7" t="s">
        <v>1177</v>
      </c>
      <c r="K1371" s="7" t="s">
        <v>1178</v>
      </c>
      <c r="L1371" s="7" t="s">
        <v>132</v>
      </c>
      <c r="M1371" s="7" t="s">
        <v>133</v>
      </c>
      <c r="N1371" s="30">
        <v>0</v>
      </c>
      <c r="O1371" s="30">
        <v>0</v>
      </c>
      <c r="P1371" s="30">
        <v>0</v>
      </c>
      <c r="Q1371" s="30">
        <v>0</v>
      </c>
      <c r="R1371" s="29">
        <v>0</v>
      </c>
      <c r="S1371" s="36">
        <v>0</v>
      </c>
      <c r="T1371" s="7" t="s">
        <v>131</v>
      </c>
      <c r="U1371" s="7" t="s">
        <v>1040</v>
      </c>
      <c r="V1371" s="7" t="s">
        <v>1040</v>
      </c>
      <c r="W1371" s="7" t="s">
        <v>1177</v>
      </c>
      <c r="X1371" s="30">
        <v>1</v>
      </c>
      <c r="Y1371" s="7" t="s">
        <v>1177</v>
      </c>
      <c r="Z1371" s="7" t="s">
        <v>1178</v>
      </c>
      <c r="AA1371" s="30">
        <v>0</v>
      </c>
      <c r="AB1371" s="36">
        <v>0</v>
      </c>
      <c r="AC1371" s="7" t="s">
        <v>1177</v>
      </c>
      <c r="AD1371" s="37">
        <v>0</v>
      </c>
      <c r="AE1371" s="7" t="s">
        <v>1177</v>
      </c>
      <c r="AF1371" s="7" t="s">
        <v>1177</v>
      </c>
      <c r="AG1371" s="7" t="s">
        <v>1177</v>
      </c>
      <c r="AH1371" s="38"/>
      <c r="AI1371" s="36">
        <v>0</v>
      </c>
      <c r="AJ1371" s="7" t="s">
        <v>1193</v>
      </c>
      <c r="AK1371" s="7" t="s">
        <v>1177</v>
      </c>
      <c r="AL1371" s="7" t="s">
        <v>1177</v>
      </c>
      <c r="AM1371" s="7" t="s">
        <v>1177</v>
      </c>
      <c r="AN1371" s="7" t="s">
        <v>3212</v>
      </c>
      <c r="AO1371" s="7" t="s">
        <v>1177</v>
      </c>
      <c r="AP1371" s="7" t="s">
        <v>1177</v>
      </c>
      <c r="AQ1371" s="7" t="s">
        <v>1177</v>
      </c>
      <c r="AR1371" s="29">
        <v>0</v>
      </c>
      <c r="AS1371" s="7" t="s">
        <v>1177</v>
      </c>
      <c r="AT1371" s="7" t="s">
        <v>1363</v>
      </c>
      <c r="AU1371" s="38">
        <v>46275</v>
      </c>
      <c r="AV1371" s="39">
        <v>0.60549768518518998</v>
      </c>
    </row>
    <row r="1372" spans="1:48" x14ac:dyDescent="0.35">
      <c r="A1372" t="str">
        <f t="shared" si="21"/>
        <v>GP331368B867</v>
      </c>
      <c r="B1372" s="7" t="s">
        <v>605</v>
      </c>
      <c r="C1372" s="7" t="s">
        <v>1059</v>
      </c>
      <c r="D1372" s="7" t="s">
        <v>25</v>
      </c>
      <c r="E1372" s="7" t="s">
        <v>1177</v>
      </c>
      <c r="F1372" s="7" t="s">
        <v>128</v>
      </c>
      <c r="G1372" s="7" t="s">
        <v>130</v>
      </c>
      <c r="H1372" s="7" t="s">
        <v>129</v>
      </c>
      <c r="I1372" s="30">
        <v>2</v>
      </c>
      <c r="J1372" s="7" t="s">
        <v>1177</v>
      </c>
      <c r="K1372" s="7" t="s">
        <v>1178</v>
      </c>
      <c r="L1372" s="7" t="s">
        <v>132</v>
      </c>
      <c r="M1372" s="7" t="s">
        <v>133</v>
      </c>
      <c r="N1372" s="30">
        <v>0</v>
      </c>
      <c r="O1372" s="30">
        <v>0</v>
      </c>
      <c r="P1372" s="30">
        <v>0</v>
      </c>
      <c r="Q1372" s="30">
        <v>0</v>
      </c>
      <c r="R1372" s="29">
        <v>0</v>
      </c>
      <c r="S1372" s="36">
        <v>0</v>
      </c>
      <c r="T1372" s="7" t="s">
        <v>131</v>
      </c>
      <c r="U1372" s="7" t="s">
        <v>1060</v>
      </c>
      <c r="V1372" s="7" t="s">
        <v>1060</v>
      </c>
      <c r="W1372" s="7" t="s">
        <v>1177</v>
      </c>
      <c r="X1372" s="30">
        <v>1</v>
      </c>
      <c r="Y1372" s="7" t="s">
        <v>1177</v>
      </c>
      <c r="Z1372" s="7" t="s">
        <v>1178</v>
      </c>
      <c r="AA1372" s="30">
        <v>0</v>
      </c>
      <c r="AB1372" s="36">
        <v>0</v>
      </c>
      <c r="AC1372" s="7" t="s">
        <v>1177</v>
      </c>
      <c r="AD1372" s="37">
        <v>0</v>
      </c>
      <c r="AE1372" s="7" t="s">
        <v>1177</v>
      </c>
      <c r="AF1372" s="7" t="s">
        <v>1177</v>
      </c>
      <c r="AG1372" s="7" t="s">
        <v>1177</v>
      </c>
      <c r="AH1372" s="38"/>
      <c r="AI1372" s="36">
        <v>0</v>
      </c>
      <c r="AJ1372" s="7" t="s">
        <v>1193</v>
      </c>
      <c r="AK1372" s="7" t="s">
        <v>1177</v>
      </c>
      <c r="AL1372" s="7" t="s">
        <v>1177</v>
      </c>
      <c r="AM1372" s="7" t="s">
        <v>1177</v>
      </c>
      <c r="AN1372" s="7" t="s">
        <v>3212</v>
      </c>
      <c r="AO1372" s="7" t="s">
        <v>1177</v>
      </c>
      <c r="AP1372" s="7" t="s">
        <v>1177</v>
      </c>
      <c r="AQ1372" s="7" t="s">
        <v>1177</v>
      </c>
      <c r="AR1372" s="29">
        <v>0</v>
      </c>
      <c r="AS1372" s="7" t="s">
        <v>1177</v>
      </c>
      <c r="AT1372" s="7" t="s">
        <v>1363</v>
      </c>
      <c r="AU1372" s="38">
        <v>46275</v>
      </c>
      <c r="AV1372" s="39">
        <v>0.60563657407407001</v>
      </c>
    </row>
    <row r="1373" spans="1:48" x14ac:dyDescent="0.35">
      <c r="A1373" t="str">
        <f t="shared" si="21"/>
        <v>GP331380B865</v>
      </c>
      <c r="B1373" s="7" t="s">
        <v>1048</v>
      </c>
      <c r="C1373" s="7" t="s">
        <v>1039</v>
      </c>
      <c r="D1373" s="7" t="s">
        <v>7</v>
      </c>
      <c r="E1373" s="7" t="s">
        <v>1177</v>
      </c>
      <c r="F1373" s="7" t="s">
        <v>128</v>
      </c>
      <c r="G1373" s="7" t="s">
        <v>130</v>
      </c>
      <c r="H1373" s="7" t="s">
        <v>129</v>
      </c>
      <c r="I1373" s="30">
        <v>2</v>
      </c>
      <c r="J1373" s="7" t="s">
        <v>1177</v>
      </c>
      <c r="K1373" s="7" t="s">
        <v>1178</v>
      </c>
      <c r="L1373" s="7" t="s">
        <v>132</v>
      </c>
      <c r="M1373" s="7" t="s">
        <v>133</v>
      </c>
      <c r="N1373" s="30">
        <v>0</v>
      </c>
      <c r="O1373" s="30">
        <v>0</v>
      </c>
      <c r="P1373" s="30">
        <v>0</v>
      </c>
      <c r="Q1373" s="30">
        <v>0</v>
      </c>
      <c r="R1373" s="29">
        <v>0</v>
      </c>
      <c r="S1373" s="36">
        <v>0</v>
      </c>
      <c r="T1373" s="7" t="s">
        <v>131</v>
      </c>
      <c r="U1373" s="7" t="s">
        <v>1040</v>
      </c>
      <c r="V1373" s="7" t="s">
        <v>1040</v>
      </c>
      <c r="W1373" s="7" t="s">
        <v>1177</v>
      </c>
      <c r="X1373" s="30">
        <v>1</v>
      </c>
      <c r="Y1373" s="7" t="s">
        <v>1177</v>
      </c>
      <c r="Z1373" s="7" t="s">
        <v>1178</v>
      </c>
      <c r="AA1373" s="30">
        <v>0</v>
      </c>
      <c r="AB1373" s="36">
        <v>0</v>
      </c>
      <c r="AC1373" s="7" t="s">
        <v>1177</v>
      </c>
      <c r="AD1373" s="37">
        <v>0</v>
      </c>
      <c r="AE1373" s="7" t="s">
        <v>1177</v>
      </c>
      <c r="AF1373" s="7" t="s">
        <v>1177</v>
      </c>
      <c r="AG1373" s="7" t="s">
        <v>1177</v>
      </c>
      <c r="AH1373" s="38"/>
      <c r="AI1373" s="36">
        <v>0</v>
      </c>
      <c r="AJ1373" s="7" t="s">
        <v>1193</v>
      </c>
      <c r="AK1373" s="7" t="s">
        <v>1177</v>
      </c>
      <c r="AL1373" s="7" t="s">
        <v>1177</v>
      </c>
      <c r="AM1373" s="7" t="s">
        <v>1177</v>
      </c>
      <c r="AN1373" s="7" t="s">
        <v>3212</v>
      </c>
      <c r="AO1373" s="7" t="s">
        <v>1177</v>
      </c>
      <c r="AP1373" s="7" t="s">
        <v>1177</v>
      </c>
      <c r="AQ1373" s="7" t="s">
        <v>1177</v>
      </c>
      <c r="AR1373" s="29">
        <v>0</v>
      </c>
      <c r="AS1373" s="7" t="s">
        <v>1177</v>
      </c>
      <c r="AT1373" s="7" t="s">
        <v>1363</v>
      </c>
      <c r="AU1373" s="38">
        <v>46275</v>
      </c>
      <c r="AV1373" s="39">
        <v>0.62675925925926002</v>
      </c>
    </row>
    <row r="1374" spans="1:48" x14ac:dyDescent="0.35">
      <c r="A1374" t="str">
        <f t="shared" si="21"/>
        <v>GP331381B832</v>
      </c>
      <c r="B1374" s="7" t="s">
        <v>420</v>
      </c>
      <c r="C1374" s="7" t="s">
        <v>653</v>
      </c>
      <c r="D1374" s="7" t="s">
        <v>19</v>
      </c>
      <c r="E1374" s="7" t="s">
        <v>1177</v>
      </c>
      <c r="F1374" s="7" t="s">
        <v>128</v>
      </c>
      <c r="G1374" s="7" t="s">
        <v>130</v>
      </c>
      <c r="H1374" s="7" t="s">
        <v>129</v>
      </c>
      <c r="I1374" s="30">
        <v>2</v>
      </c>
      <c r="J1374" s="7" t="s">
        <v>1177</v>
      </c>
      <c r="K1374" s="7" t="s">
        <v>1178</v>
      </c>
      <c r="L1374" s="7" t="s">
        <v>132</v>
      </c>
      <c r="M1374" s="7" t="s">
        <v>133</v>
      </c>
      <c r="N1374" s="30">
        <v>0</v>
      </c>
      <c r="O1374" s="30">
        <v>0</v>
      </c>
      <c r="P1374" s="30">
        <v>0</v>
      </c>
      <c r="Q1374" s="30">
        <v>0</v>
      </c>
      <c r="R1374" s="29">
        <v>0</v>
      </c>
      <c r="S1374" s="36">
        <v>0</v>
      </c>
      <c r="T1374" s="7" t="s">
        <v>131</v>
      </c>
      <c r="U1374" s="7" t="s">
        <v>654</v>
      </c>
      <c r="V1374" s="7" t="s">
        <v>654</v>
      </c>
      <c r="W1374" s="7" t="s">
        <v>1177</v>
      </c>
      <c r="X1374" s="30">
        <v>1</v>
      </c>
      <c r="Y1374" s="7" t="s">
        <v>1177</v>
      </c>
      <c r="Z1374" s="7" t="s">
        <v>1178</v>
      </c>
      <c r="AA1374" s="30">
        <v>0</v>
      </c>
      <c r="AB1374" s="36">
        <v>0</v>
      </c>
      <c r="AC1374" s="7" t="s">
        <v>1177</v>
      </c>
      <c r="AD1374" s="37">
        <v>0</v>
      </c>
      <c r="AE1374" s="7" t="s">
        <v>1177</v>
      </c>
      <c r="AF1374" s="7" t="s">
        <v>1177</v>
      </c>
      <c r="AG1374" s="7" t="s">
        <v>1177</v>
      </c>
      <c r="AH1374" s="38"/>
      <c r="AI1374" s="36">
        <v>0</v>
      </c>
      <c r="AJ1374" s="7" t="s">
        <v>1193</v>
      </c>
      <c r="AK1374" s="7" t="s">
        <v>1177</v>
      </c>
      <c r="AL1374" s="7" t="s">
        <v>1177</v>
      </c>
      <c r="AM1374" s="7" t="s">
        <v>1177</v>
      </c>
      <c r="AN1374" s="7" t="s">
        <v>3212</v>
      </c>
      <c r="AO1374" s="7" t="s">
        <v>1177</v>
      </c>
      <c r="AP1374" s="7" t="s">
        <v>1177</v>
      </c>
      <c r="AQ1374" s="7" t="s">
        <v>1177</v>
      </c>
      <c r="AR1374" s="29">
        <v>0</v>
      </c>
      <c r="AS1374" s="7" t="s">
        <v>1177</v>
      </c>
      <c r="AT1374" s="7" t="s">
        <v>1363</v>
      </c>
      <c r="AU1374" s="38">
        <v>46275</v>
      </c>
      <c r="AV1374" s="39">
        <v>0.62336805555555996</v>
      </c>
    </row>
    <row r="1375" spans="1:48" x14ac:dyDescent="0.35">
      <c r="A1375" t="str">
        <f t="shared" si="21"/>
        <v>GP331381B833</v>
      </c>
      <c r="B1375" s="7" t="s">
        <v>420</v>
      </c>
      <c r="C1375" s="7" t="s">
        <v>698</v>
      </c>
      <c r="D1375" s="7" t="s">
        <v>697</v>
      </c>
      <c r="E1375" s="7" t="s">
        <v>1177</v>
      </c>
      <c r="F1375" s="7" t="s">
        <v>128</v>
      </c>
      <c r="G1375" s="7" t="s">
        <v>130</v>
      </c>
      <c r="H1375" s="7" t="s">
        <v>129</v>
      </c>
      <c r="I1375" s="30">
        <v>2</v>
      </c>
      <c r="J1375" s="7" t="s">
        <v>1177</v>
      </c>
      <c r="K1375" s="7" t="s">
        <v>1178</v>
      </c>
      <c r="L1375" s="7" t="s">
        <v>132</v>
      </c>
      <c r="M1375" s="7" t="s">
        <v>133</v>
      </c>
      <c r="N1375" s="30">
        <v>0</v>
      </c>
      <c r="O1375" s="30">
        <v>0</v>
      </c>
      <c r="P1375" s="30">
        <v>0</v>
      </c>
      <c r="Q1375" s="30">
        <v>0</v>
      </c>
      <c r="R1375" s="29">
        <v>0</v>
      </c>
      <c r="S1375" s="36">
        <v>0</v>
      </c>
      <c r="T1375" s="7" t="s">
        <v>131</v>
      </c>
      <c r="U1375" s="7" t="s">
        <v>699</v>
      </c>
      <c r="V1375" s="7" t="s">
        <v>699</v>
      </c>
      <c r="W1375" s="7" t="s">
        <v>1177</v>
      </c>
      <c r="X1375" s="30">
        <v>1</v>
      </c>
      <c r="Y1375" s="7" t="s">
        <v>1177</v>
      </c>
      <c r="Z1375" s="7" t="s">
        <v>1178</v>
      </c>
      <c r="AA1375" s="30">
        <v>0</v>
      </c>
      <c r="AB1375" s="36">
        <v>0</v>
      </c>
      <c r="AC1375" s="7" t="s">
        <v>1177</v>
      </c>
      <c r="AD1375" s="37">
        <v>0</v>
      </c>
      <c r="AE1375" s="7" t="s">
        <v>1177</v>
      </c>
      <c r="AF1375" s="7" t="s">
        <v>1177</v>
      </c>
      <c r="AG1375" s="7" t="s">
        <v>1177</v>
      </c>
      <c r="AH1375" s="38"/>
      <c r="AI1375" s="36">
        <v>0</v>
      </c>
      <c r="AJ1375" s="7" t="s">
        <v>1193</v>
      </c>
      <c r="AK1375" s="7" t="s">
        <v>1177</v>
      </c>
      <c r="AL1375" s="7" t="s">
        <v>1177</v>
      </c>
      <c r="AM1375" s="7" t="s">
        <v>1177</v>
      </c>
      <c r="AN1375" s="7" t="s">
        <v>3212</v>
      </c>
      <c r="AO1375" s="7" t="s">
        <v>1177</v>
      </c>
      <c r="AP1375" s="7" t="s">
        <v>1177</v>
      </c>
      <c r="AQ1375" s="7" t="s">
        <v>1177</v>
      </c>
      <c r="AR1375" s="29">
        <v>0</v>
      </c>
      <c r="AS1375" s="7" t="s">
        <v>1177</v>
      </c>
      <c r="AT1375" s="7" t="s">
        <v>1363</v>
      </c>
      <c r="AU1375" s="38">
        <v>46275</v>
      </c>
      <c r="AV1375" s="39">
        <v>0.62349537037036995</v>
      </c>
    </row>
    <row r="1376" spans="1:48" x14ac:dyDescent="0.35">
      <c r="A1376" t="str">
        <f t="shared" si="21"/>
        <v>GP331381B856</v>
      </c>
      <c r="B1376" s="7" t="s">
        <v>420</v>
      </c>
      <c r="C1376" s="7" t="s">
        <v>852</v>
      </c>
      <c r="D1376" s="7" t="s">
        <v>21</v>
      </c>
      <c r="E1376" s="7" t="s">
        <v>1177</v>
      </c>
      <c r="F1376" s="7" t="s">
        <v>128</v>
      </c>
      <c r="G1376" s="7" t="s">
        <v>130</v>
      </c>
      <c r="H1376" s="7" t="s">
        <v>129</v>
      </c>
      <c r="I1376" s="30">
        <v>2</v>
      </c>
      <c r="J1376" s="7" t="s">
        <v>1177</v>
      </c>
      <c r="K1376" s="7" t="s">
        <v>1178</v>
      </c>
      <c r="L1376" s="7" t="s">
        <v>132</v>
      </c>
      <c r="M1376" s="7" t="s">
        <v>133</v>
      </c>
      <c r="N1376" s="30">
        <v>0</v>
      </c>
      <c r="O1376" s="30">
        <v>0</v>
      </c>
      <c r="P1376" s="30">
        <v>0</v>
      </c>
      <c r="Q1376" s="30">
        <v>0</v>
      </c>
      <c r="R1376" s="29">
        <v>0</v>
      </c>
      <c r="S1376" s="36">
        <v>0</v>
      </c>
      <c r="T1376" s="7" t="s">
        <v>131</v>
      </c>
      <c r="U1376" s="7" t="s">
        <v>853</v>
      </c>
      <c r="V1376" s="7" t="s">
        <v>853</v>
      </c>
      <c r="W1376" s="7" t="s">
        <v>1177</v>
      </c>
      <c r="X1376" s="30">
        <v>1</v>
      </c>
      <c r="Y1376" s="7" t="s">
        <v>1177</v>
      </c>
      <c r="Z1376" s="7" t="s">
        <v>1178</v>
      </c>
      <c r="AA1376" s="30">
        <v>0</v>
      </c>
      <c r="AB1376" s="36">
        <v>0</v>
      </c>
      <c r="AC1376" s="7" t="s">
        <v>1177</v>
      </c>
      <c r="AD1376" s="37">
        <v>0</v>
      </c>
      <c r="AE1376" s="7" t="s">
        <v>1177</v>
      </c>
      <c r="AF1376" s="7" t="s">
        <v>1177</v>
      </c>
      <c r="AG1376" s="7" t="s">
        <v>1177</v>
      </c>
      <c r="AH1376" s="38"/>
      <c r="AI1376" s="36">
        <v>0</v>
      </c>
      <c r="AJ1376" s="7" t="s">
        <v>1193</v>
      </c>
      <c r="AK1376" s="7" t="s">
        <v>1177</v>
      </c>
      <c r="AL1376" s="7" t="s">
        <v>1177</v>
      </c>
      <c r="AM1376" s="7" t="s">
        <v>1177</v>
      </c>
      <c r="AN1376" s="7" t="s">
        <v>3212</v>
      </c>
      <c r="AO1376" s="7" t="s">
        <v>1177</v>
      </c>
      <c r="AP1376" s="7" t="s">
        <v>1177</v>
      </c>
      <c r="AQ1376" s="7" t="s">
        <v>1177</v>
      </c>
      <c r="AR1376" s="29">
        <v>0</v>
      </c>
      <c r="AS1376" s="7" t="s">
        <v>1177</v>
      </c>
      <c r="AT1376" s="7" t="s">
        <v>1363</v>
      </c>
      <c r="AU1376" s="38">
        <v>46275</v>
      </c>
      <c r="AV1376" s="39">
        <v>0.62486111111110998</v>
      </c>
    </row>
    <row r="1377" spans="1:48" x14ac:dyDescent="0.35">
      <c r="A1377" t="str">
        <f t="shared" si="21"/>
        <v>GP331381B857</v>
      </c>
      <c r="B1377" s="7" t="s">
        <v>420</v>
      </c>
      <c r="C1377" s="7" t="s">
        <v>958</v>
      </c>
      <c r="D1377" s="7" t="s">
        <v>23</v>
      </c>
      <c r="E1377" s="7" t="s">
        <v>1177</v>
      </c>
      <c r="F1377" s="7" t="s">
        <v>128</v>
      </c>
      <c r="G1377" s="7" t="s">
        <v>130</v>
      </c>
      <c r="H1377" s="7" t="s">
        <v>129</v>
      </c>
      <c r="I1377" s="30">
        <v>1</v>
      </c>
      <c r="J1377" s="7" t="s">
        <v>1177</v>
      </c>
      <c r="K1377" s="7" t="s">
        <v>1178</v>
      </c>
      <c r="L1377" s="7" t="s">
        <v>132</v>
      </c>
      <c r="M1377" s="7" t="s">
        <v>133</v>
      </c>
      <c r="N1377" s="30">
        <v>0</v>
      </c>
      <c r="O1377" s="30">
        <v>0</v>
      </c>
      <c r="P1377" s="30">
        <v>0</v>
      </c>
      <c r="Q1377" s="30">
        <v>0</v>
      </c>
      <c r="R1377" s="29">
        <v>0</v>
      </c>
      <c r="S1377" s="36">
        <v>0</v>
      </c>
      <c r="T1377" s="7" t="s">
        <v>131</v>
      </c>
      <c r="U1377" s="7" t="s">
        <v>959</v>
      </c>
      <c r="V1377" s="7" t="s">
        <v>959</v>
      </c>
      <c r="W1377" s="7" t="s">
        <v>1177</v>
      </c>
      <c r="X1377" s="30">
        <v>1</v>
      </c>
      <c r="Y1377" s="7" t="s">
        <v>1177</v>
      </c>
      <c r="Z1377" s="7" t="s">
        <v>1178</v>
      </c>
      <c r="AA1377" s="30">
        <v>0</v>
      </c>
      <c r="AB1377" s="36">
        <v>0</v>
      </c>
      <c r="AC1377" s="7" t="s">
        <v>1177</v>
      </c>
      <c r="AD1377" s="37">
        <v>0</v>
      </c>
      <c r="AE1377" s="7" t="s">
        <v>1177</v>
      </c>
      <c r="AF1377" s="7" t="s">
        <v>1177</v>
      </c>
      <c r="AG1377" s="7" t="s">
        <v>1177</v>
      </c>
      <c r="AH1377" s="38"/>
      <c r="AI1377" s="36">
        <v>0</v>
      </c>
      <c r="AJ1377" s="7" t="s">
        <v>1193</v>
      </c>
      <c r="AK1377" s="7" t="s">
        <v>1177</v>
      </c>
      <c r="AL1377" s="7" t="s">
        <v>1177</v>
      </c>
      <c r="AM1377" s="7" t="s">
        <v>1177</v>
      </c>
      <c r="AN1377" s="7" t="s">
        <v>3212</v>
      </c>
      <c r="AO1377" s="7" t="s">
        <v>1177</v>
      </c>
      <c r="AP1377" s="7" t="s">
        <v>1177</v>
      </c>
      <c r="AQ1377" s="7" t="s">
        <v>1177</v>
      </c>
      <c r="AR1377" s="29">
        <v>0</v>
      </c>
      <c r="AS1377" s="7" t="s">
        <v>1177</v>
      </c>
      <c r="AT1377" s="7" t="s">
        <v>1363</v>
      </c>
      <c r="AU1377" s="38">
        <v>46275</v>
      </c>
      <c r="AV1377" s="39">
        <v>0.62512731481480999</v>
      </c>
    </row>
    <row r="1378" spans="1:48" x14ac:dyDescent="0.35">
      <c r="A1378" t="str">
        <f t="shared" si="21"/>
        <v>GP331381B864</v>
      </c>
      <c r="B1378" s="7" t="s">
        <v>420</v>
      </c>
      <c r="C1378" s="7" t="s">
        <v>1010</v>
      </c>
      <c r="D1378" s="7" t="s">
        <v>10</v>
      </c>
      <c r="E1378" s="7" t="s">
        <v>1177</v>
      </c>
      <c r="F1378" s="7" t="s">
        <v>128</v>
      </c>
      <c r="G1378" s="7" t="s">
        <v>130</v>
      </c>
      <c r="H1378" s="7" t="s">
        <v>129</v>
      </c>
      <c r="I1378" s="30">
        <v>2</v>
      </c>
      <c r="J1378" s="7" t="s">
        <v>1177</v>
      </c>
      <c r="K1378" s="7" t="s">
        <v>1178</v>
      </c>
      <c r="L1378" s="7" t="s">
        <v>132</v>
      </c>
      <c r="M1378" s="7" t="s">
        <v>133</v>
      </c>
      <c r="N1378" s="30">
        <v>0</v>
      </c>
      <c r="O1378" s="30">
        <v>0</v>
      </c>
      <c r="P1378" s="30">
        <v>0</v>
      </c>
      <c r="Q1378" s="30">
        <v>0</v>
      </c>
      <c r="R1378" s="29">
        <v>0</v>
      </c>
      <c r="S1378" s="36">
        <v>0</v>
      </c>
      <c r="T1378" s="7" t="s">
        <v>131</v>
      </c>
      <c r="U1378" s="7" t="s">
        <v>1011</v>
      </c>
      <c r="V1378" s="7" t="s">
        <v>1011</v>
      </c>
      <c r="W1378" s="7" t="s">
        <v>1177</v>
      </c>
      <c r="X1378" s="30">
        <v>1</v>
      </c>
      <c r="Y1378" s="7" t="s">
        <v>1177</v>
      </c>
      <c r="Z1378" s="7" t="s">
        <v>1178</v>
      </c>
      <c r="AA1378" s="30">
        <v>0</v>
      </c>
      <c r="AB1378" s="36">
        <v>0</v>
      </c>
      <c r="AC1378" s="7" t="s">
        <v>1177</v>
      </c>
      <c r="AD1378" s="37">
        <v>0</v>
      </c>
      <c r="AE1378" s="7" t="s">
        <v>1177</v>
      </c>
      <c r="AF1378" s="7" t="s">
        <v>1177</v>
      </c>
      <c r="AG1378" s="7" t="s">
        <v>1177</v>
      </c>
      <c r="AH1378" s="38"/>
      <c r="AI1378" s="36">
        <v>0</v>
      </c>
      <c r="AJ1378" s="7" t="s">
        <v>1193</v>
      </c>
      <c r="AK1378" s="7" t="s">
        <v>1177</v>
      </c>
      <c r="AL1378" s="7" t="s">
        <v>1177</v>
      </c>
      <c r="AM1378" s="7" t="s">
        <v>1177</v>
      </c>
      <c r="AN1378" s="7" t="s">
        <v>3212</v>
      </c>
      <c r="AO1378" s="7" t="s">
        <v>1177</v>
      </c>
      <c r="AP1378" s="7" t="s">
        <v>1177</v>
      </c>
      <c r="AQ1378" s="7" t="s">
        <v>1177</v>
      </c>
      <c r="AR1378" s="29">
        <v>0</v>
      </c>
      <c r="AS1378" s="7" t="s">
        <v>1177</v>
      </c>
      <c r="AT1378" s="7" t="s">
        <v>1363</v>
      </c>
      <c r="AU1378" s="38">
        <v>46275</v>
      </c>
      <c r="AV1378" s="39">
        <v>0.62633101851852002</v>
      </c>
    </row>
    <row r="1379" spans="1:48" x14ac:dyDescent="0.35">
      <c r="A1379" t="str">
        <f t="shared" si="21"/>
        <v>GP331381B865</v>
      </c>
      <c r="B1379" s="7" t="s">
        <v>420</v>
      </c>
      <c r="C1379" s="7" t="s">
        <v>1039</v>
      </c>
      <c r="D1379" s="7" t="s">
        <v>7</v>
      </c>
      <c r="E1379" s="7" t="s">
        <v>1177</v>
      </c>
      <c r="F1379" s="7" t="s">
        <v>128</v>
      </c>
      <c r="G1379" s="7" t="s">
        <v>130</v>
      </c>
      <c r="H1379" s="7" t="s">
        <v>129</v>
      </c>
      <c r="I1379" s="30">
        <v>2</v>
      </c>
      <c r="J1379" s="7" t="s">
        <v>1177</v>
      </c>
      <c r="K1379" s="7" t="s">
        <v>1178</v>
      </c>
      <c r="L1379" s="7" t="s">
        <v>132</v>
      </c>
      <c r="M1379" s="7" t="s">
        <v>133</v>
      </c>
      <c r="N1379" s="30">
        <v>0</v>
      </c>
      <c r="O1379" s="30">
        <v>0</v>
      </c>
      <c r="P1379" s="30">
        <v>0</v>
      </c>
      <c r="Q1379" s="30">
        <v>0</v>
      </c>
      <c r="R1379" s="29">
        <v>0</v>
      </c>
      <c r="S1379" s="36">
        <v>0</v>
      </c>
      <c r="T1379" s="7" t="s">
        <v>131</v>
      </c>
      <c r="U1379" s="7" t="s">
        <v>1040</v>
      </c>
      <c r="V1379" s="7" t="s">
        <v>1040</v>
      </c>
      <c r="W1379" s="7" t="s">
        <v>1177</v>
      </c>
      <c r="X1379" s="30">
        <v>1</v>
      </c>
      <c r="Y1379" s="7" t="s">
        <v>1177</v>
      </c>
      <c r="Z1379" s="7" t="s">
        <v>1178</v>
      </c>
      <c r="AA1379" s="30">
        <v>0</v>
      </c>
      <c r="AB1379" s="36">
        <v>0</v>
      </c>
      <c r="AC1379" s="7" t="s">
        <v>1177</v>
      </c>
      <c r="AD1379" s="37">
        <v>0</v>
      </c>
      <c r="AE1379" s="7" t="s">
        <v>1177</v>
      </c>
      <c r="AF1379" s="7" t="s">
        <v>1177</v>
      </c>
      <c r="AG1379" s="7" t="s">
        <v>1177</v>
      </c>
      <c r="AH1379" s="38"/>
      <c r="AI1379" s="36">
        <v>0</v>
      </c>
      <c r="AJ1379" s="7" t="s">
        <v>1193</v>
      </c>
      <c r="AK1379" s="7" t="s">
        <v>1177</v>
      </c>
      <c r="AL1379" s="7" t="s">
        <v>1177</v>
      </c>
      <c r="AM1379" s="7" t="s">
        <v>1177</v>
      </c>
      <c r="AN1379" s="7" t="s">
        <v>3212</v>
      </c>
      <c r="AO1379" s="7" t="s">
        <v>1177</v>
      </c>
      <c r="AP1379" s="7" t="s">
        <v>1177</v>
      </c>
      <c r="AQ1379" s="7" t="s">
        <v>1177</v>
      </c>
      <c r="AR1379" s="29">
        <v>0</v>
      </c>
      <c r="AS1379" s="7" t="s">
        <v>1177</v>
      </c>
      <c r="AT1379" s="7" t="s">
        <v>1363</v>
      </c>
      <c r="AU1379" s="38">
        <v>46275</v>
      </c>
      <c r="AV1379" s="39">
        <v>0.62675925925926002</v>
      </c>
    </row>
    <row r="1380" spans="1:48" x14ac:dyDescent="0.35">
      <c r="A1380" t="str">
        <f t="shared" si="21"/>
        <v>GP331382B825</v>
      </c>
      <c r="B1380" s="7" t="s">
        <v>190</v>
      </c>
      <c r="C1380" s="7" t="s">
        <v>511</v>
      </c>
      <c r="D1380" s="7" t="s">
        <v>16</v>
      </c>
      <c r="E1380" s="7" t="s">
        <v>1177</v>
      </c>
      <c r="F1380" s="7" t="s">
        <v>128</v>
      </c>
      <c r="G1380" s="7" t="s">
        <v>130</v>
      </c>
      <c r="H1380" s="7" t="s">
        <v>129</v>
      </c>
      <c r="I1380" s="30">
        <v>1</v>
      </c>
      <c r="J1380" s="7" t="s">
        <v>1177</v>
      </c>
      <c r="K1380" s="7" t="s">
        <v>1178</v>
      </c>
      <c r="L1380" s="7" t="s">
        <v>132</v>
      </c>
      <c r="M1380" s="7" t="s">
        <v>133</v>
      </c>
      <c r="N1380" s="30">
        <v>0</v>
      </c>
      <c r="O1380" s="30">
        <v>0</v>
      </c>
      <c r="P1380" s="30">
        <v>0</v>
      </c>
      <c r="Q1380" s="30">
        <v>0</v>
      </c>
      <c r="R1380" s="29">
        <v>0</v>
      </c>
      <c r="S1380" s="36">
        <v>0</v>
      </c>
      <c r="T1380" s="7" t="s">
        <v>131</v>
      </c>
      <c r="U1380" s="7" t="s">
        <v>512</v>
      </c>
      <c r="V1380" s="7" t="s">
        <v>512</v>
      </c>
      <c r="W1380" s="7" t="s">
        <v>1177</v>
      </c>
      <c r="X1380" s="30">
        <v>1</v>
      </c>
      <c r="Y1380" s="7" t="s">
        <v>1177</v>
      </c>
      <c r="Z1380" s="7" t="s">
        <v>1178</v>
      </c>
      <c r="AA1380" s="30">
        <v>0</v>
      </c>
      <c r="AB1380" s="36">
        <v>0</v>
      </c>
      <c r="AC1380" s="7" t="s">
        <v>1177</v>
      </c>
      <c r="AD1380" s="37">
        <v>0</v>
      </c>
      <c r="AE1380" s="7" t="s">
        <v>1177</v>
      </c>
      <c r="AF1380" s="7" t="s">
        <v>1177</v>
      </c>
      <c r="AG1380" s="7" t="s">
        <v>1177</v>
      </c>
      <c r="AH1380" s="38"/>
      <c r="AI1380" s="36">
        <v>0</v>
      </c>
      <c r="AJ1380" s="7" t="s">
        <v>1193</v>
      </c>
      <c r="AK1380" s="7" t="s">
        <v>1177</v>
      </c>
      <c r="AL1380" s="7" t="s">
        <v>1177</v>
      </c>
      <c r="AM1380" s="7" t="s">
        <v>1177</v>
      </c>
      <c r="AN1380" s="7" t="s">
        <v>3212</v>
      </c>
      <c r="AO1380" s="7" t="s">
        <v>1177</v>
      </c>
      <c r="AP1380" s="7" t="s">
        <v>1177</v>
      </c>
      <c r="AQ1380" s="7" t="s">
        <v>1177</v>
      </c>
      <c r="AR1380" s="29">
        <v>0</v>
      </c>
      <c r="AS1380" s="7" t="s">
        <v>1177</v>
      </c>
      <c r="AT1380" s="7" t="s">
        <v>1363</v>
      </c>
      <c r="AU1380" s="38">
        <v>46275</v>
      </c>
      <c r="AV1380" s="39">
        <v>0.60349537037037004</v>
      </c>
    </row>
    <row r="1381" spans="1:48" x14ac:dyDescent="0.35">
      <c r="A1381" t="str">
        <f t="shared" si="21"/>
        <v>GP331382B833</v>
      </c>
      <c r="B1381" s="7" t="s">
        <v>190</v>
      </c>
      <c r="C1381" s="7" t="s">
        <v>698</v>
      </c>
      <c r="D1381" s="7" t="s">
        <v>697</v>
      </c>
      <c r="E1381" s="7" t="s">
        <v>1177</v>
      </c>
      <c r="F1381" s="7" t="s">
        <v>128</v>
      </c>
      <c r="G1381" s="7" t="s">
        <v>130</v>
      </c>
      <c r="H1381" s="7" t="s">
        <v>129</v>
      </c>
      <c r="I1381" s="30">
        <v>1</v>
      </c>
      <c r="J1381" s="7" t="s">
        <v>1177</v>
      </c>
      <c r="K1381" s="7" t="s">
        <v>1178</v>
      </c>
      <c r="L1381" s="7" t="s">
        <v>132</v>
      </c>
      <c r="M1381" s="7" t="s">
        <v>133</v>
      </c>
      <c r="N1381" s="30">
        <v>0</v>
      </c>
      <c r="O1381" s="30">
        <v>0</v>
      </c>
      <c r="P1381" s="30">
        <v>0</v>
      </c>
      <c r="Q1381" s="30">
        <v>0</v>
      </c>
      <c r="R1381" s="29">
        <v>0</v>
      </c>
      <c r="S1381" s="36">
        <v>0</v>
      </c>
      <c r="T1381" s="7" t="s">
        <v>131</v>
      </c>
      <c r="U1381" s="7" t="s">
        <v>699</v>
      </c>
      <c r="V1381" s="7" t="s">
        <v>699</v>
      </c>
      <c r="W1381" s="7" t="s">
        <v>1177</v>
      </c>
      <c r="X1381" s="30">
        <v>1</v>
      </c>
      <c r="Y1381" s="7" t="s">
        <v>1177</v>
      </c>
      <c r="Z1381" s="7" t="s">
        <v>1178</v>
      </c>
      <c r="AA1381" s="30">
        <v>0</v>
      </c>
      <c r="AB1381" s="36">
        <v>0</v>
      </c>
      <c r="AC1381" s="7" t="s">
        <v>1177</v>
      </c>
      <c r="AD1381" s="37">
        <v>0</v>
      </c>
      <c r="AE1381" s="7" t="s">
        <v>1177</v>
      </c>
      <c r="AF1381" s="7" t="s">
        <v>1177</v>
      </c>
      <c r="AG1381" s="7" t="s">
        <v>1177</v>
      </c>
      <c r="AH1381" s="38"/>
      <c r="AI1381" s="36">
        <v>0</v>
      </c>
      <c r="AJ1381" s="7" t="s">
        <v>1193</v>
      </c>
      <c r="AK1381" s="7" t="s">
        <v>1177</v>
      </c>
      <c r="AL1381" s="7" t="s">
        <v>1177</v>
      </c>
      <c r="AM1381" s="7" t="s">
        <v>1177</v>
      </c>
      <c r="AN1381" s="7" t="s">
        <v>3212</v>
      </c>
      <c r="AO1381" s="7" t="s">
        <v>1177</v>
      </c>
      <c r="AP1381" s="7" t="s">
        <v>1177</v>
      </c>
      <c r="AQ1381" s="7" t="s">
        <v>1177</v>
      </c>
      <c r="AR1381" s="29">
        <v>0</v>
      </c>
      <c r="AS1381" s="7" t="s">
        <v>1177</v>
      </c>
      <c r="AT1381" s="7" t="s">
        <v>1363</v>
      </c>
      <c r="AU1381" s="38">
        <v>46275</v>
      </c>
      <c r="AV1381" s="39">
        <v>0.60399305555556004</v>
      </c>
    </row>
    <row r="1382" spans="1:48" x14ac:dyDescent="0.35">
      <c r="A1382" t="str">
        <f t="shared" si="21"/>
        <v>GP331382B838</v>
      </c>
      <c r="B1382" s="7" t="s">
        <v>190</v>
      </c>
      <c r="C1382" s="7" t="s">
        <v>744</v>
      </c>
      <c r="D1382" s="7" t="s">
        <v>48</v>
      </c>
      <c r="E1382" s="7" t="s">
        <v>1177</v>
      </c>
      <c r="F1382" s="7" t="s">
        <v>128</v>
      </c>
      <c r="G1382" s="7" t="s">
        <v>130</v>
      </c>
      <c r="H1382" s="7" t="s">
        <v>129</v>
      </c>
      <c r="I1382" s="30">
        <v>1</v>
      </c>
      <c r="J1382" s="7" t="s">
        <v>1177</v>
      </c>
      <c r="K1382" s="7" t="s">
        <v>1178</v>
      </c>
      <c r="L1382" s="7" t="s">
        <v>132</v>
      </c>
      <c r="M1382" s="7" t="s">
        <v>133</v>
      </c>
      <c r="N1382" s="30">
        <v>0</v>
      </c>
      <c r="O1382" s="30">
        <v>0</v>
      </c>
      <c r="P1382" s="30">
        <v>0</v>
      </c>
      <c r="Q1382" s="30">
        <v>0</v>
      </c>
      <c r="R1382" s="29">
        <v>0</v>
      </c>
      <c r="S1382" s="36">
        <v>0</v>
      </c>
      <c r="T1382" s="7" t="s">
        <v>131</v>
      </c>
      <c r="U1382" s="7" t="s">
        <v>745</v>
      </c>
      <c r="V1382" s="7" t="s">
        <v>745</v>
      </c>
      <c r="W1382" s="7" t="s">
        <v>1177</v>
      </c>
      <c r="X1382" s="30">
        <v>1</v>
      </c>
      <c r="Y1382" s="7" t="s">
        <v>1177</v>
      </c>
      <c r="Z1382" s="7" t="s">
        <v>1178</v>
      </c>
      <c r="AA1382" s="30">
        <v>0</v>
      </c>
      <c r="AB1382" s="36">
        <v>0</v>
      </c>
      <c r="AC1382" s="7" t="s">
        <v>1177</v>
      </c>
      <c r="AD1382" s="37">
        <v>0</v>
      </c>
      <c r="AE1382" s="7" t="s">
        <v>1177</v>
      </c>
      <c r="AF1382" s="7" t="s">
        <v>1177</v>
      </c>
      <c r="AG1382" s="7" t="s">
        <v>1177</v>
      </c>
      <c r="AH1382" s="38"/>
      <c r="AI1382" s="36">
        <v>0</v>
      </c>
      <c r="AJ1382" s="7" t="s">
        <v>1193</v>
      </c>
      <c r="AK1382" s="7" t="s">
        <v>1177</v>
      </c>
      <c r="AL1382" s="7" t="s">
        <v>1177</v>
      </c>
      <c r="AM1382" s="7" t="s">
        <v>1177</v>
      </c>
      <c r="AN1382" s="7" t="s">
        <v>3212</v>
      </c>
      <c r="AO1382" s="7" t="s">
        <v>1177</v>
      </c>
      <c r="AP1382" s="7" t="s">
        <v>1177</v>
      </c>
      <c r="AQ1382" s="7" t="s">
        <v>1177</v>
      </c>
      <c r="AR1382" s="29">
        <v>0</v>
      </c>
      <c r="AS1382" s="7" t="s">
        <v>1177</v>
      </c>
      <c r="AT1382" s="7" t="s">
        <v>1363</v>
      </c>
      <c r="AU1382" s="38">
        <v>46275</v>
      </c>
      <c r="AV1382" s="39">
        <v>0.60474537037037002</v>
      </c>
    </row>
    <row r="1383" spans="1:48" x14ac:dyDescent="0.35">
      <c r="A1383" t="str">
        <f t="shared" si="21"/>
        <v>GP331382B857</v>
      </c>
      <c r="B1383" s="7" t="s">
        <v>190</v>
      </c>
      <c r="C1383" s="7" t="s">
        <v>958</v>
      </c>
      <c r="D1383" s="7" t="s">
        <v>23</v>
      </c>
      <c r="E1383" s="7" t="s">
        <v>1177</v>
      </c>
      <c r="F1383" s="7" t="s">
        <v>128</v>
      </c>
      <c r="G1383" s="7" t="s">
        <v>130</v>
      </c>
      <c r="H1383" s="7" t="s">
        <v>129</v>
      </c>
      <c r="I1383" s="30">
        <v>1</v>
      </c>
      <c r="J1383" s="7" t="s">
        <v>1177</v>
      </c>
      <c r="K1383" s="7" t="s">
        <v>1178</v>
      </c>
      <c r="L1383" s="7" t="s">
        <v>132</v>
      </c>
      <c r="M1383" s="7" t="s">
        <v>133</v>
      </c>
      <c r="N1383" s="30">
        <v>0</v>
      </c>
      <c r="O1383" s="30">
        <v>0</v>
      </c>
      <c r="P1383" s="30">
        <v>0</v>
      </c>
      <c r="Q1383" s="30">
        <v>0</v>
      </c>
      <c r="R1383" s="29">
        <v>0</v>
      </c>
      <c r="S1383" s="36">
        <v>0</v>
      </c>
      <c r="T1383" s="7" t="s">
        <v>131</v>
      </c>
      <c r="U1383" s="7" t="s">
        <v>959</v>
      </c>
      <c r="V1383" s="7" t="s">
        <v>959</v>
      </c>
      <c r="W1383" s="7" t="s">
        <v>1177</v>
      </c>
      <c r="X1383" s="30">
        <v>1</v>
      </c>
      <c r="Y1383" s="7" t="s">
        <v>1177</v>
      </c>
      <c r="Z1383" s="7" t="s">
        <v>1178</v>
      </c>
      <c r="AA1383" s="30">
        <v>0</v>
      </c>
      <c r="AB1383" s="36">
        <v>0</v>
      </c>
      <c r="AC1383" s="7" t="s">
        <v>1177</v>
      </c>
      <c r="AD1383" s="37">
        <v>0</v>
      </c>
      <c r="AE1383" s="7" t="s">
        <v>1177</v>
      </c>
      <c r="AF1383" s="7" t="s">
        <v>1177</v>
      </c>
      <c r="AG1383" s="7" t="s">
        <v>1177</v>
      </c>
      <c r="AH1383" s="38"/>
      <c r="AI1383" s="36">
        <v>0</v>
      </c>
      <c r="AJ1383" s="7" t="s">
        <v>1193</v>
      </c>
      <c r="AK1383" s="7" t="s">
        <v>1177</v>
      </c>
      <c r="AL1383" s="7" t="s">
        <v>1177</v>
      </c>
      <c r="AM1383" s="7" t="s">
        <v>1177</v>
      </c>
      <c r="AN1383" s="7" t="s">
        <v>3212</v>
      </c>
      <c r="AO1383" s="7" t="s">
        <v>1177</v>
      </c>
      <c r="AP1383" s="7" t="s">
        <v>1177</v>
      </c>
      <c r="AQ1383" s="7" t="s">
        <v>1177</v>
      </c>
      <c r="AR1383" s="29">
        <v>0</v>
      </c>
      <c r="AS1383" s="7" t="s">
        <v>1177</v>
      </c>
      <c r="AT1383" s="7" t="s">
        <v>1363</v>
      </c>
      <c r="AU1383" s="38">
        <v>46275</v>
      </c>
      <c r="AV1383" s="39">
        <v>0.60524305555556002</v>
      </c>
    </row>
    <row r="1384" spans="1:48" x14ac:dyDescent="0.35">
      <c r="A1384" t="str">
        <f t="shared" si="21"/>
        <v>GP331382B867</v>
      </c>
      <c r="B1384" s="7" t="s">
        <v>190</v>
      </c>
      <c r="C1384" s="7" t="s">
        <v>1059</v>
      </c>
      <c r="D1384" s="7" t="s">
        <v>25</v>
      </c>
      <c r="E1384" s="7" t="s">
        <v>1177</v>
      </c>
      <c r="F1384" s="7" t="s">
        <v>128</v>
      </c>
      <c r="G1384" s="7" t="s">
        <v>130</v>
      </c>
      <c r="H1384" s="7" t="s">
        <v>129</v>
      </c>
      <c r="I1384" s="30">
        <v>2</v>
      </c>
      <c r="J1384" s="7" t="s">
        <v>1177</v>
      </c>
      <c r="K1384" s="7" t="s">
        <v>1178</v>
      </c>
      <c r="L1384" s="7" t="s">
        <v>132</v>
      </c>
      <c r="M1384" s="7" t="s">
        <v>133</v>
      </c>
      <c r="N1384" s="30">
        <v>0</v>
      </c>
      <c r="O1384" s="30">
        <v>0</v>
      </c>
      <c r="P1384" s="30">
        <v>0</v>
      </c>
      <c r="Q1384" s="30">
        <v>0</v>
      </c>
      <c r="R1384" s="29">
        <v>0</v>
      </c>
      <c r="S1384" s="36">
        <v>0</v>
      </c>
      <c r="T1384" s="7" t="s">
        <v>131</v>
      </c>
      <c r="U1384" s="7" t="s">
        <v>1060</v>
      </c>
      <c r="V1384" s="7" t="s">
        <v>1060</v>
      </c>
      <c r="W1384" s="7" t="s">
        <v>1177</v>
      </c>
      <c r="X1384" s="30">
        <v>1</v>
      </c>
      <c r="Y1384" s="7" t="s">
        <v>1177</v>
      </c>
      <c r="Z1384" s="7" t="s">
        <v>1178</v>
      </c>
      <c r="AA1384" s="30">
        <v>0</v>
      </c>
      <c r="AB1384" s="36">
        <v>0</v>
      </c>
      <c r="AC1384" s="7" t="s">
        <v>1177</v>
      </c>
      <c r="AD1384" s="37">
        <v>0</v>
      </c>
      <c r="AE1384" s="7" t="s">
        <v>1177</v>
      </c>
      <c r="AF1384" s="7" t="s">
        <v>1177</v>
      </c>
      <c r="AG1384" s="7" t="s">
        <v>1177</v>
      </c>
      <c r="AH1384" s="38"/>
      <c r="AI1384" s="36">
        <v>0</v>
      </c>
      <c r="AJ1384" s="7" t="s">
        <v>1193</v>
      </c>
      <c r="AK1384" s="7" t="s">
        <v>1177</v>
      </c>
      <c r="AL1384" s="7" t="s">
        <v>1177</v>
      </c>
      <c r="AM1384" s="7" t="s">
        <v>1177</v>
      </c>
      <c r="AN1384" s="7" t="s">
        <v>3212</v>
      </c>
      <c r="AO1384" s="7" t="s">
        <v>1177</v>
      </c>
      <c r="AP1384" s="7" t="s">
        <v>1177</v>
      </c>
      <c r="AQ1384" s="7" t="s">
        <v>1177</v>
      </c>
      <c r="AR1384" s="29">
        <v>0</v>
      </c>
      <c r="AS1384" s="7" t="s">
        <v>1177</v>
      </c>
      <c r="AT1384" s="7" t="s">
        <v>1363</v>
      </c>
      <c r="AU1384" s="38">
        <v>46275</v>
      </c>
      <c r="AV1384" s="39">
        <v>0.60563657407407001</v>
      </c>
    </row>
    <row r="1385" spans="1:48" x14ac:dyDescent="0.35">
      <c r="A1385" t="str">
        <f t="shared" si="21"/>
        <v>GP331653B833</v>
      </c>
      <c r="B1385" s="7" t="s">
        <v>718</v>
      </c>
      <c r="C1385" s="7" t="s">
        <v>698</v>
      </c>
      <c r="D1385" s="7" t="s">
        <v>697</v>
      </c>
      <c r="E1385" s="7" t="s">
        <v>1177</v>
      </c>
      <c r="F1385" s="7" t="s">
        <v>128</v>
      </c>
      <c r="G1385" s="7" t="s">
        <v>130</v>
      </c>
      <c r="H1385" s="7" t="s">
        <v>129</v>
      </c>
      <c r="I1385" s="30">
        <v>2</v>
      </c>
      <c r="J1385" s="7" t="s">
        <v>1177</v>
      </c>
      <c r="K1385" s="7" t="s">
        <v>1178</v>
      </c>
      <c r="L1385" s="7" t="s">
        <v>132</v>
      </c>
      <c r="M1385" s="7" t="s">
        <v>133</v>
      </c>
      <c r="N1385" s="30">
        <v>0</v>
      </c>
      <c r="O1385" s="30">
        <v>0</v>
      </c>
      <c r="P1385" s="30">
        <v>0</v>
      </c>
      <c r="Q1385" s="30">
        <v>0</v>
      </c>
      <c r="R1385" s="29">
        <v>0</v>
      </c>
      <c r="S1385" s="36">
        <v>0</v>
      </c>
      <c r="T1385" s="7" t="s">
        <v>131</v>
      </c>
      <c r="U1385" s="7" t="s">
        <v>699</v>
      </c>
      <c r="V1385" s="7" t="s">
        <v>699</v>
      </c>
      <c r="W1385" s="7" t="s">
        <v>1177</v>
      </c>
      <c r="X1385" s="30">
        <v>1</v>
      </c>
      <c r="Y1385" s="7" t="s">
        <v>1177</v>
      </c>
      <c r="Z1385" s="7" t="s">
        <v>1178</v>
      </c>
      <c r="AA1385" s="30">
        <v>0</v>
      </c>
      <c r="AB1385" s="36">
        <v>0</v>
      </c>
      <c r="AC1385" s="7" t="s">
        <v>1177</v>
      </c>
      <c r="AD1385" s="37">
        <v>0</v>
      </c>
      <c r="AE1385" s="7" t="s">
        <v>1177</v>
      </c>
      <c r="AF1385" s="7" t="s">
        <v>1177</v>
      </c>
      <c r="AG1385" s="7" t="s">
        <v>1177</v>
      </c>
      <c r="AH1385" s="38"/>
      <c r="AI1385" s="36">
        <v>0</v>
      </c>
      <c r="AJ1385" s="7" t="s">
        <v>1193</v>
      </c>
      <c r="AK1385" s="7" t="s">
        <v>1177</v>
      </c>
      <c r="AL1385" s="7" t="s">
        <v>1177</v>
      </c>
      <c r="AM1385" s="7" t="s">
        <v>1177</v>
      </c>
      <c r="AN1385" s="7" t="s">
        <v>3212</v>
      </c>
      <c r="AO1385" s="7" t="s">
        <v>1177</v>
      </c>
      <c r="AP1385" s="7" t="s">
        <v>1177</v>
      </c>
      <c r="AQ1385" s="7" t="s">
        <v>1177</v>
      </c>
      <c r="AR1385" s="29">
        <v>0</v>
      </c>
      <c r="AS1385" s="7" t="s">
        <v>1177</v>
      </c>
      <c r="AT1385" s="7" t="s">
        <v>1363</v>
      </c>
      <c r="AU1385" s="38">
        <v>46275</v>
      </c>
      <c r="AV1385" s="39">
        <v>0.62349537037036995</v>
      </c>
    </row>
    <row r="1386" spans="1:48" x14ac:dyDescent="0.35">
      <c r="A1386" t="str">
        <f t="shared" si="21"/>
        <v>GP331653B838</v>
      </c>
      <c r="B1386" s="7" t="s">
        <v>718</v>
      </c>
      <c r="C1386" s="7" t="s">
        <v>744</v>
      </c>
      <c r="D1386" s="7" t="s">
        <v>48</v>
      </c>
      <c r="E1386" s="7" t="s">
        <v>1177</v>
      </c>
      <c r="F1386" s="7" t="s">
        <v>128</v>
      </c>
      <c r="G1386" s="7" t="s">
        <v>130</v>
      </c>
      <c r="H1386" s="7" t="s">
        <v>129</v>
      </c>
      <c r="I1386" s="30">
        <v>2</v>
      </c>
      <c r="J1386" s="7" t="s">
        <v>1177</v>
      </c>
      <c r="K1386" s="7" t="s">
        <v>1178</v>
      </c>
      <c r="L1386" s="7" t="s">
        <v>132</v>
      </c>
      <c r="M1386" s="7" t="s">
        <v>133</v>
      </c>
      <c r="N1386" s="30">
        <v>0</v>
      </c>
      <c r="O1386" s="30">
        <v>0</v>
      </c>
      <c r="P1386" s="30">
        <v>0</v>
      </c>
      <c r="Q1386" s="30">
        <v>0</v>
      </c>
      <c r="R1386" s="29">
        <v>0</v>
      </c>
      <c r="S1386" s="36">
        <v>0</v>
      </c>
      <c r="T1386" s="7" t="s">
        <v>131</v>
      </c>
      <c r="U1386" s="7" t="s">
        <v>745</v>
      </c>
      <c r="V1386" s="7" t="s">
        <v>745</v>
      </c>
      <c r="W1386" s="7" t="s">
        <v>1177</v>
      </c>
      <c r="X1386" s="30">
        <v>1</v>
      </c>
      <c r="Y1386" s="7" t="s">
        <v>1177</v>
      </c>
      <c r="Z1386" s="7" t="s">
        <v>1178</v>
      </c>
      <c r="AA1386" s="30">
        <v>0</v>
      </c>
      <c r="AB1386" s="36">
        <v>0</v>
      </c>
      <c r="AC1386" s="7" t="s">
        <v>1177</v>
      </c>
      <c r="AD1386" s="37">
        <v>0</v>
      </c>
      <c r="AE1386" s="7" t="s">
        <v>1177</v>
      </c>
      <c r="AF1386" s="7" t="s">
        <v>1177</v>
      </c>
      <c r="AG1386" s="7" t="s">
        <v>1177</v>
      </c>
      <c r="AH1386" s="38"/>
      <c r="AI1386" s="36">
        <v>0</v>
      </c>
      <c r="AJ1386" s="7" t="s">
        <v>1193</v>
      </c>
      <c r="AK1386" s="7" t="s">
        <v>1177</v>
      </c>
      <c r="AL1386" s="7" t="s">
        <v>1177</v>
      </c>
      <c r="AM1386" s="7" t="s">
        <v>1177</v>
      </c>
      <c r="AN1386" s="7" t="s">
        <v>3212</v>
      </c>
      <c r="AO1386" s="7" t="s">
        <v>1177</v>
      </c>
      <c r="AP1386" s="7" t="s">
        <v>1177</v>
      </c>
      <c r="AQ1386" s="7" t="s">
        <v>1177</v>
      </c>
      <c r="AR1386" s="29">
        <v>0</v>
      </c>
      <c r="AS1386" s="7" t="s">
        <v>1177</v>
      </c>
      <c r="AT1386" s="7" t="s">
        <v>1363</v>
      </c>
      <c r="AU1386" s="38">
        <v>46275</v>
      </c>
      <c r="AV1386" s="39">
        <v>0.62399305555555995</v>
      </c>
    </row>
    <row r="1387" spans="1:48" x14ac:dyDescent="0.35">
      <c r="A1387" t="str">
        <f t="shared" si="21"/>
        <v>GP332213B856</v>
      </c>
      <c r="B1387" s="7" t="s">
        <v>899</v>
      </c>
      <c r="C1387" s="7" t="s">
        <v>852</v>
      </c>
      <c r="D1387" s="7" t="s">
        <v>21</v>
      </c>
      <c r="E1387" s="7" t="s">
        <v>1177</v>
      </c>
      <c r="F1387" s="7" t="s">
        <v>128</v>
      </c>
      <c r="G1387" s="7" t="s">
        <v>130</v>
      </c>
      <c r="H1387" s="7" t="s">
        <v>129</v>
      </c>
      <c r="I1387" s="30">
        <v>2</v>
      </c>
      <c r="J1387" s="7" t="s">
        <v>1177</v>
      </c>
      <c r="K1387" s="7" t="s">
        <v>1178</v>
      </c>
      <c r="L1387" s="7" t="s">
        <v>132</v>
      </c>
      <c r="M1387" s="7" t="s">
        <v>133</v>
      </c>
      <c r="N1387" s="30">
        <v>0</v>
      </c>
      <c r="O1387" s="30">
        <v>0</v>
      </c>
      <c r="P1387" s="30">
        <v>0</v>
      </c>
      <c r="Q1387" s="30">
        <v>0</v>
      </c>
      <c r="R1387" s="29">
        <v>0</v>
      </c>
      <c r="S1387" s="36">
        <v>0</v>
      </c>
      <c r="T1387" s="7" t="s">
        <v>131</v>
      </c>
      <c r="U1387" s="7" t="s">
        <v>853</v>
      </c>
      <c r="V1387" s="7" t="s">
        <v>853</v>
      </c>
      <c r="W1387" s="7" t="s">
        <v>1177</v>
      </c>
      <c r="X1387" s="30">
        <v>1</v>
      </c>
      <c r="Y1387" s="7" t="s">
        <v>1177</v>
      </c>
      <c r="Z1387" s="7" t="s">
        <v>1178</v>
      </c>
      <c r="AA1387" s="30">
        <v>0</v>
      </c>
      <c r="AB1387" s="36">
        <v>0</v>
      </c>
      <c r="AC1387" s="7" t="s">
        <v>1177</v>
      </c>
      <c r="AD1387" s="37">
        <v>0</v>
      </c>
      <c r="AE1387" s="7" t="s">
        <v>1177</v>
      </c>
      <c r="AF1387" s="7" t="s">
        <v>1177</v>
      </c>
      <c r="AG1387" s="7" t="s">
        <v>1177</v>
      </c>
      <c r="AH1387" s="38"/>
      <c r="AI1387" s="36">
        <v>0</v>
      </c>
      <c r="AJ1387" s="7" t="s">
        <v>1193</v>
      </c>
      <c r="AK1387" s="7" t="s">
        <v>1177</v>
      </c>
      <c r="AL1387" s="7" t="s">
        <v>1177</v>
      </c>
      <c r="AM1387" s="7" t="s">
        <v>1177</v>
      </c>
      <c r="AN1387" s="7" t="s">
        <v>3212</v>
      </c>
      <c r="AO1387" s="7" t="s">
        <v>1177</v>
      </c>
      <c r="AP1387" s="7" t="s">
        <v>1177</v>
      </c>
      <c r="AQ1387" s="7" t="s">
        <v>1177</v>
      </c>
      <c r="AR1387" s="29">
        <v>0</v>
      </c>
      <c r="AS1387" s="7" t="s">
        <v>1177</v>
      </c>
      <c r="AT1387" s="7" t="s">
        <v>1363</v>
      </c>
      <c r="AU1387" s="38">
        <v>46275</v>
      </c>
      <c r="AV1387" s="39">
        <v>0.62487268518519001</v>
      </c>
    </row>
    <row r="1388" spans="1:48" x14ac:dyDescent="0.35">
      <c r="A1388" t="str">
        <f t="shared" si="21"/>
        <v>GP332213B867</v>
      </c>
      <c r="B1388" s="7" t="s">
        <v>899</v>
      </c>
      <c r="C1388" s="7" t="s">
        <v>1059</v>
      </c>
      <c r="D1388" s="7" t="s">
        <v>25</v>
      </c>
      <c r="E1388" s="7" t="s">
        <v>1177</v>
      </c>
      <c r="F1388" s="7" t="s">
        <v>128</v>
      </c>
      <c r="G1388" s="7" t="s">
        <v>130</v>
      </c>
      <c r="H1388" s="7" t="s">
        <v>129</v>
      </c>
      <c r="I1388" s="30">
        <v>2</v>
      </c>
      <c r="J1388" s="7" t="s">
        <v>1177</v>
      </c>
      <c r="K1388" s="7" t="s">
        <v>1178</v>
      </c>
      <c r="L1388" s="7" t="s">
        <v>132</v>
      </c>
      <c r="M1388" s="7" t="s">
        <v>133</v>
      </c>
      <c r="N1388" s="30">
        <v>0</v>
      </c>
      <c r="O1388" s="30">
        <v>0</v>
      </c>
      <c r="P1388" s="30">
        <v>0</v>
      </c>
      <c r="Q1388" s="30">
        <v>0</v>
      </c>
      <c r="R1388" s="29">
        <v>0</v>
      </c>
      <c r="S1388" s="36">
        <v>0</v>
      </c>
      <c r="T1388" s="7" t="s">
        <v>131</v>
      </c>
      <c r="U1388" s="7" t="s">
        <v>1060</v>
      </c>
      <c r="V1388" s="7" t="s">
        <v>1060</v>
      </c>
      <c r="W1388" s="7" t="s">
        <v>1177</v>
      </c>
      <c r="X1388" s="30">
        <v>1</v>
      </c>
      <c r="Y1388" s="7" t="s">
        <v>1177</v>
      </c>
      <c r="Z1388" s="7" t="s">
        <v>1178</v>
      </c>
      <c r="AA1388" s="30">
        <v>0</v>
      </c>
      <c r="AB1388" s="36">
        <v>0</v>
      </c>
      <c r="AC1388" s="7" t="s">
        <v>1177</v>
      </c>
      <c r="AD1388" s="37">
        <v>0</v>
      </c>
      <c r="AE1388" s="7" t="s">
        <v>1177</v>
      </c>
      <c r="AF1388" s="7" t="s">
        <v>1177</v>
      </c>
      <c r="AG1388" s="7" t="s">
        <v>1177</v>
      </c>
      <c r="AH1388" s="38"/>
      <c r="AI1388" s="36">
        <v>0</v>
      </c>
      <c r="AJ1388" s="7" t="s">
        <v>1193</v>
      </c>
      <c r="AK1388" s="7" t="s">
        <v>1177</v>
      </c>
      <c r="AL1388" s="7" t="s">
        <v>1177</v>
      </c>
      <c r="AM1388" s="7" t="s">
        <v>1177</v>
      </c>
      <c r="AN1388" s="7" t="s">
        <v>3212</v>
      </c>
      <c r="AO1388" s="7" t="s">
        <v>1177</v>
      </c>
      <c r="AP1388" s="7" t="s">
        <v>1177</v>
      </c>
      <c r="AQ1388" s="7" t="s">
        <v>1177</v>
      </c>
      <c r="AR1388" s="29">
        <v>0</v>
      </c>
      <c r="AS1388" s="7" t="s">
        <v>1177</v>
      </c>
      <c r="AT1388" s="7" t="s">
        <v>1363</v>
      </c>
      <c r="AU1388" s="38">
        <v>46275</v>
      </c>
      <c r="AV1388" s="39">
        <v>0.62714120370369997</v>
      </c>
    </row>
    <row r="1389" spans="1:48" x14ac:dyDescent="0.35">
      <c r="A1389" t="str">
        <f t="shared" si="21"/>
        <v>GP332446B833</v>
      </c>
      <c r="B1389" s="7" t="s">
        <v>719</v>
      </c>
      <c r="C1389" s="7" t="s">
        <v>698</v>
      </c>
      <c r="D1389" s="7" t="s">
        <v>697</v>
      </c>
      <c r="E1389" s="7" t="s">
        <v>1177</v>
      </c>
      <c r="F1389" s="7" t="s">
        <v>128</v>
      </c>
      <c r="G1389" s="7" t="s">
        <v>130</v>
      </c>
      <c r="H1389" s="7" t="s">
        <v>129</v>
      </c>
      <c r="I1389" s="30">
        <v>2</v>
      </c>
      <c r="J1389" s="7" t="s">
        <v>1177</v>
      </c>
      <c r="K1389" s="7" t="s">
        <v>1178</v>
      </c>
      <c r="L1389" s="7" t="s">
        <v>132</v>
      </c>
      <c r="M1389" s="7" t="s">
        <v>133</v>
      </c>
      <c r="N1389" s="30">
        <v>0</v>
      </c>
      <c r="O1389" s="30">
        <v>0</v>
      </c>
      <c r="P1389" s="30">
        <v>0</v>
      </c>
      <c r="Q1389" s="30">
        <v>0</v>
      </c>
      <c r="R1389" s="29">
        <v>0</v>
      </c>
      <c r="S1389" s="36">
        <v>0</v>
      </c>
      <c r="T1389" s="7" t="s">
        <v>131</v>
      </c>
      <c r="U1389" s="7" t="s">
        <v>699</v>
      </c>
      <c r="V1389" s="7" t="s">
        <v>699</v>
      </c>
      <c r="W1389" s="7" t="s">
        <v>1177</v>
      </c>
      <c r="X1389" s="30">
        <v>1</v>
      </c>
      <c r="Y1389" s="7" t="s">
        <v>1177</v>
      </c>
      <c r="Z1389" s="7" t="s">
        <v>1178</v>
      </c>
      <c r="AA1389" s="30">
        <v>0</v>
      </c>
      <c r="AB1389" s="36">
        <v>0</v>
      </c>
      <c r="AC1389" s="7" t="s">
        <v>1177</v>
      </c>
      <c r="AD1389" s="37">
        <v>0</v>
      </c>
      <c r="AE1389" s="7" t="s">
        <v>1177</v>
      </c>
      <c r="AF1389" s="7" t="s">
        <v>1177</v>
      </c>
      <c r="AG1389" s="7" t="s">
        <v>1177</v>
      </c>
      <c r="AH1389" s="38"/>
      <c r="AI1389" s="36">
        <v>0</v>
      </c>
      <c r="AJ1389" s="7" t="s">
        <v>1193</v>
      </c>
      <c r="AK1389" s="7" t="s">
        <v>1177</v>
      </c>
      <c r="AL1389" s="7" t="s">
        <v>1177</v>
      </c>
      <c r="AM1389" s="7" t="s">
        <v>1177</v>
      </c>
      <c r="AN1389" s="7" t="s">
        <v>3212</v>
      </c>
      <c r="AO1389" s="7" t="s">
        <v>1177</v>
      </c>
      <c r="AP1389" s="7" t="s">
        <v>1177</v>
      </c>
      <c r="AQ1389" s="7" t="s">
        <v>1177</v>
      </c>
      <c r="AR1389" s="29">
        <v>0</v>
      </c>
      <c r="AS1389" s="7" t="s">
        <v>1177</v>
      </c>
      <c r="AT1389" s="7" t="s">
        <v>1363</v>
      </c>
      <c r="AU1389" s="38">
        <v>46275</v>
      </c>
      <c r="AV1389" s="39">
        <v>0.62349537037036995</v>
      </c>
    </row>
    <row r="1390" spans="1:48" x14ac:dyDescent="0.35">
      <c r="A1390" t="str">
        <f t="shared" si="21"/>
        <v>GP332689B856</v>
      </c>
      <c r="B1390" s="7" t="s">
        <v>811</v>
      </c>
      <c r="C1390" s="7" t="s">
        <v>852</v>
      </c>
      <c r="D1390" s="7" t="s">
        <v>21</v>
      </c>
      <c r="E1390" s="7" t="s">
        <v>1177</v>
      </c>
      <c r="F1390" s="7" t="s">
        <v>128</v>
      </c>
      <c r="G1390" s="7" t="s">
        <v>130</v>
      </c>
      <c r="H1390" s="7" t="s">
        <v>129</v>
      </c>
      <c r="I1390" s="30">
        <v>2</v>
      </c>
      <c r="J1390" s="7" t="s">
        <v>1177</v>
      </c>
      <c r="K1390" s="7" t="s">
        <v>1178</v>
      </c>
      <c r="L1390" s="7" t="s">
        <v>132</v>
      </c>
      <c r="M1390" s="7" t="s">
        <v>133</v>
      </c>
      <c r="N1390" s="30">
        <v>0</v>
      </c>
      <c r="O1390" s="30">
        <v>0</v>
      </c>
      <c r="P1390" s="30">
        <v>0</v>
      </c>
      <c r="Q1390" s="30">
        <v>0</v>
      </c>
      <c r="R1390" s="29">
        <v>0</v>
      </c>
      <c r="S1390" s="36">
        <v>0</v>
      </c>
      <c r="T1390" s="7" t="s">
        <v>131</v>
      </c>
      <c r="U1390" s="7" t="s">
        <v>853</v>
      </c>
      <c r="V1390" s="7" t="s">
        <v>853</v>
      </c>
      <c r="W1390" s="7" t="s">
        <v>1177</v>
      </c>
      <c r="X1390" s="30">
        <v>1</v>
      </c>
      <c r="Y1390" s="7" t="s">
        <v>1177</v>
      </c>
      <c r="Z1390" s="7" t="s">
        <v>1178</v>
      </c>
      <c r="AA1390" s="30">
        <v>0</v>
      </c>
      <c r="AB1390" s="36">
        <v>0</v>
      </c>
      <c r="AC1390" s="7" t="s">
        <v>1177</v>
      </c>
      <c r="AD1390" s="37">
        <v>0</v>
      </c>
      <c r="AE1390" s="7" t="s">
        <v>1177</v>
      </c>
      <c r="AF1390" s="7" t="s">
        <v>1177</v>
      </c>
      <c r="AG1390" s="7" t="s">
        <v>1177</v>
      </c>
      <c r="AH1390" s="38"/>
      <c r="AI1390" s="36">
        <v>0</v>
      </c>
      <c r="AJ1390" s="7" t="s">
        <v>1193</v>
      </c>
      <c r="AK1390" s="7" t="s">
        <v>1177</v>
      </c>
      <c r="AL1390" s="7" t="s">
        <v>1177</v>
      </c>
      <c r="AM1390" s="7" t="s">
        <v>1177</v>
      </c>
      <c r="AN1390" s="7" t="s">
        <v>3212</v>
      </c>
      <c r="AO1390" s="7" t="s">
        <v>1177</v>
      </c>
      <c r="AP1390" s="7" t="s">
        <v>1177</v>
      </c>
      <c r="AQ1390" s="7" t="s">
        <v>1177</v>
      </c>
      <c r="AR1390" s="29">
        <v>0</v>
      </c>
      <c r="AS1390" s="7" t="s">
        <v>1177</v>
      </c>
      <c r="AT1390" s="7" t="s">
        <v>1363</v>
      </c>
      <c r="AU1390" s="38">
        <v>46275</v>
      </c>
      <c r="AV1390" s="39">
        <v>0.62487268518519001</v>
      </c>
    </row>
    <row r="1391" spans="1:48" x14ac:dyDescent="0.35">
      <c r="A1391" t="str">
        <f t="shared" si="21"/>
        <v>GP332689B857</v>
      </c>
      <c r="B1391" s="7" t="s">
        <v>811</v>
      </c>
      <c r="C1391" s="7" t="s">
        <v>958</v>
      </c>
      <c r="D1391" s="7" t="s">
        <v>23</v>
      </c>
      <c r="E1391" s="7" t="s">
        <v>1177</v>
      </c>
      <c r="F1391" s="7" t="s">
        <v>128</v>
      </c>
      <c r="G1391" s="7" t="s">
        <v>130</v>
      </c>
      <c r="H1391" s="7" t="s">
        <v>129</v>
      </c>
      <c r="I1391" s="30">
        <v>1</v>
      </c>
      <c r="J1391" s="7" t="s">
        <v>1177</v>
      </c>
      <c r="K1391" s="7" t="s">
        <v>1178</v>
      </c>
      <c r="L1391" s="7" t="s">
        <v>132</v>
      </c>
      <c r="M1391" s="7" t="s">
        <v>133</v>
      </c>
      <c r="N1391" s="30">
        <v>0</v>
      </c>
      <c r="O1391" s="30">
        <v>0</v>
      </c>
      <c r="P1391" s="30">
        <v>0</v>
      </c>
      <c r="Q1391" s="30">
        <v>0</v>
      </c>
      <c r="R1391" s="29">
        <v>0</v>
      </c>
      <c r="S1391" s="36">
        <v>0</v>
      </c>
      <c r="T1391" s="7" t="s">
        <v>131</v>
      </c>
      <c r="U1391" s="7" t="s">
        <v>959</v>
      </c>
      <c r="V1391" s="7" t="s">
        <v>959</v>
      </c>
      <c r="W1391" s="7" t="s">
        <v>1177</v>
      </c>
      <c r="X1391" s="30">
        <v>1</v>
      </c>
      <c r="Y1391" s="7" t="s">
        <v>1177</v>
      </c>
      <c r="Z1391" s="7" t="s">
        <v>1178</v>
      </c>
      <c r="AA1391" s="30">
        <v>0</v>
      </c>
      <c r="AB1391" s="36">
        <v>0</v>
      </c>
      <c r="AC1391" s="7" t="s">
        <v>1177</v>
      </c>
      <c r="AD1391" s="37">
        <v>0</v>
      </c>
      <c r="AE1391" s="7" t="s">
        <v>1177</v>
      </c>
      <c r="AF1391" s="7" t="s">
        <v>1177</v>
      </c>
      <c r="AG1391" s="7" t="s">
        <v>1177</v>
      </c>
      <c r="AH1391" s="38"/>
      <c r="AI1391" s="36">
        <v>0</v>
      </c>
      <c r="AJ1391" s="7" t="s">
        <v>1193</v>
      </c>
      <c r="AK1391" s="7" t="s">
        <v>1177</v>
      </c>
      <c r="AL1391" s="7" t="s">
        <v>1177</v>
      </c>
      <c r="AM1391" s="7" t="s">
        <v>1177</v>
      </c>
      <c r="AN1391" s="7" t="s">
        <v>3212</v>
      </c>
      <c r="AO1391" s="7" t="s">
        <v>1177</v>
      </c>
      <c r="AP1391" s="7" t="s">
        <v>1177</v>
      </c>
      <c r="AQ1391" s="7" t="s">
        <v>1177</v>
      </c>
      <c r="AR1391" s="29">
        <v>0</v>
      </c>
      <c r="AS1391" s="7" t="s">
        <v>1177</v>
      </c>
      <c r="AT1391" s="7" t="s">
        <v>1363</v>
      </c>
      <c r="AU1391" s="38">
        <v>46275</v>
      </c>
      <c r="AV1391" s="39">
        <v>0.62512731481480999</v>
      </c>
    </row>
    <row r="1392" spans="1:48" x14ac:dyDescent="0.35">
      <c r="A1392" t="str">
        <f t="shared" si="21"/>
        <v>GP332689B867</v>
      </c>
      <c r="B1392" s="7" t="s">
        <v>811</v>
      </c>
      <c r="C1392" s="7" t="s">
        <v>1059</v>
      </c>
      <c r="D1392" s="7" t="s">
        <v>25</v>
      </c>
      <c r="E1392" s="7" t="s">
        <v>1177</v>
      </c>
      <c r="F1392" s="7" t="s">
        <v>128</v>
      </c>
      <c r="G1392" s="7" t="s">
        <v>130</v>
      </c>
      <c r="H1392" s="7" t="s">
        <v>129</v>
      </c>
      <c r="I1392" s="30">
        <v>2</v>
      </c>
      <c r="J1392" s="7" t="s">
        <v>1177</v>
      </c>
      <c r="K1392" s="7" t="s">
        <v>1178</v>
      </c>
      <c r="L1392" s="7" t="s">
        <v>132</v>
      </c>
      <c r="M1392" s="7" t="s">
        <v>133</v>
      </c>
      <c r="N1392" s="30">
        <v>0</v>
      </c>
      <c r="O1392" s="30">
        <v>0</v>
      </c>
      <c r="P1392" s="30">
        <v>0</v>
      </c>
      <c r="Q1392" s="30">
        <v>0</v>
      </c>
      <c r="R1392" s="29">
        <v>0</v>
      </c>
      <c r="S1392" s="36">
        <v>0</v>
      </c>
      <c r="T1392" s="7" t="s">
        <v>131</v>
      </c>
      <c r="U1392" s="7" t="s">
        <v>1060</v>
      </c>
      <c r="V1392" s="7" t="s">
        <v>1060</v>
      </c>
      <c r="W1392" s="7" t="s">
        <v>1177</v>
      </c>
      <c r="X1392" s="30">
        <v>1</v>
      </c>
      <c r="Y1392" s="7" t="s">
        <v>1177</v>
      </c>
      <c r="Z1392" s="7" t="s">
        <v>1178</v>
      </c>
      <c r="AA1392" s="30">
        <v>0</v>
      </c>
      <c r="AB1392" s="36">
        <v>0</v>
      </c>
      <c r="AC1392" s="7" t="s">
        <v>1177</v>
      </c>
      <c r="AD1392" s="37">
        <v>0</v>
      </c>
      <c r="AE1392" s="7" t="s">
        <v>1177</v>
      </c>
      <c r="AF1392" s="7" t="s">
        <v>1177</v>
      </c>
      <c r="AG1392" s="7" t="s">
        <v>1177</v>
      </c>
      <c r="AH1392" s="38"/>
      <c r="AI1392" s="36">
        <v>0</v>
      </c>
      <c r="AJ1392" s="7" t="s">
        <v>1193</v>
      </c>
      <c r="AK1392" s="7" t="s">
        <v>1177</v>
      </c>
      <c r="AL1392" s="7" t="s">
        <v>1177</v>
      </c>
      <c r="AM1392" s="7" t="s">
        <v>1177</v>
      </c>
      <c r="AN1392" s="7" t="s">
        <v>3212</v>
      </c>
      <c r="AO1392" s="7" t="s">
        <v>1177</v>
      </c>
      <c r="AP1392" s="7" t="s">
        <v>1177</v>
      </c>
      <c r="AQ1392" s="7" t="s">
        <v>1177</v>
      </c>
      <c r="AR1392" s="29">
        <v>0</v>
      </c>
      <c r="AS1392" s="7" t="s">
        <v>1177</v>
      </c>
      <c r="AT1392" s="7" t="s">
        <v>1363</v>
      </c>
      <c r="AU1392" s="38">
        <v>46275</v>
      </c>
      <c r="AV1392" s="39">
        <v>0.62715277777778</v>
      </c>
    </row>
    <row r="1393" spans="1:48" x14ac:dyDescent="0.35">
      <c r="A1393" t="str">
        <f t="shared" si="21"/>
        <v>GP332690B856</v>
      </c>
      <c r="B1393" s="7" t="s">
        <v>812</v>
      </c>
      <c r="C1393" s="7" t="s">
        <v>852</v>
      </c>
      <c r="D1393" s="7" t="s">
        <v>21</v>
      </c>
      <c r="E1393" s="7" t="s">
        <v>1177</v>
      </c>
      <c r="F1393" s="7" t="s">
        <v>128</v>
      </c>
      <c r="G1393" s="7" t="s">
        <v>130</v>
      </c>
      <c r="H1393" s="7" t="s">
        <v>129</v>
      </c>
      <c r="I1393" s="30">
        <v>1</v>
      </c>
      <c r="J1393" s="7" t="s">
        <v>1177</v>
      </c>
      <c r="K1393" s="7" t="s">
        <v>1178</v>
      </c>
      <c r="L1393" s="7" t="s">
        <v>132</v>
      </c>
      <c r="M1393" s="7" t="s">
        <v>133</v>
      </c>
      <c r="N1393" s="30">
        <v>0</v>
      </c>
      <c r="O1393" s="30">
        <v>0</v>
      </c>
      <c r="P1393" s="30">
        <v>0</v>
      </c>
      <c r="Q1393" s="30">
        <v>0</v>
      </c>
      <c r="R1393" s="29">
        <v>0</v>
      </c>
      <c r="S1393" s="36">
        <v>0</v>
      </c>
      <c r="T1393" s="7" t="s">
        <v>131</v>
      </c>
      <c r="U1393" s="7" t="s">
        <v>853</v>
      </c>
      <c r="V1393" s="7" t="s">
        <v>853</v>
      </c>
      <c r="W1393" s="7" t="s">
        <v>1177</v>
      </c>
      <c r="X1393" s="30">
        <v>1</v>
      </c>
      <c r="Y1393" s="7" t="s">
        <v>1177</v>
      </c>
      <c r="Z1393" s="7" t="s">
        <v>1178</v>
      </c>
      <c r="AA1393" s="30">
        <v>0</v>
      </c>
      <c r="AB1393" s="36">
        <v>0</v>
      </c>
      <c r="AC1393" s="7" t="s">
        <v>1177</v>
      </c>
      <c r="AD1393" s="37">
        <v>0</v>
      </c>
      <c r="AE1393" s="7" t="s">
        <v>1177</v>
      </c>
      <c r="AF1393" s="7" t="s">
        <v>1177</v>
      </c>
      <c r="AG1393" s="7" t="s">
        <v>1177</v>
      </c>
      <c r="AH1393" s="38"/>
      <c r="AI1393" s="36">
        <v>0</v>
      </c>
      <c r="AJ1393" s="7" t="s">
        <v>1193</v>
      </c>
      <c r="AK1393" s="7" t="s">
        <v>1177</v>
      </c>
      <c r="AL1393" s="7" t="s">
        <v>1177</v>
      </c>
      <c r="AM1393" s="7" t="s">
        <v>1177</v>
      </c>
      <c r="AN1393" s="7" t="s">
        <v>3212</v>
      </c>
      <c r="AO1393" s="7" t="s">
        <v>1177</v>
      </c>
      <c r="AP1393" s="7" t="s">
        <v>1177</v>
      </c>
      <c r="AQ1393" s="7" t="s">
        <v>1177</v>
      </c>
      <c r="AR1393" s="29">
        <v>0</v>
      </c>
      <c r="AS1393" s="7" t="s">
        <v>1177</v>
      </c>
      <c r="AT1393" s="7" t="s">
        <v>1363</v>
      </c>
      <c r="AU1393" s="38">
        <v>46275</v>
      </c>
      <c r="AV1393" s="39">
        <v>0.62487268518519001</v>
      </c>
    </row>
    <row r="1394" spans="1:48" x14ac:dyDescent="0.35">
      <c r="A1394" t="str">
        <f t="shared" si="21"/>
        <v>GP332766B833</v>
      </c>
      <c r="B1394" s="7" t="s">
        <v>720</v>
      </c>
      <c r="C1394" s="7" t="s">
        <v>698</v>
      </c>
      <c r="D1394" s="7" t="s">
        <v>697</v>
      </c>
      <c r="E1394" s="7" t="s">
        <v>1177</v>
      </c>
      <c r="F1394" s="7" t="s">
        <v>128</v>
      </c>
      <c r="G1394" s="7" t="s">
        <v>130</v>
      </c>
      <c r="H1394" s="7" t="s">
        <v>129</v>
      </c>
      <c r="I1394" s="30">
        <v>2</v>
      </c>
      <c r="J1394" s="7" t="s">
        <v>1177</v>
      </c>
      <c r="K1394" s="7" t="s">
        <v>1178</v>
      </c>
      <c r="L1394" s="7" t="s">
        <v>132</v>
      </c>
      <c r="M1394" s="7" t="s">
        <v>133</v>
      </c>
      <c r="N1394" s="30">
        <v>0</v>
      </c>
      <c r="O1394" s="30">
        <v>0</v>
      </c>
      <c r="P1394" s="30">
        <v>0</v>
      </c>
      <c r="Q1394" s="30">
        <v>0</v>
      </c>
      <c r="R1394" s="29">
        <v>0</v>
      </c>
      <c r="S1394" s="36">
        <v>0</v>
      </c>
      <c r="T1394" s="7" t="s">
        <v>131</v>
      </c>
      <c r="U1394" s="7" t="s">
        <v>699</v>
      </c>
      <c r="V1394" s="7" t="s">
        <v>699</v>
      </c>
      <c r="W1394" s="7" t="s">
        <v>1177</v>
      </c>
      <c r="X1394" s="30">
        <v>1</v>
      </c>
      <c r="Y1394" s="7" t="s">
        <v>1177</v>
      </c>
      <c r="Z1394" s="7" t="s">
        <v>1178</v>
      </c>
      <c r="AA1394" s="30">
        <v>0</v>
      </c>
      <c r="AB1394" s="36">
        <v>0</v>
      </c>
      <c r="AC1394" s="7" t="s">
        <v>1177</v>
      </c>
      <c r="AD1394" s="37">
        <v>0</v>
      </c>
      <c r="AE1394" s="7" t="s">
        <v>1177</v>
      </c>
      <c r="AF1394" s="7" t="s">
        <v>1177</v>
      </c>
      <c r="AG1394" s="7" t="s">
        <v>1177</v>
      </c>
      <c r="AH1394" s="38"/>
      <c r="AI1394" s="36">
        <v>0</v>
      </c>
      <c r="AJ1394" s="7" t="s">
        <v>1193</v>
      </c>
      <c r="AK1394" s="7" t="s">
        <v>1177</v>
      </c>
      <c r="AL1394" s="7" t="s">
        <v>1177</v>
      </c>
      <c r="AM1394" s="7" t="s">
        <v>1177</v>
      </c>
      <c r="AN1394" s="7" t="s">
        <v>3212</v>
      </c>
      <c r="AO1394" s="7" t="s">
        <v>1177</v>
      </c>
      <c r="AP1394" s="7" t="s">
        <v>1177</v>
      </c>
      <c r="AQ1394" s="7" t="s">
        <v>1177</v>
      </c>
      <c r="AR1394" s="29">
        <v>0</v>
      </c>
      <c r="AS1394" s="7" t="s">
        <v>1177</v>
      </c>
      <c r="AT1394" s="7" t="s">
        <v>1363</v>
      </c>
      <c r="AU1394" s="38">
        <v>46275</v>
      </c>
      <c r="AV1394" s="39">
        <v>0.62349537037036995</v>
      </c>
    </row>
    <row r="1395" spans="1:48" x14ac:dyDescent="0.35">
      <c r="A1395" t="str">
        <f t="shared" si="21"/>
        <v>GP333101B832</v>
      </c>
      <c r="B1395" s="7" t="s">
        <v>686</v>
      </c>
      <c r="C1395" s="7" t="s">
        <v>653</v>
      </c>
      <c r="D1395" s="7" t="s">
        <v>19</v>
      </c>
      <c r="E1395" s="7" t="s">
        <v>1177</v>
      </c>
      <c r="F1395" s="7" t="s">
        <v>128</v>
      </c>
      <c r="G1395" s="7" t="s">
        <v>130</v>
      </c>
      <c r="H1395" s="7" t="s">
        <v>129</v>
      </c>
      <c r="I1395" s="30">
        <v>1</v>
      </c>
      <c r="J1395" s="7" t="s">
        <v>1177</v>
      </c>
      <c r="K1395" s="7" t="s">
        <v>1178</v>
      </c>
      <c r="L1395" s="7" t="s">
        <v>132</v>
      </c>
      <c r="M1395" s="7" t="s">
        <v>133</v>
      </c>
      <c r="N1395" s="30">
        <v>0</v>
      </c>
      <c r="O1395" s="30">
        <v>0</v>
      </c>
      <c r="P1395" s="30">
        <v>0</v>
      </c>
      <c r="Q1395" s="30">
        <v>0</v>
      </c>
      <c r="R1395" s="29">
        <v>0</v>
      </c>
      <c r="S1395" s="36">
        <v>0</v>
      </c>
      <c r="T1395" s="7" t="s">
        <v>131</v>
      </c>
      <c r="U1395" s="7" t="s">
        <v>654</v>
      </c>
      <c r="V1395" s="7" t="s">
        <v>654</v>
      </c>
      <c r="W1395" s="7" t="s">
        <v>1177</v>
      </c>
      <c r="X1395" s="30">
        <v>1</v>
      </c>
      <c r="Y1395" s="7" t="s">
        <v>1177</v>
      </c>
      <c r="Z1395" s="7" t="s">
        <v>1178</v>
      </c>
      <c r="AA1395" s="30">
        <v>0</v>
      </c>
      <c r="AB1395" s="36">
        <v>0</v>
      </c>
      <c r="AC1395" s="7" t="s">
        <v>1177</v>
      </c>
      <c r="AD1395" s="37">
        <v>0</v>
      </c>
      <c r="AE1395" s="7" t="s">
        <v>1177</v>
      </c>
      <c r="AF1395" s="7" t="s">
        <v>1177</v>
      </c>
      <c r="AG1395" s="7" t="s">
        <v>1177</v>
      </c>
      <c r="AH1395" s="38"/>
      <c r="AI1395" s="36">
        <v>0</v>
      </c>
      <c r="AJ1395" s="7" t="s">
        <v>1193</v>
      </c>
      <c r="AK1395" s="7" t="s">
        <v>1177</v>
      </c>
      <c r="AL1395" s="7" t="s">
        <v>1177</v>
      </c>
      <c r="AM1395" s="7" t="s">
        <v>1177</v>
      </c>
      <c r="AN1395" s="7" t="s">
        <v>3212</v>
      </c>
      <c r="AO1395" s="7" t="s">
        <v>1177</v>
      </c>
      <c r="AP1395" s="7" t="s">
        <v>1177</v>
      </c>
      <c r="AQ1395" s="7" t="s">
        <v>1177</v>
      </c>
      <c r="AR1395" s="29">
        <v>0</v>
      </c>
      <c r="AS1395" s="7" t="s">
        <v>1177</v>
      </c>
      <c r="AT1395" s="7" t="s">
        <v>1363</v>
      </c>
      <c r="AU1395" s="38">
        <v>46275</v>
      </c>
      <c r="AV1395" s="39">
        <v>0.62340277777777997</v>
      </c>
    </row>
    <row r="1396" spans="1:48" x14ac:dyDescent="0.35">
      <c r="A1396" t="str">
        <f t="shared" si="21"/>
        <v>GP334593B832</v>
      </c>
      <c r="B1396" s="7" t="s">
        <v>687</v>
      </c>
      <c r="C1396" s="7" t="s">
        <v>653</v>
      </c>
      <c r="D1396" s="7" t="s">
        <v>19</v>
      </c>
      <c r="E1396" s="7" t="s">
        <v>1177</v>
      </c>
      <c r="F1396" s="7" t="s">
        <v>128</v>
      </c>
      <c r="G1396" s="7" t="s">
        <v>130</v>
      </c>
      <c r="H1396" s="7" t="s">
        <v>129</v>
      </c>
      <c r="I1396" s="30">
        <v>2</v>
      </c>
      <c r="J1396" s="7" t="s">
        <v>1177</v>
      </c>
      <c r="K1396" s="7" t="s">
        <v>1178</v>
      </c>
      <c r="L1396" s="7" t="s">
        <v>132</v>
      </c>
      <c r="M1396" s="7" t="s">
        <v>133</v>
      </c>
      <c r="N1396" s="30">
        <v>0</v>
      </c>
      <c r="O1396" s="30">
        <v>0</v>
      </c>
      <c r="P1396" s="30">
        <v>0</v>
      </c>
      <c r="Q1396" s="30">
        <v>0</v>
      </c>
      <c r="R1396" s="29">
        <v>0</v>
      </c>
      <c r="S1396" s="36">
        <v>0</v>
      </c>
      <c r="T1396" s="7" t="s">
        <v>131</v>
      </c>
      <c r="U1396" s="7" t="s">
        <v>654</v>
      </c>
      <c r="V1396" s="7" t="s">
        <v>654</v>
      </c>
      <c r="W1396" s="7" t="s">
        <v>1177</v>
      </c>
      <c r="X1396" s="30">
        <v>1</v>
      </c>
      <c r="Y1396" s="7" t="s">
        <v>1177</v>
      </c>
      <c r="Z1396" s="7" t="s">
        <v>1178</v>
      </c>
      <c r="AA1396" s="30">
        <v>0</v>
      </c>
      <c r="AB1396" s="36">
        <v>0</v>
      </c>
      <c r="AC1396" s="7" t="s">
        <v>1177</v>
      </c>
      <c r="AD1396" s="37">
        <v>0</v>
      </c>
      <c r="AE1396" s="7" t="s">
        <v>1177</v>
      </c>
      <c r="AF1396" s="7" t="s">
        <v>1177</v>
      </c>
      <c r="AG1396" s="7" t="s">
        <v>1177</v>
      </c>
      <c r="AH1396" s="38"/>
      <c r="AI1396" s="36">
        <v>0</v>
      </c>
      <c r="AJ1396" s="7" t="s">
        <v>1193</v>
      </c>
      <c r="AK1396" s="7" t="s">
        <v>1177</v>
      </c>
      <c r="AL1396" s="7" t="s">
        <v>1177</v>
      </c>
      <c r="AM1396" s="7" t="s">
        <v>1177</v>
      </c>
      <c r="AN1396" s="7" t="s">
        <v>3212</v>
      </c>
      <c r="AO1396" s="7" t="s">
        <v>1177</v>
      </c>
      <c r="AP1396" s="7" t="s">
        <v>1177</v>
      </c>
      <c r="AQ1396" s="7" t="s">
        <v>1177</v>
      </c>
      <c r="AR1396" s="29">
        <v>0</v>
      </c>
      <c r="AS1396" s="7" t="s">
        <v>1177</v>
      </c>
      <c r="AT1396" s="7" t="s">
        <v>1363</v>
      </c>
      <c r="AU1396" s="38">
        <v>46275</v>
      </c>
      <c r="AV1396" s="39">
        <v>0.62340277777777997</v>
      </c>
    </row>
    <row r="1397" spans="1:48" x14ac:dyDescent="0.35">
      <c r="A1397" t="str">
        <f t="shared" si="21"/>
        <v>GP334751B832</v>
      </c>
      <c r="B1397" s="7" t="s">
        <v>688</v>
      </c>
      <c r="C1397" s="7" t="s">
        <v>653</v>
      </c>
      <c r="D1397" s="7" t="s">
        <v>19</v>
      </c>
      <c r="E1397" s="7" t="s">
        <v>1177</v>
      </c>
      <c r="F1397" s="7" t="s">
        <v>128</v>
      </c>
      <c r="G1397" s="7" t="s">
        <v>130</v>
      </c>
      <c r="H1397" s="7" t="s">
        <v>129</v>
      </c>
      <c r="I1397" s="30">
        <v>2</v>
      </c>
      <c r="J1397" s="7" t="s">
        <v>1177</v>
      </c>
      <c r="K1397" s="7" t="s">
        <v>1178</v>
      </c>
      <c r="L1397" s="7" t="s">
        <v>132</v>
      </c>
      <c r="M1397" s="7" t="s">
        <v>133</v>
      </c>
      <c r="N1397" s="30">
        <v>0</v>
      </c>
      <c r="O1397" s="30">
        <v>0</v>
      </c>
      <c r="P1397" s="30">
        <v>0</v>
      </c>
      <c r="Q1397" s="30">
        <v>0</v>
      </c>
      <c r="R1397" s="29">
        <v>0</v>
      </c>
      <c r="S1397" s="36">
        <v>0</v>
      </c>
      <c r="T1397" s="7" t="s">
        <v>131</v>
      </c>
      <c r="U1397" s="7" t="s">
        <v>654</v>
      </c>
      <c r="V1397" s="7" t="s">
        <v>654</v>
      </c>
      <c r="W1397" s="7" t="s">
        <v>1177</v>
      </c>
      <c r="X1397" s="30">
        <v>1</v>
      </c>
      <c r="Y1397" s="7" t="s">
        <v>1177</v>
      </c>
      <c r="Z1397" s="7" t="s">
        <v>1178</v>
      </c>
      <c r="AA1397" s="30">
        <v>0</v>
      </c>
      <c r="AB1397" s="36">
        <v>0</v>
      </c>
      <c r="AC1397" s="7" t="s">
        <v>1177</v>
      </c>
      <c r="AD1397" s="37">
        <v>0</v>
      </c>
      <c r="AE1397" s="7" t="s">
        <v>1177</v>
      </c>
      <c r="AF1397" s="7" t="s">
        <v>1177</v>
      </c>
      <c r="AG1397" s="7" t="s">
        <v>1177</v>
      </c>
      <c r="AH1397" s="38"/>
      <c r="AI1397" s="36">
        <v>0</v>
      </c>
      <c r="AJ1397" s="7" t="s">
        <v>1193</v>
      </c>
      <c r="AK1397" s="7" t="s">
        <v>1177</v>
      </c>
      <c r="AL1397" s="7" t="s">
        <v>1177</v>
      </c>
      <c r="AM1397" s="7" t="s">
        <v>1177</v>
      </c>
      <c r="AN1397" s="7" t="s">
        <v>3212</v>
      </c>
      <c r="AO1397" s="7" t="s">
        <v>1177</v>
      </c>
      <c r="AP1397" s="7" t="s">
        <v>1177</v>
      </c>
      <c r="AQ1397" s="7" t="s">
        <v>1177</v>
      </c>
      <c r="AR1397" s="29">
        <v>0</v>
      </c>
      <c r="AS1397" s="7" t="s">
        <v>1177</v>
      </c>
      <c r="AT1397" s="7" t="s">
        <v>1363</v>
      </c>
      <c r="AU1397" s="38">
        <v>46275</v>
      </c>
      <c r="AV1397" s="39">
        <v>0.62340277777777997</v>
      </c>
    </row>
    <row r="1398" spans="1:48" x14ac:dyDescent="0.35">
      <c r="A1398" t="str">
        <f t="shared" si="21"/>
        <v>GP335319B864</v>
      </c>
      <c r="B1398" s="7" t="s">
        <v>813</v>
      </c>
      <c r="C1398" s="7" t="s">
        <v>1010</v>
      </c>
      <c r="D1398" s="7" t="s">
        <v>10</v>
      </c>
      <c r="E1398" s="7" t="s">
        <v>1177</v>
      </c>
      <c r="F1398" s="7" t="s">
        <v>128</v>
      </c>
      <c r="G1398" s="7" t="s">
        <v>130</v>
      </c>
      <c r="H1398" s="7" t="s">
        <v>129</v>
      </c>
      <c r="I1398" s="30">
        <v>1</v>
      </c>
      <c r="J1398" s="7" t="s">
        <v>1177</v>
      </c>
      <c r="K1398" s="7" t="s">
        <v>1178</v>
      </c>
      <c r="L1398" s="7" t="s">
        <v>132</v>
      </c>
      <c r="M1398" s="7" t="s">
        <v>133</v>
      </c>
      <c r="N1398" s="30">
        <v>0</v>
      </c>
      <c r="O1398" s="30">
        <v>0</v>
      </c>
      <c r="P1398" s="30">
        <v>0</v>
      </c>
      <c r="Q1398" s="30">
        <v>0</v>
      </c>
      <c r="R1398" s="29">
        <v>0</v>
      </c>
      <c r="S1398" s="36">
        <v>0</v>
      </c>
      <c r="T1398" s="7" t="s">
        <v>131</v>
      </c>
      <c r="U1398" s="7" t="s">
        <v>1011</v>
      </c>
      <c r="V1398" s="7" t="s">
        <v>1011</v>
      </c>
      <c r="W1398" s="7" t="s">
        <v>1177</v>
      </c>
      <c r="X1398" s="30">
        <v>1</v>
      </c>
      <c r="Y1398" s="7" t="s">
        <v>1177</v>
      </c>
      <c r="Z1398" s="7" t="s">
        <v>1178</v>
      </c>
      <c r="AA1398" s="30">
        <v>0</v>
      </c>
      <c r="AB1398" s="36">
        <v>0</v>
      </c>
      <c r="AC1398" s="7" t="s">
        <v>1177</v>
      </c>
      <c r="AD1398" s="37">
        <v>0</v>
      </c>
      <c r="AE1398" s="7" t="s">
        <v>1177</v>
      </c>
      <c r="AF1398" s="7" t="s">
        <v>1177</v>
      </c>
      <c r="AG1398" s="7" t="s">
        <v>1177</v>
      </c>
      <c r="AH1398" s="38"/>
      <c r="AI1398" s="36">
        <v>0</v>
      </c>
      <c r="AJ1398" s="7" t="s">
        <v>1193</v>
      </c>
      <c r="AK1398" s="7" t="s">
        <v>1177</v>
      </c>
      <c r="AL1398" s="7" t="s">
        <v>1177</v>
      </c>
      <c r="AM1398" s="7" t="s">
        <v>1177</v>
      </c>
      <c r="AN1398" s="7" t="s">
        <v>3212</v>
      </c>
      <c r="AO1398" s="7" t="s">
        <v>1177</v>
      </c>
      <c r="AP1398" s="7" t="s">
        <v>1177</v>
      </c>
      <c r="AQ1398" s="7" t="s">
        <v>1177</v>
      </c>
      <c r="AR1398" s="29">
        <v>0</v>
      </c>
      <c r="AS1398" s="7" t="s">
        <v>1177</v>
      </c>
      <c r="AT1398" s="7" t="s">
        <v>1363</v>
      </c>
      <c r="AU1398" s="38">
        <v>46275</v>
      </c>
      <c r="AV1398" s="39">
        <v>0.62633101851852002</v>
      </c>
    </row>
    <row r="1399" spans="1:48" x14ac:dyDescent="0.35">
      <c r="A1399" t="str">
        <f t="shared" si="21"/>
        <v>GP335319B865</v>
      </c>
      <c r="B1399" s="7" t="s">
        <v>813</v>
      </c>
      <c r="C1399" s="7" t="s">
        <v>1039</v>
      </c>
      <c r="D1399" s="7" t="s">
        <v>7</v>
      </c>
      <c r="E1399" s="7" t="s">
        <v>1177</v>
      </c>
      <c r="F1399" s="7" t="s">
        <v>128</v>
      </c>
      <c r="G1399" s="7" t="s">
        <v>130</v>
      </c>
      <c r="H1399" s="7" t="s">
        <v>129</v>
      </c>
      <c r="I1399" s="30">
        <v>1</v>
      </c>
      <c r="J1399" s="7" t="s">
        <v>1177</v>
      </c>
      <c r="K1399" s="7" t="s">
        <v>1178</v>
      </c>
      <c r="L1399" s="7" t="s">
        <v>132</v>
      </c>
      <c r="M1399" s="7" t="s">
        <v>133</v>
      </c>
      <c r="N1399" s="30">
        <v>0</v>
      </c>
      <c r="O1399" s="30">
        <v>0</v>
      </c>
      <c r="P1399" s="30">
        <v>0</v>
      </c>
      <c r="Q1399" s="30">
        <v>0</v>
      </c>
      <c r="R1399" s="29">
        <v>0</v>
      </c>
      <c r="S1399" s="36">
        <v>0</v>
      </c>
      <c r="T1399" s="7" t="s">
        <v>131</v>
      </c>
      <c r="U1399" s="7" t="s">
        <v>1040</v>
      </c>
      <c r="V1399" s="7" t="s">
        <v>1040</v>
      </c>
      <c r="W1399" s="7" t="s">
        <v>1177</v>
      </c>
      <c r="X1399" s="30">
        <v>1</v>
      </c>
      <c r="Y1399" s="7" t="s">
        <v>1177</v>
      </c>
      <c r="Z1399" s="7" t="s">
        <v>1178</v>
      </c>
      <c r="AA1399" s="30">
        <v>0</v>
      </c>
      <c r="AB1399" s="36">
        <v>0</v>
      </c>
      <c r="AC1399" s="7" t="s">
        <v>1177</v>
      </c>
      <c r="AD1399" s="37">
        <v>0</v>
      </c>
      <c r="AE1399" s="7" t="s">
        <v>1177</v>
      </c>
      <c r="AF1399" s="7" t="s">
        <v>1177</v>
      </c>
      <c r="AG1399" s="7" t="s">
        <v>1177</v>
      </c>
      <c r="AH1399" s="38"/>
      <c r="AI1399" s="36">
        <v>0</v>
      </c>
      <c r="AJ1399" s="7" t="s">
        <v>1193</v>
      </c>
      <c r="AK1399" s="7" t="s">
        <v>1177</v>
      </c>
      <c r="AL1399" s="7" t="s">
        <v>1177</v>
      </c>
      <c r="AM1399" s="7" t="s">
        <v>1177</v>
      </c>
      <c r="AN1399" s="7" t="s">
        <v>3212</v>
      </c>
      <c r="AO1399" s="7" t="s">
        <v>1177</v>
      </c>
      <c r="AP1399" s="7" t="s">
        <v>1177</v>
      </c>
      <c r="AQ1399" s="7" t="s">
        <v>1177</v>
      </c>
      <c r="AR1399" s="29">
        <v>0</v>
      </c>
      <c r="AS1399" s="7" t="s">
        <v>1177</v>
      </c>
      <c r="AT1399" s="7" t="s">
        <v>1363</v>
      </c>
      <c r="AU1399" s="38">
        <v>46275</v>
      </c>
      <c r="AV1399" s="39">
        <v>0.62677083333332995</v>
      </c>
    </row>
    <row r="1400" spans="1:48" x14ac:dyDescent="0.35">
      <c r="A1400" t="str">
        <f t="shared" si="21"/>
        <v>GP335319B867</v>
      </c>
      <c r="B1400" s="7" t="s">
        <v>813</v>
      </c>
      <c r="C1400" s="7" t="s">
        <v>1059</v>
      </c>
      <c r="D1400" s="7" t="s">
        <v>25</v>
      </c>
      <c r="E1400" s="7" t="s">
        <v>1177</v>
      </c>
      <c r="F1400" s="7" t="s">
        <v>128</v>
      </c>
      <c r="G1400" s="7" t="s">
        <v>130</v>
      </c>
      <c r="H1400" s="7" t="s">
        <v>129</v>
      </c>
      <c r="I1400" s="30">
        <v>2</v>
      </c>
      <c r="J1400" s="7" t="s">
        <v>1177</v>
      </c>
      <c r="K1400" s="7" t="s">
        <v>1178</v>
      </c>
      <c r="L1400" s="7" t="s">
        <v>132</v>
      </c>
      <c r="M1400" s="7" t="s">
        <v>133</v>
      </c>
      <c r="N1400" s="30">
        <v>0</v>
      </c>
      <c r="O1400" s="30">
        <v>0</v>
      </c>
      <c r="P1400" s="30">
        <v>0</v>
      </c>
      <c r="Q1400" s="30">
        <v>0</v>
      </c>
      <c r="R1400" s="29">
        <v>0</v>
      </c>
      <c r="S1400" s="36">
        <v>0</v>
      </c>
      <c r="T1400" s="7" t="s">
        <v>131</v>
      </c>
      <c r="U1400" s="7" t="s">
        <v>1060</v>
      </c>
      <c r="V1400" s="7" t="s">
        <v>1060</v>
      </c>
      <c r="W1400" s="7" t="s">
        <v>1177</v>
      </c>
      <c r="X1400" s="30">
        <v>1</v>
      </c>
      <c r="Y1400" s="7" t="s">
        <v>1177</v>
      </c>
      <c r="Z1400" s="7" t="s">
        <v>1178</v>
      </c>
      <c r="AA1400" s="30">
        <v>0</v>
      </c>
      <c r="AB1400" s="36">
        <v>0</v>
      </c>
      <c r="AC1400" s="7" t="s">
        <v>1177</v>
      </c>
      <c r="AD1400" s="37">
        <v>0</v>
      </c>
      <c r="AE1400" s="7" t="s">
        <v>1177</v>
      </c>
      <c r="AF1400" s="7" t="s">
        <v>1177</v>
      </c>
      <c r="AG1400" s="7" t="s">
        <v>1177</v>
      </c>
      <c r="AH1400" s="38"/>
      <c r="AI1400" s="36">
        <v>0</v>
      </c>
      <c r="AJ1400" s="7" t="s">
        <v>1193</v>
      </c>
      <c r="AK1400" s="7" t="s">
        <v>1177</v>
      </c>
      <c r="AL1400" s="7" t="s">
        <v>1177</v>
      </c>
      <c r="AM1400" s="7" t="s">
        <v>1177</v>
      </c>
      <c r="AN1400" s="7" t="s">
        <v>3212</v>
      </c>
      <c r="AO1400" s="7" t="s">
        <v>1177</v>
      </c>
      <c r="AP1400" s="7" t="s">
        <v>1177</v>
      </c>
      <c r="AQ1400" s="7" t="s">
        <v>1177</v>
      </c>
      <c r="AR1400" s="29">
        <v>0</v>
      </c>
      <c r="AS1400" s="7" t="s">
        <v>1177</v>
      </c>
      <c r="AT1400" s="7" t="s">
        <v>1363</v>
      </c>
      <c r="AU1400" s="38">
        <v>46275</v>
      </c>
      <c r="AV1400" s="39">
        <v>0.62715277777778</v>
      </c>
    </row>
    <row r="1401" spans="1:48" x14ac:dyDescent="0.35">
      <c r="A1401" t="str">
        <f t="shared" si="21"/>
        <v>GP335709B825</v>
      </c>
      <c r="B1401" s="7" t="s">
        <v>87</v>
      </c>
      <c r="C1401" s="7" t="s">
        <v>511</v>
      </c>
      <c r="D1401" s="7" t="s">
        <v>16</v>
      </c>
      <c r="E1401" s="7" t="s">
        <v>1177</v>
      </c>
      <c r="F1401" s="7" t="s">
        <v>128</v>
      </c>
      <c r="G1401" s="7" t="s">
        <v>130</v>
      </c>
      <c r="H1401" s="7" t="s">
        <v>129</v>
      </c>
      <c r="I1401" s="30">
        <v>2</v>
      </c>
      <c r="J1401" s="7" t="s">
        <v>1177</v>
      </c>
      <c r="K1401" s="7" t="s">
        <v>1178</v>
      </c>
      <c r="L1401" s="7" t="s">
        <v>132</v>
      </c>
      <c r="M1401" s="7" t="s">
        <v>133</v>
      </c>
      <c r="N1401" s="30">
        <v>0</v>
      </c>
      <c r="O1401" s="30">
        <v>0</v>
      </c>
      <c r="P1401" s="30">
        <v>0</v>
      </c>
      <c r="Q1401" s="30">
        <v>0</v>
      </c>
      <c r="R1401" s="29">
        <v>0</v>
      </c>
      <c r="S1401" s="36">
        <v>0</v>
      </c>
      <c r="T1401" s="7" t="s">
        <v>131</v>
      </c>
      <c r="U1401" s="7" t="s">
        <v>512</v>
      </c>
      <c r="V1401" s="7" t="s">
        <v>512</v>
      </c>
      <c r="W1401" s="7" t="s">
        <v>1177</v>
      </c>
      <c r="X1401" s="30">
        <v>1</v>
      </c>
      <c r="Y1401" s="7" t="s">
        <v>1177</v>
      </c>
      <c r="Z1401" s="7" t="s">
        <v>1178</v>
      </c>
      <c r="AA1401" s="30">
        <v>0</v>
      </c>
      <c r="AB1401" s="36">
        <v>0</v>
      </c>
      <c r="AC1401" s="7" t="s">
        <v>1177</v>
      </c>
      <c r="AD1401" s="37">
        <v>0</v>
      </c>
      <c r="AE1401" s="7" t="s">
        <v>1177</v>
      </c>
      <c r="AF1401" s="7" t="s">
        <v>1177</v>
      </c>
      <c r="AG1401" s="7" t="s">
        <v>1177</v>
      </c>
      <c r="AH1401" s="38"/>
      <c r="AI1401" s="36">
        <v>0</v>
      </c>
      <c r="AJ1401" s="7" t="s">
        <v>1193</v>
      </c>
      <c r="AK1401" s="7" t="s">
        <v>1177</v>
      </c>
      <c r="AL1401" s="7" t="s">
        <v>1177</v>
      </c>
      <c r="AM1401" s="7" t="s">
        <v>1177</v>
      </c>
      <c r="AN1401" s="7" t="s">
        <v>3212</v>
      </c>
      <c r="AO1401" s="7" t="s">
        <v>1177</v>
      </c>
      <c r="AP1401" s="7" t="s">
        <v>1177</v>
      </c>
      <c r="AQ1401" s="7" t="s">
        <v>1177</v>
      </c>
      <c r="AR1401" s="29">
        <v>0</v>
      </c>
      <c r="AS1401" s="7" t="s">
        <v>1177</v>
      </c>
      <c r="AT1401" s="7" t="s">
        <v>1363</v>
      </c>
      <c r="AU1401" s="38">
        <v>46275</v>
      </c>
      <c r="AV1401" s="39">
        <v>0.62305555555556003</v>
      </c>
    </row>
    <row r="1402" spans="1:48" x14ac:dyDescent="0.35">
      <c r="A1402" t="str">
        <f t="shared" si="21"/>
        <v>GP337294B832</v>
      </c>
      <c r="B1402" s="7" t="s">
        <v>290</v>
      </c>
      <c r="C1402" s="7" t="s">
        <v>653</v>
      </c>
      <c r="D1402" s="7" t="s">
        <v>19</v>
      </c>
      <c r="E1402" s="7" t="s">
        <v>1177</v>
      </c>
      <c r="F1402" s="7" t="s">
        <v>128</v>
      </c>
      <c r="G1402" s="7" t="s">
        <v>130</v>
      </c>
      <c r="H1402" s="7" t="s">
        <v>129</v>
      </c>
      <c r="I1402" s="30">
        <v>2</v>
      </c>
      <c r="J1402" s="7" t="s">
        <v>1177</v>
      </c>
      <c r="K1402" s="7" t="s">
        <v>1178</v>
      </c>
      <c r="L1402" s="7" t="s">
        <v>132</v>
      </c>
      <c r="M1402" s="7" t="s">
        <v>133</v>
      </c>
      <c r="N1402" s="30">
        <v>0</v>
      </c>
      <c r="O1402" s="30">
        <v>0</v>
      </c>
      <c r="P1402" s="30">
        <v>0</v>
      </c>
      <c r="Q1402" s="30">
        <v>0</v>
      </c>
      <c r="R1402" s="29">
        <v>0</v>
      </c>
      <c r="S1402" s="36">
        <v>0</v>
      </c>
      <c r="T1402" s="7" t="s">
        <v>131</v>
      </c>
      <c r="U1402" s="7" t="s">
        <v>654</v>
      </c>
      <c r="V1402" s="7" t="s">
        <v>654</v>
      </c>
      <c r="W1402" s="7" t="s">
        <v>1177</v>
      </c>
      <c r="X1402" s="30">
        <v>1</v>
      </c>
      <c r="Y1402" s="7" t="s">
        <v>1177</v>
      </c>
      <c r="Z1402" s="7" t="s">
        <v>1178</v>
      </c>
      <c r="AA1402" s="30">
        <v>0</v>
      </c>
      <c r="AB1402" s="36">
        <v>0</v>
      </c>
      <c r="AC1402" s="7" t="s">
        <v>1177</v>
      </c>
      <c r="AD1402" s="37">
        <v>0</v>
      </c>
      <c r="AE1402" s="7" t="s">
        <v>1177</v>
      </c>
      <c r="AF1402" s="7" t="s">
        <v>1177</v>
      </c>
      <c r="AG1402" s="7" t="s">
        <v>1177</v>
      </c>
      <c r="AH1402" s="38"/>
      <c r="AI1402" s="36">
        <v>0</v>
      </c>
      <c r="AJ1402" s="7" t="s">
        <v>1193</v>
      </c>
      <c r="AK1402" s="7" t="s">
        <v>1177</v>
      </c>
      <c r="AL1402" s="7" t="s">
        <v>1177</v>
      </c>
      <c r="AM1402" s="7" t="s">
        <v>1177</v>
      </c>
      <c r="AN1402" s="7" t="s">
        <v>3212</v>
      </c>
      <c r="AO1402" s="7" t="s">
        <v>1177</v>
      </c>
      <c r="AP1402" s="7" t="s">
        <v>1177</v>
      </c>
      <c r="AQ1402" s="7" t="s">
        <v>1177</v>
      </c>
      <c r="AR1402" s="29">
        <v>0</v>
      </c>
      <c r="AS1402" s="7" t="s">
        <v>1177</v>
      </c>
      <c r="AT1402" s="7" t="s">
        <v>1363</v>
      </c>
      <c r="AU1402" s="38">
        <v>46275</v>
      </c>
      <c r="AV1402" s="39">
        <v>0.60384259259258999</v>
      </c>
    </row>
    <row r="1403" spans="1:48" x14ac:dyDescent="0.35">
      <c r="A1403" t="str">
        <f t="shared" si="21"/>
        <v>GP340132B867</v>
      </c>
      <c r="B1403" s="7" t="s">
        <v>814</v>
      </c>
      <c r="C1403" s="7" t="s">
        <v>1059</v>
      </c>
      <c r="D1403" s="7" t="s">
        <v>25</v>
      </c>
      <c r="E1403" s="7" t="s">
        <v>1177</v>
      </c>
      <c r="F1403" s="7" t="s">
        <v>134</v>
      </c>
      <c r="G1403" s="7" t="s">
        <v>130</v>
      </c>
      <c r="H1403" s="7" t="s">
        <v>129</v>
      </c>
      <c r="I1403" s="30">
        <v>2</v>
      </c>
      <c r="J1403" s="7" t="s">
        <v>1177</v>
      </c>
      <c r="K1403" s="7" t="s">
        <v>1178</v>
      </c>
      <c r="L1403" s="7" t="s">
        <v>132</v>
      </c>
      <c r="M1403" s="7" t="s">
        <v>133</v>
      </c>
      <c r="N1403" s="30">
        <v>0</v>
      </c>
      <c r="O1403" s="30">
        <v>0</v>
      </c>
      <c r="P1403" s="30">
        <v>0</v>
      </c>
      <c r="Q1403" s="30">
        <v>0</v>
      </c>
      <c r="R1403" s="29">
        <v>0</v>
      </c>
      <c r="S1403" s="36">
        <v>0</v>
      </c>
      <c r="T1403" s="7" t="s">
        <v>131</v>
      </c>
      <c r="U1403" s="7" t="s">
        <v>1060</v>
      </c>
      <c r="V1403" s="7" t="s">
        <v>1060</v>
      </c>
      <c r="W1403" s="7" t="s">
        <v>1177</v>
      </c>
      <c r="X1403" s="30">
        <v>2</v>
      </c>
      <c r="Y1403" s="7" t="s">
        <v>1177</v>
      </c>
      <c r="Z1403" s="7" t="s">
        <v>1178</v>
      </c>
      <c r="AA1403" s="30">
        <v>0</v>
      </c>
      <c r="AB1403" s="36">
        <v>0</v>
      </c>
      <c r="AC1403" s="7" t="s">
        <v>1177</v>
      </c>
      <c r="AD1403" s="37">
        <v>0</v>
      </c>
      <c r="AE1403" s="7" t="s">
        <v>1177</v>
      </c>
      <c r="AF1403" s="7" t="s">
        <v>1177</v>
      </c>
      <c r="AG1403" s="7" t="s">
        <v>1177</v>
      </c>
      <c r="AH1403" s="38"/>
      <c r="AI1403" s="36">
        <v>0</v>
      </c>
      <c r="AJ1403" s="7" t="s">
        <v>1193</v>
      </c>
      <c r="AK1403" s="7" t="s">
        <v>1177</v>
      </c>
      <c r="AL1403" s="7" t="s">
        <v>1177</v>
      </c>
      <c r="AM1403" s="7" t="s">
        <v>1177</v>
      </c>
      <c r="AN1403" s="7" t="s">
        <v>3212</v>
      </c>
      <c r="AO1403" s="7" t="s">
        <v>1177</v>
      </c>
      <c r="AP1403" s="7" t="s">
        <v>1177</v>
      </c>
      <c r="AQ1403" s="7" t="s">
        <v>1177</v>
      </c>
      <c r="AR1403" s="29">
        <v>0</v>
      </c>
      <c r="AS1403" s="7" t="s">
        <v>1177</v>
      </c>
      <c r="AT1403" s="7" t="s">
        <v>1363</v>
      </c>
      <c r="AU1403" s="38">
        <v>46275</v>
      </c>
      <c r="AV1403" s="39">
        <v>0.62730324074073995</v>
      </c>
    </row>
    <row r="1404" spans="1:48" x14ac:dyDescent="0.35">
      <c r="A1404" t="str">
        <f t="shared" si="21"/>
        <v>GP340133B856</v>
      </c>
      <c r="B1404" s="7" t="s">
        <v>900</v>
      </c>
      <c r="C1404" s="7" t="s">
        <v>852</v>
      </c>
      <c r="D1404" s="7" t="s">
        <v>21</v>
      </c>
      <c r="E1404" s="7" t="s">
        <v>1177</v>
      </c>
      <c r="F1404" s="7" t="s">
        <v>134</v>
      </c>
      <c r="G1404" s="7" t="s">
        <v>130</v>
      </c>
      <c r="H1404" s="7" t="s">
        <v>129</v>
      </c>
      <c r="I1404" s="30">
        <v>4</v>
      </c>
      <c r="J1404" s="7" t="s">
        <v>1177</v>
      </c>
      <c r="K1404" s="7" t="s">
        <v>1178</v>
      </c>
      <c r="L1404" s="7" t="s">
        <v>132</v>
      </c>
      <c r="M1404" s="7" t="s">
        <v>133</v>
      </c>
      <c r="N1404" s="30">
        <v>0</v>
      </c>
      <c r="O1404" s="30">
        <v>0</v>
      </c>
      <c r="P1404" s="30">
        <v>0</v>
      </c>
      <c r="Q1404" s="30">
        <v>0</v>
      </c>
      <c r="R1404" s="29">
        <v>0</v>
      </c>
      <c r="S1404" s="36">
        <v>0</v>
      </c>
      <c r="T1404" s="7" t="s">
        <v>131</v>
      </c>
      <c r="U1404" s="7" t="s">
        <v>853</v>
      </c>
      <c r="V1404" s="7" t="s">
        <v>853</v>
      </c>
      <c r="W1404" s="7" t="s">
        <v>1177</v>
      </c>
      <c r="X1404" s="30">
        <v>4</v>
      </c>
      <c r="Y1404" s="7" t="s">
        <v>1177</v>
      </c>
      <c r="Z1404" s="7" t="s">
        <v>1178</v>
      </c>
      <c r="AA1404" s="30">
        <v>0</v>
      </c>
      <c r="AB1404" s="36">
        <v>0</v>
      </c>
      <c r="AC1404" s="7" t="s">
        <v>1177</v>
      </c>
      <c r="AD1404" s="37">
        <v>0</v>
      </c>
      <c r="AE1404" s="7" t="s">
        <v>1177</v>
      </c>
      <c r="AF1404" s="7" t="s">
        <v>1177</v>
      </c>
      <c r="AG1404" s="7" t="s">
        <v>1177</v>
      </c>
      <c r="AH1404" s="38"/>
      <c r="AI1404" s="36">
        <v>0</v>
      </c>
      <c r="AJ1404" s="7" t="s">
        <v>1193</v>
      </c>
      <c r="AK1404" s="7" t="s">
        <v>1177</v>
      </c>
      <c r="AL1404" s="7" t="s">
        <v>1177</v>
      </c>
      <c r="AM1404" s="7" t="s">
        <v>1177</v>
      </c>
      <c r="AN1404" s="7" t="s">
        <v>3212</v>
      </c>
      <c r="AO1404" s="7" t="s">
        <v>1177</v>
      </c>
      <c r="AP1404" s="7" t="s">
        <v>1177</v>
      </c>
      <c r="AQ1404" s="7" t="s">
        <v>1177</v>
      </c>
      <c r="AR1404" s="29">
        <v>0</v>
      </c>
      <c r="AS1404" s="7" t="s">
        <v>1177</v>
      </c>
      <c r="AT1404" s="7" t="s">
        <v>1363</v>
      </c>
      <c r="AU1404" s="38">
        <v>46275</v>
      </c>
      <c r="AV1404" s="39">
        <v>0.62484953703704005</v>
      </c>
    </row>
    <row r="1405" spans="1:48" x14ac:dyDescent="0.35">
      <c r="A1405" t="str">
        <f t="shared" si="21"/>
        <v>GP340133B857</v>
      </c>
      <c r="B1405" s="7" t="s">
        <v>900</v>
      </c>
      <c r="C1405" s="7" t="s">
        <v>958</v>
      </c>
      <c r="D1405" s="7" t="s">
        <v>23</v>
      </c>
      <c r="E1405" s="7" t="s">
        <v>1177</v>
      </c>
      <c r="F1405" s="7" t="s">
        <v>134</v>
      </c>
      <c r="G1405" s="7" t="s">
        <v>130</v>
      </c>
      <c r="H1405" s="7" t="s">
        <v>129</v>
      </c>
      <c r="I1405" s="30">
        <v>12</v>
      </c>
      <c r="J1405" s="7" t="s">
        <v>1177</v>
      </c>
      <c r="K1405" s="7" t="s">
        <v>1178</v>
      </c>
      <c r="L1405" s="7" t="s">
        <v>132</v>
      </c>
      <c r="M1405" s="7" t="s">
        <v>133</v>
      </c>
      <c r="N1405" s="30">
        <v>0</v>
      </c>
      <c r="O1405" s="30">
        <v>0</v>
      </c>
      <c r="P1405" s="30">
        <v>0</v>
      </c>
      <c r="Q1405" s="30">
        <v>0</v>
      </c>
      <c r="R1405" s="29">
        <v>0</v>
      </c>
      <c r="S1405" s="36">
        <v>0</v>
      </c>
      <c r="T1405" s="7" t="s">
        <v>131</v>
      </c>
      <c r="U1405" s="7" t="s">
        <v>959</v>
      </c>
      <c r="V1405" s="7" t="s">
        <v>959</v>
      </c>
      <c r="W1405" s="7" t="s">
        <v>1177</v>
      </c>
      <c r="X1405" s="30">
        <v>12</v>
      </c>
      <c r="Y1405" s="7" t="s">
        <v>1177</v>
      </c>
      <c r="Z1405" s="7" t="s">
        <v>1178</v>
      </c>
      <c r="AA1405" s="30">
        <v>0</v>
      </c>
      <c r="AB1405" s="36">
        <v>0</v>
      </c>
      <c r="AC1405" s="7" t="s">
        <v>1177</v>
      </c>
      <c r="AD1405" s="37">
        <v>0</v>
      </c>
      <c r="AE1405" s="7" t="s">
        <v>1177</v>
      </c>
      <c r="AF1405" s="7" t="s">
        <v>1177</v>
      </c>
      <c r="AG1405" s="7" t="s">
        <v>1177</v>
      </c>
      <c r="AH1405" s="38"/>
      <c r="AI1405" s="36">
        <v>0</v>
      </c>
      <c r="AJ1405" s="7" t="s">
        <v>1193</v>
      </c>
      <c r="AK1405" s="7" t="s">
        <v>1177</v>
      </c>
      <c r="AL1405" s="7" t="s">
        <v>1177</v>
      </c>
      <c r="AM1405" s="7" t="s">
        <v>1177</v>
      </c>
      <c r="AN1405" s="7" t="s">
        <v>3212</v>
      </c>
      <c r="AO1405" s="7" t="s">
        <v>1177</v>
      </c>
      <c r="AP1405" s="7" t="s">
        <v>1177</v>
      </c>
      <c r="AQ1405" s="7" t="s">
        <v>1177</v>
      </c>
      <c r="AR1405" s="29">
        <v>0</v>
      </c>
      <c r="AS1405" s="7" t="s">
        <v>1177</v>
      </c>
      <c r="AT1405" s="7" t="s">
        <v>1363</v>
      </c>
      <c r="AU1405" s="38">
        <v>46275</v>
      </c>
      <c r="AV1405" s="39">
        <v>0.62506944444444001</v>
      </c>
    </row>
    <row r="1406" spans="1:48" x14ac:dyDescent="0.35">
      <c r="A1406" t="str">
        <f t="shared" si="21"/>
        <v>GP340133B867</v>
      </c>
      <c r="B1406" s="7" t="s">
        <v>900</v>
      </c>
      <c r="C1406" s="7" t="s">
        <v>1059</v>
      </c>
      <c r="D1406" s="7" t="s">
        <v>25</v>
      </c>
      <c r="E1406" s="7" t="s">
        <v>1177</v>
      </c>
      <c r="F1406" s="7" t="s">
        <v>134</v>
      </c>
      <c r="G1406" s="7" t="s">
        <v>130</v>
      </c>
      <c r="H1406" s="7" t="s">
        <v>129</v>
      </c>
      <c r="I1406" s="30">
        <v>3</v>
      </c>
      <c r="J1406" s="7" t="s">
        <v>1177</v>
      </c>
      <c r="K1406" s="7" t="s">
        <v>1178</v>
      </c>
      <c r="L1406" s="7" t="s">
        <v>132</v>
      </c>
      <c r="M1406" s="7" t="s">
        <v>133</v>
      </c>
      <c r="N1406" s="30">
        <v>0</v>
      </c>
      <c r="O1406" s="30">
        <v>0</v>
      </c>
      <c r="P1406" s="30">
        <v>0</v>
      </c>
      <c r="Q1406" s="30">
        <v>0</v>
      </c>
      <c r="R1406" s="29">
        <v>0</v>
      </c>
      <c r="S1406" s="36">
        <v>0</v>
      </c>
      <c r="T1406" s="7" t="s">
        <v>131</v>
      </c>
      <c r="U1406" s="7" t="s">
        <v>1060</v>
      </c>
      <c r="V1406" s="7" t="s">
        <v>1060</v>
      </c>
      <c r="W1406" s="7" t="s">
        <v>1177</v>
      </c>
      <c r="X1406" s="30">
        <v>3</v>
      </c>
      <c r="Y1406" s="7" t="s">
        <v>1177</v>
      </c>
      <c r="Z1406" s="7" t="s">
        <v>1178</v>
      </c>
      <c r="AA1406" s="30">
        <v>0</v>
      </c>
      <c r="AB1406" s="36">
        <v>0</v>
      </c>
      <c r="AC1406" s="7" t="s">
        <v>1177</v>
      </c>
      <c r="AD1406" s="37">
        <v>0</v>
      </c>
      <c r="AE1406" s="7" t="s">
        <v>1177</v>
      </c>
      <c r="AF1406" s="7" t="s">
        <v>1177</v>
      </c>
      <c r="AG1406" s="7" t="s">
        <v>1177</v>
      </c>
      <c r="AH1406" s="38"/>
      <c r="AI1406" s="36">
        <v>0</v>
      </c>
      <c r="AJ1406" s="7" t="s">
        <v>1193</v>
      </c>
      <c r="AK1406" s="7" t="s">
        <v>1177</v>
      </c>
      <c r="AL1406" s="7" t="s">
        <v>1177</v>
      </c>
      <c r="AM1406" s="7" t="s">
        <v>1177</v>
      </c>
      <c r="AN1406" s="7" t="s">
        <v>3212</v>
      </c>
      <c r="AO1406" s="7" t="s">
        <v>1177</v>
      </c>
      <c r="AP1406" s="7" t="s">
        <v>1177</v>
      </c>
      <c r="AQ1406" s="7" t="s">
        <v>1177</v>
      </c>
      <c r="AR1406" s="29">
        <v>0</v>
      </c>
      <c r="AS1406" s="7" t="s">
        <v>1177</v>
      </c>
      <c r="AT1406" s="7" t="s">
        <v>1363</v>
      </c>
      <c r="AU1406" s="38">
        <v>46275</v>
      </c>
      <c r="AV1406" s="39">
        <v>0.62730324074073995</v>
      </c>
    </row>
    <row r="1407" spans="1:48" x14ac:dyDescent="0.35">
      <c r="A1407" t="str">
        <f t="shared" si="21"/>
        <v>GP340135B856</v>
      </c>
      <c r="B1407" s="7" t="s">
        <v>815</v>
      </c>
      <c r="C1407" s="7" t="s">
        <v>852</v>
      </c>
      <c r="D1407" s="7" t="s">
        <v>21</v>
      </c>
      <c r="E1407" s="7" t="s">
        <v>1177</v>
      </c>
      <c r="F1407" s="7" t="s">
        <v>134</v>
      </c>
      <c r="G1407" s="7" t="s">
        <v>130</v>
      </c>
      <c r="H1407" s="7" t="s">
        <v>129</v>
      </c>
      <c r="I1407" s="30">
        <v>3</v>
      </c>
      <c r="J1407" s="7" t="s">
        <v>1177</v>
      </c>
      <c r="K1407" s="7" t="s">
        <v>1178</v>
      </c>
      <c r="L1407" s="7" t="s">
        <v>132</v>
      </c>
      <c r="M1407" s="7" t="s">
        <v>133</v>
      </c>
      <c r="N1407" s="30">
        <v>0</v>
      </c>
      <c r="O1407" s="30">
        <v>0</v>
      </c>
      <c r="P1407" s="30">
        <v>0</v>
      </c>
      <c r="Q1407" s="30">
        <v>0</v>
      </c>
      <c r="R1407" s="29">
        <v>0</v>
      </c>
      <c r="S1407" s="36">
        <v>0</v>
      </c>
      <c r="T1407" s="7" t="s">
        <v>131</v>
      </c>
      <c r="U1407" s="7" t="s">
        <v>853</v>
      </c>
      <c r="V1407" s="7" t="s">
        <v>853</v>
      </c>
      <c r="W1407" s="7" t="s">
        <v>1177</v>
      </c>
      <c r="X1407" s="30">
        <v>3</v>
      </c>
      <c r="Y1407" s="7" t="s">
        <v>1177</v>
      </c>
      <c r="Z1407" s="7" t="s">
        <v>1178</v>
      </c>
      <c r="AA1407" s="30">
        <v>0</v>
      </c>
      <c r="AB1407" s="36">
        <v>0</v>
      </c>
      <c r="AC1407" s="7" t="s">
        <v>1177</v>
      </c>
      <c r="AD1407" s="37">
        <v>0</v>
      </c>
      <c r="AE1407" s="7" t="s">
        <v>1177</v>
      </c>
      <c r="AF1407" s="7" t="s">
        <v>1177</v>
      </c>
      <c r="AG1407" s="7" t="s">
        <v>1177</v>
      </c>
      <c r="AH1407" s="38"/>
      <c r="AI1407" s="36">
        <v>0</v>
      </c>
      <c r="AJ1407" s="7" t="s">
        <v>1193</v>
      </c>
      <c r="AK1407" s="7" t="s">
        <v>1177</v>
      </c>
      <c r="AL1407" s="7" t="s">
        <v>1177</v>
      </c>
      <c r="AM1407" s="7" t="s">
        <v>1177</v>
      </c>
      <c r="AN1407" s="7" t="s">
        <v>3212</v>
      </c>
      <c r="AO1407" s="7" t="s">
        <v>1177</v>
      </c>
      <c r="AP1407" s="7" t="s">
        <v>1177</v>
      </c>
      <c r="AQ1407" s="7" t="s">
        <v>1177</v>
      </c>
      <c r="AR1407" s="29">
        <v>0</v>
      </c>
      <c r="AS1407" s="7" t="s">
        <v>1177</v>
      </c>
      <c r="AT1407" s="7" t="s">
        <v>1363</v>
      </c>
      <c r="AU1407" s="38">
        <v>46275</v>
      </c>
      <c r="AV1407" s="39">
        <v>0.60524305555556002</v>
      </c>
    </row>
    <row r="1408" spans="1:48" x14ac:dyDescent="0.35">
      <c r="A1408" t="str">
        <f t="shared" si="21"/>
        <v>GP340135B857</v>
      </c>
      <c r="B1408" s="7" t="s">
        <v>815</v>
      </c>
      <c r="C1408" s="7" t="s">
        <v>958</v>
      </c>
      <c r="D1408" s="7" t="s">
        <v>23</v>
      </c>
      <c r="E1408" s="7" t="s">
        <v>1177</v>
      </c>
      <c r="F1408" s="7" t="s">
        <v>134</v>
      </c>
      <c r="G1408" s="7" t="s">
        <v>130</v>
      </c>
      <c r="H1408" s="7" t="s">
        <v>129</v>
      </c>
      <c r="I1408" s="30">
        <v>2</v>
      </c>
      <c r="J1408" s="7" t="s">
        <v>1177</v>
      </c>
      <c r="K1408" s="7" t="s">
        <v>1178</v>
      </c>
      <c r="L1408" s="7" t="s">
        <v>132</v>
      </c>
      <c r="M1408" s="7" t="s">
        <v>133</v>
      </c>
      <c r="N1408" s="30">
        <v>0</v>
      </c>
      <c r="O1408" s="30">
        <v>0</v>
      </c>
      <c r="P1408" s="30">
        <v>0</v>
      </c>
      <c r="Q1408" s="30">
        <v>0</v>
      </c>
      <c r="R1408" s="29">
        <v>0</v>
      </c>
      <c r="S1408" s="36">
        <v>0</v>
      </c>
      <c r="T1408" s="7" t="s">
        <v>131</v>
      </c>
      <c r="U1408" s="7" t="s">
        <v>959</v>
      </c>
      <c r="V1408" s="7" t="s">
        <v>959</v>
      </c>
      <c r="W1408" s="7" t="s">
        <v>1177</v>
      </c>
      <c r="X1408" s="30">
        <v>2</v>
      </c>
      <c r="Y1408" s="7" t="s">
        <v>1177</v>
      </c>
      <c r="Z1408" s="7" t="s">
        <v>1178</v>
      </c>
      <c r="AA1408" s="30">
        <v>0</v>
      </c>
      <c r="AB1408" s="36">
        <v>0</v>
      </c>
      <c r="AC1408" s="7" t="s">
        <v>1177</v>
      </c>
      <c r="AD1408" s="37">
        <v>0</v>
      </c>
      <c r="AE1408" s="7" t="s">
        <v>1177</v>
      </c>
      <c r="AF1408" s="7" t="s">
        <v>1177</v>
      </c>
      <c r="AG1408" s="7" t="s">
        <v>1177</v>
      </c>
      <c r="AH1408" s="38"/>
      <c r="AI1408" s="36">
        <v>0</v>
      </c>
      <c r="AJ1408" s="7" t="s">
        <v>1193</v>
      </c>
      <c r="AK1408" s="7" t="s">
        <v>1177</v>
      </c>
      <c r="AL1408" s="7" t="s">
        <v>1177</v>
      </c>
      <c r="AM1408" s="7" t="s">
        <v>1177</v>
      </c>
      <c r="AN1408" s="7" t="s">
        <v>3212</v>
      </c>
      <c r="AO1408" s="7" t="s">
        <v>1177</v>
      </c>
      <c r="AP1408" s="7" t="s">
        <v>1177</v>
      </c>
      <c r="AQ1408" s="7" t="s">
        <v>1177</v>
      </c>
      <c r="AR1408" s="29">
        <v>0</v>
      </c>
      <c r="AS1408" s="7" t="s">
        <v>1177</v>
      </c>
      <c r="AT1408" s="7" t="s">
        <v>1363</v>
      </c>
      <c r="AU1408" s="38">
        <v>46275</v>
      </c>
      <c r="AV1408" s="39">
        <v>0.60528935185184995</v>
      </c>
    </row>
    <row r="1409" spans="1:48" x14ac:dyDescent="0.35">
      <c r="A1409" t="str">
        <f t="shared" si="21"/>
        <v>GP340135B867</v>
      </c>
      <c r="B1409" s="7" t="s">
        <v>815</v>
      </c>
      <c r="C1409" s="7" t="s">
        <v>1059</v>
      </c>
      <c r="D1409" s="7" t="s">
        <v>25</v>
      </c>
      <c r="E1409" s="7" t="s">
        <v>1177</v>
      </c>
      <c r="F1409" s="7" t="s">
        <v>134</v>
      </c>
      <c r="G1409" s="7" t="s">
        <v>130</v>
      </c>
      <c r="H1409" s="7" t="s">
        <v>129</v>
      </c>
      <c r="I1409" s="30">
        <v>16</v>
      </c>
      <c r="J1409" s="7" t="s">
        <v>1177</v>
      </c>
      <c r="K1409" s="7" t="s">
        <v>1178</v>
      </c>
      <c r="L1409" s="7" t="s">
        <v>132</v>
      </c>
      <c r="M1409" s="7" t="s">
        <v>133</v>
      </c>
      <c r="N1409" s="30">
        <v>0</v>
      </c>
      <c r="O1409" s="30">
        <v>0</v>
      </c>
      <c r="P1409" s="30">
        <v>0</v>
      </c>
      <c r="Q1409" s="30">
        <v>0</v>
      </c>
      <c r="R1409" s="29">
        <v>0</v>
      </c>
      <c r="S1409" s="36">
        <v>0</v>
      </c>
      <c r="T1409" s="7" t="s">
        <v>131</v>
      </c>
      <c r="U1409" s="7" t="s">
        <v>1060</v>
      </c>
      <c r="V1409" s="7" t="s">
        <v>1060</v>
      </c>
      <c r="W1409" s="7" t="s">
        <v>1177</v>
      </c>
      <c r="X1409" s="30">
        <v>16</v>
      </c>
      <c r="Y1409" s="7" t="s">
        <v>1177</v>
      </c>
      <c r="Z1409" s="7" t="s">
        <v>1178</v>
      </c>
      <c r="AA1409" s="30">
        <v>0</v>
      </c>
      <c r="AB1409" s="36">
        <v>0</v>
      </c>
      <c r="AC1409" s="7" t="s">
        <v>1177</v>
      </c>
      <c r="AD1409" s="37">
        <v>0</v>
      </c>
      <c r="AE1409" s="7" t="s">
        <v>1177</v>
      </c>
      <c r="AF1409" s="7" t="s">
        <v>1177</v>
      </c>
      <c r="AG1409" s="7" t="s">
        <v>1177</v>
      </c>
      <c r="AH1409" s="38"/>
      <c r="AI1409" s="36">
        <v>0</v>
      </c>
      <c r="AJ1409" s="7" t="s">
        <v>1193</v>
      </c>
      <c r="AK1409" s="7" t="s">
        <v>1177</v>
      </c>
      <c r="AL1409" s="7" t="s">
        <v>1177</v>
      </c>
      <c r="AM1409" s="7" t="s">
        <v>1177</v>
      </c>
      <c r="AN1409" s="7" t="s">
        <v>3212</v>
      </c>
      <c r="AO1409" s="7" t="s">
        <v>1177</v>
      </c>
      <c r="AP1409" s="7" t="s">
        <v>1177</v>
      </c>
      <c r="AQ1409" s="7" t="s">
        <v>1177</v>
      </c>
      <c r="AR1409" s="29">
        <v>0</v>
      </c>
      <c r="AS1409" s="7" t="s">
        <v>1177</v>
      </c>
      <c r="AT1409" s="7" t="s">
        <v>1363</v>
      </c>
      <c r="AU1409" s="38">
        <v>46275</v>
      </c>
      <c r="AV1409" s="39">
        <v>0.60565972222221998</v>
      </c>
    </row>
    <row r="1410" spans="1:48" x14ac:dyDescent="0.35">
      <c r="A1410" t="str">
        <f t="shared" si="21"/>
        <v>GP340136B857</v>
      </c>
      <c r="B1410" s="7" t="s">
        <v>816</v>
      </c>
      <c r="C1410" s="7" t="s">
        <v>958</v>
      </c>
      <c r="D1410" s="7" t="s">
        <v>23</v>
      </c>
      <c r="E1410" s="7" t="s">
        <v>1177</v>
      </c>
      <c r="F1410" s="7" t="s">
        <v>134</v>
      </c>
      <c r="G1410" s="7" t="s">
        <v>130</v>
      </c>
      <c r="H1410" s="7" t="s">
        <v>129</v>
      </c>
      <c r="I1410" s="30">
        <v>20</v>
      </c>
      <c r="J1410" s="7" t="s">
        <v>1177</v>
      </c>
      <c r="K1410" s="7" t="s">
        <v>1178</v>
      </c>
      <c r="L1410" s="7" t="s">
        <v>132</v>
      </c>
      <c r="M1410" s="7" t="s">
        <v>133</v>
      </c>
      <c r="N1410" s="30">
        <v>0</v>
      </c>
      <c r="O1410" s="30">
        <v>0</v>
      </c>
      <c r="P1410" s="30">
        <v>0</v>
      </c>
      <c r="Q1410" s="30">
        <v>0</v>
      </c>
      <c r="R1410" s="29">
        <v>0</v>
      </c>
      <c r="S1410" s="36">
        <v>0</v>
      </c>
      <c r="T1410" s="7" t="s">
        <v>131</v>
      </c>
      <c r="U1410" s="7" t="s">
        <v>959</v>
      </c>
      <c r="V1410" s="7" t="s">
        <v>959</v>
      </c>
      <c r="W1410" s="7" t="s">
        <v>1177</v>
      </c>
      <c r="X1410" s="30">
        <v>20</v>
      </c>
      <c r="Y1410" s="7" t="s">
        <v>1177</v>
      </c>
      <c r="Z1410" s="7" t="s">
        <v>1178</v>
      </c>
      <c r="AA1410" s="30">
        <v>0</v>
      </c>
      <c r="AB1410" s="36">
        <v>0</v>
      </c>
      <c r="AC1410" s="7" t="s">
        <v>1177</v>
      </c>
      <c r="AD1410" s="37">
        <v>0</v>
      </c>
      <c r="AE1410" s="7" t="s">
        <v>1177</v>
      </c>
      <c r="AF1410" s="7" t="s">
        <v>1177</v>
      </c>
      <c r="AG1410" s="7" t="s">
        <v>1177</v>
      </c>
      <c r="AH1410" s="38"/>
      <c r="AI1410" s="36">
        <v>0</v>
      </c>
      <c r="AJ1410" s="7" t="s">
        <v>1193</v>
      </c>
      <c r="AK1410" s="7" t="s">
        <v>1177</v>
      </c>
      <c r="AL1410" s="7" t="s">
        <v>1177</v>
      </c>
      <c r="AM1410" s="7" t="s">
        <v>1177</v>
      </c>
      <c r="AN1410" s="7" t="s">
        <v>3212</v>
      </c>
      <c r="AO1410" s="7" t="s">
        <v>1177</v>
      </c>
      <c r="AP1410" s="7" t="s">
        <v>1177</v>
      </c>
      <c r="AQ1410" s="7" t="s">
        <v>1177</v>
      </c>
      <c r="AR1410" s="29">
        <v>0</v>
      </c>
      <c r="AS1410" s="7" t="s">
        <v>1177</v>
      </c>
      <c r="AT1410" s="7" t="s">
        <v>1363</v>
      </c>
      <c r="AU1410" s="38">
        <v>46275</v>
      </c>
      <c r="AV1410" s="39">
        <v>0.62506944444444001</v>
      </c>
    </row>
    <row r="1411" spans="1:48" x14ac:dyDescent="0.35">
      <c r="A1411" t="str">
        <f t="shared" ref="A1411:A1474" si="22">_xlfn.CONCAT(B1411,D1411)</f>
        <v>GP340136B867</v>
      </c>
      <c r="B1411" s="7" t="s">
        <v>816</v>
      </c>
      <c r="C1411" s="7" t="s">
        <v>1059</v>
      </c>
      <c r="D1411" s="7" t="s">
        <v>25</v>
      </c>
      <c r="E1411" s="7" t="s">
        <v>1177</v>
      </c>
      <c r="F1411" s="7" t="s">
        <v>134</v>
      </c>
      <c r="G1411" s="7" t="s">
        <v>130</v>
      </c>
      <c r="H1411" s="7" t="s">
        <v>129</v>
      </c>
      <c r="I1411" s="30">
        <v>5</v>
      </c>
      <c r="J1411" s="7" t="s">
        <v>1177</v>
      </c>
      <c r="K1411" s="7" t="s">
        <v>1178</v>
      </c>
      <c r="L1411" s="7" t="s">
        <v>132</v>
      </c>
      <c r="M1411" s="7" t="s">
        <v>133</v>
      </c>
      <c r="N1411" s="30">
        <v>0</v>
      </c>
      <c r="O1411" s="30">
        <v>0</v>
      </c>
      <c r="P1411" s="30">
        <v>0</v>
      </c>
      <c r="Q1411" s="30">
        <v>0</v>
      </c>
      <c r="R1411" s="29">
        <v>0</v>
      </c>
      <c r="S1411" s="36">
        <v>0</v>
      </c>
      <c r="T1411" s="7" t="s">
        <v>131</v>
      </c>
      <c r="U1411" s="7" t="s">
        <v>1060</v>
      </c>
      <c r="V1411" s="7" t="s">
        <v>1060</v>
      </c>
      <c r="W1411" s="7" t="s">
        <v>1177</v>
      </c>
      <c r="X1411" s="30">
        <v>5</v>
      </c>
      <c r="Y1411" s="7" t="s">
        <v>1177</v>
      </c>
      <c r="Z1411" s="7" t="s">
        <v>1178</v>
      </c>
      <c r="AA1411" s="30">
        <v>0</v>
      </c>
      <c r="AB1411" s="36">
        <v>0</v>
      </c>
      <c r="AC1411" s="7" t="s">
        <v>1177</v>
      </c>
      <c r="AD1411" s="37">
        <v>0</v>
      </c>
      <c r="AE1411" s="7" t="s">
        <v>1177</v>
      </c>
      <c r="AF1411" s="7" t="s">
        <v>1177</v>
      </c>
      <c r="AG1411" s="7" t="s">
        <v>1177</v>
      </c>
      <c r="AH1411" s="38"/>
      <c r="AI1411" s="36">
        <v>0</v>
      </c>
      <c r="AJ1411" s="7" t="s">
        <v>1193</v>
      </c>
      <c r="AK1411" s="7" t="s">
        <v>1177</v>
      </c>
      <c r="AL1411" s="7" t="s">
        <v>1177</v>
      </c>
      <c r="AM1411" s="7" t="s">
        <v>1177</v>
      </c>
      <c r="AN1411" s="7" t="s">
        <v>3212</v>
      </c>
      <c r="AO1411" s="7" t="s">
        <v>1177</v>
      </c>
      <c r="AP1411" s="7" t="s">
        <v>1177</v>
      </c>
      <c r="AQ1411" s="7" t="s">
        <v>1177</v>
      </c>
      <c r="AR1411" s="29">
        <v>0</v>
      </c>
      <c r="AS1411" s="7" t="s">
        <v>1177</v>
      </c>
      <c r="AT1411" s="7" t="s">
        <v>1363</v>
      </c>
      <c r="AU1411" s="38">
        <v>46275</v>
      </c>
      <c r="AV1411" s="39">
        <v>0.62730324074073995</v>
      </c>
    </row>
    <row r="1412" spans="1:48" x14ac:dyDescent="0.35">
      <c r="A1412" t="str">
        <f t="shared" si="22"/>
        <v>GP340976B856</v>
      </c>
      <c r="B1412" s="7" t="s">
        <v>817</v>
      </c>
      <c r="C1412" s="7" t="s">
        <v>852</v>
      </c>
      <c r="D1412" s="7" t="s">
        <v>21</v>
      </c>
      <c r="E1412" s="7" t="s">
        <v>1177</v>
      </c>
      <c r="F1412" s="7" t="s">
        <v>134</v>
      </c>
      <c r="G1412" s="7" t="s">
        <v>130</v>
      </c>
      <c r="H1412" s="7" t="s">
        <v>129</v>
      </c>
      <c r="I1412" s="30">
        <v>3</v>
      </c>
      <c r="J1412" s="7" t="s">
        <v>1177</v>
      </c>
      <c r="K1412" s="7" t="s">
        <v>1178</v>
      </c>
      <c r="L1412" s="7" t="s">
        <v>132</v>
      </c>
      <c r="M1412" s="7" t="s">
        <v>133</v>
      </c>
      <c r="N1412" s="30">
        <v>0</v>
      </c>
      <c r="O1412" s="30">
        <v>0</v>
      </c>
      <c r="P1412" s="30">
        <v>0</v>
      </c>
      <c r="Q1412" s="30">
        <v>0</v>
      </c>
      <c r="R1412" s="29">
        <v>0</v>
      </c>
      <c r="S1412" s="36">
        <v>0</v>
      </c>
      <c r="T1412" s="7" t="s">
        <v>131</v>
      </c>
      <c r="U1412" s="7" t="s">
        <v>853</v>
      </c>
      <c r="V1412" s="7" t="s">
        <v>853</v>
      </c>
      <c r="W1412" s="7" t="s">
        <v>1177</v>
      </c>
      <c r="X1412" s="30">
        <v>3</v>
      </c>
      <c r="Y1412" s="7" t="s">
        <v>1177</v>
      </c>
      <c r="Z1412" s="7" t="s">
        <v>1178</v>
      </c>
      <c r="AA1412" s="30">
        <v>0</v>
      </c>
      <c r="AB1412" s="36">
        <v>0</v>
      </c>
      <c r="AC1412" s="7" t="s">
        <v>1177</v>
      </c>
      <c r="AD1412" s="37">
        <v>0</v>
      </c>
      <c r="AE1412" s="7" t="s">
        <v>1177</v>
      </c>
      <c r="AF1412" s="7" t="s">
        <v>1177</v>
      </c>
      <c r="AG1412" s="7" t="s">
        <v>1177</v>
      </c>
      <c r="AH1412" s="38"/>
      <c r="AI1412" s="36">
        <v>0</v>
      </c>
      <c r="AJ1412" s="7" t="s">
        <v>1193</v>
      </c>
      <c r="AK1412" s="7" t="s">
        <v>1177</v>
      </c>
      <c r="AL1412" s="7" t="s">
        <v>1177</v>
      </c>
      <c r="AM1412" s="7" t="s">
        <v>1177</v>
      </c>
      <c r="AN1412" s="7" t="s">
        <v>3212</v>
      </c>
      <c r="AO1412" s="7" t="s">
        <v>1177</v>
      </c>
      <c r="AP1412" s="7" t="s">
        <v>1177</v>
      </c>
      <c r="AQ1412" s="7" t="s">
        <v>1177</v>
      </c>
      <c r="AR1412" s="29">
        <v>0</v>
      </c>
      <c r="AS1412" s="7" t="s">
        <v>1177</v>
      </c>
      <c r="AT1412" s="7" t="s">
        <v>1363</v>
      </c>
      <c r="AU1412" s="38">
        <v>46275</v>
      </c>
      <c r="AV1412" s="39">
        <v>0.62484953703704005</v>
      </c>
    </row>
    <row r="1413" spans="1:48" x14ac:dyDescent="0.35">
      <c r="A1413" t="str">
        <f t="shared" si="22"/>
        <v>GP340976B857</v>
      </c>
      <c r="B1413" s="7" t="s">
        <v>817</v>
      </c>
      <c r="C1413" s="7" t="s">
        <v>958</v>
      </c>
      <c r="D1413" s="7" t="s">
        <v>23</v>
      </c>
      <c r="E1413" s="7" t="s">
        <v>1177</v>
      </c>
      <c r="F1413" s="7" t="s">
        <v>134</v>
      </c>
      <c r="G1413" s="7" t="s">
        <v>130</v>
      </c>
      <c r="H1413" s="7" t="s">
        <v>129</v>
      </c>
      <c r="I1413" s="30">
        <v>4</v>
      </c>
      <c r="J1413" s="7" t="s">
        <v>1177</v>
      </c>
      <c r="K1413" s="7" t="s">
        <v>1178</v>
      </c>
      <c r="L1413" s="7" t="s">
        <v>132</v>
      </c>
      <c r="M1413" s="7" t="s">
        <v>133</v>
      </c>
      <c r="N1413" s="30">
        <v>0</v>
      </c>
      <c r="O1413" s="30">
        <v>0</v>
      </c>
      <c r="P1413" s="30">
        <v>0</v>
      </c>
      <c r="Q1413" s="30">
        <v>0</v>
      </c>
      <c r="R1413" s="29">
        <v>0</v>
      </c>
      <c r="S1413" s="36">
        <v>0</v>
      </c>
      <c r="T1413" s="7" t="s">
        <v>131</v>
      </c>
      <c r="U1413" s="7" t="s">
        <v>959</v>
      </c>
      <c r="V1413" s="7" t="s">
        <v>959</v>
      </c>
      <c r="W1413" s="7" t="s">
        <v>1177</v>
      </c>
      <c r="X1413" s="30">
        <v>4</v>
      </c>
      <c r="Y1413" s="7" t="s">
        <v>1177</v>
      </c>
      <c r="Z1413" s="7" t="s">
        <v>1178</v>
      </c>
      <c r="AA1413" s="30">
        <v>0</v>
      </c>
      <c r="AB1413" s="36">
        <v>0</v>
      </c>
      <c r="AC1413" s="7" t="s">
        <v>1177</v>
      </c>
      <c r="AD1413" s="37">
        <v>0</v>
      </c>
      <c r="AE1413" s="7" t="s">
        <v>1177</v>
      </c>
      <c r="AF1413" s="7" t="s">
        <v>1177</v>
      </c>
      <c r="AG1413" s="7" t="s">
        <v>1177</v>
      </c>
      <c r="AH1413" s="38"/>
      <c r="AI1413" s="36">
        <v>0</v>
      </c>
      <c r="AJ1413" s="7" t="s">
        <v>1193</v>
      </c>
      <c r="AK1413" s="7" t="s">
        <v>1177</v>
      </c>
      <c r="AL1413" s="7" t="s">
        <v>1177</v>
      </c>
      <c r="AM1413" s="7" t="s">
        <v>1177</v>
      </c>
      <c r="AN1413" s="7" t="s">
        <v>3212</v>
      </c>
      <c r="AO1413" s="7" t="s">
        <v>1177</v>
      </c>
      <c r="AP1413" s="7" t="s">
        <v>1177</v>
      </c>
      <c r="AQ1413" s="7" t="s">
        <v>1177</v>
      </c>
      <c r="AR1413" s="29">
        <v>0</v>
      </c>
      <c r="AS1413" s="7" t="s">
        <v>1177</v>
      </c>
      <c r="AT1413" s="7" t="s">
        <v>1363</v>
      </c>
      <c r="AU1413" s="38">
        <v>46275</v>
      </c>
      <c r="AV1413" s="39">
        <v>0.62506944444444001</v>
      </c>
    </row>
    <row r="1414" spans="1:48" x14ac:dyDescent="0.35">
      <c r="A1414" t="str">
        <f t="shared" si="22"/>
        <v>GP340976B864</v>
      </c>
      <c r="B1414" s="7" t="s">
        <v>817</v>
      </c>
      <c r="C1414" s="7" t="s">
        <v>1010</v>
      </c>
      <c r="D1414" s="7" t="s">
        <v>10</v>
      </c>
      <c r="E1414" s="7" t="s">
        <v>1177</v>
      </c>
      <c r="F1414" s="7" t="s">
        <v>134</v>
      </c>
      <c r="G1414" s="7" t="s">
        <v>130</v>
      </c>
      <c r="H1414" s="7" t="s">
        <v>129</v>
      </c>
      <c r="I1414" s="30">
        <v>4</v>
      </c>
      <c r="J1414" s="7" t="s">
        <v>1177</v>
      </c>
      <c r="K1414" s="7" t="s">
        <v>1178</v>
      </c>
      <c r="L1414" s="7" t="s">
        <v>132</v>
      </c>
      <c r="M1414" s="7" t="s">
        <v>133</v>
      </c>
      <c r="N1414" s="30">
        <v>0</v>
      </c>
      <c r="O1414" s="30">
        <v>0</v>
      </c>
      <c r="P1414" s="30">
        <v>0</v>
      </c>
      <c r="Q1414" s="30">
        <v>0</v>
      </c>
      <c r="R1414" s="29">
        <v>0</v>
      </c>
      <c r="S1414" s="36">
        <v>0</v>
      </c>
      <c r="T1414" s="7" t="s">
        <v>131</v>
      </c>
      <c r="U1414" s="7" t="s">
        <v>1011</v>
      </c>
      <c r="V1414" s="7" t="s">
        <v>1011</v>
      </c>
      <c r="W1414" s="7" t="s">
        <v>1177</v>
      </c>
      <c r="X1414" s="30">
        <v>4</v>
      </c>
      <c r="Y1414" s="7" t="s">
        <v>1177</v>
      </c>
      <c r="Z1414" s="7" t="s">
        <v>1178</v>
      </c>
      <c r="AA1414" s="30">
        <v>0</v>
      </c>
      <c r="AB1414" s="36">
        <v>0</v>
      </c>
      <c r="AC1414" s="7" t="s">
        <v>1177</v>
      </c>
      <c r="AD1414" s="37">
        <v>0</v>
      </c>
      <c r="AE1414" s="7" t="s">
        <v>1177</v>
      </c>
      <c r="AF1414" s="7" t="s">
        <v>1177</v>
      </c>
      <c r="AG1414" s="7" t="s">
        <v>1177</v>
      </c>
      <c r="AH1414" s="38"/>
      <c r="AI1414" s="36">
        <v>0</v>
      </c>
      <c r="AJ1414" s="7" t="s">
        <v>1193</v>
      </c>
      <c r="AK1414" s="7" t="s">
        <v>1177</v>
      </c>
      <c r="AL1414" s="7" t="s">
        <v>1177</v>
      </c>
      <c r="AM1414" s="7" t="s">
        <v>1177</v>
      </c>
      <c r="AN1414" s="7" t="s">
        <v>3212</v>
      </c>
      <c r="AO1414" s="7" t="s">
        <v>1177</v>
      </c>
      <c r="AP1414" s="7" t="s">
        <v>1177</v>
      </c>
      <c r="AQ1414" s="7" t="s">
        <v>1177</v>
      </c>
      <c r="AR1414" s="29">
        <v>0</v>
      </c>
      <c r="AS1414" s="7" t="s">
        <v>1177</v>
      </c>
      <c r="AT1414" s="7" t="s">
        <v>1363</v>
      </c>
      <c r="AU1414" s="38">
        <v>46275</v>
      </c>
      <c r="AV1414" s="39">
        <v>0.62653935185184995</v>
      </c>
    </row>
    <row r="1415" spans="1:48" x14ac:dyDescent="0.35">
      <c r="A1415" t="str">
        <f t="shared" si="22"/>
        <v>GP341213B838</v>
      </c>
      <c r="B1415" s="7" t="s">
        <v>764</v>
      </c>
      <c r="C1415" s="7" t="s">
        <v>744</v>
      </c>
      <c r="D1415" s="7" t="s">
        <v>48</v>
      </c>
      <c r="E1415" s="7" t="s">
        <v>1177</v>
      </c>
      <c r="F1415" s="7" t="s">
        <v>128</v>
      </c>
      <c r="G1415" s="7" t="s">
        <v>130</v>
      </c>
      <c r="H1415" s="7" t="s">
        <v>129</v>
      </c>
      <c r="I1415" s="30">
        <v>2</v>
      </c>
      <c r="J1415" s="7" t="s">
        <v>1177</v>
      </c>
      <c r="K1415" s="7" t="s">
        <v>1178</v>
      </c>
      <c r="L1415" s="7" t="s">
        <v>132</v>
      </c>
      <c r="M1415" s="7" t="s">
        <v>133</v>
      </c>
      <c r="N1415" s="30">
        <v>0</v>
      </c>
      <c r="O1415" s="30">
        <v>0</v>
      </c>
      <c r="P1415" s="30">
        <v>0</v>
      </c>
      <c r="Q1415" s="30">
        <v>0</v>
      </c>
      <c r="R1415" s="29">
        <v>0</v>
      </c>
      <c r="S1415" s="36">
        <v>0</v>
      </c>
      <c r="T1415" s="7" t="s">
        <v>131</v>
      </c>
      <c r="U1415" s="7" t="s">
        <v>745</v>
      </c>
      <c r="V1415" s="7" t="s">
        <v>745</v>
      </c>
      <c r="W1415" s="7" t="s">
        <v>1177</v>
      </c>
      <c r="X1415" s="30">
        <v>1</v>
      </c>
      <c r="Y1415" s="7" t="s">
        <v>1177</v>
      </c>
      <c r="Z1415" s="7" t="s">
        <v>1178</v>
      </c>
      <c r="AA1415" s="30">
        <v>0</v>
      </c>
      <c r="AB1415" s="36">
        <v>0</v>
      </c>
      <c r="AC1415" s="7" t="s">
        <v>1177</v>
      </c>
      <c r="AD1415" s="37">
        <v>0</v>
      </c>
      <c r="AE1415" s="7" t="s">
        <v>1177</v>
      </c>
      <c r="AF1415" s="7" t="s">
        <v>1177</v>
      </c>
      <c r="AG1415" s="7" t="s">
        <v>1177</v>
      </c>
      <c r="AH1415" s="38"/>
      <c r="AI1415" s="36">
        <v>0</v>
      </c>
      <c r="AJ1415" s="7" t="s">
        <v>1193</v>
      </c>
      <c r="AK1415" s="7" t="s">
        <v>1177</v>
      </c>
      <c r="AL1415" s="7" t="s">
        <v>1177</v>
      </c>
      <c r="AM1415" s="7" t="s">
        <v>1177</v>
      </c>
      <c r="AN1415" s="7" t="s">
        <v>3212</v>
      </c>
      <c r="AO1415" s="7" t="s">
        <v>1177</v>
      </c>
      <c r="AP1415" s="7" t="s">
        <v>1177</v>
      </c>
      <c r="AQ1415" s="7" t="s">
        <v>1177</v>
      </c>
      <c r="AR1415" s="29">
        <v>0</v>
      </c>
      <c r="AS1415" s="7" t="s">
        <v>1177</v>
      </c>
      <c r="AT1415" s="7" t="s">
        <v>1363</v>
      </c>
      <c r="AU1415" s="38">
        <v>46275</v>
      </c>
      <c r="AV1415" s="39">
        <v>0.62399305555555995</v>
      </c>
    </row>
    <row r="1416" spans="1:48" x14ac:dyDescent="0.35">
      <c r="A1416" t="str">
        <f t="shared" si="22"/>
        <v>GP341213B856</v>
      </c>
      <c r="B1416" s="7" t="s">
        <v>764</v>
      </c>
      <c r="C1416" s="7" t="s">
        <v>852</v>
      </c>
      <c r="D1416" s="7" t="s">
        <v>21</v>
      </c>
      <c r="E1416" s="7" t="s">
        <v>1177</v>
      </c>
      <c r="F1416" s="7" t="s">
        <v>128</v>
      </c>
      <c r="G1416" s="7" t="s">
        <v>130</v>
      </c>
      <c r="H1416" s="7" t="s">
        <v>129</v>
      </c>
      <c r="I1416" s="30">
        <v>2</v>
      </c>
      <c r="J1416" s="7" t="s">
        <v>1177</v>
      </c>
      <c r="K1416" s="7" t="s">
        <v>1178</v>
      </c>
      <c r="L1416" s="7" t="s">
        <v>132</v>
      </c>
      <c r="M1416" s="7" t="s">
        <v>133</v>
      </c>
      <c r="N1416" s="30">
        <v>0</v>
      </c>
      <c r="O1416" s="30">
        <v>0</v>
      </c>
      <c r="P1416" s="30">
        <v>0</v>
      </c>
      <c r="Q1416" s="30">
        <v>0</v>
      </c>
      <c r="R1416" s="29">
        <v>0</v>
      </c>
      <c r="S1416" s="36">
        <v>0</v>
      </c>
      <c r="T1416" s="7" t="s">
        <v>131</v>
      </c>
      <c r="U1416" s="7" t="s">
        <v>853</v>
      </c>
      <c r="V1416" s="7" t="s">
        <v>853</v>
      </c>
      <c r="W1416" s="7" t="s">
        <v>1177</v>
      </c>
      <c r="X1416" s="30">
        <v>1</v>
      </c>
      <c r="Y1416" s="7" t="s">
        <v>1177</v>
      </c>
      <c r="Z1416" s="7" t="s">
        <v>1178</v>
      </c>
      <c r="AA1416" s="30">
        <v>0</v>
      </c>
      <c r="AB1416" s="36">
        <v>0</v>
      </c>
      <c r="AC1416" s="7" t="s">
        <v>1177</v>
      </c>
      <c r="AD1416" s="37">
        <v>0</v>
      </c>
      <c r="AE1416" s="7" t="s">
        <v>1177</v>
      </c>
      <c r="AF1416" s="7" t="s">
        <v>1177</v>
      </c>
      <c r="AG1416" s="7" t="s">
        <v>1177</v>
      </c>
      <c r="AH1416" s="38"/>
      <c r="AI1416" s="36">
        <v>0</v>
      </c>
      <c r="AJ1416" s="7" t="s">
        <v>1193</v>
      </c>
      <c r="AK1416" s="7" t="s">
        <v>1177</v>
      </c>
      <c r="AL1416" s="7" t="s">
        <v>1177</v>
      </c>
      <c r="AM1416" s="7" t="s">
        <v>1177</v>
      </c>
      <c r="AN1416" s="7" t="s">
        <v>3212</v>
      </c>
      <c r="AO1416" s="7" t="s">
        <v>1177</v>
      </c>
      <c r="AP1416" s="7" t="s">
        <v>1177</v>
      </c>
      <c r="AQ1416" s="7" t="s">
        <v>1177</v>
      </c>
      <c r="AR1416" s="29">
        <v>0</v>
      </c>
      <c r="AS1416" s="7" t="s">
        <v>1177</v>
      </c>
      <c r="AT1416" s="7" t="s">
        <v>1363</v>
      </c>
      <c r="AU1416" s="38">
        <v>46275</v>
      </c>
      <c r="AV1416" s="39">
        <v>0.62487268518519001</v>
      </c>
    </row>
    <row r="1417" spans="1:48" x14ac:dyDescent="0.35">
      <c r="A1417" t="str">
        <f t="shared" si="22"/>
        <v>GP341213B857</v>
      </c>
      <c r="B1417" s="7" t="s">
        <v>764</v>
      </c>
      <c r="C1417" s="7" t="s">
        <v>958</v>
      </c>
      <c r="D1417" s="7" t="s">
        <v>23</v>
      </c>
      <c r="E1417" s="7" t="s">
        <v>1177</v>
      </c>
      <c r="F1417" s="7" t="s">
        <v>128</v>
      </c>
      <c r="G1417" s="7" t="s">
        <v>130</v>
      </c>
      <c r="H1417" s="7" t="s">
        <v>129</v>
      </c>
      <c r="I1417" s="30">
        <v>2</v>
      </c>
      <c r="J1417" s="7" t="s">
        <v>1177</v>
      </c>
      <c r="K1417" s="7" t="s">
        <v>1178</v>
      </c>
      <c r="L1417" s="7" t="s">
        <v>132</v>
      </c>
      <c r="M1417" s="7" t="s">
        <v>133</v>
      </c>
      <c r="N1417" s="30">
        <v>0</v>
      </c>
      <c r="O1417" s="30">
        <v>0</v>
      </c>
      <c r="P1417" s="30">
        <v>0</v>
      </c>
      <c r="Q1417" s="30">
        <v>0</v>
      </c>
      <c r="R1417" s="29">
        <v>0</v>
      </c>
      <c r="S1417" s="36">
        <v>0</v>
      </c>
      <c r="T1417" s="7" t="s">
        <v>131</v>
      </c>
      <c r="U1417" s="7" t="s">
        <v>959</v>
      </c>
      <c r="V1417" s="7" t="s">
        <v>959</v>
      </c>
      <c r="W1417" s="7" t="s">
        <v>1177</v>
      </c>
      <c r="X1417" s="30">
        <v>1</v>
      </c>
      <c r="Y1417" s="7" t="s">
        <v>1177</v>
      </c>
      <c r="Z1417" s="7" t="s">
        <v>1178</v>
      </c>
      <c r="AA1417" s="30">
        <v>0</v>
      </c>
      <c r="AB1417" s="36">
        <v>0</v>
      </c>
      <c r="AC1417" s="7" t="s">
        <v>1177</v>
      </c>
      <c r="AD1417" s="37">
        <v>0</v>
      </c>
      <c r="AE1417" s="7" t="s">
        <v>1177</v>
      </c>
      <c r="AF1417" s="7" t="s">
        <v>1177</v>
      </c>
      <c r="AG1417" s="7" t="s">
        <v>1177</v>
      </c>
      <c r="AH1417" s="38"/>
      <c r="AI1417" s="36">
        <v>0</v>
      </c>
      <c r="AJ1417" s="7" t="s">
        <v>1193</v>
      </c>
      <c r="AK1417" s="7" t="s">
        <v>1177</v>
      </c>
      <c r="AL1417" s="7" t="s">
        <v>1177</v>
      </c>
      <c r="AM1417" s="7" t="s">
        <v>1177</v>
      </c>
      <c r="AN1417" s="7" t="s">
        <v>3212</v>
      </c>
      <c r="AO1417" s="7" t="s">
        <v>1177</v>
      </c>
      <c r="AP1417" s="7" t="s">
        <v>1177</v>
      </c>
      <c r="AQ1417" s="7" t="s">
        <v>1177</v>
      </c>
      <c r="AR1417" s="29">
        <v>0</v>
      </c>
      <c r="AS1417" s="7" t="s">
        <v>1177</v>
      </c>
      <c r="AT1417" s="7" t="s">
        <v>1363</v>
      </c>
      <c r="AU1417" s="38">
        <v>46275</v>
      </c>
      <c r="AV1417" s="39">
        <v>0.62512731481480999</v>
      </c>
    </row>
    <row r="1418" spans="1:48" x14ac:dyDescent="0.35">
      <c r="A1418" t="str">
        <f t="shared" si="22"/>
        <v>GP341213B864</v>
      </c>
      <c r="B1418" s="7" t="s">
        <v>764</v>
      </c>
      <c r="C1418" s="7" t="s">
        <v>1010</v>
      </c>
      <c r="D1418" s="7" t="s">
        <v>10</v>
      </c>
      <c r="E1418" s="7" t="s">
        <v>1177</v>
      </c>
      <c r="F1418" s="7" t="s">
        <v>128</v>
      </c>
      <c r="G1418" s="7" t="s">
        <v>130</v>
      </c>
      <c r="H1418" s="7" t="s">
        <v>129</v>
      </c>
      <c r="I1418" s="30">
        <v>2</v>
      </c>
      <c r="J1418" s="7" t="s">
        <v>1177</v>
      </c>
      <c r="K1418" s="7" t="s">
        <v>1178</v>
      </c>
      <c r="L1418" s="7" t="s">
        <v>132</v>
      </c>
      <c r="M1418" s="7" t="s">
        <v>133</v>
      </c>
      <c r="N1418" s="30">
        <v>0</v>
      </c>
      <c r="O1418" s="30">
        <v>0</v>
      </c>
      <c r="P1418" s="30">
        <v>0</v>
      </c>
      <c r="Q1418" s="30">
        <v>0</v>
      </c>
      <c r="R1418" s="29">
        <v>0</v>
      </c>
      <c r="S1418" s="36">
        <v>0</v>
      </c>
      <c r="T1418" s="7" t="s">
        <v>131</v>
      </c>
      <c r="U1418" s="7" t="s">
        <v>1011</v>
      </c>
      <c r="V1418" s="7" t="s">
        <v>1011</v>
      </c>
      <c r="W1418" s="7" t="s">
        <v>1177</v>
      </c>
      <c r="X1418" s="30">
        <v>1</v>
      </c>
      <c r="Y1418" s="7" t="s">
        <v>1177</v>
      </c>
      <c r="Z1418" s="7" t="s">
        <v>1178</v>
      </c>
      <c r="AA1418" s="30">
        <v>0</v>
      </c>
      <c r="AB1418" s="36">
        <v>0</v>
      </c>
      <c r="AC1418" s="7" t="s">
        <v>1177</v>
      </c>
      <c r="AD1418" s="37">
        <v>0</v>
      </c>
      <c r="AE1418" s="7" t="s">
        <v>1177</v>
      </c>
      <c r="AF1418" s="7" t="s">
        <v>1177</v>
      </c>
      <c r="AG1418" s="7" t="s">
        <v>1177</v>
      </c>
      <c r="AH1418" s="38"/>
      <c r="AI1418" s="36">
        <v>0</v>
      </c>
      <c r="AJ1418" s="7" t="s">
        <v>1193</v>
      </c>
      <c r="AK1418" s="7" t="s">
        <v>1177</v>
      </c>
      <c r="AL1418" s="7" t="s">
        <v>1177</v>
      </c>
      <c r="AM1418" s="7" t="s">
        <v>1177</v>
      </c>
      <c r="AN1418" s="7" t="s">
        <v>3212</v>
      </c>
      <c r="AO1418" s="7" t="s">
        <v>1177</v>
      </c>
      <c r="AP1418" s="7" t="s">
        <v>1177</v>
      </c>
      <c r="AQ1418" s="7" t="s">
        <v>1177</v>
      </c>
      <c r="AR1418" s="29">
        <v>0</v>
      </c>
      <c r="AS1418" s="7" t="s">
        <v>1177</v>
      </c>
      <c r="AT1418" s="7" t="s">
        <v>1363</v>
      </c>
      <c r="AU1418" s="38">
        <v>46275</v>
      </c>
      <c r="AV1418" s="39">
        <v>0.62633101851852002</v>
      </c>
    </row>
    <row r="1419" spans="1:48" x14ac:dyDescent="0.35">
      <c r="A1419" t="str">
        <f t="shared" si="22"/>
        <v>GP341213B865</v>
      </c>
      <c r="B1419" s="7" t="s">
        <v>764</v>
      </c>
      <c r="C1419" s="7" t="s">
        <v>1039</v>
      </c>
      <c r="D1419" s="7" t="s">
        <v>7</v>
      </c>
      <c r="E1419" s="7" t="s">
        <v>1177</v>
      </c>
      <c r="F1419" s="7" t="s">
        <v>128</v>
      </c>
      <c r="G1419" s="7" t="s">
        <v>130</v>
      </c>
      <c r="H1419" s="7" t="s">
        <v>129</v>
      </c>
      <c r="I1419" s="30">
        <v>2</v>
      </c>
      <c r="J1419" s="7" t="s">
        <v>1177</v>
      </c>
      <c r="K1419" s="7" t="s">
        <v>1178</v>
      </c>
      <c r="L1419" s="7" t="s">
        <v>132</v>
      </c>
      <c r="M1419" s="7" t="s">
        <v>133</v>
      </c>
      <c r="N1419" s="30">
        <v>0</v>
      </c>
      <c r="O1419" s="30">
        <v>0</v>
      </c>
      <c r="P1419" s="30">
        <v>0</v>
      </c>
      <c r="Q1419" s="30">
        <v>0</v>
      </c>
      <c r="R1419" s="29">
        <v>0</v>
      </c>
      <c r="S1419" s="36">
        <v>0</v>
      </c>
      <c r="T1419" s="7" t="s">
        <v>131</v>
      </c>
      <c r="U1419" s="7" t="s">
        <v>1040</v>
      </c>
      <c r="V1419" s="7" t="s">
        <v>1040</v>
      </c>
      <c r="W1419" s="7" t="s">
        <v>1177</v>
      </c>
      <c r="X1419" s="30">
        <v>1</v>
      </c>
      <c r="Y1419" s="7" t="s">
        <v>1177</v>
      </c>
      <c r="Z1419" s="7" t="s">
        <v>1178</v>
      </c>
      <c r="AA1419" s="30">
        <v>0</v>
      </c>
      <c r="AB1419" s="36">
        <v>0</v>
      </c>
      <c r="AC1419" s="7" t="s">
        <v>1177</v>
      </c>
      <c r="AD1419" s="37">
        <v>0</v>
      </c>
      <c r="AE1419" s="7" t="s">
        <v>1177</v>
      </c>
      <c r="AF1419" s="7" t="s">
        <v>1177</v>
      </c>
      <c r="AG1419" s="7" t="s">
        <v>1177</v>
      </c>
      <c r="AH1419" s="38"/>
      <c r="AI1419" s="36">
        <v>0</v>
      </c>
      <c r="AJ1419" s="7" t="s">
        <v>1193</v>
      </c>
      <c r="AK1419" s="7" t="s">
        <v>1177</v>
      </c>
      <c r="AL1419" s="7" t="s">
        <v>1177</v>
      </c>
      <c r="AM1419" s="7" t="s">
        <v>1177</v>
      </c>
      <c r="AN1419" s="7" t="s">
        <v>3212</v>
      </c>
      <c r="AO1419" s="7" t="s">
        <v>1177</v>
      </c>
      <c r="AP1419" s="7" t="s">
        <v>1177</v>
      </c>
      <c r="AQ1419" s="7" t="s">
        <v>1177</v>
      </c>
      <c r="AR1419" s="29">
        <v>0</v>
      </c>
      <c r="AS1419" s="7" t="s">
        <v>1177</v>
      </c>
      <c r="AT1419" s="7" t="s">
        <v>1363</v>
      </c>
      <c r="AU1419" s="38">
        <v>46275</v>
      </c>
      <c r="AV1419" s="39">
        <v>0.62677083333332995</v>
      </c>
    </row>
    <row r="1420" spans="1:48" x14ac:dyDescent="0.35">
      <c r="A1420" t="str">
        <f t="shared" si="22"/>
        <v>GP341213B867</v>
      </c>
      <c r="B1420" s="7" t="s">
        <v>764</v>
      </c>
      <c r="C1420" s="7" t="s">
        <v>1059</v>
      </c>
      <c r="D1420" s="7" t="s">
        <v>25</v>
      </c>
      <c r="E1420" s="7" t="s">
        <v>1177</v>
      </c>
      <c r="F1420" s="7" t="s">
        <v>128</v>
      </c>
      <c r="G1420" s="7" t="s">
        <v>130</v>
      </c>
      <c r="H1420" s="7" t="s">
        <v>129</v>
      </c>
      <c r="I1420" s="30">
        <v>3</v>
      </c>
      <c r="J1420" s="7" t="s">
        <v>1177</v>
      </c>
      <c r="K1420" s="7" t="s">
        <v>1178</v>
      </c>
      <c r="L1420" s="7" t="s">
        <v>132</v>
      </c>
      <c r="M1420" s="7" t="s">
        <v>133</v>
      </c>
      <c r="N1420" s="30">
        <v>0</v>
      </c>
      <c r="O1420" s="30">
        <v>0</v>
      </c>
      <c r="P1420" s="30">
        <v>0</v>
      </c>
      <c r="Q1420" s="30">
        <v>0</v>
      </c>
      <c r="R1420" s="29">
        <v>0</v>
      </c>
      <c r="S1420" s="36">
        <v>0</v>
      </c>
      <c r="T1420" s="7" t="s">
        <v>131</v>
      </c>
      <c r="U1420" s="7" t="s">
        <v>1060</v>
      </c>
      <c r="V1420" s="7" t="s">
        <v>1060</v>
      </c>
      <c r="W1420" s="7" t="s">
        <v>1177</v>
      </c>
      <c r="X1420" s="30">
        <v>1</v>
      </c>
      <c r="Y1420" s="7" t="s">
        <v>1177</v>
      </c>
      <c r="Z1420" s="7" t="s">
        <v>1178</v>
      </c>
      <c r="AA1420" s="30">
        <v>0</v>
      </c>
      <c r="AB1420" s="36">
        <v>0</v>
      </c>
      <c r="AC1420" s="7" t="s">
        <v>1177</v>
      </c>
      <c r="AD1420" s="37">
        <v>0</v>
      </c>
      <c r="AE1420" s="7" t="s">
        <v>1177</v>
      </c>
      <c r="AF1420" s="7" t="s">
        <v>1177</v>
      </c>
      <c r="AG1420" s="7" t="s">
        <v>1177</v>
      </c>
      <c r="AH1420" s="38"/>
      <c r="AI1420" s="36">
        <v>0</v>
      </c>
      <c r="AJ1420" s="7" t="s">
        <v>1193</v>
      </c>
      <c r="AK1420" s="7" t="s">
        <v>1177</v>
      </c>
      <c r="AL1420" s="7" t="s">
        <v>1177</v>
      </c>
      <c r="AM1420" s="7" t="s">
        <v>1177</v>
      </c>
      <c r="AN1420" s="7" t="s">
        <v>3212</v>
      </c>
      <c r="AO1420" s="7" t="s">
        <v>1177</v>
      </c>
      <c r="AP1420" s="7" t="s">
        <v>1177</v>
      </c>
      <c r="AQ1420" s="7" t="s">
        <v>1177</v>
      </c>
      <c r="AR1420" s="29">
        <v>0</v>
      </c>
      <c r="AS1420" s="7" t="s">
        <v>1177</v>
      </c>
      <c r="AT1420" s="7" t="s">
        <v>1363</v>
      </c>
      <c r="AU1420" s="38">
        <v>46275</v>
      </c>
      <c r="AV1420" s="39">
        <v>0.62715277777778</v>
      </c>
    </row>
    <row r="1421" spans="1:48" x14ac:dyDescent="0.35">
      <c r="A1421" t="str">
        <f t="shared" si="22"/>
        <v>GP341272B838</v>
      </c>
      <c r="B1421" s="7" t="s">
        <v>765</v>
      </c>
      <c r="C1421" s="7" t="s">
        <v>744</v>
      </c>
      <c r="D1421" s="7" t="s">
        <v>48</v>
      </c>
      <c r="E1421" s="7" t="s">
        <v>1177</v>
      </c>
      <c r="F1421" s="7" t="s">
        <v>128</v>
      </c>
      <c r="G1421" s="7" t="s">
        <v>130</v>
      </c>
      <c r="H1421" s="7" t="s">
        <v>129</v>
      </c>
      <c r="I1421" s="30">
        <v>2</v>
      </c>
      <c r="J1421" s="7" t="s">
        <v>1177</v>
      </c>
      <c r="K1421" s="7" t="s">
        <v>1178</v>
      </c>
      <c r="L1421" s="7" t="s">
        <v>132</v>
      </c>
      <c r="M1421" s="7" t="s">
        <v>133</v>
      </c>
      <c r="N1421" s="30">
        <v>0</v>
      </c>
      <c r="O1421" s="30">
        <v>0</v>
      </c>
      <c r="P1421" s="30">
        <v>0</v>
      </c>
      <c r="Q1421" s="30">
        <v>0</v>
      </c>
      <c r="R1421" s="29">
        <v>0</v>
      </c>
      <c r="S1421" s="36">
        <v>0</v>
      </c>
      <c r="T1421" s="7" t="s">
        <v>131</v>
      </c>
      <c r="U1421" s="7" t="s">
        <v>745</v>
      </c>
      <c r="V1421" s="7" t="s">
        <v>745</v>
      </c>
      <c r="W1421" s="7" t="s">
        <v>1177</v>
      </c>
      <c r="X1421" s="30">
        <v>1</v>
      </c>
      <c r="Y1421" s="7" t="s">
        <v>1177</v>
      </c>
      <c r="Z1421" s="7" t="s">
        <v>1178</v>
      </c>
      <c r="AA1421" s="30">
        <v>0</v>
      </c>
      <c r="AB1421" s="36">
        <v>0</v>
      </c>
      <c r="AC1421" s="7" t="s">
        <v>1177</v>
      </c>
      <c r="AD1421" s="37">
        <v>0</v>
      </c>
      <c r="AE1421" s="7" t="s">
        <v>1177</v>
      </c>
      <c r="AF1421" s="7" t="s">
        <v>1177</v>
      </c>
      <c r="AG1421" s="7" t="s">
        <v>1177</v>
      </c>
      <c r="AH1421" s="38"/>
      <c r="AI1421" s="36">
        <v>0</v>
      </c>
      <c r="AJ1421" s="7" t="s">
        <v>1193</v>
      </c>
      <c r="AK1421" s="7" t="s">
        <v>1177</v>
      </c>
      <c r="AL1421" s="7" t="s">
        <v>1177</v>
      </c>
      <c r="AM1421" s="7" t="s">
        <v>1177</v>
      </c>
      <c r="AN1421" s="7" t="s">
        <v>3212</v>
      </c>
      <c r="AO1421" s="7" t="s">
        <v>1177</v>
      </c>
      <c r="AP1421" s="7" t="s">
        <v>1177</v>
      </c>
      <c r="AQ1421" s="7" t="s">
        <v>1177</v>
      </c>
      <c r="AR1421" s="29">
        <v>0</v>
      </c>
      <c r="AS1421" s="7" t="s">
        <v>1177</v>
      </c>
      <c r="AT1421" s="7" t="s">
        <v>1363</v>
      </c>
      <c r="AU1421" s="38">
        <v>46275</v>
      </c>
      <c r="AV1421" s="39">
        <v>0.62399305555555995</v>
      </c>
    </row>
    <row r="1422" spans="1:48" x14ac:dyDescent="0.35">
      <c r="A1422" t="str">
        <f t="shared" si="22"/>
        <v>GP342850B838</v>
      </c>
      <c r="B1422" s="7" t="s">
        <v>766</v>
      </c>
      <c r="C1422" s="7" t="s">
        <v>744</v>
      </c>
      <c r="D1422" s="7" t="s">
        <v>48</v>
      </c>
      <c r="E1422" s="7" t="s">
        <v>1177</v>
      </c>
      <c r="F1422" s="7" t="s">
        <v>128</v>
      </c>
      <c r="G1422" s="7" t="s">
        <v>130</v>
      </c>
      <c r="H1422" s="7" t="s">
        <v>129</v>
      </c>
      <c r="I1422" s="30">
        <v>2</v>
      </c>
      <c r="J1422" s="7" t="s">
        <v>1177</v>
      </c>
      <c r="K1422" s="7" t="s">
        <v>1178</v>
      </c>
      <c r="L1422" s="7" t="s">
        <v>132</v>
      </c>
      <c r="M1422" s="7" t="s">
        <v>133</v>
      </c>
      <c r="N1422" s="30">
        <v>0</v>
      </c>
      <c r="O1422" s="30">
        <v>0</v>
      </c>
      <c r="P1422" s="30">
        <v>0</v>
      </c>
      <c r="Q1422" s="30">
        <v>0</v>
      </c>
      <c r="R1422" s="29">
        <v>0</v>
      </c>
      <c r="S1422" s="36">
        <v>0</v>
      </c>
      <c r="T1422" s="7" t="s">
        <v>131</v>
      </c>
      <c r="U1422" s="7" t="s">
        <v>745</v>
      </c>
      <c r="V1422" s="7" t="s">
        <v>745</v>
      </c>
      <c r="W1422" s="7" t="s">
        <v>1177</v>
      </c>
      <c r="X1422" s="30">
        <v>1</v>
      </c>
      <c r="Y1422" s="7" t="s">
        <v>1177</v>
      </c>
      <c r="Z1422" s="7" t="s">
        <v>1178</v>
      </c>
      <c r="AA1422" s="30">
        <v>0</v>
      </c>
      <c r="AB1422" s="36">
        <v>0</v>
      </c>
      <c r="AC1422" s="7" t="s">
        <v>1177</v>
      </c>
      <c r="AD1422" s="37">
        <v>0</v>
      </c>
      <c r="AE1422" s="7" t="s">
        <v>1177</v>
      </c>
      <c r="AF1422" s="7" t="s">
        <v>1177</v>
      </c>
      <c r="AG1422" s="7" t="s">
        <v>1177</v>
      </c>
      <c r="AH1422" s="38"/>
      <c r="AI1422" s="36">
        <v>0</v>
      </c>
      <c r="AJ1422" s="7" t="s">
        <v>1193</v>
      </c>
      <c r="AK1422" s="7" t="s">
        <v>1177</v>
      </c>
      <c r="AL1422" s="7" t="s">
        <v>1177</v>
      </c>
      <c r="AM1422" s="7" t="s">
        <v>1177</v>
      </c>
      <c r="AN1422" s="7" t="s">
        <v>3212</v>
      </c>
      <c r="AO1422" s="7" t="s">
        <v>1177</v>
      </c>
      <c r="AP1422" s="7" t="s">
        <v>1177</v>
      </c>
      <c r="AQ1422" s="7" t="s">
        <v>1177</v>
      </c>
      <c r="AR1422" s="29">
        <v>0</v>
      </c>
      <c r="AS1422" s="7" t="s">
        <v>1177</v>
      </c>
      <c r="AT1422" s="7" t="s">
        <v>1363</v>
      </c>
      <c r="AU1422" s="38">
        <v>46275</v>
      </c>
      <c r="AV1422" s="39">
        <v>0.60475694444443995</v>
      </c>
    </row>
    <row r="1423" spans="1:48" x14ac:dyDescent="0.35">
      <c r="A1423" t="str">
        <f t="shared" si="22"/>
        <v>GP342896B838</v>
      </c>
      <c r="B1423" s="7" t="s">
        <v>767</v>
      </c>
      <c r="C1423" s="7" t="s">
        <v>744</v>
      </c>
      <c r="D1423" s="7" t="s">
        <v>48</v>
      </c>
      <c r="E1423" s="7" t="s">
        <v>1177</v>
      </c>
      <c r="F1423" s="7" t="s">
        <v>128</v>
      </c>
      <c r="G1423" s="7" t="s">
        <v>130</v>
      </c>
      <c r="H1423" s="7" t="s">
        <v>129</v>
      </c>
      <c r="I1423" s="30">
        <v>3</v>
      </c>
      <c r="J1423" s="7" t="s">
        <v>1177</v>
      </c>
      <c r="K1423" s="7" t="s">
        <v>1178</v>
      </c>
      <c r="L1423" s="7" t="s">
        <v>132</v>
      </c>
      <c r="M1423" s="7" t="s">
        <v>133</v>
      </c>
      <c r="N1423" s="30">
        <v>0</v>
      </c>
      <c r="O1423" s="30">
        <v>0</v>
      </c>
      <c r="P1423" s="30">
        <v>0</v>
      </c>
      <c r="Q1423" s="30">
        <v>0</v>
      </c>
      <c r="R1423" s="29">
        <v>0</v>
      </c>
      <c r="S1423" s="36">
        <v>0</v>
      </c>
      <c r="T1423" s="7" t="s">
        <v>131</v>
      </c>
      <c r="U1423" s="7" t="s">
        <v>745</v>
      </c>
      <c r="V1423" s="7" t="s">
        <v>745</v>
      </c>
      <c r="W1423" s="7" t="s">
        <v>1177</v>
      </c>
      <c r="X1423" s="30">
        <v>1</v>
      </c>
      <c r="Y1423" s="7" t="s">
        <v>1177</v>
      </c>
      <c r="Z1423" s="7" t="s">
        <v>1178</v>
      </c>
      <c r="AA1423" s="30">
        <v>0</v>
      </c>
      <c r="AB1423" s="36">
        <v>0</v>
      </c>
      <c r="AC1423" s="7" t="s">
        <v>1177</v>
      </c>
      <c r="AD1423" s="37">
        <v>0</v>
      </c>
      <c r="AE1423" s="7" t="s">
        <v>1177</v>
      </c>
      <c r="AF1423" s="7" t="s">
        <v>1177</v>
      </c>
      <c r="AG1423" s="7" t="s">
        <v>1177</v>
      </c>
      <c r="AH1423" s="38"/>
      <c r="AI1423" s="36">
        <v>0</v>
      </c>
      <c r="AJ1423" s="7" t="s">
        <v>1193</v>
      </c>
      <c r="AK1423" s="7" t="s">
        <v>1177</v>
      </c>
      <c r="AL1423" s="7" t="s">
        <v>1177</v>
      </c>
      <c r="AM1423" s="7" t="s">
        <v>1177</v>
      </c>
      <c r="AN1423" s="7" t="s">
        <v>3212</v>
      </c>
      <c r="AO1423" s="7" t="s">
        <v>1177</v>
      </c>
      <c r="AP1423" s="7" t="s">
        <v>1177</v>
      </c>
      <c r="AQ1423" s="7" t="s">
        <v>1177</v>
      </c>
      <c r="AR1423" s="29">
        <v>0</v>
      </c>
      <c r="AS1423" s="7" t="s">
        <v>1177</v>
      </c>
      <c r="AT1423" s="7" t="s">
        <v>1363</v>
      </c>
      <c r="AU1423" s="38">
        <v>46275</v>
      </c>
      <c r="AV1423" s="39">
        <v>0.62399305555555995</v>
      </c>
    </row>
    <row r="1424" spans="1:48" x14ac:dyDescent="0.35">
      <c r="A1424" t="str">
        <f t="shared" si="22"/>
        <v>GP344466B838</v>
      </c>
      <c r="B1424" s="7" t="s">
        <v>768</v>
      </c>
      <c r="C1424" s="7" t="s">
        <v>744</v>
      </c>
      <c r="D1424" s="7" t="s">
        <v>48</v>
      </c>
      <c r="E1424" s="7" t="s">
        <v>1177</v>
      </c>
      <c r="F1424" s="7" t="s">
        <v>128</v>
      </c>
      <c r="G1424" s="7" t="s">
        <v>130</v>
      </c>
      <c r="H1424" s="7" t="s">
        <v>129</v>
      </c>
      <c r="I1424" s="30">
        <v>2</v>
      </c>
      <c r="J1424" s="7" t="s">
        <v>1177</v>
      </c>
      <c r="K1424" s="7" t="s">
        <v>1178</v>
      </c>
      <c r="L1424" s="7" t="s">
        <v>132</v>
      </c>
      <c r="M1424" s="7" t="s">
        <v>133</v>
      </c>
      <c r="N1424" s="30">
        <v>0</v>
      </c>
      <c r="O1424" s="30">
        <v>0</v>
      </c>
      <c r="P1424" s="30">
        <v>0</v>
      </c>
      <c r="Q1424" s="30">
        <v>0</v>
      </c>
      <c r="R1424" s="29">
        <v>0</v>
      </c>
      <c r="S1424" s="36">
        <v>0</v>
      </c>
      <c r="T1424" s="7" t="s">
        <v>131</v>
      </c>
      <c r="U1424" s="7" t="s">
        <v>745</v>
      </c>
      <c r="V1424" s="7" t="s">
        <v>745</v>
      </c>
      <c r="W1424" s="7" t="s">
        <v>1177</v>
      </c>
      <c r="X1424" s="30">
        <v>1</v>
      </c>
      <c r="Y1424" s="7" t="s">
        <v>1177</v>
      </c>
      <c r="Z1424" s="7" t="s">
        <v>1178</v>
      </c>
      <c r="AA1424" s="30">
        <v>0</v>
      </c>
      <c r="AB1424" s="36">
        <v>0</v>
      </c>
      <c r="AC1424" s="7" t="s">
        <v>1177</v>
      </c>
      <c r="AD1424" s="37">
        <v>0</v>
      </c>
      <c r="AE1424" s="7" t="s">
        <v>1177</v>
      </c>
      <c r="AF1424" s="7" t="s">
        <v>1177</v>
      </c>
      <c r="AG1424" s="7" t="s">
        <v>1177</v>
      </c>
      <c r="AH1424" s="38"/>
      <c r="AI1424" s="36">
        <v>0</v>
      </c>
      <c r="AJ1424" s="7" t="s">
        <v>1193</v>
      </c>
      <c r="AK1424" s="7" t="s">
        <v>1177</v>
      </c>
      <c r="AL1424" s="7" t="s">
        <v>1177</v>
      </c>
      <c r="AM1424" s="7" t="s">
        <v>1177</v>
      </c>
      <c r="AN1424" s="7" t="s">
        <v>3212</v>
      </c>
      <c r="AO1424" s="7" t="s">
        <v>1177</v>
      </c>
      <c r="AP1424" s="7" t="s">
        <v>1177</v>
      </c>
      <c r="AQ1424" s="7" t="s">
        <v>1177</v>
      </c>
      <c r="AR1424" s="29">
        <v>0</v>
      </c>
      <c r="AS1424" s="7" t="s">
        <v>1177</v>
      </c>
      <c r="AT1424" s="7" t="s">
        <v>1363</v>
      </c>
      <c r="AU1424" s="38">
        <v>46275</v>
      </c>
      <c r="AV1424" s="39">
        <v>0.62399305555555995</v>
      </c>
    </row>
    <row r="1425" spans="1:48" x14ac:dyDescent="0.35">
      <c r="A1425" t="str">
        <f t="shared" si="22"/>
        <v>GP344466B856</v>
      </c>
      <c r="B1425" s="7" t="s">
        <v>768</v>
      </c>
      <c r="C1425" s="7" t="s">
        <v>852</v>
      </c>
      <c r="D1425" s="7" t="s">
        <v>21</v>
      </c>
      <c r="E1425" s="7" t="s">
        <v>1177</v>
      </c>
      <c r="F1425" s="7" t="s">
        <v>128</v>
      </c>
      <c r="G1425" s="7" t="s">
        <v>130</v>
      </c>
      <c r="H1425" s="7" t="s">
        <v>129</v>
      </c>
      <c r="I1425" s="30">
        <v>2</v>
      </c>
      <c r="J1425" s="7" t="s">
        <v>1177</v>
      </c>
      <c r="K1425" s="7" t="s">
        <v>1178</v>
      </c>
      <c r="L1425" s="7" t="s">
        <v>132</v>
      </c>
      <c r="M1425" s="7" t="s">
        <v>133</v>
      </c>
      <c r="N1425" s="30">
        <v>0</v>
      </c>
      <c r="O1425" s="30">
        <v>0</v>
      </c>
      <c r="P1425" s="30">
        <v>0</v>
      </c>
      <c r="Q1425" s="30">
        <v>0</v>
      </c>
      <c r="R1425" s="29">
        <v>0</v>
      </c>
      <c r="S1425" s="36">
        <v>0</v>
      </c>
      <c r="T1425" s="7" t="s">
        <v>131</v>
      </c>
      <c r="U1425" s="7" t="s">
        <v>853</v>
      </c>
      <c r="V1425" s="7" t="s">
        <v>853</v>
      </c>
      <c r="W1425" s="7" t="s">
        <v>1177</v>
      </c>
      <c r="X1425" s="30">
        <v>1</v>
      </c>
      <c r="Y1425" s="7" t="s">
        <v>1177</v>
      </c>
      <c r="Z1425" s="7" t="s">
        <v>1178</v>
      </c>
      <c r="AA1425" s="30">
        <v>0</v>
      </c>
      <c r="AB1425" s="36">
        <v>0</v>
      </c>
      <c r="AC1425" s="7" t="s">
        <v>1177</v>
      </c>
      <c r="AD1425" s="37">
        <v>0</v>
      </c>
      <c r="AE1425" s="7" t="s">
        <v>1177</v>
      </c>
      <c r="AF1425" s="7" t="s">
        <v>1177</v>
      </c>
      <c r="AG1425" s="7" t="s">
        <v>1177</v>
      </c>
      <c r="AH1425" s="38"/>
      <c r="AI1425" s="36">
        <v>0</v>
      </c>
      <c r="AJ1425" s="7" t="s">
        <v>1193</v>
      </c>
      <c r="AK1425" s="7" t="s">
        <v>1177</v>
      </c>
      <c r="AL1425" s="7" t="s">
        <v>1177</v>
      </c>
      <c r="AM1425" s="7" t="s">
        <v>1177</v>
      </c>
      <c r="AN1425" s="7" t="s">
        <v>3212</v>
      </c>
      <c r="AO1425" s="7" t="s">
        <v>1177</v>
      </c>
      <c r="AP1425" s="7" t="s">
        <v>1177</v>
      </c>
      <c r="AQ1425" s="7" t="s">
        <v>1177</v>
      </c>
      <c r="AR1425" s="29">
        <v>0</v>
      </c>
      <c r="AS1425" s="7" t="s">
        <v>1177</v>
      </c>
      <c r="AT1425" s="7" t="s">
        <v>1363</v>
      </c>
      <c r="AU1425" s="38">
        <v>46275</v>
      </c>
      <c r="AV1425" s="39">
        <v>0.62487268518519001</v>
      </c>
    </row>
    <row r="1426" spans="1:48" x14ac:dyDescent="0.35">
      <c r="A1426" t="str">
        <f t="shared" si="22"/>
        <v>GP344470B833</v>
      </c>
      <c r="B1426" s="7" t="s">
        <v>504</v>
      </c>
      <c r="C1426" s="7" t="s">
        <v>698</v>
      </c>
      <c r="D1426" s="7" t="s">
        <v>697</v>
      </c>
      <c r="E1426" s="7" t="s">
        <v>1177</v>
      </c>
      <c r="F1426" s="7" t="s">
        <v>128</v>
      </c>
      <c r="G1426" s="7" t="s">
        <v>130</v>
      </c>
      <c r="H1426" s="7" t="s">
        <v>129</v>
      </c>
      <c r="I1426" s="30">
        <v>2</v>
      </c>
      <c r="J1426" s="7" t="s">
        <v>1177</v>
      </c>
      <c r="K1426" s="7" t="s">
        <v>1178</v>
      </c>
      <c r="L1426" s="7" t="s">
        <v>132</v>
      </c>
      <c r="M1426" s="7" t="s">
        <v>133</v>
      </c>
      <c r="N1426" s="30">
        <v>0</v>
      </c>
      <c r="O1426" s="30">
        <v>0</v>
      </c>
      <c r="P1426" s="30">
        <v>0</v>
      </c>
      <c r="Q1426" s="30">
        <v>0</v>
      </c>
      <c r="R1426" s="29">
        <v>0</v>
      </c>
      <c r="S1426" s="36">
        <v>0</v>
      </c>
      <c r="T1426" s="7" t="s">
        <v>131</v>
      </c>
      <c r="U1426" s="7" t="s">
        <v>699</v>
      </c>
      <c r="V1426" s="7" t="s">
        <v>699</v>
      </c>
      <c r="W1426" s="7" t="s">
        <v>1177</v>
      </c>
      <c r="X1426" s="30">
        <v>1</v>
      </c>
      <c r="Y1426" s="7" t="s">
        <v>1177</v>
      </c>
      <c r="Z1426" s="7" t="s">
        <v>1178</v>
      </c>
      <c r="AA1426" s="30">
        <v>0</v>
      </c>
      <c r="AB1426" s="36">
        <v>0</v>
      </c>
      <c r="AC1426" s="7" t="s">
        <v>1177</v>
      </c>
      <c r="AD1426" s="37">
        <v>0</v>
      </c>
      <c r="AE1426" s="7" t="s">
        <v>1177</v>
      </c>
      <c r="AF1426" s="7" t="s">
        <v>1177</v>
      </c>
      <c r="AG1426" s="7" t="s">
        <v>1177</v>
      </c>
      <c r="AH1426" s="38"/>
      <c r="AI1426" s="36">
        <v>0</v>
      </c>
      <c r="AJ1426" s="7" t="s">
        <v>1193</v>
      </c>
      <c r="AK1426" s="7" t="s">
        <v>1177</v>
      </c>
      <c r="AL1426" s="7" t="s">
        <v>1177</v>
      </c>
      <c r="AM1426" s="7" t="s">
        <v>1177</v>
      </c>
      <c r="AN1426" s="7" t="s">
        <v>3212</v>
      </c>
      <c r="AO1426" s="7" t="s">
        <v>1177</v>
      </c>
      <c r="AP1426" s="7" t="s">
        <v>1177</v>
      </c>
      <c r="AQ1426" s="7" t="s">
        <v>1177</v>
      </c>
      <c r="AR1426" s="29">
        <v>0</v>
      </c>
      <c r="AS1426" s="7" t="s">
        <v>1177</v>
      </c>
      <c r="AT1426" s="7" t="s">
        <v>1363</v>
      </c>
      <c r="AU1426" s="38">
        <v>46275</v>
      </c>
      <c r="AV1426" s="39">
        <v>0.62353009259258996</v>
      </c>
    </row>
    <row r="1427" spans="1:48" x14ac:dyDescent="0.35">
      <c r="A1427" t="str">
        <f t="shared" si="22"/>
        <v>GP344470B856</v>
      </c>
      <c r="B1427" s="7" t="s">
        <v>504</v>
      </c>
      <c r="C1427" s="7" t="s">
        <v>852</v>
      </c>
      <c r="D1427" s="7" t="s">
        <v>21</v>
      </c>
      <c r="E1427" s="7" t="s">
        <v>1177</v>
      </c>
      <c r="F1427" s="7" t="s">
        <v>128</v>
      </c>
      <c r="G1427" s="7" t="s">
        <v>130</v>
      </c>
      <c r="H1427" s="7" t="s">
        <v>129</v>
      </c>
      <c r="I1427" s="30">
        <v>2</v>
      </c>
      <c r="J1427" s="7" t="s">
        <v>1177</v>
      </c>
      <c r="K1427" s="7" t="s">
        <v>1178</v>
      </c>
      <c r="L1427" s="7" t="s">
        <v>132</v>
      </c>
      <c r="M1427" s="7" t="s">
        <v>133</v>
      </c>
      <c r="N1427" s="30">
        <v>0</v>
      </c>
      <c r="O1427" s="30">
        <v>0</v>
      </c>
      <c r="P1427" s="30">
        <v>0</v>
      </c>
      <c r="Q1427" s="30">
        <v>0</v>
      </c>
      <c r="R1427" s="29">
        <v>0</v>
      </c>
      <c r="S1427" s="36">
        <v>0</v>
      </c>
      <c r="T1427" s="7" t="s">
        <v>131</v>
      </c>
      <c r="U1427" s="7" t="s">
        <v>853</v>
      </c>
      <c r="V1427" s="7" t="s">
        <v>853</v>
      </c>
      <c r="W1427" s="7" t="s">
        <v>1177</v>
      </c>
      <c r="X1427" s="30">
        <v>1</v>
      </c>
      <c r="Y1427" s="7" t="s">
        <v>1177</v>
      </c>
      <c r="Z1427" s="7" t="s">
        <v>1178</v>
      </c>
      <c r="AA1427" s="30">
        <v>0</v>
      </c>
      <c r="AB1427" s="36">
        <v>0</v>
      </c>
      <c r="AC1427" s="7" t="s">
        <v>1177</v>
      </c>
      <c r="AD1427" s="37">
        <v>0</v>
      </c>
      <c r="AE1427" s="7" t="s">
        <v>1177</v>
      </c>
      <c r="AF1427" s="7" t="s">
        <v>1177</v>
      </c>
      <c r="AG1427" s="7" t="s">
        <v>1177</v>
      </c>
      <c r="AH1427" s="38"/>
      <c r="AI1427" s="36">
        <v>0</v>
      </c>
      <c r="AJ1427" s="7" t="s">
        <v>1193</v>
      </c>
      <c r="AK1427" s="7" t="s">
        <v>1177</v>
      </c>
      <c r="AL1427" s="7" t="s">
        <v>1177</v>
      </c>
      <c r="AM1427" s="7" t="s">
        <v>1177</v>
      </c>
      <c r="AN1427" s="7" t="s">
        <v>3212</v>
      </c>
      <c r="AO1427" s="7" t="s">
        <v>1177</v>
      </c>
      <c r="AP1427" s="7" t="s">
        <v>1177</v>
      </c>
      <c r="AQ1427" s="7" t="s">
        <v>1177</v>
      </c>
      <c r="AR1427" s="29">
        <v>0</v>
      </c>
      <c r="AS1427" s="7" t="s">
        <v>1177</v>
      </c>
      <c r="AT1427" s="7" t="s">
        <v>1363</v>
      </c>
      <c r="AU1427" s="38">
        <v>46275</v>
      </c>
      <c r="AV1427" s="39">
        <v>0.62487268518519001</v>
      </c>
    </row>
    <row r="1428" spans="1:48" x14ac:dyDescent="0.35">
      <c r="A1428" t="str">
        <f t="shared" si="22"/>
        <v>GP344470B864</v>
      </c>
      <c r="B1428" s="7" t="s">
        <v>504</v>
      </c>
      <c r="C1428" s="7" t="s">
        <v>1010</v>
      </c>
      <c r="D1428" s="7" t="s">
        <v>10</v>
      </c>
      <c r="E1428" s="7" t="s">
        <v>1177</v>
      </c>
      <c r="F1428" s="7" t="s">
        <v>128</v>
      </c>
      <c r="G1428" s="7" t="s">
        <v>130</v>
      </c>
      <c r="H1428" s="7" t="s">
        <v>129</v>
      </c>
      <c r="I1428" s="30">
        <v>2</v>
      </c>
      <c r="J1428" s="7" t="s">
        <v>1177</v>
      </c>
      <c r="K1428" s="7" t="s">
        <v>1178</v>
      </c>
      <c r="L1428" s="7" t="s">
        <v>132</v>
      </c>
      <c r="M1428" s="7" t="s">
        <v>133</v>
      </c>
      <c r="N1428" s="30">
        <v>0</v>
      </c>
      <c r="O1428" s="30">
        <v>0</v>
      </c>
      <c r="P1428" s="30">
        <v>0</v>
      </c>
      <c r="Q1428" s="30">
        <v>0</v>
      </c>
      <c r="R1428" s="29">
        <v>0</v>
      </c>
      <c r="S1428" s="36">
        <v>0</v>
      </c>
      <c r="T1428" s="7" t="s">
        <v>131</v>
      </c>
      <c r="U1428" s="7" t="s">
        <v>1011</v>
      </c>
      <c r="V1428" s="7" t="s">
        <v>1011</v>
      </c>
      <c r="W1428" s="7" t="s">
        <v>1177</v>
      </c>
      <c r="X1428" s="30">
        <v>1</v>
      </c>
      <c r="Y1428" s="7" t="s">
        <v>1177</v>
      </c>
      <c r="Z1428" s="7" t="s">
        <v>1178</v>
      </c>
      <c r="AA1428" s="30">
        <v>0</v>
      </c>
      <c r="AB1428" s="36">
        <v>0</v>
      </c>
      <c r="AC1428" s="7" t="s">
        <v>1177</v>
      </c>
      <c r="AD1428" s="37">
        <v>0</v>
      </c>
      <c r="AE1428" s="7" t="s">
        <v>1177</v>
      </c>
      <c r="AF1428" s="7" t="s">
        <v>1177</v>
      </c>
      <c r="AG1428" s="7" t="s">
        <v>1177</v>
      </c>
      <c r="AH1428" s="38"/>
      <c r="AI1428" s="36">
        <v>0</v>
      </c>
      <c r="AJ1428" s="7" t="s">
        <v>1193</v>
      </c>
      <c r="AK1428" s="7" t="s">
        <v>1177</v>
      </c>
      <c r="AL1428" s="7" t="s">
        <v>1177</v>
      </c>
      <c r="AM1428" s="7" t="s">
        <v>1177</v>
      </c>
      <c r="AN1428" s="7" t="s">
        <v>3212</v>
      </c>
      <c r="AO1428" s="7" t="s">
        <v>1177</v>
      </c>
      <c r="AP1428" s="7" t="s">
        <v>1177</v>
      </c>
      <c r="AQ1428" s="7" t="s">
        <v>1177</v>
      </c>
      <c r="AR1428" s="29">
        <v>0</v>
      </c>
      <c r="AS1428" s="7" t="s">
        <v>1177</v>
      </c>
      <c r="AT1428" s="7" t="s">
        <v>1363</v>
      </c>
      <c r="AU1428" s="38">
        <v>46275</v>
      </c>
      <c r="AV1428" s="39">
        <v>0.62633101851852002</v>
      </c>
    </row>
    <row r="1429" spans="1:48" x14ac:dyDescent="0.35">
      <c r="A1429" t="str">
        <f t="shared" si="22"/>
        <v>GP344470B865</v>
      </c>
      <c r="B1429" s="7" t="s">
        <v>504</v>
      </c>
      <c r="C1429" s="7" t="s">
        <v>1039</v>
      </c>
      <c r="D1429" s="7" t="s">
        <v>7</v>
      </c>
      <c r="E1429" s="7" t="s">
        <v>1177</v>
      </c>
      <c r="F1429" s="7" t="s">
        <v>128</v>
      </c>
      <c r="G1429" s="7" t="s">
        <v>130</v>
      </c>
      <c r="H1429" s="7" t="s">
        <v>129</v>
      </c>
      <c r="I1429" s="30">
        <v>3</v>
      </c>
      <c r="J1429" s="7" t="s">
        <v>1177</v>
      </c>
      <c r="K1429" s="7" t="s">
        <v>1178</v>
      </c>
      <c r="L1429" s="7" t="s">
        <v>132</v>
      </c>
      <c r="M1429" s="7" t="s">
        <v>133</v>
      </c>
      <c r="N1429" s="30">
        <v>0</v>
      </c>
      <c r="O1429" s="30">
        <v>0</v>
      </c>
      <c r="P1429" s="30">
        <v>0</v>
      </c>
      <c r="Q1429" s="30">
        <v>0</v>
      </c>
      <c r="R1429" s="29">
        <v>0</v>
      </c>
      <c r="S1429" s="36">
        <v>0</v>
      </c>
      <c r="T1429" s="7" t="s">
        <v>131</v>
      </c>
      <c r="U1429" s="7" t="s">
        <v>1040</v>
      </c>
      <c r="V1429" s="7" t="s">
        <v>1040</v>
      </c>
      <c r="W1429" s="7" t="s">
        <v>1177</v>
      </c>
      <c r="X1429" s="30">
        <v>1</v>
      </c>
      <c r="Y1429" s="7" t="s">
        <v>1177</v>
      </c>
      <c r="Z1429" s="7" t="s">
        <v>1178</v>
      </c>
      <c r="AA1429" s="30">
        <v>0</v>
      </c>
      <c r="AB1429" s="36">
        <v>0</v>
      </c>
      <c r="AC1429" s="7" t="s">
        <v>1177</v>
      </c>
      <c r="AD1429" s="37">
        <v>0</v>
      </c>
      <c r="AE1429" s="7" t="s">
        <v>1177</v>
      </c>
      <c r="AF1429" s="7" t="s">
        <v>1177</v>
      </c>
      <c r="AG1429" s="7" t="s">
        <v>1177</v>
      </c>
      <c r="AH1429" s="38"/>
      <c r="AI1429" s="36">
        <v>0</v>
      </c>
      <c r="AJ1429" s="7" t="s">
        <v>1193</v>
      </c>
      <c r="AK1429" s="7" t="s">
        <v>1177</v>
      </c>
      <c r="AL1429" s="7" t="s">
        <v>1177</v>
      </c>
      <c r="AM1429" s="7" t="s">
        <v>1177</v>
      </c>
      <c r="AN1429" s="7" t="s">
        <v>3212</v>
      </c>
      <c r="AO1429" s="7" t="s">
        <v>1177</v>
      </c>
      <c r="AP1429" s="7" t="s">
        <v>1177</v>
      </c>
      <c r="AQ1429" s="7" t="s">
        <v>1177</v>
      </c>
      <c r="AR1429" s="29">
        <v>0</v>
      </c>
      <c r="AS1429" s="7" t="s">
        <v>1177</v>
      </c>
      <c r="AT1429" s="7" t="s">
        <v>1363</v>
      </c>
      <c r="AU1429" s="38">
        <v>46275</v>
      </c>
      <c r="AV1429" s="39">
        <v>0.62677083333332995</v>
      </c>
    </row>
    <row r="1430" spans="1:48" x14ac:dyDescent="0.35">
      <c r="A1430" t="str">
        <f t="shared" si="22"/>
        <v>GP344470B867</v>
      </c>
      <c r="B1430" s="7" t="s">
        <v>504</v>
      </c>
      <c r="C1430" s="7" t="s">
        <v>1059</v>
      </c>
      <c r="D1430" s="7" t="s">
        <v>25</v>
      </c>
      <c r="E1430" s="7" t="s">
        <v>1177</v>
      </c>
      <c r="F1430" s="7" t="s">
        <v>128</v>
      </c>
      <c r="G1430" s="7" t="s">
        <v>130</v>
      </c>
      <c r="H1430" s="7" t="s">
        <v>129</v>
      </c>
      <c r="I1430" s="30">
        <v>2</v>
      </c>
      <c r="J1430" s="7" t="s">
        <v>1177</v>
      </c>
      <c r="K1430" s="7" t="s">
        <v>1178</v>
      </c>
      <c r="L1430" s="7" t="s">
        <v>132</v>
      </c>
      <c r="M1430" s="7" t="s">
        <v>133</v>
      </c>
      <c r="N1430" s="30">
        <v>0</v>
      </c>
      <c r="O1430" s="30">
        <v>0</v>
      </c>
      <c r="P1430" s="30">
        <v>0</v>
      </c>
      <c r="Q1430" s="30">
        <v>0</v>
      </c>
      <c r="R1430" s="29">
        <v>0</v>
      </c>
      <c r="S1430" s="36">
        <v>0</v>
      </c>
      <c r="T1430" s="7" t="s">
        <v>131</v>
      </c>
      <c r="U1430" s="7" t="s">
        <v>1060</v>
      </c>
      <c r="V1430" s="7" t="s">
        <v>1060</v>
      </c>
      <c r="W1430" s="7" t="s">
        <v>1177</v>
      </c>
      <c r="X1430" s="30">
        <v>1</v>
      </c>
      <c r="Y1430" s="7" t="s">
        <v>1177</v>
      </c>
      <c r="Z1430" s="7" t="s">
        <v>1178</v>
      </c>
      <c r="AA1430" s="30">
        <v>0</v>
      </c>
      <c r="AB1430" s="36">
        <v>0</v>
      </c>
      <c r="AC1430" s="7" t="s">
        <v>1177</v>
      </c>
      <c r="AD1430" s="37">
        <v>0</v>
      </c>
      <c r="AE1430" s="7" t="s">
        <v>1177</v>
      </c>
      <c r="AF1430" s="7" t="s">
        <v>1177</v>
      </c>
      <c r="AG1430" s="7" t="s">
        <v>1177</v>
      </c>
      <c r="AH1430" s="38"/>
      <c r="AI1430" s="36">
        <v>0</v>
      </c>
      <c r="AJ1430" s="7" t="s">
        <v>1193</v>
      </c>
      <c r="AK1430" s="7" t="s">
        <v>1177</v>
      </c>
      <c r="AL1430" s="7" t="s">
        <v>1177</v>
      </c>
      <c r="AM1430" s="7" t="s">
        <v>1177</v>
      </c>
      <c r="AN1430" s="7" t="s">
        <v>3212</v>
      </c>
      <c r="AO1430" s="7" t="s">
        <v>1177</v>
      </c>
      <c r="AP1430" s="7" t="s">
        <v>1177</v>
      </c>
      <c r="AQ1430" s="7" t="s">
        <v>1177</v>
      </c>
      <c r="AR1430" s="29">
        <v>0</v>
      </c>
      <c r="AS1430" s="7" t="s">
        <v>1177</v>
      </c>
      <c r="AT1430" s="7" t="s">
        <v>1363</v>
      </c>
      <c r="AU1430" s="38">
        <v>46275</v>
      </c>
      <c r="AV1430" s="39">
        <v>0.62715277777778</v>
      </c>
    </row>
    <row r="1431" spans="1:48" x14ac:dyDescent="0.35">
      <c r="A1431" t="str">
        <f t="shared" si="22"/>
        <v>GP344471B864</v>
      </c>
      <c r="B1431" s="7" t="s">
        <v>743</v>
      </c>
      <c r="C1431" s="7" t="s">
        <v>1010</v>
      </c>
      <c r="D1431" s="7" t="s">
        <v>10</v>
      </c>
      <c r="E1431" s="7" t="s">
        <v>1177</v>
      </c>
      <c r="F1431" s="7" t="s">
        <v>128</v>
      </c>
      <c r="G1431" s="7" t="s">
        <v>130</v>
      </c>
      <c r="H1431" s="7" t="s">
        <v>129</v>
      </c>
      <c r="I1431" s="30">
        <v>2</v>
      </c>
      <c r="J1431" s="7" t="s">
        <v>1177</v>
      </c>
      <c r="K1431" s="7" t="s">
        <v>1178</v>
      </c>
      <c r="L1431" s="7" t="s">
        <v>132</v>
      </c>
      <c r="M1431" s="7" t="s">
        <v>133</v>
      </c>
      <c r="N1431" s="30">
        <v>0</v>
      </c>
      <c r="O1431" s="30">
        <v>0</v>
      </c>
      <c r="P1431" s="30">
        <v>0</v>
      </c>
      <c r="Q1431" s="30">
        <v>0</v>
      </c>
      <c r="R1431" s="29">
        <v>0</v>
      </c>
      <c r="S1431" s="36">
        <v>0</v>
      </c>
      <c r="T1431" s="7" t="s">
        <v>131</v>
      </c>
      <c r="U1431" s="7" t="s">
        <v>1011</v>
      </c>
      <c r="V1431" s="7" t="s">
        <v>1011</v>
      </c>
      <c r="W1431" s="7" t="s">
        <v>1177</v>
      </c>
      <c r="X1431" s="30">
        <v>1</v>
      </c>
      <c r="Y1431" s="7" t="s">
        <v>1177</v>
      </c>
      <c r="Z1431" s="7" t="s">
        <v>1178</v>
      </c>
      <c r="AA1431" s="30">
        <v>0</v>
      </c>
      <c r="AB1431" s="36">
        <v>0</v>
      </c>
      <c r="AC1431" s="7" t="s">
        <v>1177</v>
      </c>
      <c r="AD1431" s="37">
        <v>0</v>
      </c>
      <c r="AE1431" s="7" t="s">
        <v>1177</v>
      </c>
      <c r="AF1431" s="7" t="s">
        <v>1177</v>
      </c>
      <c r="AG1431" s="7" t="s">
        <v>1177</v>
      </c>
      <c r="AH1431" s="38"/>
      <c r="AI1431" s="36">
        <v>0</v>
      </c>
      <c r="AJ1431" s="7" t="s">
        <v>1193</v>
      </c>
      <c r="AK1431" s="7" t="s">
        <v>1177</v>
      </c>
      <c r="AL1431" s="7" t="s">
        <v>1177</v>
      </c>
      <c r="AM1431" s="7" t="s">
        <v>1177</v>
      </c>
      <c r="AN1431" s="7" t="s">
        <v>3212</v>
      </c>
      <c r="AO1431" s="7" t="s">
        <v>1177</v>
      </c>
      <c r="AP1431" s="7" t="s">
        <v>1177</v>
      </c>
      <c r="AQ1431" s="7" t="s">
        <v>1177</v>
      </c>
      <c r="AR1431" s="29">
        <v>0</v>
      </c>
      <c r="AS1431" s="7" t="s">
        <v>1177</v>
      </c>
      <c r="AT1431" s="7" t="s">
        <v>1363</v>
      </c>
      <c r="AU1431" s="38">
        <v>46275</v>
      </c>
      <c r="AV1431" s="39">
        <v>0.62633101851852002</v>
      </c>
    </row>
    <row r="1432" spans="1:48" x14ac:dyDescent="0.35">
      <c r="A1432" t="str">
        <f t="shared" si="22"/>
        <v>GP344471B865</v>
      </c>
      <c r="B1432" s="7" t="s">
        <v>743</v>
      </c>
      <c r="C1432" s="7" t="s">
        <v>1039</v>
      </c>
      <c r="D1432" s="7" t="s">
        <v>7</v>
      </c>
      <c r="E1432" s="7" t="s">
        <v>1177</v>
      </c>
      <c r="F1432" s="7" t="s">
        <v>128</v>
      </c>
      <c r="G1432" s="7" t="s">
        <v>130</v>
      </c>
      <c r="H1432" s="7" t="s">
        <v>129</v>
      </c>
      <c r="I1432" s="30">
        <v>2</v>
      </c>
      <c r="J1432" s="7" t="s">
        <v>1177</v>
      </c>
      <c r="K1432" s="7" t="s">
        <v>1178</v>
      </c>
      <c r="L1432" s="7" t="s">
        <v>132</v>
      </c>
      <c r="M1432" s="7" t="s">
        <v>133</v>
      </c>
      <c r="N1432" s="30">
        <v>0</v>
      </c>
      <c r="O1432" s="30">
        <v>0</v>
      </c>
      <c r="P1432" s="30">
        <v>0</v>
      </c>
      <c r="Q1432" s="30">
        <v>0</v>
      </c>
      <c r="R1432" s="29">
        <v>0</v>
      </c>
      <c r="S1432" s="36">
        <v>0</v>
      </c>
      <c r="T1432" s="7" t="s">
        <v>131</v>
      </c>
      <c r="U1432" s="7" t="s">
        <v>1040</v>
      </c>
      <c r="V1432" s="7" t="s">
        <v>1040</v>
      </c>
      <c r="W1432" s="7" t="s">
        <v>1177</v>
      </c>
      <c r="X1432" s="30">
        <v>1</v>
      </c>
      <c r="Y1432" s="7" t="s">
        <v>1177</v>
      </c>
      <c r="Z1432" s="7" t="s">
        <v>1178</v>
      </c>
      <c r="AA1432" s="30">
        <v>0</v>
      </c>
      <c r="AB1432" s="36">
        <v>0</v>
      </c>
      <c r="AC1432" s="7" t="s">
        <v>1177</v>
      </c>
      <c r="AD1432" s="37">
        <v>0</v>
      </c>
      <c r="AE1432" s="7" t="s">
        <v>1177</v>
      </c>
      <c r="AF1432" s="7" t="s">
        <v>1177</v>
      </c>
      <c r="AG1432" s="7" t="s">
        <v>1177</v>
      </c>
      <c r="AH1432" s="38"/>
      <c r="AI1432" s="36">
        <v>0</v>
      </c>
      <c r="AJ1432" s="7" t="s">
        <v>1193</v>
      </c>
      <c r="AK1432" s="7" t="s">
        <v>1177</v>
      </c>
      <c r="AL1432" s="7" t="s">
        <v>1177</v>
      </c>
      <c r="AM1432" s="7" t="s">
        <v>1177</v>
      </c>
      <c r="AN1432" s="7" t="s">
        <v>3212</v>
      </c>
      <c r="AO1432" s="7" t="s">
        <v>1177</v>
      </c>
      <c r="AP1432" s="7" t="s">
        <v>1177</v>
      </c>
      <c r="AQ1432" s="7" t="s">
        <v>1177</v>
      </c>
      <c r="AR1432" s="29">
        <v>0</v>
      </c>
      <c r="AS1432" s="7" t="s">
        <v>1177</v>
      </c>
      <c r="AT1432" s="7" t="s">
        <v>1363</v>
      </c>
      <c r="AU1432" s="38">
        <v>46275</v>
      </c>
      <c r="AV1432" s="39">
        <v>0.62677083333332995</v>
      </c>
    </row>
    <row r="1433" spans="1:48" x14ac:dyDescent="0.35">
      <c r="A1433" t="str">
        <f t="shared" si="22"/>
        <v>GP344471B867</v>
      </c>
      <c r="B1433" s="7" t="s">
        <v>743</v>
      </c>
      <c r="C1433" s="7" t="s">
        <v>1059</v>
      </c>
      <c r="D1433" s="7" t="s">
        <v>25</v>
      </c>
      <c r="E1433" s="7" t="s">
        <v>1177</v>
      </c>
      <c r="F1433" s="7" t="s">
        <v>128</v>
      </c>
      <c r="G1433" s="7" t="s">
        <v>130</v>
      </c>
      <c r="H1433" s="7" t="s">
        <v>129</v>
      </c>
      <c r="I1433" s="30">
        <v>2</v>
      </c>
      <c r="J1433" s="7" t="s">
        <v>1177</v>
      </c>
      <c r="K1433" s="7" t="s">
        <v>1178</v>
      </c>
      <c r="L1433" s="7" t="s">
        <v>132</v>
      </c>
      <c r="M1433" s="7" t="s">
        <v>133</v>
      </c>
      <c r="N1433" s="30">
        <v>0</v>
      </c>
      <c r="O1433" s="30">
        <v>0</v>
      </c>
      <c r="P1433" s="30">
        <v>0</v>
      </c>
      <c r="Q1433" s="30">
        <v>0</v>
      </c>
      <c r="R1433" s="29">
        <v>0</v>
      </c>
      <c r="S1433" s="36">
        <v>0</v>
      </c>
      <c r="T1433" s="7" t="s">
        <v>131</v>
      </c>
      <c r="U1433" s="7" t="s">
        <v>1060</v>
      </c>
      <c r="V1433" s="7" t="s">
        <v>1060</v>
      </c>
      <c r="W1433" s="7" t="s">
        <v>1177</v>
      </c>
      <c r="X1433" s="30">
        <v>1</v>
      </c>
      <c r="Y1433" s="7" t="s">
        <v>1177</v>
      </c>
      <c r="Z1433" s="7" t="s">
        <v>1178</v>
      </c>
      <c r="AA1433" s="30">
        <v>0</v>
      </c>
      <c r="AB1433" s="36">
        <v>0</v>
      </c>
      <c r="AC1433" s="7" t="s">
        <v>1177</v>
      </c>
      <c r="AD1433" s="37">
        <v>0</v>
      </c>
      <c r="AE1433" s="7" t="s">
        <v>1177</v>
      </c>
      <c r="AF1433" s="7" t="s">
        <v>1177</v>
      </c>
      <c r="AG1433" s="7" t="s">
        <v>1177</v>
      </c>
      <c r="AH1433" s="38"/>
      <c r="AI1433" s="36">
        <v>0</v>
      </c>
      <c r="AJ1433" s="7" t="s">
        <v>1193</v>
      </c>
      <c r="AK1433" s="7" t="s">
        <v>1177</v>
      </c>
      <c r="AL1433" s="7" t="s">
        <v>1177</v>
      </c>
      <c r="AM1433" s="7" t="s">
        <v>1177</v>
      </c>
      <c r="AN1433" s="7" t="s">
        <v>3212</v>
      </c>
      <c r="AO1433" s="7" t="s">
        <v>1177</v>
      </c>
      <c r="AP1433" s="7" t="s">
        <v>1177</v>
      </c>
      <c r="AQ1433" s="7" t="s">
        <v>1177</v>
      </c>
      <c r="AR1433" s="29">
        <v>0</v>
      </c>
      <c r="AS1433" s="7" t="s">
        <v>1177</v>
      </c>
      <c r="AT1433" s="7" t="s">
        <v>1363</v>
      </c>
      <c r="AU1433" s="38">
        <v>46275</v>
      </c>
      <c r="AV1433" s="39">
        <v>0.62715277777778</v>
      </c>
    </row>
    <row r="1434" spans="1:48" x14ac:dyDescent="0.35">
      <c r="A1434" t="str">
        <f t="shared" si="22"/>
        <v>GP345064B856</v>
      </c>
      <c r="B1434" s="7" t="s">
        <v>818</v>
      </c>
      <c r="C1434" s="7" t="s">
        <v>852</v>
      </c>
      <c r="D1434" s="7" t="s">
        <v>21</v>
      </c>
      <c r="E1434" s="7" t="s">
        <v>1177</v>
      </c>
      <c r="F1434" s="7" t="s">
        <v>128</v>
      </c>
      <c r="G1434" s="7" t="s">
        <v>130</v>
      </c>
      <c r="H1434" s="7" t="s">
        <v>129</v>
      </c>
      <c r="I1434" s="30">
        <v>2</v>
      </c>
      <c r="J1434" s="7" t="s">
        <v>1177</v>
      </c>
      <c r="K1434" s="7" t="s">
        <v>1178</v>
      </c>
      <c r="L1434" s="7" t="s">
        <v>132</v>
      </c>
      <c r="M1434" s="7" t="s">
        <v>133</v>
      </c>
      <c r="N1434" s="30">
        <v>0</v>
      </c>
      <c r="O1434" s="30">
        <v>0</v>
      </c>
      <c r="P1434" s="30">
        <v>0</v>
      </c>
      <c r="Q1434" s="30">
        <v>0</v>
      </c>
      <c r="R1434" s="29">
        <v>0</v>
      </c>
      <c r="S1434" s="36">
        <v>0</v>
      </c>
      <c r="T1434" s="7" t="s">
        <v>131</v>
      </c>
      <c r="U1434" s="7" t="s">
        <v>853</v>
      </c>
      <c r="V1434" s="7" t="s">
        <v>853</v>
      </c>
      <c r="W1434" s="7" t="s">
        <v>1177</v>
      </c>
      <c r="X1434" s="30">
        <v>1</v>
      </c>
      <c r="Y1434" s="7" t="s">
        <v>1177</v>
      </c>
      <c r="Z1434" s="7" t="s">
        <v>1178</v>
      </c>
      <c r="AA1434" s="30">
        <v>0</v>
      </c>
      <c r="AB1434" s="36">
        <v>0</v>
      </c>
      <c r="AC1434" s="7" t="s">
        <v>1177</v>
      </c>
      <c r="AD1434" s="37">
        <v>0</v>
      </c>
      <c r="AE1434" s="7" t="s">
        <v>1177</v>
      </c>
      <c r="AF1434" s="7" t="s">
        <v>1177</v>
      </c>
      <c r="AG1434" s="7" t="s">
        <v>1177</v>
      </c>
      <c r="AH1434" s="38"/>
      <c r="AI1434" s="36">
        <v>0</v>
      </c>
      <c r="AJ1434" s="7" t="s">
        <v>1193</v>
      </c>
      <c r="AK1434" s="7" t="s">
        <v>1177</v>
      </c>
      <c r="AL1434" s="7" t="s">
        <v>1177</v>
      </c>
      <c r="AM1434" s="7" t="s">
        <v>1177</v>
      </c>
      <c r="AN1434" s="7" t="s">
        <v>3212</v>
      </c>
      <c r="AO1434" s="7" t="s">
        <v>1177</v>
      </c>
      <c r="AP1434" s="7" t="s">
        <v>1177</v>
      </c>
      <c r="AQ1434" s="7" t="s">
        <v>1177</v>
      </c>
      <c r="AR1434" s="29">
        <v>0</v>
      </c>
      <c r="AS1434" s="7" t="s">
        <v>1177</v>
      </c>
      <c r="AT1434" s="7" t="s">
        <v>1363</v>
      </c>
      <c r="AU1434" s="38">
        <v>46275</v>
      </c>
      <c r="AV1434" s="39">
        <v>0.62487268518519001</v>
      </c>
    </row>
    <row r="1435" spans="1:48" x14ac:dyDescent="0.35">
      <c r="A1435" t="str">
        <f t="shared" si="22"/>
        <v>GP345064B857</v>
      </c>
      <c r="B1435" s="7" t="s">
        <v>818</v>
      </c>
      <c r="C1435" s="7" t="s">
        <v>958</v>
      </c>
      <c r="D1435" s="7" t="s">
        <v>23</v>
      </c>
      <c r="E1435" s="7" t="s">
        <v>1177</v>
      </c>
      <c r="F1435" s="7" t="s">
        <v>128</v>
      </c>
      <c r="G1435" s="7" t="s">
        <v>130</v>
      </c>
      <c r="H1435" s="7" t="s">
        <v>129</v>
      </c>
      <c r="I1435" s="30">
        <v>2</v>
      </c>
      <c r="J1435" s="7" t="s">
        <v>1177</v>
      </c>
      <c r="K1435" s="7" t="s">
        <v>1178</v>
      </c>
      <c r="L1435" s="7" t="s">
        <v>132</v>
      </c>
      <c r="M1435" s="7" t="s">
        <v>133</v>
      </c>
      <c r="N1435" s="30">
        <v>0</v>
      </c>
      <c r="O1435" s="30">
        <v>0</v>
      </c>
      <c r="P1435" s="30">
        <v>0</v>
      </c>
      <c r="Q1435" s="30">
        <v>0</v>
      </c>
      <c r="R1435" s="29">
        <v>0</v>
      </c>
      <c r="S1435" s="36">
        <v>0</v>
      </c>
      <c r="T1435" s="7" t="s">
        <v>131</v>
      </c>
      <c r="U1435" s="7" t="s">
        <v>959</v>
      </c>
      <c r="V1435" s="7" t="s">
        <v>959</v>
      </c>
      <c r="W1435" s="7" t="s">
        <v>1177</v>
      </c>
      <c r="X1435" s="30">
        <v>1</v>
      </c>
      <c r="Y1435" s="7" t="s">
        <v>1177</v>
      </c>
      <c r="Z1435" s="7" t="s">
        <v>1178</v>
      </c>
      <c r="AA1435" s="30">
        <v>0</v>
      </c>
      <c r="AB1435" s="36">
        <v>0</v>
      </c>
      <c r="AC1435" s="7" t="s">
        <v>1177</v>
      </c>
      <c r="AD1435" s="37">
        <v>0</v>
      </c>
      <c r="AE1435" s="7" t="s">
        <v>1177</v>
      </c>
      <c r="AF1435" s="7" t="s">
        <v>1177</v>
      </c>
      <c r="AG1435" s="7" t="s">
        <v>1177</v>
      </c>
      <c r="AH1435" s="38"/>
      <c r="AI1435" s="36">
        <v>0</v>
      </c>
      <c r="AJ1435" s="7" t="s">
        <v>1193</v>
      </c>
      <c r="AK1435" s="7" t="s">
        <v>1177</v>
      </c>
      <c r="AL1435" s="7" t="s">
        <v>1177</v>
      </c>
      <c r="AM1435" s="7" t="s">
        <v>1177</v>
      </c>
      <c r="AN1435" s="7" t="s">
        <v>3212</v>
      </c>
      <c r="AO1435" s="7" t="s">
        <v>1177</v>
      </c>
      <c r="AP1435" s="7" t="s">
        <v>1177</v>
      </c>
      <c r="AQ1435" s="7" t="s">
        <v>1177</v>
      </c>
      <c r="AR1435" s="29">
        <v>0</v>
      </c>
      <c r="AS1435" s="7" t="s">
        <v>1177</v>
      </c>
      <c r="AT1435" s="7" t="s">
        <v>1363</v>
      </c>
      <c r="AU1435" s="38">
        <v>46275</v>
      </c>
      <c r="AV1435" s="39">
        <v>0.62512731481480999</v>
      </c>
    </row>
    <row r="1436" spans="1:48" x14ac:dyDescent="0.35">
      <c r="A1436" t="str">
        <f t="shared" si="22"/>
        <v>GP345208B832</v>
      </c>
      <c r="B1436" s="7" t="s">
        <v>421</v>
      </c>
      <c r="C1436" s="7" t="s">
        <v>653</v>
      </c>
      <c r="D1436" s="7" t="s">
        <v>19</v>
      </c>
      <c r="E1436" s="7" t="s">
        <v>1177</v>
      </c>
      <c r="F1436" s="7" t="s">
        <v>134</v>
      </c>
      <c r="G1436" s="7" t="s">
        <v>130</v>
      </c>
      <c r="H1436" s="7" t="s">
        <v>129</v>
      </c>
      <c r="I1436" s="30">
        <v>2</v>
      </c>
      <c r="J1436" s="7" t="s">
        <v>1177</v>
      </c>
      <c r="K1436" s="7" t="s">
        <v>1178</v>
      </c>
      <c r="L1436" s="7" t="s">
        <v>132</v>
      </c>
      <c r="M1436" s="7" t="s">
        <v>133</v>
      </c>
      <c r="N1436" s="30">
        <v>0</v>
      </c>
      <c r="O1436" s="30">
        <v>0</v>
      </c>
      <c r="P1436" s="30">
        <v>0</v>
      </c>
      <c r="Q1436" s="30">
        <v>0</v>
      </c>
      <c r="R1436" s="29">
        <v>0</v>
      </c>
      <c r="S1436" s="36">
        <v>0</v>
      </c>
      <c r="T1436" s="7" t="s">
        <v>131</v>
      </c>
      <c r="U1436" s="7" t="s">
        <v>654</v>
      </c>
      <c r="V1436" s="7" t="s">
        <v>654</v>
      </c>
      <c r="W1436" s="7" t="s">
        <v>1177</v>
      </c>
      <c r="X1436" s="30">
        <v>2</v>
      </c>
      <c r="Y1436" s="7" t="s">
        <v>1177</v>
      </c>
      <c r="Z1436" s="7" t="s">
        <v>1178</v>
      </c>
      <c r="AA1436" s="30">
        <v>0</v>
      </c>
      <c r="AB1436" s="36">
        <v>0</v>
      </c>
      <c r="AC1436" s="7" t="s">
        <v>1177</v>
      </c>
      <c r="AD1436" s="37">
        <v>0</v>
      </c>
      <c r="AE1436" s="7" t="s">
        <v>1177</v>
      </c>
      <c r="AF1436" s="7" t="s">
        <v>1177</v>
      </c>
      <c r="AG1436" s="7" t="s">
        <v>1177</v>
      </c>
      <c r="AH1436" s="38"/>
      <c r="AI1436" s="36">
        <v>0</v>
      </c>
      <c r="AJ1436" s="7" t="s">
        <v>1193</v>
      </c>
      <c r="AK1436" s="7" t="s">
        <v>1177</v>
      </c>
      <c r="AL1436" s="7" t="s">
        <v>1177</v>
      </c>
      <c r="AM1436" s="7" t="s">
        <v>1177</v>
      </c>
      <c r="AN1436" s="7" t="s">
        <v>3212</v>
      </c>
      <c r="AO1436" s="7" t="s">
        <v>1177</v>
      </c>
      <c r="AP1436" s="7" t="s">
        <v>1177</v>
      </c>
      <c r="AQ1436" s="7" t="s">
        <v>1177</v>
      </c>
      <c r="AR1436" s="29">
        <v>0</v>
      </c>
      <c r="AS1436" s="7" t="s">
        <v>1177</v>
      </c>
      <c r="AT1436" s="7" t="s">
        <v>1363</v>
      </c>
      <c r="AU1436" s="38">
        <v>46275</v>
      </c>
      <c r="AV1436" s="39">
        <v>0.60391203703703999</v>
      </c>
    </row>
    <row r="1437" spans="1:48" x14ac:dyDescent="0.35">
      <c r="A1437" t="str">
        <f t="shared" si="22"/>
        <v>GP345208B833</v>
      </c>
      <c r="B1437" s="7" t="s">
        <v>421</v>
      </c>
      <c r="C1437" s="7" t="s">
        <v>698</v>
      </c>
      <c r="D1437" s="7" t="s">
        <v>697</v>
      </c>
      <c r="E1437" s="7" t="s">
        <v>1177</v>
      </c>
      <c r="F1437" s="7" t="s">
        <v>134</v>
      </c>
      <c r="G1437" s="7" t="s">
        <v>130</v>
      </c>
      <c r="H1437" s="7" t="s">
        <v>129</v>
      </c>
      <c r="I1437" s="30">
        <v>2</v>
      </c>
      <c r="J1437" s="7" t="s">
        <v>1177</v>
      </c>
      <c r="K1437" s="7" t="s">
        <v>1178</v>
      </c>
      <c r="L1437" s="7" t="s">
        <v>132</v>
      </c>
      <c r="M1437" s="7" t="s">
        <v>133</v>
      </c>
      <c r="N1437" s="30">
        <v>0</v>
      </c>
      <c r="O1437" s="30">
        <v>0</v>
      </c>
      <c r="P1437" s="30">
        <v>0</v>
      </c>
      <c r="Q1437" s="30">
        <v>0</v>
      </c>
      <c r="R1437" s="29">
        <v>0</v>
      </c>
      <c r="S1437" s="36">
        <v>0</v>
      </c>
      <c r="T1437" s="7" t="s">
        <v>131</v>
      </c>
      <c r="U1437" s="7" t="s">
        <v>699</v>
      </c>
      <c r="V1437" s="7" t="s">
        <v>699</v>
      </c>
      <c r="W1437" s="7" t="s">
        <v>1177</v>
      </c>
      <c r="X1437" s="30">
        <v>2</v>
      </c>
      <c r="Y1437" s="7" t="s">
        <v>1177</v>
      </c>
      <c r="Z1437" s="7" t="s">
        <v>1178</v>
      </c>
      <c r="AA1437" s="30">
        <v>0</v>
      </c>
      <c r="AB1437" s="36">
        <v>0</v>
      </c>
      <c r="AC1437" s="7" t="s">
        <v>1177</v>
      </c>
      <c r="AD1437" s="37">
        <v>0</v>
      </c>
      <c r="AE1437" s="7" t="s">
        <v>1177</v>
      </c>
      <c r="AF1437" s="7" t="s">
        <v>1177</v>
      </c>
      <c r="AG1437" s="7" t="s">
        <v>1177</v>
      </c>
      <c r="AH1437" s="38"/>
      <c r="AI1437" s="36">
        <v>0</v>
      </c>
      <c r="AJ1437" s="7" t="s">
        <v>1193</v>
      </c>
      <c r="AK1437" s="7" t="s">
        <v>1177</v>
      </c>
      <c r="AL1437" s="7" t="s">
        <v>1177</v>
      </c>
      <c r="AM1437" s="7" t="s">
        <v>1177</v>
      </c>
      <c r="AN1437" s="7" t="s">
        <v>3212</v>
      </c>
      <c r="AO1437" s="7" t="s">
        <v>1177</v>
      </c>
      <c r="AP1437" s="7" t="s">
        <v>1177</v>
      </c>
      <c r="AQ1437" s="7" t="s">
        <v>1177</v>
      </c>
      <c r="AR1437" s="29">
        <v>0</v>
      </c>
      <c r="AS1437" s="7" t="s">
        <v>1177</v>
      </c>
      <c r="AT1437" s="7" t="s">
        <v>1363</v>
      </c>
      <c r="AU1437" s="38">
        <v>46275</v>
      </c>
      <c r="AV1437" s="39">
        <v>0.60396990740740997</v>
      </c>
    </row>
    <row r="1438" spans="1:48" x14ac:dyDescent="0.35">
      <c r="A1438" t="str">
        <f t="shared" si="22"/>
        <v>GP345212B825</v>
      </c>
      <c r="B1438" s="7" t="s">
        <v>607</v>
      </c>
      <c r="C1438" s="7" t="s">
        <v>511</v>
      </c>
      <c r="D1438" s="7" t="s">
        <v>16</v>
      </c>
      <c r="E1438" s="7" t="s">
        <v>1177</v>
      </c>
      <c r="F1438" s="7" t="s">
        <v>128</v>
      </c>
      <c r="G1438" s="7" t="s">
        <v>130</v>
      </c>
      <c r="H1438" s="7" t="s">
        <v>129</v>
      </c>
      <c r="I1438" s="30">
        <v>3</v>
      </c>
      <c r="J1438" s="7" t="s">
        <v>1177</v>
      </c>
      <c r="K1438" s="7" t="s">
        <v>1178</v>
      </c>
      <c r="L1438" s="7" t="s">
        <v>132</v>
      </c>
      <c r="M1438" s="7" t="s">
        <v>133</v>
      </c>
      <c r="N1438" s="30">
        <v>0</v>
      </c>
      <c r="O1438" s="30">
        <v>0</v>
      </c>
      <c r="P1438" s="30">
        <v>0</v>
      </c>
      <c r="Q1438" s="30">
        <v>0</v>
      </c>
      <c r="R1438" s="29">
        <v>0</v>
      </c>
      <c r="S1438" s="36">
        <v>0</v>
      </c>
      <c r="T1438" s="7" t="s">
        <v>131</v>
      </c>
      <c r="U1438" s="7" t="s">
        <v>512</v>
      </c>
      <c r="V1438" s="7" t="s">
        <v>512</v>
      </c>
      <c r="W1438" s="7" t="s">
        <v>1177</v>
      </c>
      <c r="X1438" s="30">
        <v>1</v>
      </c>
      <c r="Y1438" s="7" t="s">
        <v>1177</v>
      </c>
      <c r="Z1438" s="7" t="s">
        <v>1178</v>
      </c>
      <c r="AA1438" s="30">
        <v>0</v>
      </c>
      <c r="AB1438" s="36">
        <v>0</v>
      </c>
      <c r="AC1438" s="7" t="s">
        <v>1177</v>
      </c>
      <c r="AD1438" s="37">
        <v>0</v>
      </c>
      <c r="AE1438" s="7" t="s">
        <v>1177</v>
      </c>
      <c r="AF1438" s="7" t="s">
        <v>1177</v>
      </c>
      <c r="AG1438" s="7" t="s">
        <v>1177</v>
      </c>
      <c r="AH1438" s="38"/>
      <c r="AI1438" s="36">
        <v>0</v>
      </c>
      <c r="AJ1438" s="7" t="s">
        <v>1193</v>
      </c>
      <c r="AK1438" s="7" t="s">
        <v>1177</v>
      </c>
      <c r="AL1438" s="7" t="s">
        <v>1177</v>
      </c>
      <c r="AM1438" s="7" t="s">
        <v>1177</v>
      </c>
      <c r="AN1438" s="7" t="s">
        <v>3212</v>
      </c>
      <c r="AO1438" s="7" t="s">
        <v>1177</v>
      </c>
      <c r="AP1438" s="7" t="s">
        <v>1177</v>
      </c>
      <c r="AQ1438" s="7" t="s">
        <v>1177</v>
      </c>
      <c r="AR1438" s="29">
        <v>0</v>
      </c>
      <c r="AS1438" s="7" t="s">
        <v>1177</v>
      </c>
      <c r="AT1438" s="7" t="s">
        <v>1363</v>
      </c>
      <c r="AU1438" s="38">
        <v>46275</v>
      </c>
      <c r="AV1438" s="39">
        <v>0.62305555555556003</v>
      </c>
    </row>
    <row r="1439" spans="1:48" x14ac:dyDescent="0.35">
      <c r="A1439" t="str">
        <f t="shared" si="22"/>
        <v>GP345212B833</v>
      </c>
      <c r="B1439" s="7" t="s">
        <v>607</v>
      </c>
      <c r="C1439" s="7" t="s">
        <v>698</v>
      </c>
      <c r="D1439" s="7" t="s">
        <v>697</v>
      </c>
      <c r="E1439" s="7" t="s">
        <v>1177</v>
      </c>
      <c r="F1439" s="7" t="s">
        <v>128</v>
      </c>
      <c r="G1439" s="7" t="s">
        <v>130</v>
      </c>
      <c r="H1439" s="7" t="s">
        <v>129</v>
      </c>
      <c r="I1439" s="30">
        <v>3</v>
      </c>
      <c r="J1439" s="7" t="s">
        <v>1177</v>
      </c>
      <c r="K1439" s="7" t="s">
        <v>1178</v>
      </c>
      <c r="L1439" s="7" t="s">
        <v>132</v>
      </c>
      <c r="M1439" s="7" t="s">
        <v>133</v>
      </c>
      <c r="N1439" s="30">
        <v>0</v>
      </c>
      <c r="O1439" s="30">
        <v>0</v>
      </c>
      <c r="P1439" s="30">
        <v>0</v>
      </c>
      <c r="Q1439" s="30">
        <v>0</v>
      </c>
      <c r="R1439" s="29">
        <v>0</v>
      </c>
      <c r="S1439" s="36">
        <v>0</v>
      </c>
      <c r="T1439" s="7" t="s">
        <v>131</v>
      </c>
      <c r="U1439" s="7" t="s">
        <v>699</v>
      </c>
      <c r="V1439" s="7" t="s">
        <v>699</v>
      </c>
      <c r="W1439" s="7" t="s">
        <v>1177</v>
      </c>
      <c r="X1439" s="30">
        <v>1</v>
      </c>
      <c r="Y1439" s="7" t="s">
        <v>1177</v>
      </c>
      <c r="Z1439" s="7" t="s">
        <v>1178</v>
      </c>
      <c r="AA1439" s="30">
        <v>0</v>
      </c>
      <c r="AB1439" s="36">
        <v>0</v>
      </c>
      <c r="AC1439" s="7" t="s">
        <v>1177</v>
      </c>
      <c r="AD1439" s="37">
        <v>0</v>
      </c>
      <c r="AE1439" s="7" t="s">
        <v>1177</v>
      </c>
      <c r="AF1439" s="7" t="s">
        <v>1177</v>
      </c>
      <c r="AG1439" s="7" t="s">
        <v>1177</v>
      </c>
      <c r="AH1439" s="38"/>
      <c r="AI1439" s="36">
        <v>0</v>
      </c>
      <c r="AJ1439" s="7" t="s">
        <v>1193</v>
      </c>
      <c r="AK1439" s="7" t="s">
        <v>1177</v>
      </c>
      <c r="AL1439" s="7" t="s">
        <v>1177</v>
      </c>
      <c r="AM1439" s="7" t="s">
        <v>1177</v>
      </c>
      <c r="AN1439" s="7" t="s">
        <v>3212</v>
      </c>
      <c r="AO1439" s="7" t="s">
        <v>1177</v>
      </c>
      <c r="AP1439" s="7" t="s">
        <v>1177</v>
      </c>
      <c r="AQ1439" s="7" t="s">
        <v>1177</v>
      </c>
      <c r="AR1439" s="29">
        <v>0</v>
      </c>
      <c r="AS1439" s="7" t="s">
        <v>1177</v>
      </c>
      <c r="AT1439" s="7" t="s">
        <v>1363</v>
      </c>
      <c r="AU1439" s="38">
        <v>46275</v>
      </c>
      <c r="AV1439" s="39">
        <v>0.62353009259258996</v>
      </c>
    </row>
    <row r="1440" spans="1:48" x14ac:dyDescent="0.35">
      <c r="A1440" t="str">
        <f t="shared" si="22"/>
        <v>GP345212B864</v>
      </c>
      <c r="B1440" s="7" t="s">
        <v>607</v>
      </c>
      <c r="C1440" s="7" t="s">
        <v>1010</v>
      </c>
      <c r="D1440" s="7" t="s">
        <v>10</v>
      </c>
      <c r="E1440" s="7" t="s">
        <v>1177</v>
      </c>
      <c r="F1440" s="7" t="s">
        <v>128</v>
      </c>
      <c r="G1440" s="7" t="s">
        <v>130</v>
      </c>
      <c r="H1440" s="7" t="s">
        <v>129</v>
      </c>
      <c r="I1440" s="30">
        <v>2</v>
      </c>
      <c r="J1440" s="7" t="s">
        <v>1177</v>
      </c>
      <c r="K1440" s="7" t="s">
        <v>1178</v>
      </c>
      <c r="L1440" s="7" t="s">
        <v>132</v>
      </c>
      <c r="M1440" s="7" t="s">
        <v>133</v>
      </c>
      <c r="N1440" s="30">
        <v>0</v>
      </c>
      <c r="O1440" s="30">
        <v>0</v>
      </c>
      <c r="P1440" s="30">
        <v>0</v>
      </c>
      <c r="Q1440" s="30">
        <v>0</v>
      </c>
      <c r="R1440" s="29">
        <v>0</v>
      </c>
      <c r="S1440" s="36">
        <v>0</v>
      </c>
      <c r="T1440" s="7" t="s">
        <v>131</v>
      </c>
      <c r="U1440" s="7" t="s">
        <v>1011</v>
      </c>
      <c r="V1440" s="7" t="s">
        <v>1011</v>
      </c>
      <c r="W1440" s="7" t="s">
        <v>1177</v>
      </c>
      <c r="X1440" s="30">
        <v>1</v>
      </c>
      <c r="Y1440" s="7" t="s">
        <v>1177</v>
      </c>
      <c r="Z1440" s="7" t="s">
        <v>1178</v>
      </c>
      <c r="AA1440" s="30">
        <v>0</v>
      </c>
      <c r="AB1440" s="36">
        <v>0</v>
      </c>
      <c r="AC1440" s="7" t="s">
        <v>1177</v>
      </c>
      <c r="AD1440" s="37">
        <v>0</v>
      </c>
      <c r="AE1440" s="7" t="s">
        <v>1177</v>
      </c>
      <c r="AF1440" s="7" t="s">
        <v>1177</v>
      </c>
      <c r="AG1440" s="7" t="s">
        <v>1177</v>
      </c>
      <c r="AH1440" s="38"/>
      <c r="AI1440" s="36">
        <v>0</v>
      </c>
      <c r="AJ1440" s="7" t="s">
        <v>1193</v>
      </c>
      <c r="AK1440" s="7" t="s">
        <v>1177</v>
      </c>
      <c r="AL1440" s="7" t="s">
        <v>1177</v>
      </c>
      <c r="AM1440" s="7" t="s">
        <v>1177</v>
      </c>
      <c r="AN1440" s="7" t="s">
        <v>3212</v>
      </c>
      <c r="AO1440" s="7" t="s">
        <v>1177</v>
      </c>
      <c r="AP1440" s="7" t="s">
        <v>1177</v>
      </c>
      <c r="AQ1440" s="7" t="s">
        <v>1177</v>
      </c>
      <c r="AR1440" s="29">
        <v>0</v>
      </c>
      <c r="AS1440" s="7" t="s">
        <v>1177</v>
      </c>
      <c r="AT1440" s="7" t="s">
        <v>1363</v>
      </c>
      <c r="AU1440" s="38">
        <v>46275</v>
      </c>
      <c r="AV1440" s="39">
        <v>0.62633101851852002</v>
      </c>
    </row>
    <row r="1441" spans="1:48" x14ac:dyDescent="0.35">
      <c r="A1441" t="str">
        <f t="shared" si="22"/>
        <v>GP345212B865</v>
      </c>
      <c r="B1441" s="7" t="s">
        <v>607</v>
      </c>
      <c r="C1441" s="7" t="s">
        <v>1039</v>
      </c>
      <c r="D1441" s="7" t="s">
        <v>7</v>
      </c>
      <c r="E1441" s="7" t="s">
        <v>1177</v>
      </c>
      <c r="F1441" s="7" t="s">
        <v>128</v>
      </c>
      <c r="G1441" s="7" t="s">
        <v>130</v>
      </c>
      <c r="H1441" s="7" t="s">
        <v>129</v>
      </c>
      <c r="I1441" s="30">
        <v>2</v>
      </c>
      <c r="J1441" s="7" t="s">
        <v>1177</v>
      </c>
      <c r="K1441" s="7" t="s">
        <v>1178</v>
      </c>
      <c r="L1441" s="7" t="s">
        <v>132</v>
      </c>
      <c r="M1441" s="7" t="s">
        <v>133</v>
      </c>
      <c r="N1441" s="30">
        <v>0</v>
      </c>
      <c r="O1441" s="30">
        <v>0</v>
      </c>
      <c r="P1441" s="30">
        <v>0</v>
      </c>
      <c r="Q1441" s="30">
        <v>0</v>
      </c>
      <c r="R1441" s="29">
        <v>0</v>
      </c>
      <c r="S1441" s="36">
        <v>0</v>
      </c>
      <c r="T1441" s="7" t="s">
        <v>131</v>
      </c>
      <c r="U1441" s="7" t="s">
        <v>1040</v>
      </c>
      <c r="V1441" s="7" t="s">
        <v>1040</v>
      </c>
      <c r="W1441" s="7" t="s">
        <v>1177</v>
      </c>
      <c r="X1441" s="30">
        <v>1</v>
      </c>
      <c r="Y1441" s="7" t="s">
        <v>1177</v>
      </c>
      <c r="Z1441" s="7" t="s">
        <v>1178</v>
      </c>
      <c r="AA1441" s="30">
        <v>0</v>
      </c>
      <c r="AB1441" s="36">
        <v>0</v>
      </c>
      <c r="AC1441" s="7" t="s">
        <v>1177</v>
      </c>
      <c r="AD1441" s="37">
        <v>0</v>
      </c>
      <c r="AE1441" s="7" t="s">
        <v>1177</v>
      </c>
      <c r="AF1441" s="7" t="s">
        <v>1177</v>
      </c>
      <c r="AG1441" s="7" t="s">
        <v>1177</v>
      </c>
      <c r="AH1441" s="38"/>
      <c r="AI1441" s="36">
        <v>0</v>
      </c>
      <c r="AJ1441" s="7" t="s">
        <v>1193</v>
      </c>
      <c r="AK1441" s="7" t="s">
        <v>1177</v>
      </c>
      <c r="AL1441" s="7" t="s">
        <v>1177</v>
      </c>
      <c r="AM1441" s="7" t="s">
        <v>1177</v>
      </c>
      <c r="AN1441" s="7" t="s">
        <v>3212</v>
      </c>
      <c r="AO1441" s="7" t="s">
        <v>1177</v>
      </c>
      <c r="AP1441" s="7" t="s">
        <v>1177</v>
      </c>
      <c r="AQ1441" s="7" t="s">
        <v>1177</v>
      </c>
      <c r="AR1441" s="29">
        <v>0</v>
      </c>
      <c r="AS1441" s="7" t="s">
        <v>1177</v>
      </c>
      <c r="AT1441" s="7" t="s">
        <v>1363</v>
      </c>
      <c r="AU1441" s="38">
        <v>46275</v>
      </c>
      <c r="AV1441" s="39">
        <v>0.62674768518518997</v>
      </c>
    </row>
    <row r="1442" spans="1:48" x14ac:dyDescent="0.35">
      <c r="A1442" t="str">
        <f t="shared" si="22"/>
        <v>GP345545B856</v>
      </c>
      <c r="B1442" s="7" t="s">
        <v>901</v>
      </c>
      <c r="C1442" s="7" t="s">
        <v>852</v>
      </c>
      <c r="D1442" s="7" t="s">
        <v>21</v>
      </c>
      <c r="E1442" s="7" t="s">
        <v>1177</v>
      </c>
      <c r="F1442" s="7" t="s">
        <v>128</v>
      </c>
      <c r="G1442" s="7" t="s">
        <v>130</v>
      </c>
      <c r="H1442" s="7" t="s">
        <v>129</v>
      </c>
      <c r="I1442" s="30">
        <v>1</v>
      </c>
      <c r="J1442" s="7" t="s">
        <v>1177</v>
      </c>
      <c r="K1442" s="7" t="s">
        <v>1178</v>
      </c>
      <c r="L1442" s="7" t="s">
        <v>132</v>
      </c>
      <c r="M1442" s="7" t="s">
        <v>133</v>
      </c>
      <c r="N1442" s="30">
        <v>0</v>
      </c>
      <c r="O1442" s="30">
        <v>0</v>
      </c>
      <c r="P1442" s="30">
        <v>0</v>
      </c>
      <c r="Q1442" s="30">
        <v>0</v>
      </c>
      <c r="R1442" s="29">
        <v>0</v>
      </c>
      <c r="S1442" s="36">
        <v>0</v>
      </c>
      <c r="T1442" s="7" t="s">
        <v>131</v>
      </c>
      <c r="U1442" s="7" t="s">
        <v>853</v>
      </c>
      <c r="V1442" s="7" t="s">
        <v>853</v>
      </c>
      <c r="W1442" s="7" t="s">
        <v>1177</v>
      </c>
      <c r="X1442" s="30">
        <v>1</v>
      </c>
      <c r="Y1442" s="7" t="s">
        <v>1177</v>
      </c>
      <c r="Z1442" s="7" t="s">
        <v>1178</v>
      </c>
      <c r="AA1442" s="30">
        <v>0</v>
      </c>
      <c r="AB1442" s="36">
        <v>0</v>
      </c>
      <c r="AC1442" s="7" t="s">
        <v>1177</v>
      </c>
      <c r="AD1442" s="37">
        <v>0</v>
      </c>
      <c r="AE1442" s="7" t="s">
        <v>1177</v>
      </c>
      <c r="AF1442" s="7" t="s">
        <v>1177</v>
      </c>
      <c r="AG1442" s="7" t="s">
        <v>1177</v>
      </c>
      <c r="AH1442" s="38"/>
      <c r="AI1442" s="36">
        <v>0</v>
      </c>
      <c r="AJ1442" s="7" t="s">
        <v>1193</v>
      </c>
      <c r="AK1442" s="7" t="s">
        <v>1177</v>
      </c>
      <c r="AL1442" s="7" t="s">
        <v>1177</v>
      </c>
      <c r="AM1442" s="7" t="s">
        <v>1177</v>
      </c>
      <c r="AN1442" s="7" t="s">
        <v>3212</v>
      </c>
      <c r="AO1442" s="7" t="s">
        <v>1177</v>
      </c>
      <c r="AP1442" s="7" t="s">
        <v>1177</v>
      </c>
      <c r="AQ1442" s="7" t="s">
        <v>1177</v>
      </c>
      <c r="AR1442" s="29">
        <v>0</v>
      </c>
      <c r="AS1442" s="7" t="s">
        <v>1177</v>
      </c>
      <c r="AT1442" s="7" t="s">
        <v>1363</v>
      </c>
      <c r="AU1442" s="38">
        <v>46275</v>
      </c>
      <c r="AV1442" s="39">
        <v>0.62487268518519001</v>
      </c>
    </row>
    <row r="1443" spans="1:48" x14ac:dyDescent="0.35">
      <c r="A1443" t="str">
        <f t="shared" si="22"/>
        <v>GP346311B865</v>
      </c>
      <c r="B1443" s="7" t="s">
        <v>819</v>
      </c>
      <c r="C1443" s="7" t="s">
        <v>1039</v>
      </c>
      <c r="D1443" s="7" t="s">
        <v>7</v>
      </c>
      <c r="E1443" s="7" t="s">
        <v>1177</v>
      </c>
      <c r="F1443" s="7" t="s">
        <v>128</v>
      </c>
      <c r="G1443" s="7" t="s">
        <v>130</v>
      </c>
      <c r="H1443" s="7" t="s">
        <v>129</v>
      </c>
      <c r="I1443" s="30">
        <v>1</v>
      </c>
      <c r="J1443" s="7" t="s">
        <v>1177</v>
      </c>
      <c r="K1443" s="7" t="s">
        <v>1178</v>
      </c>
      <c r="L1443" s="7" t="s">
        <v>132</v>
      </c>
      <c r="M1443" s="7" t="s">
        <v>133</v>
      </c>
      <c r="N1443" s="30">
        <v>0</v>
      </c>
      <c r="O1443" s="30">
        <v>0</v>
      </c>
      <c r="P1443" s="30">
        <v>0</v>
      </c>
      <c r="Q1443" s="30">
        <v>0</v>
      </c>
      <c r="R1443" s="29">
        <v>0</v>
      </c>
      <c r="S1443" s="36">
        <v>0</v>
      </c>
      <c r="T1443" s="7" t="s">
        <v>131</v>
      </c>
      <c r="U1443" s="7" t="s">
        <v>1040</v>
      </c>
      <c r="V1443" s="7" t="s">
        <v>1040</v>
      </c>
      <c r="W1443" s="7" t="s">
        <v>1177</v>
      </c>
      <c r="X1443" s="30">
        <v>1</v>
      </c>
      <c r="Y1443" s="7" t="s">
        <v>1177</v>
      </c>
      <c r="Z1443" s="7" t="s">
        <v>1178</v>
      </c>
      <c r="AA1443" s="30">
        <v>0</v>
      </c>
      <c r="AB1443" s="36">
        <v>0</v>
      </c>
      <c r="AC1443" s="7" t="s">
        <v>1177</v>
      </c>
      <c r="AD1443" s="37">
        <v>0</v>
      </c>
      <c r="AE1443" s="7" t="s">
        <v>1177</v>
      </c>
      <c r="AF1443" s="7" t="s">
        <v>1177</v>
      </c>
      <c r="AG1443" s="7" t="s">
        <v>1177</v>
      </c>
      <c r="AH1443" s="38"/>
      <c r="AI1443" s="36">
        <v>0</v>
      </c>
      <c r="AJ1443" s="7" t="s">
        <v>1193</v>
      </c>
      <c r="AK1443" s="7" t="s">
        <v>1177</v>
      </c>
      <c r="AL1443" s="7" t="s">
        <v>1177</v>
      </c>
      <c r="AM1443" s="7" t="s">
        <v>1177</v>
      </c>
      <c r="AN1443" s="7" t="s">
        <v>3212</v>
      </c>
      <c r="AO1443" s="7" t="s">
        <v>1177</v>
      </c>
      <c r="AP1443" s="7" t="s">
        <v>1177</v>
      </c>
      <c r="AQ1443" s="7" t="s">
        <v>1177</v>
      </c>
      <c r="AR1443" s="29">
        <v>0</v>
      </c>
      <c r="AS1443" s="7" t="s">
        <v>1177</v>
      </c>
      <c r="AT1443" s="7" t="s">
        <v>1363</v>
      </c>
      <c r="AU1443" s="38">
        <v>46275</v>
      </c>
      <c r="AV1443" s="39">
        <v>0.62673611111111005</v>
      </c>
    </row>
    <row r="1444" spans="1:48" x14ac:dyDescent="0.35">
      <c r="A1444" t="str">
        <f t="shared" si="22"/>
        <v>GP347294B856</v>
      </c>
      <c r="B1444" s="7" t="s">
        <v>89</v>
      </c>
      <c r="C1444" s="7" t="s">
        <v>852</v>
      </c>
      <c r="D1444" s="7" t="s">
        <v>21</v>
      </c>
      <c r="E1444" s="7" t="s">
        <v>1177</v>
      </c>
      <c r="F1444" s="7" t="s">
        <v>128</v>
      </c>
      <c r="G1444" s="7" t="s">
        <v>130</v>
      </c>
      <c r="H1444" s="7" t="s">
        <v>129</v>
      </c>
      <c r="I1444" s="30">
        <v>2</v>
      </c>
      <c r="J1444" s="7" t="s">
        <v>1177</v>
      </c>
      <c r="K1444" s="7" t="s">
        <v>1178</v>
      </c>
      <c r="L1444" s="7" t="s">
        <v>132</v>
      </c>
      <c r="M1444" s="7" t="s">
        <v>133</v>
      </c>
      <c r="N1444" s="30">
        <v>0</v>
      </c>
      <c r="O1444" s="30">
        <v>0</v>
      </c>
      <c r="P1444" s="30">
        <v>0</v>
      </c>
      <c r="Q1444" s="30">
        <v>0</v>
      </c>
      <c r="R1444" s="29">
        <v>0</v>
      </c>
      <c r="S1444" s="36">
        <v>0</v>
      </c>
      <c r="T1444" s="7" t="s">
        <v>131</v>
      </c>
      <c r="U1444" s="7" t="s">
        <v>853</v>
      </c>
      <c r="V1444" s="7" t="s">
        <v>853</v>
      </c>
      <c r="W1444" s="7" t="s">
        <v>1177</v>
      </c>
      <c r="X1444" s="30">
        <v>1</v>
      </c>
      <c r="Y1444" s="7" t="s">
        <v>1177</v>
      </c>
      <c r="Z1444" s="7" t="s">
        <v>1178</v>
      </c>
      <c r="AA1444" s="30">
        <v>0</v>
      </c>
      <c r="AB1444" s="36">
        <v>0</v>
      </c>
      <c r="AC1444" s="7" t="s">
        <v>1177</v>
      </c>
      <c r="AD1444" s="37">
        <v>0</v>
      </c>
      <c r="AE1444" s="7" t="s">
        <v>1177</v>
      </c>
      <c r="AF1444" s="7" t="s">
        <v>1177</v>
      </c>
      <c r="AG1444" s="7" t="s">
        <v>1177</v>
      </c>
      <c r="AH1444" s="38"/>
      <c r="AI1444" s="36">
        <v>0</v>
      </c>
      <c r="AJ1444" s="7" t="s">
        <v>1193</v>
      </c>
      <c r="AK1444" s="7" t="s">
        <v>1177</v>
      </c>
      <c r="AL1444" s="7" t="s">
        <v>1177</v>
      </c>
      <c r="AM1444" s="7" t="s">
        <v>1177</v>
      </c>
      <c r="AN1444" s="7" t="s">
        <v>3212</v>
      </c>
      <c r="AO1444" s="7" t="s">
        <v>1177</v>
      </c>
      <c r="AP1444" s="7" t="s">
        <v>1177</v>
      </c>
      <c r="AQ1444" s="7" t="s">
        <v>1177</v>
      </c>
      <c r="AR1444" s="29">
        <v>0</v>
      </c>
      <c r="AS1444" s="7" t="s">
        <v>1177</v>
      </c>
      <c r="AT1444" s="7" t="s">
        <v>1363</v>
      </c>
      <c r="AU1444" s="38">
        <v>46275</v>
      </c>
      <c r="AV1444" s="39">
        <v>0.62487268518519001</v>
      </c>
    </row>
    <row r="1445" spans="1:48" x14ac:dyDescent="0.35">
      <c r="A1445" t="str">
        <f t="shared" si="22"/>
        <v>GP347294B857</v>
      </c>
      <c r="B1445" s="7" t="s">
        <v>89</v>
      </c>
      <c r="C1445" s="7" t="s">
        <v>958</v>
      </c>
      <c r="D1445" s="7" t="s">
        <v>23</v>
      </c>
      <c r="E1445" s="7" t="s">
        <v>1177</v>
      </c>
      <c r="F1445" s="7" t="s">
        <v>128</v>
      </c>
      <c r="G1445" s="7" t="s">
        <v>130</v>
      </c>
      <c r="H1445" s="7" t="s">
        <v>129</v>
      </c>
      <c r="I1445" s="30">
        <v>2</v>
      </c>
      <c r="J1445" s="7" t="s">
        <v>1177</v>
      </c>
      <c r="K1445" s="7" t="s">
        <v>1178</v>
      </c>
      <c r="L1445" s="7" t="s">
        <v>132</v>
      </c>
      <c r="M1445" s="7" t="s">
        <v>133</v>
      </c>
      <c r="N1445" s="30">
        <v>0</v>
      </c>
      <c r="O1445" s="30">
        <v>0</v>
      </c>
      <c r="P1445" s="30">
        <v>0</v>
      </c>
      <c r="Q1445" s="30">
        <v>0</v>
      </c>
      <c r="R1445" s="29">
        <v>0</v>
      </c>
      <c r="S1445" s="36">
        <v>0</v>
      </c>
      <c r="T1445" s="7" t="s">
        <v>131</v>
      </c>
      <c r="U1445" s="7" t="s">
        <v>959</v>
      </c>
      <c r="V1445" s="7" t="s">
        <v>959</v>
      </c>
      <c r="W1445" s="7" t="s">
        <v>1177</v>
      </c>
      <c r="X1445" s="30">
        <v>1</v>
      </c>
      <c r="Y1445" s="7" t="s">
        <v>1177</v>
      </c>
      <c r="Z1445" s="7" t="s">
        <v>1178</v>
      </c>
      <c r="AA1445" s="30">
        <v>0</v>
      </c>
      <c r="AB1445" s="36">
        <v>0</v>
      </c>
      <c r="AC1445" s="7" t="s">
        <v>1177</v>
      </c>
      <c r="AD1445" s="37">
        <v>0</v>
      </c>
      <c r="AE1445" s="7" t="s">
        <v>1177</v>
      </c>
      <c r="AF1445" s="7" t="s">
        <v>1177</v>
      </c>
      <c r="AG1445" s="7" t="s">
        <v>1177</v>
      </c>
      <c r="AH1445" s="38"/>
      <c r="AI1445" s="36">
        <v>0</v>
      </c>
      <c r="AJ1445" s="7" t="s">
        <v>1193</v>
      </c>
      <c r="AK1445" s="7" t="s">
        <v>1177</v>
      </c>
      <c r="AL1445" s="7" t="s">
        <v>1177</v>
      </c>
      <c r="AM1445" s="7" t="s">
        <v>1177</v>
      </c>
      <c r="AN1445" s="7" t="s">
        <v>3212</v>
      </c>
      <c r="AO1445" s="7" t="s">
        <v>1177</v>
      </c>
      <c r="AP1445" s="7" t="s">
        <v>1177</v>
      </c>
      <c r="AQ1445" s="7" t="s">
        <v>1177</v>
      </c>
      <c r="AR1445" s="29">
        <v>0</v>
      </c>
      <c r="AS1445" s="7" t="s">
        <v>1177</v>
      </c>
      <c r="AT1445" s="7" t="s">
        <v>1363</v>
      </c>
      <c r="AU1445" s="38">
        <v>46275</v>
      </c>
      <c r="AV1445" s="39">
        <v>0.62512731481480999</v>
      </c>
    </row>
    <row r="1446" spans="1:48" x14ac:dyDescent="0.35">
      <c r="A1446" t="str">
        <f t="shared" si="22"/>
        <v>GP347593B838</v>
      </c>
      <c r="B1446" s="7" t="s">
        <v>769</v>
      </c>
      <c r="C1446" s="7" t="s">
        <v>744</v>
      </c>
      <c r="D1446" s="7" t="s">
        <v>48</v>
      </c>
      <c r="E1446" s="7" t="s">
        <v>1177</v>
      </c>
      <c r="F1446" s="7" t="s">
        <v>128</v>
      </c>
      <c r="G1446" s="7" t="s">
        <v>130</v>
      </c>
      <c r="H1446" s="7" t="s">
        <v>129</v>
      </c>
      <c r="I1446" s="30">
        <v>2</v>
      </c>
      <c r="J1446" s="7" t="s">
        <v>1177</v>
      </c>
      <c r="K1446" s="7" t="s">
        <v>1178</v>
      </c>
      <c r="L1446" s="7" t="s">
        <v>132</v>
      </c>
      <c r="M1446" s="7" t="s">
        <v>133</v>
      </c>
      <c r="N1446" s="30">
        <v>0</v>
      </c>
      <c r="O1446" s="30">
        <v>0</v>
      </c>
      <c r="P1446" s="30">
        <v>0</v>
      </c>
      <c r="Q1446" s="30">
        <v>0</v>
      </c>
      <c r="R1446" s="29">
        <v>0</v>
      </c>
      <c r="S1446" s="36">
        <v>0</v>
      </c>
      <c r="T1446" s="7" t="s">
        <v>131</v>
      </c>
      <c r="U1446" s="7" t="s">
        <v>745</v>
      </c>
      <c r="V1446" s="7" t="s">
        <v>745</v>
      </c>
      <c r="W1446" s="7" t="s">
        <v>1177</v>
      </c>
      <c r="X1446" s="30">
        <v>1</v>
      </c>
      <c r="Y1446" s="7" t="s">
        <v>1177</v>
      </c>
      <c r="Z1446" s="7" t="s">
        <v>1178</v>
      </c>
      <c r="AA1446" s="30">
        <v>0</v>
      </c>
      <c r="AB1446" s="36">
        <v>0</v>
      </c>
      <c r="AC1446" s="7" t="s">
        <v>1177</v>
      </c>
      <c r="AD1446" s="37">
        <v>0</v>
      </c>
      <c r="AE1446" s="7" t="s">
        <v>1177</v>
      </c>
      <c r="AF1446" s="7" t="s">
        <v>1177</v>
      </c>
      <c r="AG1446" s="7" t="s">
        <v>1177</v>
      </c>
      <c r="AH1446" s="38"/>
      <c r="AI1446" s="36">
        <v>0</v>
      </c>
      <c r="AJ1446" s="7" t="s">
        <v>1193</v>
      </c>
      <c r="AK1446" s="7" t="s">
        <v>1177</v>
      </c>
      <c r="AL1446" s="7" t="s">
        <v>1177</v>
      </c>
      <c r="AM1446" s="7" t="s">
        <v>1177</v>
      </c>
      <c r="AN1446" s="7" t="s">
        <v>3212</v>
      </c>
      <c r="AO1446" s="7" t="s">
        <v>1177</v>
      </c>
      <c r="AP1446" s="7" t="s">
        <v>1177</v>
      </c>
      <c r="AQ1446" s="7" t="s">
        <v>1177</v>
      </c>
      <c r="AR1446" s="29">
        <v>0</v>
      </c>
      <c r="AS1446" s="7" t="s">
        <v>1177</v>
      </c>
      <c r="AT1446" s="7" t="s">
        <v>1363</v>
      </c>
      <c r="AU1446" s="38">
        <v>46275</v>
      </c>
      <c r="AV1446" s="39">
        <v>0.62399305555555995</v>
      </c>
    </row>
    <row r="1447" spans="1:48" x14ac:dyDescent="0.35">
      <c r="A1447" t="str">
        <f t="shared" si="22"/>
        <v>GP347593B856</v>
      </c>
      <c r="B1447" s="7" t="s">
        <v>769</v>
      </c>
      <c r="C1447" s="7" t="s">
        <v>852</v>
      </c>
      <c r="D1447" s="7" t="s">
        <v>21</v>
      </c>
      <c r="E1447" s="7" t="s">
        <v>1177</v>
      </c>
      <c r="F1447" s="7" t="s">
        <v>128</v>
      </c>
      <c r="G1447" s="7" t="s">
        <v>130</v>
      </c>
      <c r="H1447" s="7" t="s">
        <v>129</v>
      </c>
      <c r="I1447" s="30">
        <v>2</v>
      </c>
      <c r="J1447" s="7" t="s">
        <v>1177</v>
      </c>
      <c r="K1447" s="7" t="s">
        <v>1178</v>
      </c>
      <c r="L1447" s="7" t="s">
        <v>132</v>
      </c>
      <c r="M1447" s="7" t="s">
        <v>133</v>
      </c>
      <c r="N1447" s="30">
        <v>0</v>
      </c>
      <c r="O1447" s="30">
        <v>0</v>
      </c>
      <c r="P1447" s="30">
        <v>0</v>
      </c>
      <c r="Q1447" s="30">
        <v>0</v>
      </c>
      <c r="R1447" s="29">
        <v>0</v>
      </c>
      <c r="S1447" s="36">
        <v>0</v>
      </c>
      <c r="T1447" s="7" t="s">
        <v>131</v>
      </c>
      <c r="U1447" s="7" t="s">
        <v>853</v>
      </c>
      <c r="V1447" s="7" t="s">
        <v>853</v>
      </c>
      <c r="W1447" s="7" t="s">
        <v>1177</v>
      </c>
      <c r="X1447" s="30">
        <v>1</v>
      </c>
      <c r="Y1447" s="7" t="s">
        <v>1177</v>
      </c>
      <c r="Z1447" s="7" t="s">
        <v>1178</v>
      </c>
      <c r="AA1447" s="30">
        <v>0</v>
      </c>
      <c r="AB1447" s="36">
        <v>0</v>
      </c>
      <c r="AC1447" s="7" t="s">
        <v>1177</v>
      </c>
      <c r="AD1447" s="37">
        <v>0</v>
      </c>
      <c r="AE1447" s="7" t="s">
        <v>1177</v>
      </c>
      <c r="AF1447" s="7" t="s">
        <v>1177</v>
      </c>
      <c r="AG1447" s="7" t="s">
        <v>1177</v>
      </c>
      <c r="AH1447" s="38"/>
      <c r="AI1447" s="36">
        <v>0</v>
      </c>
      <c r="AJ1447" s="7" t="s">
        <v>1193</v>
      </c>
      <c r="AK1447" s="7" t="s">
        <v>1177</v>
      </c>
      <c r="AL1447" s="7" t="s">
        <v>1177</v>
      </c>
      <c r="AM1447" s="7" t="s">
        <v>1177</v>
      </c>
      <c r="AN1447" s="7" t="s">
        <v>3212</v>
      </c>
      <c r="AO1447" s="7" t="s">
        <v>1177</v>
      </c>
      <c r="AP1447" s="7" t="s">
        <v>1177</v>
      </c>
      <c r="AQ1447" s="7" t="s">
        <v>1177</v>
      </c>
      <c r="AR1447" s="29">
        <v>0</v>
      </c>
      <c r="AS1447" s="7" t="s">
        <v>1177</v>
      </c>
      <c r="AT1447" s="7" t="s">
        <v>1363</v>
      </c>
      <c r="AU1447" s="38">
        <v>46275</v>
      </c>
      <c r="AV1447" s="39">
        <v>0.62487268518519001</v>
      </c>
    </row>
    <row r="1448" spans="1:48" x14ac:dyDescent="0.35">
      <c r="A1448" t="str">
        <f t="shared" si="22"/>
        <v>GP347593B857</v>
      </c>
      <c r="B1448" s="7" t="s">
        <v>769</v>
      </c>
      <c r="C1448" s="7" t="s">
        <v>958</v>
      </c>
      <c r="D1448" s="7" t="s">
        <v>23</v>
      </c>
      <c r="E1448" s="7" t="s">
        <v>1177</v>
      </c>
      <c r="F1448" s="7" t="s">
        <v>128</v>
      </c>
      <c r="G1448" s="7" t="s">
        <v>130</v>
      </c>
      <c r="H1448" s="7" t="s">
        <v>129</v>
      </c>
      <c r="I1448" s="30">
        <v>1</v>
      </c>
      <c r="J1448" s="7" t="s">
        <v>1177</v>
      </c>
      <c r="K1448" s="7" t="s">
        <v>1178</v>
      </c>
      <c r="L1448" s="7" t="s">
        <v>132</v>
      </c>
      <c r="M1448" s="7" t="s">
        <v>133</v>
      </c>
      <c r="N1448" s="30">
        <v>0</v>
      </c>
      <c r="O1448" s="30">
        <v>0</v>
      </c>
      <c r="P1448" s="30">
        <v>0</v>
      </c>
      <c r="Q1448" s="30">
        <v>0</v>
      </c>
      <c r="R1448" s="29">
        <v>0</v>
      </c>
      <c r="S1448" s="36">
        <v>0</v>
      </c>
      <c r="T1448" s="7" t="s">
        <v>131</v>
      </c>
      <c r="U1448" s="7" t="s">
        <v>959</v>
      </c>
      <c r="V1448" s="7" t="s">
        <v>959</v>
      </c>
      <c r="W1448" s="7" t="s">
        <v>1177</v>
      </c>
      <c r="X1448" s="30">
        <v>1</v>
      </c>
      <c r="Y1448" s="7" t="s">
        <v>1177</v>
      </c>
      <c r="Z1448" s="7" t="s">
        <v>1178</v>
      </c>
      <c r="AA1448" s="30">
        <v>0</v>
      </c>
      <c r="AB1448" s="36">
        <v>0</v>
      </c>
      <c r="AC1448" s="7" t="s">
        <v>1177</v>
      </c>
      <c r="AD1448" s="37">
        <v>0</v>
      </c>
      <c r="AE1448" s="7" t="s">
        <v>1177</v>
      </c>
      <c r="AF1448" s="7" t="s">
        <v>1177</v>
      </c>
      <c r="AG1448" s="7" t="s">
        <v>1177</v>
      </c>
      <c r="AH1448" s="38"/>
      <c r="AI1448" s="36">
        <v>0</v>
      </c>
      <c r="AJ1448" s="7" t="s">
        <v>1193</v>
      </c>
      <c r="AK1448" s="7" t="s">
        <v>1177</v>
      </c>
      <c r="AL1448" s="7" t="s">
        <v>1177</v>
      </c>
      <c r="AM1448" s="7" t="s">
        <v>1177</v>
      </c>
      <c r="AN1448" s="7" t="s">
        <v>3212</v>
      </c>
      <c r="AO1448" s="7" t="s">
        <v>1177</v>
      </c>
      <c r="AP1448" s="7" t="s">
        <v>1177</v>
      </c>
      <c r="AQ1448" s="7" t="s">
        <v>1177</v>
      </c>
      <c r="AR1448" s="29">
        <v>0</v>
      </c>
      <c r="AS1448" s="7" t="s">
        <v>1177</v>
      </c>
      <c r="AT1448" s="7" t="s">
        <v>1363</v>
      </c>
      <c r="AU1448" s="38">
        <v>46275</v>
      </c>
      <c r="AV1448" s="39">
        <v>0.62512731481480999</v>
      </c>
    </row>
    <row r="1449" spans="1:48" x14ac:dyDescent="0.35">
      <c r="A1449" t="str">
        <f t="shared" si="22"/>
        <v>GP347593B864</v>
      </c>
      <c r="B1449" s="7" t="s">
        <v>769</v>
      </c>
      <c r="C1449" s="7" t="s">
        <v>1010</v>
      </c>
      <c r="D1449" s="7" t="s">
        <v>10</v>
      </c>
      <c r="E1449" s="7" t="s">
        <v>1177</v>
      </c>
      <c r="F1449" s="7" t="s">
        <v>128</v>
      </c>
      <c r="G1449" s="7" t="s">
        <v>130</v>
      </c>
      <c r="H1449" s="7" t="s">
        <v>129</v>
      </c>
      <c r="I1449" s="30">
        <v>2</v>
      </c>
      <c r="J1449" s="7" t="s">
        <v>1177</v>
      </c>
      <c r="K1449" s="7" t="s">
        <v>1178</v>
      </c>
      <c r="L1449" s="7" t="s">
        <v>132</v>
      </c>
      <c r="M1449" s="7" t="s">
        <v>133</v>
      </c>
      <c r="N1449" s="30">
        <v>0</v>
      </c>
      <c r="O1449" s="30">
        <v>0</v>
      </c>
      <c r="P1449" s="30">
        <v>0</v>
      </c>
      <c r="Q1449" s="30">
        <v>0</v>
      </c>
      <c r="R1449" s="29">
        <v>0</v>
      </c>
      <c r="S1449" s="36">
        <v>0</v>
      </c>
      <c r="T1449" s="7" t="s">
        <v>131</v>
      </c>
      <c r="U1449" s="7" t="s">
        <v>1011</v>
      </c>
      <c r="V1449" s="7" t="s">
        <v>1011</v>
      </c>
      <c r="W1449" s="7" t="s">
        <v>1177</v>
      </c>
      <c r="X1449" s="30">
        <v>1</v>
      </c>
      <c r="Y1449" s="7" t="s">
        <v>1177</v>
      </c>
      <c r="Z1449" s="7" t="s">
        <v>1178</v>
      </c>
      <c r="AA1449" s="30">
        <v>0</v>
      </c>
      <c r="AB1449" s="36">
        <v>0</v>
      </c>
      <c r="AC1449" s="7" t="s">
        <v>1177</v>
      </c>
      <c r="AD1449" s="37">
        <v>0</v>
      </c>
      <c r="AE1449" s="7" t="s">
        <v>1177</v>
      </c>
      <c r="AF1449" s="7" t="s">
        <v>1177</v>
      </c>
      <c r="AG1449" s="7" t="s">
        <v>1177</v>
      </c>
      <c r="AH1449" s="38"/>
      <c r="AI1449" s="36">
        <v>0</v>
      </c>
      <c r="AJ1449" s="7" t="s">
        <v>1193</v>
      </c>
      <c r="AK1449" s="7" t="s">
        <v>1177</v>
      </c>
      <c r="AL1449" s="7" t="s">
        <v>1177</v>
      </c>
      <c r="AM1449" s="7" t="s">
        <v>1177</v>
      </c>
      <c r="AN1449" s="7" t="s">
        <v>3212</v>
      </c>
      <c r="AO1449" s="7" t="s">
        <v>1177</v>
      </c>
      <c r="AP1449" s="7" t="s">
        <v>1177</v>
      </c>
      <c r="AQ1449" s="7" t="s">
        <v>1177</v>
      </c>
      <c r="AR1449" s="29">
        <v>0</v>
      </c>
      <c r="AS1449" s="7" t="s">
        <v>1177</v>
      </c>
      <c r="AT1449" s="7" t="s">
        <v>1363</v>
      </c>
      <c r="AU1449" s="38">
        <v>46275</v>
      </c>
      <c r="AV1449" s="39">
        <v>0.62633101851852002</v>
      </c>
    </row>
    <row r="1450" spans="1:48" x14ac:dyDescent="0.35">
      <c r="A1450" t="str">
        <f t="shared" si="22"/>
        <v>GP347593B865</v>
      </c>
      <c r="B1450" s="7" t="s">
        <v>769</v>
      </c>
      <c r="C1450" s="7" t="s">
        <v>1039</v>
      </c>
      <c r="D1450" s="7" t="s">
        <v>7</v>
      </c>
      <c r="E1450" s="7" t="s">
        <v>1177</v>
      </c>
      <c r="F1450" s="7" t="s">
        <v>128</v>
      </c>
      <c r="G1450" s="7" t="s">
        <v>130</v>
      </c>
      <c r="H1450" s="7" t="s">
        <v>129</v>
      </c>
      <c r="I1450" s="30">
        <v>2</v>
      </c>
      <c r="J1450" s="7" t="s">
        <v>1177</v>
      </c>
      <c r="K1450" s="7" t="s">
        <v>1178</v>
      </c>
      <c r="L1450" s="7" t="s">
        <v>132</v>
      </c>
      <c r="M1450" s="7" t="s">
        <v>133</v>
      </c>
      <c r="N1450" s="30">
        <v>0</v>
      </c>
      <c r="O1450" s="30">
        <v>0</v>
      </c>
      <c r="P1450" s="30">
        <v>0</v>
      </c>
      <c r="Q1450" s="30">
        <v>0</v>
      </c>
      <c r="R1450" s="29">
        <v>0</v>
      </c>
      <c r="S1450" s="36">
        <v>0</v>
      </c>
      <c r="T1450" s="7" t="s">
        <v>131</v>
      </c>
      <c r="U1450" s="7" t="s">
        <v>1040</v>
      </c>
      <c r="V1450" s="7" t="s">
        <v>1040</v>
      </c>
      <c r="W1450" s="7" t="s">
        <v>1177</v>
      </c>
      <c r="X1450" s="30">
        <v>1</v>
      </c>
      <c r="Y1450" s="7" t="s">
        <v>1177</v>
      </c>
      <c r="Z1450" s="7" t="s">
        <v>1178</v>
      </c>
      <c r="AA1450" s="30">
        <v>0</v>
      </c>
      <c r="AB1450" s="36">
        <v>0</v>
      </c>
      <c r="AC1450" s="7" t="s">
        <v>1177</v>
      </c>
      <c r="AD1450" s="37">
        <v>0</v>
      </c>
      <c r="AE1450" s="7" t="s">
        <v>1177</v>
      </c>
      <c r="AF1450" s="7" t="s">
        <v>1177</v>
      </c>
      <c r="AG1450" s="7" t="s">
        <v>1177</v>
      </c>
      <c r="AH1450" s="38"/>
      <c r="AI1450" s="36">
        <v>0</v>
      </c>
      <c r="AJ1450" s="7" t="s">
        <v>1193</v>
      </c>
      <c r="AK1450" s="7" t="s">
        <v>1177</v>
      </c>
      <c r="AL1450" s="7" t="s">
        <v>1177</v>
      </c>
      <c r="AM1450" s="7" t="s">
        <v>1177</v>
      </c>
      <c r="AN1450" s="7" t="s">
        <v>3212</v>
      </c>
      <c r="AO1450" s="7" t="s">
        <v>1177</v>
      </c>
      <c r="AP1450" s="7" t="s">
        <v>1177</v>
      </c>
      <c r="AQ1450" s="7" t="s">
        <v>1177</v>
      </c>
      <c r="AR1450" s="29">
        <v>0</v>
      </c>
      <c r="AS1450" s="7" t="s">
        <v>1177</v>
      </c>
      <c r="AT1450" s="7" t="s">
        <v>1363</v>
      </c>
      <c r="AU1450" s="38">
        <v>46275</v>
      </c>
      <c r="AV1450" s="39">
        <v>0.62673611111111005</v>
      </c>
    </row>
    <row r="1451" spans="1:48" x14ac:dyDescent="0.35">
      <c r="A1451" t="str">
        <f t="shared" si="22"/>
        <v>GP347593B867</v>
      </c>
      <c r="B1451" s="7" t="s">
        <v>769</v>
      </c>
      <c r="C1451" s="7" t="s">
        <v>1059</v>
      </c>
      <c r="D1451" s="7" t="s">
        <v>25</v>
      </c>
      <c r="E1451" s="7" t="s">
        <v>1177</v>
      </c>
      <c r="F1451" s="7" t="s">
        <v>128</v>
      </c>
      <c r="G1451" s="7" t="s">
        <v>130</v>
      </c>
      <c r="H1451" s="7" t="s">
        <v>129</v>
      </c>
      <c r="I1451" s="30">
        <v>2</v>
      </c>
      <c r="J1451" s="7" t="s">
        <v>1177</v>
      </c>
      <c r="K1451" s="7" t="s">
        <v>1178</v>
      </c>
      <c r="L1451" s="7" t="s">
        <v>132</v>
      </c>
      <c r="M1451" s="7" t="s">
        <v>133</v>
      </c>
      <c r="N1451" s="30">
        <v>0</v>
      </c>
      <c r="O1451" s="30">
        <v>0</v>
      </c>
      <c r="P1451" s="30">
        <v>0</v>
      </c>
      <c r="Q1451" s="30">
        <v>0</v>
      </c>
      <c r="R1451" s="29">
        <v>0</v>
      </c>
      <c r="S1451" s="36">
        <v>0</v>
      </c>
      <c r="T1451" s="7" t="s">
        <v>131</v>
      </c>
      <c r="U1451" s="7" t="s">
        <v>1060</v>
      </c>
      <c r="V1451" s="7" t="s">
        <v>1060</v>
      </c>
      <c r="W1451" s="7" t="s">
        <v>1177</v>
      </c>
      <c r="X1451" s="30">
        <v>1</v>
      </c>
      <c r="Y1451" s="7" t="s">
        <v>1177</v>
      </c>
      <c r="Z1451" s="7" t="s">
        <v>1178</v>
      </c>
      <c r="AA1451" s="30">
        <v>0</v>
      </c>
      <c r="AB1451" s="36">
        <v>0</v>
      </c>
      <c r="AC1451" s="7" t="s">
        <v>1177</v>
      </c>
      <c r="AD1451" s="37">
        <v>0</v>
      </c>
      <c r="AE1451" s="7" t="s">
        <v>1177</v>
      </c>
      <c r="AF1451" s="7" t="s">
        <v>1177</v>
      </c>
      <c r="AG1451" s="7" t="s">
        <v>1177</v>
      </c>
      <c r="AH1451" s="38"/>
      <c r="AI1451" s="36">
        <v>0</v>
      </c>
      <c r="AJ1451" s="7" t="s">
        <v>1193</v>
      </c>
      <c r="AK1451" s="7" t="s">
        <v>1177</v>
      </c>
      <c r="AL1451" s="7" t="s">
        <v>1177</v>
      </c>
      <c r="AM1451" s="7" t="s">
        <v>1177</v>
      </c>
      <c r="AN1451" s="7" t="s">
        <v>3212</v>
      </c>
      <c r="AO1451" s="7" t="s">
        <v>1177</v>
      </c>
      <c r="AP1451" s="7" t="s">
        <v>1177</v>
      </c>
      <c r="AQ1451" s="7" t="s">
        <v>1177</v>
      </c>
      <c r="AR1451" s="29">
        <v>0</v>
      </c>
      <c r="AS1451" s="7" t="s">
        <v>1177</v>
      </c>
      <c r="AT1451" s="7" t="s">
        <v>1363</v>
      </c>
      <c r="AU1451" s="38">
        <v>46275</v>
      </c>
      <c r="AV1451" s="39">
        <v>0.62715277777778</v>
      </c>
    </row>
    <row r="1452" spans="1:48" x14ac:dyDescent="0.35">
      <c r="A1452" t="str">
        <f t="shared" si="22"/>
        <v>GP347644B856</v>
      </c>
      <c r="B1452" s="7" t="s">
        <v>902</v>
      </c>
      <c r="C1452" s="7" t="s">
        <v>852</v>
      </c>
      <c r="D1452" s="7" t="s">
        <v>21</v>
      </c>
      <c r="E1452" s="7" t="s">
        <v>1177</v>
      </c>
      <c r="F1452" s="7" t="s">
        <v>128</v>
      </c>
      <c r="G1452" s="7" t="s">
        <v>130</v>
      </c>
      <c r="H1452" s="7" t="s">
        <v>129</v>
      </c>
      <c r="I1452" s="30">
        <v>2</v>
      </c>
      <c r="J1452" s="7" t="s">
        <v>1177</v>
      </c>
      <c r="K1452" s="7" t="s">
        <v>1178</v>
      </c>
      <c r="L1452" s="7" t="s">
        <v>132</v>
      </c>
      <c r="M1452" s="7" t="s">
        <v>133</v>
      </c>
      <c r="N1452" s="30">
        <v>0</v>
      </c>
      <c r="O1452" s="30">
        <v>0</v>
      </c>
      <c r="P1452" s="30">
        <v>0</v>
      </c>
      <c r="Q1452" s="30">
        <v>0</v>
      </c>
      <c r="R1452" s="29">
        <v>0</v>
      </c>
      <c r="S1452" s="36">
        <v>0</v>
      </c>
      <c r="T1452" s="7" t="s">
        <v>131</v>
      </c>
      <c r="U1452" s="7" t="s">
        <v>853</v>
      </c>
      <c r="V1452" s="7" t="s">
        <v>853</v>
      </c>
      <c r="W1452" s="7" t="s">
        <v>1177</v>
      </c>
      <c r="X1452" s="30">
        <v>1</v>
      </c>
      <c r="Y1452" s="7" t="s">
        <v>1177</v>
      </c>
      <c r="Z1452" s="7" t="s">
        <v>1178</v>
      </c>
      <c r="AA1452" s="30">
        <v>0</v>
      </c>
      <c r="AB1452" s="36">
        <v>0</v>
      </c>
      <c r="AC1452" s="7" t="s">
        <v>1177</v>
      </c>
      <c r="AD1452" s="37">
        <v>0</v>
      </c>
      <c r="AE1452" s="7" t="s">
        <v>1177</v>
      </c>
      <c r="AF1452" s="7" t="s">
        <v>1177</v>
      </c>
      <c r="AG1452" s="7" t="s">
        <v>1177</v>
      </c>
      <c r="AH1452" s="38"/>
      <c r="AI1452" s="36">
        <v>0</v>
      </c>
      <c r="AJ1452" s="7" t="s">
        <v>1193</v>
      </c>
      <c r="AK1452" s="7" t="s">
        <v>1177</v>
      </c>
      <c r="AL1452" s="7" t="s">
        <v>1177</v>
      </c>
      <c r="AM1452" s="7" t="s">
        <v>1177</v>
      </c>
      <c r="AN1452" s="7" t="s">
        <v>3212</v>
      </c>
      <c r="AO1452" s="7" t="s">
        <v>1177</v>
      </c>
      <c r="AP1452" s="7" t="s">
        <v>1177</v>
      </c>
      <c r="AQ1452" s="7" t="s">
        <v>1177</v>
      </c>
      <c r="AR1452" s="29">
        <v>0</v>
      </c>
      <c r="AS1452" s="7" t="s">
        <v>1177</v>
      </c>
      <c r="AT1452" s="7" t="s">
        <v>1363</v>
      </c>
      <c r="AU1452" s="38">
        <v>46275</v>
      </c>
      <c r="AV1452" s="39">
        <v>0.62487268518519001</v>
      </c>
    </row>
    <row r="1453" spans="1:48" x14ac:dyDescent="0.35">
      <c r="A1453" t="str">
        <f t="shared" si="22"/>
        <v>GP347645B856</v>
      </c>
      <c r="B1453" s="7" t="s">
        <v>903</v>
      </c>
      <c r="C1453" s="7" t="s">
        <v>852</v>
      </c>
      <c r="D1453" s="7" t="s">
        <v>21</v>
      </c>
      <c r="E1453" s="7" t="s">
        <v>1177</v>
      </c>
      <c r="F1453" s="7" t="s">
        <v>128</v>
      </c>
      <c r="G1453" s="7" t="s">
        <v>130</v>
      </c>
      <c r="H1453" s="7" t="s">
        <v>129</v>
      </c>
      <c r="I1453" s="30">
        <v>2</v>
      </c>
      <c r="J1453" s="7" t="s">
        <v>1177</v>
      </c>
      <c r="K1453" s="7" t="s">
        <v>1178</v>
      </c>
      <c r="L1453" s="7" t="s">
        <v>132</v>
      </c>
      <c r="M1453" s="7" t="s">
        <v>133</v>
      </c>
      <c r="N1453" s="30">
        <v>0</v>
      </c>
      <c r="O1453" s="30">
        <v>0</v>
      </c>
      <c r="P1453" s="30">
        <v>0</v>
      </c>
      <c r="Q1453" s="30">
        <v>0</v>
      </c>
      <c r="R1453" s="29">
        <v>0</v>
      </c>
      <c r="S1453" s="36">
        <v>0</v>
      </c>
      <c r="T1453" s="7" t="s">
        <v>131</v>
      </c>
      <c r="U1453" s="7" t="s">
        <v>853</v>
      </c>
      <c r="V1453" s="7" t="s">
        <v>853</v>
      </c>
      <c r="W1453" s="7" t="s">
        <v>1177</v>
      </c>
      <c r="X1453" s="30">
        <v>1</v>
      </c>
      <c r="Y1453" s="7" t="s">
        <v>1177</v>
      </c>
      <c r="Z1453" s="7" t="s">
        <v>1178</v>
      </c>
      <c r="AA1453" s="30">
        <v>0</v>
      </c>
      <c r="AB1453" s="36">
        <v>0</v>
      </c>
      <c r="AC1453" s="7" t="s">
        <v>1177</v>
      </c>
      <c r="AD1453" s="37">
        <v>0</v>
      </c>
      <c r="AE1453" s="7" t="s">
        <v>1177</v>
      </c>
      <c r="AF1453" s="7" t="s">
        <v>1177</v>
      </c>
      <c r="AG1453" s="7" t="s">
        <v>1177</v>
      </c>
      <c r="AH1453" s="38"/>
      <c r="AI1453" s="36">
        <v>0</v>
      </c>
      <c r="AJ1453" s="7" t="s">
        <v>1193</v>
      </c>
      <c r="AK1453" s="7" t="s">
        <v>1177</v>
      </c>
      <c r="AL1453" s="7" t="s">
        <v>1177</v>
      </c>
      <c r="AM1453" s="7" t="s">
        <v>1177</v>
      </c>
      <c r="AN1453" s="7" t="s">
        <v>3212</v>
      </c>
      <c r="AO1453" s="7" t="s">
        <v>1177</v>
      </c>
      <c r="AP1453" s="7" t="s">
        <v>1177</v>
      </c>
      <c r="AQ1453" s="7" t="s">
        <v>1177</v>
      </c>
      <c r="AR1453" s="29">
        <v>0</v>
      </c>
      <c r="AS1453" s="7" t="s">
        <v>1177</v>
      </c>
      <c r="AT1453" s="7" t="s">
        <v>1363</v>
      </c>
      <c r="AU1453" s="38">
        <v>46275</v>
      </c>
      <c r="AV1453" s="39">
        <v>0.62487268518519001</v>
      </c>
    </row>
    <row r="1454" spans="1:48" x14ac:dyDescent="0.35">
      <c r="A1454" t="str">
        <f t="shared" si="22"/>
        <v>GP347778B856</v>
      </c>
      <c r="B1454" s="7" t="s">
        <v>91</v>
      </c>
      <c r="C1454" s="7" t="s">
        <v>852</v>
      </c>
      <c r="D1454" s="7" t="s">
        <v>21</v>
      </c>
      <c r="E1454" s="7" t="s">
        <v>1177</v>
      </c>
      <c r="F1454" s="7" t="s">
        <v>128</v>
      </c>
      <c r="G1454" s="7" t="s">
        <v>130</v>
      </c>
      <c r="H1454" s="7" t="s">
        <v>129</v>
      </c>
      <c r="I1454" s="30">
        <v>2</v>
      </c>
      <c r="J1454" s="7" t="s">
        <v>1177</v>
      </c>
      <c r="K1454" s="7" t="s">
        <v>1178</v>
      </c>
      <c r="L1454" s="7" t="s">
        <v>132</v>
      </c>
      <c r="M1454" s="7" t="s">
        <v>133</v>
      </c>
      <c r="N1454" s="30">
        <v>0</v>
      </c>
      <c r="O1454" s="30">
        <v>0</v>
      </c>
      <c r="P1454" s="30">
        <v>0</v>
      </c>
      <c r="Q1454" s="30">
        <v>0</v>
      </c>
      <c r="R1454" s="29">
        <v>0</v>
      </c>
      <c r="S1454" s="36">
        <v>0</v>
      </c>
      <c r="T1454" s="7" t="s">
        <v>131</v>
      </c>
      <c r="U1454" s="7" t="s">
        <v>853</v>
      </c>
      <c r="V1454" s="7" t="s">
        <v>853</v>
      </c>
      <c r="W1454" s="7" t="s">
        <v>1177</v>
      </c>
      <c r="X1454" s="30">
        <v>1</v>
      </c>
      <c r="Y1454" s="7" t="s">
        <v>1177</v>
      </c>
      <c r="Z1454" s="7" t="s">
        <v>1178</v>
      </c>
      <c r="AA1454" s="30">
        <v>0</v>
      </c>
      <c r="AB1454" s="36">
        <v>0</v>
      </c>
      <c r="AC1454" s="7" t="s">
        <v>1177</v>
      </c>
      <c r="AD1454" s="37">
        <v>0</v>
      </c>
      <c r="AE1454" s="7" t="s">
        <v>1177</v>
      </c>
      <c r="AF1454" s="7" t="s">
        <v>1177</v>
      </c>
      <c r="AG1454" s="7" t="s">
        <v>1177</v>
      </c>
      <c r="AH1454" s="38"/>
      <c r="AI1454" s="36">
        <v>0</v>
      </c>
      <c r="AJ1454" s="7" t="s">
        <v>1193</v>
      </c>
      <c r="AK1454" s="7" t="s">
        <v>1177</v>
      </c>
      <c r="AL1454" s="7" t="s">
        <v>1177</v>
      </c>
      <c r="AM1454" s="7" t="s">
        <v>1177</v>
      </c>
      <c r="AN1454" s="7" t="s">
        <v>3212</v>
      </c>
      <c r="AO1454" s="7" t="s">
        <v>1177</v>
      </c>
      <c r="AP1454" s="7" t="s">
        <v>1177</v>
      </c>
      <c r="AQ1454" s="7" t="s">
        <v>1177</v>
      </c>
      <c r="AR1454" s="29">
        <v>0</v>
      </c>
      <c r="AS1454" s="7" t="s">
        <v>1177</v>
      </c>
      <c r="AT1454" s="7" t="s">
        <v>1363</v>
      </c>
      <c r="AU1454" s="38">
        <v>46275</v>
      </c>
      <c r="AV1454" s="39">
        <v>0.62487268518519001</v>
      </c>
    </row>
    <row r="1455" spans="1:48" x14ac:dyDescent="0.35">
      <c r="A1455" t="str">
        <f t="shared" si="22"/>
        <v>GP347778B857</v>
      </c>
      <c r="B1455" s="7" t="s">
        <v>91</v>
      </c>
      <c r="C1455" s="7" t="s">
        <v>958</v>
      </c>
      <c r="D1455" s="7" t="s">
        <v>23</v>
      </c>
      <c r="E1455" s="7" t="s">
        <v>1177</v>
      </c>
      <c r="F1455" s="7" t="s">
        <v>128</v>
      </c>
      <c r="G1455" s="7" t="s">
        <v>130</v>
      </c>
      <c r="H1455" s="7" t="s">
        <v>129</v>
      </c>
      <c r="I1455" s="30">
        <v>2</v>
      </c>
      <c r="J1455" s="7" t="s">
        <v>1177</v>
      </c>
      <c r="K1455" s="7" t="s">
        <v>1178</v>
      </c>
      <c r="L1455" s="7" t="s">
        <v>132</v>
      </c>
      <c r="M1455" s="7" t="s">
        <v>133</v>
      </c>
      <c r="N1455" s="30">
        <v>0</v>
      </c>
      <c r="O1455" s="30">
        <v>0</v>
      </c>
      <c r="P1455" s="30">
        <v>0</v>
      </c>
      <c r="Q1455" s="30">
        <v>0</v>
      </c>
      <c r="R1455" s="29">
        <v>0</v>
      </c>
      <c r="S1455" s="36">
        <v>0</v>
      </c>
      <c r="T1455" s="7" t="s">
        <v>131</v>
      </c>
      <c r="U1455" s="7" t="s">
        <v>959</v>
      </c>
      <c r="V1455" s="7" t="s">
        <v>959</v>
      </c>
      <c r="W1455" s="7" t="s">
        <v>1177</v>
      </c>
      <c r="X1455" s="30">
        <v>1</v>
      </c>
      <c r="Y1455" s="7" t="s">
        <v>1177</v>
      </c>
      <c r="Z1455" s="7" t="s">
        <v>1178</v>
      </c>
      <c r="AA1455" s="30">
        <v>0</v>
      </c>
      <c r="AB1455" s="36">
        <v>0</v>
      </c>
      <c r="AC1455" s="7" t="s">
        <v>1177</v>
      </c>
      <c r="AD1455" s="37">
        <v>0</v>
      </c>
      <c r="AE1455" s="7" t="s">
        <v>1177</v>
      </c>
      <c r="AF1455" s="7" t="s">
        <v>1177</v>
      </c>
      <c r="AG1455" s="7" t="s">
        <v>1177</v>
      </c>
      <c r="AH1455" s="38"/>
      <c r="AI1455" s="36">
        <v>0</v>
      </c>
      <c r="AJ1455" s="7" t="s">
        <v>1193</v>
      </c>
      <c r="AK1455" s="7" t="s">
        <v>1177</v>
      </c>
      <c r="AL1455" s="7" t="s">
        <v>1177</v>
      </c>
      <c r="AM1455" s="7" t="s">
        <v>1177</v>
      </c>
      <c r="AN1455" s="7" t="s">
        <v>3212</v>
      </c>
      <c r="AO1455" s="7" t="s">
        <v>1177</v>
      </c>
      <c r="AP1455" s="7" t="s">
        <v>1177</v>
      </c>
      <c r="AQ1455" s="7" t="s">
        <v>1177</v>
      </c>
      <c r="AR1455" s="29">
        <v>0</v>
      </c>
      <c r="AS1455" s="7" t="s">
        <v>1177</v>
      </c>
      <c r="AT1455" s="7" t="s">
        <v>1363</v>
      </c>
      <c r="AU1455" s="38">
        <v>46275</v>
      </c>
      <c r="AV1455" s="39">
        <v>0.62512731481480999</v>
      </c>
    </row>
    <row r="1456" spans="1:48" x14ac:dyDescent="0.35">
      <c r="A1456" t="str">
        <f t="shared" si="22"/>
        <v>GP347778B864</v>
      </c>
      <c r="B1456" s="7" t="s">
        <v>91</v>
      </c>
      <c r="C1456" s="7" t="s">
        <v>1010</v>
      </c>
      <c r="D1456" s="7" t="s">
        <v>10</v>
      </c>
      <c r="E1456" s="7" t="s">
        <v>1177</v>
      </c>
      <c r="F1456" s="7" t="s">
        <v>128</v>
      </c>
      <c r="G1456" s="7" t="s">
        <v>130</v>
      </c>
      <c r="H1456" s="7" t="s">
        <v>129</v>
      </c>
      <c r="I1456" s="30">
        <v>2</v>
      </c>
      <c r="J1456" s="7" t="s">
        <v>1177</v>
      </c>
      <c r="K1456" s="7" t="s">
        <v>1178</v>
      </c>
      <c r="L1456" s="7" t="s">
        <v>132</v>
      </c>
      <c r="M1456" s="7" t="s">
        <v>133</v>
      </c>
      <c r="N1456" s="30">
        <v>0</v>
      </c>
      <c r="O1456" s="30">
        <v>0</v>
      </c>
      <c r="P1456" s="30">
        <v>0</v>
      </c>
      <c r="Q1456" s="30">
        <v>0</v>
      </c>
      <c r="R1456" s="29">
        <v>0</v>
      </c>
      <c r="S1456" s="36">
        <v>0</v>
      </c>
      <c r="T1456" s="7" t="s">
        <v>131</v>
      </c>
      <c r="U1456" s="7" t="s">
        <v>1011</v>
      </c>
      <c r="V1456" s="7" t="s">
        <v>1011</v>
      </c>
      <c r="W1456" s="7" t="s">
        <v>1177</v>
      </c>
      <c r="X1456" s="30">
        <v>1</v>
      </c>
      <c r="Y1456" s="7" t="s">
        <v>1177</v>
      </c>
      <c r="Z1456" s="7" t="s">
        <v>1178</v>
      </c>
      <c r="AA1456" s="30">
        <v>0</v>
      </c>
      <c r="AB1456" s="36">
        <v>0</v>
      </c>
      <c r="AC1456" s="7" t="s">
        <v>1177</v>
      </c>
      <c r="AD1456" s="37">
        <v>0</v>
      </c>
      <c r="AE1456" s="7" t="s">
        <v>1177</v>
      </c>
      <c r="AF1456" s="7" t="s">
        <v>1177</v>
      </c>
      <c r="AG1456" s="7" t="s">
        <v>1177</v>
      </c>
      <c r="AH1456" s="38"/>
      <c r="AI1456" s="36">
        <v>0</v>
      </c>
      <c r="AJ1456" s="7" t="s">
        <v>1193</v>
      </c>
      <c r="AK1456" s="7" t="s">
        <v>1177</v>
      </c>
      <c r="AL1456" s="7" t="s">
        <v>1177</v>
      </c>
      <c r="AM1456" s="7" t="s">
        <v>1177</v>
      </c>
      <c r="AN1456" s="7" t="s">
        <v>3212</v>
      </c>
      <c r="AO1456" s="7" t="s">
        <v>1177</v>
      </c>
      <c r="AP1456" s="7" t="s">
        <v>1177</v>
      </c>
      <c r="AQ1456" s="7" t="s">
        <v>1177</v>
      </c>
      <c r="AR1456" s="29">
        <v>0</v>
      </c>
      <c r="AS1456" s="7" t="s">
        <v>1177</v>
      </c>
      <c r="AT1456" s="7" t="s">
        <v>1363</v>
      </c>
      <c r="AU1456" s="38">
        <v>46275</v>
      </c>
      <c r="AV1456" s="39">
        <v>0.62633101851852002</v>
      </c>
    </row>
    <row r="1457" spans="1:48" x14ac:dyDescent="0.35">
      <c r="A1457" t="str">
        <f t="shared" si="22"/>
        <v>GP347778B865</v>
      </c>
      <c r="B1457" s="7" t="s">
        <v>91</v>
      </c>
      <c r="C1457" s="7" t="s">
        <v>1039</v>
      </c>
      <c r="D1457" s="7" t="s">
        <v>7</v>
      </c>
      <c r="E1457" s="7" t="s">
        <v>1177</v>
      </c>
      <c r="F1457" s="7" t="s">
        <v>128</v>
      </c>
      <c r="G1457" s="7" t="s">
        <v>130</v>
      </c>
      <c r="H1457" s="7" t="s">
        <v>129</v>
      </c>
      <c r="I1457" s="30">
        <v>2</v>
      </c>
      <c r="J1457" s="7" t="s">
        <v>1177</v>
      </c>
      <c r="K1457" s="7" t="s">
        <v>1178</v>
      </c>
      <c r="L1457" s="7" t="s">
        <v>132</v>
      </c>
      <c r="M1457" s="7" t="s">
        <v>133</v>
      </c>
      <c r="N1457" s="30">
        <v>0</v>
      </c>
      <c r="O1457" s="30">
        <v>0</v>
      </c>
      <c r="P1457" s="30">
        <v>0</v>
      </c>
      <c r="Q1457" s="30">
        <v>0</v>
      </c>
      <c r="R1457" s="29">
        <v>0</v>
      </c>
      <c r="S1457" s="36">
        <v>0</v>
      </c>
      <c r="T1457" s="7" t="s">
        <v>131</v>
      </c>
      <c r="U1457" s="7" t="s">
        <v>1040</v>
      </c>
      <c r="V1457" s="7" t="s">
        <v>1040</v>
      </c>
      <c r="W1457" s="7" t="s">
        <v>1177</v>
      </c>
      <c r="X1457" s="30">
        <v>1</v>
      </c>
      <c r="Y1457" s="7" t="s">
        <v>1177</v>
      </c>
      <c r="Z1457" s="7" t="s">
        <v>1178</v>
      </c>
      <c r="AA1457" s="30">
        <v>0</v>
      </c>
      <c r="AB1457" s="36">
        <v>0</v>
      </c>
      <c r="AC1457" s="7" t="s">
        <v>1177</v>
      </c>
      <c r="AD1457" s="37">
        <v>0</v>
      </c>
      <c r="AE1457" s="7" t="s">
        <v>1177</v>
      </c>
      <c r="AF1457" s="7" t="s">
        <v>1177</v>
      </c>
      <c r="AG1457" s="7" t="s">
        <v>1177</v>
      </c>
      <c r="AH1457" s="38"/>
      <c r="AI1457" s="36">
        <v>0</v>
      </c>
      <c r="AJ1457" s="7" t="s">
        <v>1193</v>
      </c>
      <c r="AK1457" s="7" t="s">
        <v>1177</v>
      </c>
      <c r="AL1457" s="7" t="s">
        <v>1177</v>
      </c>
      <c r="AM1457" s="7" t="s">
        <v>1177</v>
      </c>
      <c r="AN1457" s="7" t="s">
        <v>3212</v>
      </c>
      <c r="AO1457" s="7" t="s">
        <v>1177</v>
      </c>
      <c r="AP1457" s="7" t="s">
        <v>1177</v>
      </c>
      <c r="AQ1457" s="7" t="s">
        <v>1177</v>
      </c>
      <c r="AR1457" s="29">
        <v>0</v>
      </c>
      <c r="AS1457" s="7" t="s">
        <v>1177</v>
      </c>
      <c r="AT1457" s="7" t="s">
        <v>1363</v>
      </c>
      <c r="AU1457" s="38">
        <v>46275</v>
      </c>
      <c r="AV1457" s="39">
        <v>0.62673611111111005</v>
      </c>
    </row>
    <row r="1458" spans="1:48" x14ac:dyDescent="0.35">
      <c r="A1458" t="str">
        <f t="shared" si="22"/>
        <v>GP347778B867</v>
      </c>
      <c r="B1458" s="7" t="s">
        <v>91</v>
      </c>
      <c r="C1458" s="7" t="s">
        <v>1059</v>
      </c>
      <c r="D1458" s="7" t="s">
        <v>25</v>
      </c>
      <c r="E1458" s="7" t="s">
        <v>1177</v>
      </c>
      <c r="F1458" s="7" t="s">
        <v>128</v>
      </c>
      <c r="G1458" s="7" t="s">
        <v>130</v>
      </c>
      <c r="H1458" s="7" t="s">
        <v>129</v>
      </c>
      <c r="I1458" s="30">
        <v>2</v>
      </c>
      <c r="J1458" s="7" t="s">
        <v>1177</v>
      </c>
      <c r="K1458" s="7" t="s">
        <v>1178</v>
      </c>
      <c r="L1458" s="7" t="s">
        <v>132</v>
      </c>
      <c r="M1458" s="7" t="s">
        <v>133</v>
      </c>
      <c r="N1458" s="30">
        <v>0</v>
      </c>
      <c r="O1458" s="30">
        <v>0</v>
      </c>
      <c r="P1458" s="30">
        <v>0</v>
      </c>
      <c r="Q1458" s="30">
        <v>0</v>
      </c>
      <c r="R1458" s="29">
        <v>0</v>
      </c>
      <c r="S1458" s="36">
        <v>0</v>
      </c>
      <c r="T1458" s="7" t="s">
        <v>131</v>
      </c>
      <c r="U1458" s="7" t="s">
        <v>1060</v>
      </c>
      <c r="V1458" s="7" t="s">
        <v>1060</v>
      </c>
      <c r="W1458" s="7" t="s">
        <v>1177</v>
      </c>
      <c r="X1458" s="30">
        <v>1</v>
      </c>
      <c r="Y1458" s="7" t="s">
        <v>1177</v>
      </c>
      <c r="Z1458" s="7" t="s">
        <v>1178</v>
      </c>
      <c r="AA1458" s="30">
        <v>0</v>
      </c>
      <c r="AB1458" s="36">
        <v>0</v>
      </c>
      <c r="AC1458" s="7" t="s">
        <v>1177</v>
      </c>
      <c r="AD1458" s="37">
        <v>0</v>
      </c>
      <c r="AE1458" s="7" t="s">
        <v>1177</v>
      </c>
      <c r="AF1458" s="7" t="s">
        <v>1177</v>
      </c>
      <c r="AG1458" s="7" t="s">
        <v>1177</v>
      </c>
      <c r="AH1458" s="38"/>
      <c r="AI1458" s="36">
        <v>0</v>
      </c>
      <c r="AJ1458" s="7" t="s">
        <v>1193</v>
      </c>
      <c r="AK1458" s="7" t="s">
        <v>1177</v>
      </c>
      <c r="AL1458" s="7" t="s">
        <v>1177</v>
      </c>
      <c r="AM1458" s="7" t="s">
        <v>1177</v>
      </c>
      <c r="AN1458" s="7" t="s">
        <v>3212</v>
      </c>
      <c r="AO1458" s="7" t="s">
        <v>1177</v>
      </c>
      <c r="AP1458" s="7" t="s">
        <v>1177</v>
      </c>
      <c r="AQ1458" s="7" t="s">
        <v>1177</v>
      </c>
      <c r="AR1458" s="29">
        <v>0</v>
      </c>
      <c r="AS1458" s="7" t="s">
        <v>1177</v>
      </c>
      <c r="AT1458" s="7" t="s">
        <v>1363</v>
      </c>
      <c r="AU1458" s="38">
        <v>46275</v>
      </c>
      <c r="AV1458" s="39">
        <v>0.62715277777778</v>
      </c>
    </row>
    <row r="1459" spans="1:48" x14ac:dyDescent="0.35">
      <c r="A1459" t="str">
        <f t="shared" si="22"/>
        <v>GP349147B825</v>
      </c>
      <c r="B1459" s="7" t="s">
        <v>608</v>
      </c>
      <c r="C1459" s="7" t="s">
        <v>511</v>
      </c>
      <c r="D1459" s="7" t="s">
        <v>16</v>
      </c>
      <c r="E1459" s="7" t="s">
        <v>1177</v>
      </c>
      <c r="F1459" s="7" t="s">
        <v>128</v>
      </c>
      <c r="G1459" s="7" t="s">
        <v>130</v>
      </c>
      <c r="H1459" s="7" t="s">
        <v>129</v>
      </c>
      <c r="I1459" s="30">
        <v>2</v>
      </c>
      <c r="J1459" s="7" t="s">
        <v>1177</v>
      </c>
      <c r="K1459" s="7" t="s">
        <v>1178</v>
      </c>
      <c r="L1459" s="7" t="s">
        <v>132</v>
      </c>
      <c r="M1459" s="7" t="s">
        <v>133</v>
      </c>
      <c r="N1459" s="30">
        <v>0</v>
      </c>
      <c r="O1459" s="30">
        <v>0</v>
      </c>
      <c r="P1459" s="30">
        <v>0</v>
      </c>
      <c r="Q1459" s="30">
        <v>0</v>
      </c>
      <c r="R1459" s="29">
        <v>0</v>
      </c>
      <c r="S1459" s="36">
        <v>0</v>
      </c>
      <c r="T1459" s="7" t="s">
        <v>131</v>
      </c>
      <c r="U1459" s="7" t="s">
        <v>512</v>
      </c>
      <c r="V1459" s="7" t="s">
        <v>512</v>
      </c>
      <c r="W1459" s="7" t="s">
        <v>1177</v>
      </c>
      <c r="X1459" s="30">
        <v>1</v>
      </c>
      <c r="Y1459" s="7" t="s">
        <v>1177</v>
      </c>
      <c r="Z1459" s="7" t="s">
        <v>1178</v>
      </c>
      <c r="AA1459" s="30">
        <v>0</v>
      </c>
      <c r="AB1459" s="36">
        <v>0</v>
      </c>
      <c r="AC1459" s="7" t="s">
        <v>1177</v>
      </c>
      <c r="AD1459" s="37">
        <v>0</v>
      </c>
      <c r="AE1459" s="7" t="s">
        <v>1177</v>
      </c>
      <c r="AF1459" s="7" t="s">
        <v>1177</v>
      </c>
      <c r="AG1459" s="7" t="s">
        <v>1177</v>
      </c>
      <c r="AH1459" s="38"/>
      <c r="AI1459" s="36">
        <v>0</v>
      </c>
      <c r="AJ1459" s="7" t="s">
        <v>1193</v>
      </c>
      <c r="AK1459" s="7" t="s">
        <v>1177</v>
      </c>
      <c r="AL1459" s="7" t="s">
        <v>1177</v>
      </c>
      <c r="AM1459" s="7" t="s">
        <v>1177</v>
      </c>
      <c r="AN1459" s="7" t="s">
        <v>3212</v>
      </c>
      <c r="AO1459" s="7" t="s">
        <v>1177</v>
      </c>
      <c r="AP1459" s="7" t="s">
        <v>1177</v>
      </c>
      <c r="AQ1459" s="7" t="s">
        <v>1177</v>
      </c>
      <c r="AR1459" s="29">
        <v>0</v>
      </c>
      <c r="AS1459" s="7" t="s">
        <v>1177</v>
      </c>
      <c r="AT1459" s="7" t="s">
        <v>1363</v>
      </c>
      <c r="AU1459" s="38">
        <v>46275</v>
      </c>
      <c r="AV1459" s="39">
        <v>0.62305555555556003</v>
      </c>
    </row>
    <row r="1460" spans="1:48" x14ac:dyDescent="0.35">
      <c r="A1460" t="str">
        <f t="shared" si="22"/>
        <v>GP349148B825</v>
      </c>
      <c r="B1460" s="7" t="s">
        <v>609</v>
      </c>
      <c r="C1460" s="7" t="s">
        <v>511</v>
      </c>
      <c r="D1460" s="7" t="s">
        <v>16</v>
      </c>
      <c r="E1460" s="7" t="s">
        <v>1177</v>
      </c>
      <c r="F1460" s="7" t="s">
        <v>128</v>
      </c>
      <c r="G1460" s="7" t="s">
        <v>130</v>
      </c>
      <c r="H1460" s="7" t="s">
        <v>129</v>
      </c>
      <c r="I1460" s="30">
        <v>2</v>
      </c>
      <c r="J1460" s="7" t="s">
        <v>1177</v>
      </c>
      <c r="K1460" s="7" t="s">
        <v>1178</v>
      </c>
      <c r="L1460" s="7" t="s">
        <v>132</v>
      </c>
      <c r="M1460" s="7" t="s">
        <v>133</v>
      </c>
      <c r="N1460" s="30">
        <v>0</v>
      </c>
      <c r="O1460" s="30">
        <v>0</v>
      </c>
      <c r="P1460" s="30">
        <v>0</v>
      </c>
      <c r="Q1460" s="30">
        <v>0</v>
      </c>
      <c r="R1460" s="29">
        <v>0</v>
      </c>
      <c r="S1460" s="36">
        <v>0</v>
      </c>
      <c r="T1460" s="7" t="s">
        <v>131</v>
      </c>
      <c r="U1460" s="7" t="s">
        <v>512</v>
      </c>
      <c r="V1460" s="7" t="s">
        <v>512</v>
      </c>
      <c r="W1460" s="7" t="s">
        <v>1177</v>
      </c>
      <c r="X1460" s="30">
        <v>1</v>
      </c>
      <c r="Y1460" s="7" t="s">
        <v>1177</v>
      </c>
      <c r="Z1460" s="7" t="s">
        <v>1178</v>
      </c>
      <c r="AA1460" s="30">
        <v>0</v>
      </c>
      <c r="AB1460" s="36">
        <v>0</v>
      </c>
      <c r="AC1460" s="7" t="s">
        <v>1177</v>
      </c>
      <c r="AD1460" s="37">
        <v>0</v>
      </c>
      <c r="AE1460" s="7" t="s">
        <v>1177</v>
      </c>
      <c r="AF1460" s="7" t="s">
        <v>1177</v>
      </c>
      <c r="AG1460" s="7" t="s">
        <v>1177</v>
      </c>
      <c r="AH1460" s="38"/>
      <c r="AI1460" s="36">
        <v>0</v>
      </c>
      <c r="AJ1460" s="7" t="s">
        <v>1193</v>
      </c>
      <c r="AK1460" s="7" t="s">
        <v>1177</v>
      </c>
      <c r="AL1460" s="7" t="s">
        <v>1177</v>
      </c>
      <c r="AM1460" s="7" t="s">
        <v>1177</v>
      </c>
      <c r="AN1460" s="7" t="s">
        <v>3212</v>
      </c>
      <c r="AO1460" s="7" t="s">
        <v>1177</v>
      </c>
      <c r="AP1460" s="7" t="s">
        <v>1177</v>
      </c>
      <c r="AQ1460" s="7" t="s">
        <v>1177</v>
      </c>
      <c r="AR1460" s="29">
        <v>0</v>
      </c>
      <c r="AS1460" s="7" t="s">
        <v>1177</v>
      </c>
      <c r="AT1460" s="7" t="s">
        <v>1363</v>
      </c>
      <c r="AU1460" s="38">
        <v>46275</v>
      </c>
      <c r="AV1460" s="39">
        <v>0.62305555555556003</v>
      </c>
    </row>
    <row r="1461" spans="1:48" x14ac:dyDescent="0.35">
      <c r="A1461" t="str">
        <f t="shared" si="22"/>
        <v>GP349149B825</v>
      </c>
      <c r="B1461" s="7" t="s">
        <v>610</v>
      </c>
      <c r="C1461" s="7" t="s">
        <v>511</v>
      </c>
      <c r="D1461" s="7" t="s">
        <v>16</v>
      </c>
      <c r="E1461" s="7" t="s">
        <v>1177</v>
      </c>
      <c r="F1461" s="7" t="s">
        <v>128</v>
      </c>
      <c r="G1461" s="7" t="s">
        <v>130</v>
      </c>
      <c r="H1461" s="7" t="s">
        <v>129</v>
      </c>
      <c r="I1461" s="30">
        <v>2</v>
      </c>
      <c r="J1461" s="7" t="s">
        <v>1177</v>
      </c>
      <c r="K1461" s="7" t="s">
        <v>1178</v>
      </c>
      <c r="L1461" s="7" t="s">
        <v>132</v>
      </c>
      <c r="M1461" s="7" t="s">
        <v>133</v>
      </c>
      <c r="N1461" s="30">
        <v>0</v>
      </c>
      <c r="O1461" s="30">
        <v>0</v>
      </c>
      <c r="P1461" s="30">
        <v>0</v>
      </c>
      <c r="Q1461" s="30">
        <v>0</v>
      </c>
      <c r="R1461" s="29">
        <v>0</v>
      </c>
      <c r="S1461" s="36">
        <v>0</v>
      </c>
      <c r="T1461" s="7" t="s">
        <v>131</v>
      </c>
      <c r="U1461" s="7" t="s">
        <v>512</v>
      </c>
      <c r="V1461" s="7" t="s">
        <v>512</v>
      </c>
      <c r="W1461" s="7" t="s">
        <v>1177</v>
      </c>
      <c r="X1461" s="30">
        <v>1</v>
      </c>
      <c r="Y1461" s="7" t="s">
        <v>1177</v>
      </c>
      <c r="Z1461" s="7" t="s">
        <v>1178</v>
      </c>
      <c r="AA1461" s="30">
        <v>0</v>
      </c>
      <c r="AB1461" s="36">
        <v>0</v>
      </c>
      <c r="AC1461" s="7" t="s">
        <v>1177</v>
      </c>
      <c r="AD1461" s="37">
        <v>0</v>
      </c>
      <c r="AE1461" s="7" t="s">
        <v>1177</v>
      </c>
      <c r="AF1461" s="7" t="s">
        <v>1177</v>
      </c>
      <c r="AG1461" s="7" t="s">
        <v>1177</v>
      </c>
      <c r="AH1461" s="38"/>
      <c r="AI1461" s="36">
        <v>0</v>
      </c>
      <c r="AJ1461" s="7" t="s">
        <v>1193</v>
      </c>
      <c r="AK1461" s="7" t="s">
        <v>1177</v>
      </c>
      <c r="AL1461" s="7" t="s">
        <v>1177</v>
      </c>
      <c r="AM1461" s="7" t="s">
        <v>1177</v>
      </c>
      <c r="AN1461" s="7" t="s">
        <v>3212</v>
      </c>
      <c r="AO1461" s="7" t="s">
        <v>1177</v>
      </c>
      <c r="AP1461" s="7" t="s">
        <v>1177</v>
      </c>
      <c r="AQ1461" s="7" t="s">
        <v>1177</v>
      </c>
      <c r="AR1461" s="29">
        <v>0</v>
      </c>
      <c r="AS1461" s="7" t="s">
        <v>1177</v>
      </c>
      <c r="AT1461" s="7" t="s">
        <v>1363</v>
      </c>
      <c r="AU1461" s="38">
        <v>46275</v>
      </c>
      <c r="AV1461" s="39">
        <v>0.62305555555556003</v>
      </c>
    </row>
    <row r="1462" spans="1:48" x14ac:dyDescent="0.35">
      <c r="A1462" t="str">
        <f t="shared" si="22"/>
        <v>GP349522B856</v>
      </c>
      <c r="B1462" s="7" t="s">
        <v>423</v>
      </c>
      <c r="C1462" s="7" t="s">
        <v>852</v>
      </c>
      <c r="D1462" s="7" t="s">
        <v>21</v>
      </c>
      <c r="E1462" s="7" t="s">
        <v>1177</v>
      </c>
      <c r="F1462" s="7" t="s">
        <v>128</v>
      </c>
      <c r="G1462" s="7" t="s">
        <v>130</v>
      </c>
      <c r="H1462" s="7" t="s">
        <v>129</v>
      </c>
      <c r="I1462" s="30">
        <v>1</v>
      </c>
      <c r="J1462" s="7" t="s">
        <v>1177</v>
      </c>
      <c r="K1462" s="7" t="s">
        <v>1178</v>
      </c>
      <c r="L1462" s="7" t="s">
        <v>132</v>
      </c>
      <c r="M1462" s="7" t="s">
        <v>133</v>
      </c>
      <c r="N1462" s="30">
        <v>0</v>
      </c>
      <c r="O1462" s="30">
        <v>0</v>
      </c>
      <c r="P1462" s="30">
        <v>0</v>
      </c>
      <c r="Q1462" s="30">
        <v>0</v>
      </c>
      <c r="R1462" s="29">
        <v>0</v>
      </c>
      <c r="S1462" s="36">
        <v>0</v>
      </c>
      <c r="T1462" s="7" t="s">
        <v>131</v>
      </c>
      <c r="U1462" s="7" t="s">
        <v>853</v>
      </c>
      <c r="V1462" s="7" t="s">
        <v>853</v>
      </c>
      <c r="W1462" s="7" t="s">
        <v>1177</v>
      </c>
      <c r="X1462" s="30">
        <v>1</v>
      </c>
      <c r="Y1462" s="7" t="s">
        <v>1177</v>
      </c>
      <c r="Z1462" s="7" t="s">
        <v>1178</v>
      </c>
      <c r="AA1462" s="30">
        <v>0</v>
      </c>
      <c r="AB1462" s="36">
        <v>0</v>
      </c>
      <c r="AC1462" s="7" t="s">
        <v>1177</v>
      </c>
      <c r="AD1462" s="37">
        <v>0</v>
      </c>
      <c r="AE1462" s="7" t="s">
        <v>1177</v>
      </c>
      <c r="AF1462" s="7" t="s">
        <v>1177</v>
      </c>
      <c r="AG1462" s="7" t="s">
        <v>1177</v>
      </c>
      <c r="AH1462" s="38"/>
      <c r="AI1462" s="36">
        <v>0</v>
      </c>
      <c r="AJ1462" s="7" t="s">
        <v>1193</v>
      </c>
      <c r="AK1462" s="7" t="s">
        <v>1177</v>
      </c>
      <c r="AL1462" s="7" t="s">
        <v>1177</v>
      </c>
      <c r="AM1462" s="7" t="s">
        <v>1177</v>
      </c>
      <c r="AN1462" s="7" t="s">
        <v>3212</v>
      </c>
      <c r="AO1462" s="7" t="s">
        <v>1177</v>
      </c>
      <c r="AP1462" s="7" t="s">
        <v>1177</v>
      </c>
      <c r="AQ1462" s="7" t="s">
        <v>1177</v>
      </c>
      <c r="AR1462" s="29">
        <v>0</v>
      </c>
      <c r="AS1462" s="7" t="s">
        <v>1177</v>
      </c>
      <c r="AT1462" s="7" t="s">
        <v>1363</v>
      </c>
      <c r="AU1462" s="38">
        <v>46275</v>
      </c>
      <c r="AV1462" s="39">
        <v>0.60523148148147998</v>
      </c>
    </row>
    <row r="1463" spans="1:48" x14ac:dyDescent="0.35">
      <c r="A1463" t="str">
        <f t="shared" si="22"/>
        <v>GP349522B864</v>
      </c>
      <c r="B1463" s="7" t="s">
        <v>423</v>
      </c>
      <c r="C1463" s="7" t="s">
        <v>1010</v>
      </c>
      <c r="D1463" s="7" t="s">
        <v>10</v>
      </c>
      <c r="E1463" s="7" t="s">
        <v>1177</v>
      </c>
      <c r="F1463" s="7" t="s">
        <v>128</v>
      </c>
      <c r="G1463" s="7" t="s">
        <v>130</v>
      </c>
      <c r="H1463" s="7" t="s">
        <v>129</v>
      </c>
      <c r="I1463" s="30">
        <v>1</v>
      </c>
      <c r="J1463" s="7" t="s">
        <v>1177</v>
      </c>
      <c r="K1463" s="7" t="s">
        <v>1178</v>
      </c>
      <c r="L1463" s="7" t="s">
        <v>132</v>
      </c>
      <c r="M1463" s="7" t="s">
        <v>133</v>
      </c>
      <c r="N1463" s="30">
        <v>0</v>
      </c>
      <c r="O1463" s="30">
        <v>0</v>
      </c>
      <c r="P1463" s="30">
        <v>0</v>
      </c>
      <c r="Q1463" s="30">
        <v>0</v>
      </c>
      <c r="R1463" s="29">
        <v>0</v>
      </c>
      <c r="S1463" s="36">
        <v>0</v>
      </c>
      <c r="T1463" s="7" t="s">
        <v>131</v>
      </c>
      <c r="U1463" s="7" t="s">
        <v>1011</v>
      </c>
      <c r="V1463" s="7" t="s">
        <v>1011</v>
      </c>
      <c r="W1463" s="7" t="s">
        <v>1177</v>
      </c>
      <c r="X1463" s="30">
        <v>1</v>
      </c>
      <c r="Y1463" s="7" t="s">
        <v>1177</v>
      </c>
      <c r="Z1463" s="7" t="s">
        <v>1178</v>
      </c>
      <c r="AA1463" s="30">
        <v>0</v>
      </c>
      <c r="AB1463" s="36">
        <v>0</v>
      </c>
      <c r="AC1463" s="7" t="s">
        <v>1177</v>
      </c>
      <c r="AD1463" s="37">
        <v>0</v>
      </c>
      <c r="AE1463" s="7" t="s">
        <v>1177</v>
      </c>
      <c r="AF1463" s="7" t="s">
        <v>1177</v>
      </c>
      <c r="AG1463" s="7" t="s">
        <v>1177</v>
      </c>
      <c r="AH1463" s="38"/>
      <c r="AI1463" s="36">
        <v>0</v>
      </c>
      <c r="AJ1463" s="7" t="s">
        <v>1193</v>
      </c>
      <c r="AK1463" s="7" t="s">
        <v>1177</v>
      </c>
      <c r="AL1463" s="7" t="s">
        <v>1177</v>
      </c>
      <c r="AM1463" s="7" t="s">
        <v>1177</v>
      </c>
      <c r="AN1463" s="7" t="s">
        <v>3212</v>
      </c>
      <c r="AO1463" s="7" t="s">
        <v>1177</v>
      </c>
      <c r="AP1463" s="7" t="s">
        <v>1177</v>
      </c>
      <c r="AQ1463" s="7" t="s">
        <v>1177</v>
      </c>
      <c r="AR1463" s="29">
        <v>0</v>
      </c>
      <c r="AS1463" s="7" t="s">
        <v>1177</v>
      </c>
      <c r="AT1463" s="7" t="s">
        <v>1363</v>
      </c>
      <c r="AU1463" s="38">
        <v>46275</v>
      </c>
      <c r="AV1463" s="39">
        <v>0.60542824074073998</v>
      </c>
    </row>
    <row r="1464" spans="1:48" x14ac:dyDescent="0.35">
      <c r="A1464" t="str">
        <f t="shared" si="22"/>
        <v>GP349522B865</v>
      </c>
      <c r="B1464" s="7" t="s">
        <v>423</v>
      </c>
      <c r="C1464" s="7" t="s">
        <v>1039</v>
      </c>
      <c r="D1464" s="7" t="s">
        <v>7</v>
      </c>
      <c r="E1464" s="7" t="s">
        <v>1177</v>
      </c>
      <c r="F1464" s="7" t="s">
        <v>128</v>
      </c>
      <c r="G1464" s="7" t="s">
        <v>130</v>
      </c>
      <c r="H1464" s="7" t="s">
        <v>129</v>
      </c>
      <c r="I1464" s="30">
        <v>2</v>
      </c>
      <c r="J1464" s="7" t="s">
        <v>1177</v>
      </c>
      <c r="K1464" s="7" t="s">
        <v>1178</v>
      </c>
      <c r="L1464" s="7" t="s">
        <v>132</v>
      </c>
      <c r="M1464" s="7" t="s">
        <v>133</v>
      </c>
      <c r="N1464" s="30">
        <v>0</v>
      </c>
      <c r="O1464" s="30">
        <v>0</v>
      </c>
      <c r="P1464" s="30">
        <v>0</v>
      </c>
      <c r="Q1464" s="30">
        <v>0</v>
      </c>
      <c r="R1464" s="29">
        <v>0</v>
      </c>
      <c r="S1464" s="36">
        <v>0</v>
      </c>
      <c r="T1464" s="7" t="s">
        <v>131</v>
      </c>
      <c r="U1464" s="7" t="s">
        <v>1040</v>
      </c>
      <c r="V1464" s="7" t="s">
        <v>1040</v>
      </c>
      <c r="W1464" s="7" t="s">
        <v>1177</v>
      </c>
      <c r="X1464" s="30">
        <v>1</v>
      </c>
      <c r="Y1464" s="7" t="s">
        <v>1177</v>
      </c>
      <c r="Z1464" s="7" t="s">
        <v>1178</v>
      </c>
      <c r="AA1464" s="30">
        <v>0</v>
      </c>
      <c r="AB1464" s="36">
        <v>0</v>
      </c>
      <c r="AC1464" s="7" t="s">
        <v>1177</v>
      </c>
      <c r="AD1464" s="37">
        <v>0</v>
      </c>
      <c r="AE1464" s="7" t="s">
        <v>1177</v>
      </c>
      <c r="AF1464" s="7" t="s">
        <v>1177</v>
      </c>
      <c r="AG1464" s="7" t="s">
        <v>1177</v>
      </c>
      <c r="AH1464" s="38"/>
      <c r="AI1464" s="36">
        <v>0</v>
      </c>
      <c r="AJ1464" s="7" t="s">
        <v>1193</v>
      </c>
      <c r="AK1464" s="7" t="s">
        <v>1177</v>
      </c>
      <c r="AL1464" s="7" t="s">
        <v>1177</v>
      </c>
      <c r="AM1464" s="7" t="s">
        <v>1177</v>
      </c>
      <c r="AN1464" s="7" t="s">
        <v>3212</v>
      </c>
      <c r="AO1464" s="7" t="s">
        <v>1177</v>
      </c>
      <c r="AP1464" s="7" t="s">
        <v>1177</v>
      </c>
      <c r="AQ1464" s="7" t="s">
        <v>1177</v>
      </c>
      <c r="AR1464" s="29">
        <v>0</v>
      </c>
      <c r="AS1464" s="7" t="s">
        <v>1177</v>
      </c>
      <c r="AT1464" s="7" t="s">
        <v>1363</v>
      </c>
      <c r="AU1464" s="38">
        <v>46275</v>
      </c>
      <c r="AV1464" s="39">
        <v>0.60548611111110995</v>
      </c>
    </row>
    <row r="1465" spans="1:48" x14ac:dyDescent="0.35">
      <c r="A1465" t="str">
        <f t="shared" si="22"/>
        <v>GP350312B856</v>
      </c>
      <c r="B1465" s="7" t="s">
        <v>904</v>
      </c>
      <c r="C1465" s="7" t="s">
        <v>852</v>
      </c>
      <c r="D1465" s="7" t="s">
        <v>21</v>
      </c>
      <c r="E1465" s="7" t="s">
        <v>1177</v>
      </c>
      <c r="F1465" s="7" t="s">
        <v>128</v>
      </c>
      <c r="G1465" s="7" t="s">
        <v>130</v>
      </c>
      <c r="H1465" s="7" t="s">
        <v>129</v>
      </c>
      <c r="I1465" s="30">
        <v>2</v>
      </c>
      <c r="J1465" s="7" t="s">
        <v>1177</v>
      </c>
      <c r="K1465" s="7" t="s">
        <v>1178</v>
      </c>
      <c r="L1465" s="7" t="s">
        <v>132</v>
      </c>
      <c r="M1465" s="7" t="s">
        <v>133</v>
      </c>
      <c r="N1465" s="30">
        <v>0</v>
      </c>
      <c r="O1465" s="30">
        <v>0</v>
      </c>
      <c r="P1465" s="30">
        <v>0</v>
      </c>
      <c r="Q1465" s="30">
        <v>0</v>
      </c>
      <c r="R1465" s="29">
        <v>0</v>
      </c>
      <c r="S1465" s="36">
        <v>0</v>
      </c>
      <c r="T1465" s="7" t="s">
        <v>131</v>
      </c>
      <c r="U1465" s="7" t="s">
        <v>853</v>
      </c>
      <c r="V1465" s="7" t="s">
        <v>853</v>
      </c>
      <c r="W1465" s="7" t="s">
        <v>1177</v>
      </c>
      <c r="X1465" s="30">
        <v>1</v>
      </c>
      <c r="Y1465" s="7" t="s">
        <v>1177</v>
      </c>
      <c r="Z1465" s="7" t="s">
        <v>1178</v>
      </c>
      <c r="AA1465" s="30">
        <v>0</v>
      </c>
      <c r="AB1465" s="36">
        <v>0</v>
      </c>
      <c r="AC1465" s="7" t="s">
        <v>1177</v>
      </c>
      <c r="AD1465" s="37">
        <v>0</v>
      </c>
      <c r="AE1465" s="7" t="s">
        <v>1177</v>
      </c>
      <c r="AF1465" s="7" t="s">
        <v>1177</v>
      </c>
      <c r="AG1465" s="7" t="s">
        <v>1177</v>
      </c>
      <c r="AH1465" s="38"/>
      <c r="AI1465" s="36">
        <v>0</v>
      </c>
      <c r="AJ1465" s="7" t="s">
        <v>1193</v>
      </c>
      <c r="AK1465" s="7" t="s">
        <v>1177</v>
      </c>
      <c r="AL1465" s="7" t="s">
        <v>1177</v>
      </c>
      <c r="AM1465" s="7" t="s">
        <v>1177</v>
      </c>
      <c r="AN1465" s="7" t="s">
        <v>3212</v>
      </c>
      <c r="AO1465" s="7" t="s">
        <v>1177</v>
      </c>
      <c r="AP1465" s="7" t="s">
        <v>1177</v>
      </c>
      <c r="AQ1465" s="7" t="s">
        <v>1177</v>
      </c>
      <c r="AR1465" s="29">
        <v>0</v>
      </c>
      <c r="AS1465" s="7" t="s">
        <v>1177</v>
      </c>
      <c r="AT1465" s="7" t="s">
        <v>1363</v>
      </c>
      <c r="AU1465" s="38">
        <v>46275</v>
      </c>
      <c r="AV1465" s="39">
        <v>0.62487268518519001</v>
      </c>
    </row>
    <row r="1466" spans="1:48" x14ac:dyDescent="0.35">
      <c r="A1466" t="str">
        <f t="shared" si="22"/>
        <v>GP350315B856</v>
      </c>
      <c r="B1466" s="7" t="s">
        <v>905</v>
      </c>
      <c r="C1466" s="7" t="s">
        <v>852</v>
      </c>
      <c r="D1466" s="7" t="s">
        <v>21</v>
      </c>
      <c r="E1466" s="7" t="s">
        <v>1177</v>
      </c>
      <c r="F1466" s="7" t="s">
        <v>128</v>
      </c>
      <c r="G1466" s="7" t="s">
        <v>130</v>
      </c>
      <c r="H1466" s="7" t="s">
        <v>129</v>
      </c>
      <c r="I1466" s="30">
        <v>1</v>
      </c>
      <c r="J1466" s="7" t="s">
        <v>1177</v>
      </c>
      <c r="K1466" s="7" t="s">
        <v>1178</v>
      </c>
      <c r="L1466" s="7" t="s">
        <v>132</v>
      </c>
      <c r="M1466" s="7" t="s">
        <v>133</v>
      </c>
      <c r="N1466" s="30">
        <v>0</v>
      </c>
      <c r="O1466" s="30">
        <v>0</v>
      </c>
      <c r="P1466" s="30">
        <v>0</v>
      </c>
      <c r="Q1466" s="30">
        <v>0</v>
      </c>
      <c r="R1466" s="29">
        <v>0</v>
      </c>
      <c r="S1466" s="36">
        <v>0</v>
      </c>
      <c r="T1466" s="7" t="s">
        <v>131</v>
      </c>
      <c r="U1466" s="7" t="s">
        <v>853</v>
      </c>
      <c r="V1466" s="7" t="s">
        <v>853</v>
      </c>
      <c r="W1466" s="7" t="s">
        <v>1177</v>
      </c>
      <c r="X1466" s="30">
        <v>1</v>
      </c>
      <c r="Y1466" s="7" t="s">
        <v>1177</v>
      </c>
      <c r="Z1466" s="7" t="s">
        <v>1178</v>
      </c>
      <c r="AA1466" s="30">
        <v>0</v>
      </c>
      <c r="AB1466" s="36">
        <v>0</v>
      </c>
      <c r="AC1466" s="7" t="s">
        <v>1177</v>
      </c>
      <c r="AD1466" s="37">
        <v>0</v>
      </c>
      <c r="AE1466" s="7" t="s">
        <v>1177</v>
      </c>
      <c r="AF1466" s="7" t="s">
        <v>1177</v>
      </c>
      <c r="AG1466" s="7" t="s">
        <v>1177</v>
      </c>
      <c r="AH1466" s="38"/>
      <c r="AI1466" s="36">
        <v>0</v>
      </c>
      <c r="AJ1466" s="7" t="s">
        <v>1193</v>
      </c>
      <c r="AK1466" s="7" t="s">
        <v>1177</v>
      </c>
      <c r="AL1466" s="7" t="s">
        <v>1177</v>
      </c>
      <c r="AM1466" s="7" t="s">
        <v>1177</v>
      </c>
      <c r="AN1466" s="7" t="s">
        <v>3212</v>
      </c>
      <c r="AO1466" s="7" t="s">
        <v>1177</v>
      </c>
      <c r="AP1466" s="7" t="s">
        <v>1177</v>
      </c>
      <c r="AQ1466" s="7" t="s">
        <v>1177</v>
      </c>
      <c r="AR1466" s="29">
        <v>0</v>
      </c>
      <c r="AS1466" s="7" t="s">
        <v>1177</v>
      </c>
      <c r="AT1466" s="7" t="s">
        <v>1363</v>
      </c>
      <c r="AU1466" s="38">
        <v>46275</v>
      </c>
      <c r="AV1466" s="39">
        <v>0.62487268518519001</v>
      </c>
    </row>
    <row r="1467" spans="1:48" x14ac:dyDescent="0.35">
      <c r="A1467" t="str">
        <f t="shared" si="22"/>
        <v>GP350317B856</v>
      </c>
      <c r="B1467" s="7" t="s">
        <v>906</v>
      </c>
      <c r="C1467" s="7" t="s">
        <v>852</v>
      </c>
      <c r="D1467" s="7" t="s">
        <v>21</v>
      </c>
      <c r="E1467" s="7" t="s">
        <v>1177</v>
      </c>
      <c r="F1467" s="7" t="s">
        <v>128</v>
      </c>
      <c r="G1467" s="7" t="s">
        <v>130</v>
      </c>
      <c r="H1467" s="7" t="s">
        <v>129</v>
      </c>
      <c r="I1467" s="30">
        <v>1</v>
      </c>
      <c r="J1467" s="7" t="s">
        <v>1177</v>
      </c>
      <c r="K1467" s="7" t="s">
        <v>1178</v>
      </c>
      <c r="L1467" s="7" t="s">
        <v>132</v>
      </c>
      <c r="M1467" s="7" t="s">
        <v>133</v>
      </c>
      <c r="N1467" s="30">
        <v>0</v>
      </c>
      <c r="O1467" s="30">
        <v>0</v>
      </c>
      <c r="P1467" s="30">
        <v>0</v>
      </c>
      <c r="Q1467" s="30">
        <v>0</v>
      </c>
      <c r="R1467" s="29">
        <v>0</v>
      </c>
      <c r="S1467" s="36">
        <v>0</v>
      </c>
      <c r="T1467" s="7" t="s">
        <v>131</v>
      </c>
      <c r="U1467" s="7" t="s">
        <v>853</v>
      </c>
      <c r="V1467" s="7" t="s">
        <v>853</v>
      </c>
      <c r="W1467" s="7" t="s">
        <v>1177</v>
      </c>
      <c r="X1467" s="30">
        <v>1</v>
      </c>
      <c r="Y1467" s="7" t="s">
        <v>1177</v>
      </c>
      <c r="Z1467" s="7" t="s">
        <v>1178</v>
      </c>
      <c r="AA1467" s="30">
        <v>0</v>
      </c>
      <c r="AB1467" s="36">
        <v>0</v>
      </c>
      <c r="AC1467" s="7" t="s">
        <v>1177</v>
      </c>
      <c r="AD1467" s="37">
        <v>0</v>
      </c>
      <c r="AE1467" s="7" t="s">
        <v>1177</v>
      </c>
      <c r="AF1467" s="7" t="s">
        <v>1177</v>
      </c>
      <c r="AG1467" s="7" t="s">
        <v>1177</v>
      </c>
      <c r="AH1467" s="38"/>
      <c r="AI1467" s="36">
        <v>0</v>
      </c>
      <c r="AJ1467" s="7" t="s">
        <v>1193</v>
      </c>
      <c r="AK1467" s="7" t="s">
        <v>1177</v>
      </c>
      <c r="AL1467" s="7" t="s">
        <v>1177</v>
      </c>
      <c r="AM1467" s="7" t="s">
        <v>1177</v>
      </c>
      <c r="AN1467" s="7" t="s">
        <v>3212</v>
      </c>
      <c r="AO1467" s="7" t="s">
        <v>1177</v>
      </c>
      <c r="AP1467" s="7" t="s">
        <v>1177</v>
      </c>
      <c r="AQ1467" s="7" t="s">
        <v>1177</v>
      </c>
      <c r="AR1467" s="29">
        <v>0</v>
      </c>
      <c r="AS1467" s="7" t="s">
        <v>1177</v>
      </c>
      <c r="AT1467" s="7" t="s">
        <v>1363</v>
      </c>
      <c r="AU1467" s="38">
        <v>46275</v>
      </c>
      <c r="AV1467" s="39">
        <v>0.62486111111110998</v>
      </c>
    </row>
    <row r="1468" spans="1:48" x14ac:dyDescent="0.35">
      <c r="A1468" t="str">
        <f t="shared" si="22"/>
        <v>GP350317B857</v>
      </c>
      <c r="B1468" s="7" t="s">
        <v>906</v>
      </c>
      <c r="C1468" s="7" t="s">
        <v>958</v>
      </c>
      <c r="D1468" s="7" t="s">
        <v>23</v>
      </c>
      <c r="E1468" s="7" t="s">
        <v>1177</v>
      </c>
      <c r="F1468" s="7" t="s">
        <v>128</v>
      </c>
      <c r="G1468" s="7" t="s">
        <v>130</v>
      </c>
      <c r="H1468" s="7" t="s">
        <v>129</v>
      </c>
      <c r="I1468" s="30">
        <v>1</v>
      </c>
      <c r="J1468" s="7" t="s">
        <v>1177</v>
      </c>
      <c r="K1468" s="7" t="s">
        <v>1178</v>
      </c>
      <c r="L1468" s="7" t="s">
        <v>132</v>
      </c>
      <c r="M1468" s="7" t="s">
        <v>133</v>
      </c>
      <c r="N1468" s="30">
        <v>0</v>
      </c>
      <c r="O1468" s="30">
        <v>0</v>
      </c>
      <c r="P1468" s="30">
        <v>0</v>
      </c>
      <c r="Q1468" s="30">
        <v>0</v>
      </c>
      <c r="R1468" s="29">
        <v>0</v>
      </c>
      <c r="S1468" s="36">
        <v>0</v>
      </c>
      <c r="T1468" s="7" t="s">
        <v>131</v>
      </c>
      <c r="U1468" s="7" t="s">
        <v>959</v>
      </c>
      <c r="V1468" s="7" t="s">
        <v>959</v>
      </c>
      <c r="W1468" s="7" t="s">
        <v>1177</v>
      </c>
      <c r="X1468" s="30">
        <v>1</v>
      </c>
      <c r="Y1468" s="7" t="s">
        <v>1177</v>
      </c>
      <c r="Z1468" s="7" t="s">
        <v>1178</v>
      </c>
      <c r="AA1468" s="30">
        <v>0</v>
      </c>
      <c r="AB1468" s="36">
        <v>0</v>
      </c>
      <c r="AC1468" s="7" t="s">
        <v>1177</v>
      </c>
      <c r="AD1468" s="37">
        <v>0</v>
      </c>
      <c r="AE1468" s="7" t="s">
        <v>1177</v>
      </c>
      <c r="AF1468" s="7" t="s">
        <v>1177</v>
      </c>
      <c r="AG1468" s="7" t="s">
        <v>1177</v>
      </c>
      <c r="AH1468" s="38"/>
      <c r="AI1468" s="36">
        <v>0</v>
      </c>
      <c r="AJ1468" s="7" t="s">
        <v>1193</v>
      </c>
      <c r="AK1468" s="7" t="s">
        <v>1177</v>
      </c>
      <c r="AL1468" s="7" t="s">
        <v>1177</v>
      </c>
      <c r="AM1468" s="7" t="s">
        <v>1177</v>
      </c>
      <c r="AN1468" s="7" t="s">
        <v>3212</v>
      </c>
      <c r="AO1468" s="7" t="s">
        <v>1177</v>
      </c>
      <c r="AP1468" s="7" t="s">
        <v>1177</v>
      </c>
      <c r="AQ1468" s="7" t="s">
        <v>1177</v>
      </c>
      <c r="AR1468" s="29">
        <v>0</v>
      </c>
      <c r="AS1468" s="7" t="s">
        <v>1177</v>
      </c>
      <c r="AT1468" s="7" t="s">
        <v>1363</v>
      </c>
      <c r="AU1468" s="38">
        <v>46275</v>
      </c>
      <c r="AV1468" s="39">
        <v>0.62512731481480999</v>
      </c>
    </row>
    <row r="1469" spans="1:48" x14ac:dyDescent="0.35">
      <c r="A1469" t="str">
        <f t="shared" si="22"/>
        <v>GP350329B857</v>
      </c>
      <c r="B1469" s="7" t="s">
        <v>985</v>
      </c>
      <c r="C1469" s="7" t="s">
        <v>958</v>
      </c>
      <c r="D1469" s="7" t="s">
        <v>23</v>
      </c>
      <c r="E1469" s="7" t="s">
        <v>1177</v>
      </c>
      <c r="F1469" s="7" t="s">
        <v>128</v>
      </c>
      <c r="G1469" s="7" t="s">
        <v>130</v>
      </c>
      <c r="H1469" s="7" t="s">
        <v>129</v>
      </c>
      <c r="I1469" s="30">
        <v>2</v>
      </c>
      <c r="J1469" s="7" t="s">
        <v>1177</v>
      </c>
      <c r="K1469" s="7" t="s">
        <v>1178</v>
      </c>
      <c r="L1469" s="7" t="s">
        <v>132</v>
      </c>
      <c r="M1469" s="7" t="s">
        <v>133</v>
      </c>
      <c r="N1469" s="30">
        <v>0</v>
      </c>
      <c r="O1469" s="30">
        <v>0</v>
      </c>
      <c r="P1469" s="30">
        <v>0</v>
      </c>
      <c r="Q1469" s="30">
        <v>0</v>
      </c>
      <c r="R1469" s="29">
        <v>0</v>
      </c>
      <c r="S1469" s="36">
        <v>0</v>
      </c>
      <c r="T1469" s="7" t="s">
        <v>131</v>
      </c>
      <c r="U1469" s="7" t="s">
        <v>959</v>
      </c>
      <c r="V1469" s="7" t="s">
        <v>959</v>
      </c>
      <c r="W1469" s="7" t="s">
        <v>1177</v>
      </c>
      <c r="X1469" s="30">
        <v>1</v>
      </c>
      <c r="Y1469" s="7" t="s">
        <v>1177</v>
      </c>
      <c r="Z1469" s="7" t="s">
        <v>1178</v>
      </c>
      <c r="AA1469" s="30">
        <v>0</v>
      </c>
      <c r="AB1469" s="36">
        <v>0</v>
      </c>
      <c r="AC1469" s="7" t="s">
        <v>1177</v>
      </c>
      <c r="AD1469" s="37">
        <v>0</v>
      </c>
      <c r="AE1469" s="7" t="s">
        <v>1177</v>
      </c>
      <c r="AF1469" s="7" t="s">
        <v>1177</v>
      </c>
      <c r="AG1469" s="7" t="s">
        <v>1177</v>
      </c>
      <c r="AH1469" s="38"/>
      <c r="AI1469" s="36">
        <v>0</v>
      </c>
      <c r="AJ1469" s="7" t="s">
        <v>1193</v>
      </c>
      <c r="AK1469" s="7" t="s">
        <v>1177</v>
      </c>
      <c r="AL1469" s="7" t="s">
        <v>1177</v>
      </c>
      <c r="AM1469" s="7" t="s">
        <v>1177</v>
      </c>
      <c r="AN1469" s="7" t="s">
        <v>3212</v>
      </c>
      <c r="AO1469" s="7" t="s">
        <v>1177</v>
      </c>
      <c r="AP1469" s="7" t="s">
        <v>1177</v>
      </c>
      <c r="AQ1469" s="7" t="s">
        <v>1177</v>
      </c>
      <c r="AR1469" s="29">
        <v>0</v>
      </c>
      <c r="AS1469" s="7" t="s">
        <v>1177</v>
      </c>
      <c r="AT1469" s="7" t="s">
        <v>1363</v>
      </c>
      <c r="AU1469" s="38">
        <v>46275</v>
      </c>
      <c r="AV1469" s="39">
        <v>0.62512731481480999</v>
      </c>
    </row>
    <row r="1470" spans="1:48" x14ac:dyDescent="0.35">
      <c r="A1470" t="str">
        <f t="shared" si="22"/>
        <v>GP350329B865</v>
      </c>
      <c r="B1470" s="7" t="s">
        <v>985</v>
      </c>
      <c r="C1470" s="7" t="s">
        <v>1039</v>
      </c>
      <c r="D1470" s="7" t="s">
        <v>7</v>
      </c>
      <c r="E1470" s="7" t="s">
        <v>1177</v>
      </c>
      <c r="F1470" s="7" t="s">
        <v>128</v>
      </c>
      <c r="G1470" s="7" t="s">
        <v>130</v>
      </c>
      <c r="H1470" s="7" t="s">
        <v>129</v>
      </c>
      <c r="I1470" s="30">
        <v>2</v>
      </c>
      <c r="J1470" s="7" t="s">
        <v>1177</v>
      </c>
      <c r="K1470" s="7" t="s">
        <v>1178</v>
      </c>
      <c r="L1470" s="7" t="s">
        <v>132</v>
      </c>
      <c r="M1470" s="7" t="s">
        <v>133</v>
      </c>
      <c r="N1470" s="30">
        <v>0</v>
      </c>
      <c r="O1470" s="30">
        <v>0</v>
      </c>
      <c r="P1470" s="30">
        <v>0</v>
      </c>
      <c r="Q1470" s="30">
        <v>0</v>
      </c>
      <c r="R1470" s="29">
        <v>0</v>
      </c>
      <c r="S1470" s="36">
        <v>0</v>
      </c>
      <c r="T1470" s="7" t="s">
        <v>131</v>
      </c>
      <c r="U1470" s="7" t="s">
        <v>1040</v>
      </c>
      <c r="V1470" s="7" t="s">
        <v>1040</v>
      </c>
      <c r="W1470" s="7" t="s">
        <v>1177</v>
      </c>
      <c r="X1470" s="30">
        <v>1</v>
      </c>
      <c r="Y1470" s="7" t="s">
        <v>1177</v>
      </c>
      <c r="Z1470" s="7" t="s">
        <v>1178</v>
      </c>
      <c r="AA1470" s="30">
        <v>0</v>
      </c>
      <c r="AB1470" s="36">
        <v>0</v>
      </c>
      <c r="AC1470" s="7" t="s">
        <v>1177</v>
      </c>
      <c r="AD1470" s="37">
        <v>0</v>
      </c>
      <c r="AE1470" s="7" t="s">
        <v>1177</v>
      </c>
      <c r="AF1470" s="7" t="s">
        <v>1177</v>
      </c>
      <c r="AG1470" s="7" t="s">
        <v>1177</v>
      </c>
      <c r="AH1470" s="38"/>
      <c r="AI1470" s="36">
        <v>0</v>
      </c>
      <c r="AJ1470" s="7" t="s">
        <v>1193</v>
      </c>
      <c r="AK1470" s="7" t="s">
        <v>1177</v>
      </c>
      <c r="AL1470" s="7" t="s">
        <v>1177</v>
      </c>
      <c r="AM1470" s="7" t="s">
        <v>1177</v>
      </c>
      <c r="AN1470" s="7" t="s">
        <v>3212</v>
      </c>
      <c r="AO1470" s="7" t="s">
        <v>1177</v>
      </c>
      <c r="AP1470" s="7" t="s">
        <v>1177</v>
      </c>
      <c r="AQ1470" s="7" t="s">
        <v>1177</v>
      </c>
      <c r="AR1470" s="29">
        <v>0</v>
      </c>
      <c r="AS1470" s="7" t="s">
        <v>1177</v>
      </c>
      <c r="AT1470" s="7" t="s">
        <v>1363</v>
      </c>
      <c r="AU1470" s="38">
        <v>46275</v>
      </c>
      <c r="AV1470" s="39">
        <v>0.62673611111111005</v>
      </c>
    </row>
    <row r="1471" spans="1:48" x14ac:dyDescent="0.35">
      <c r="A1471" t="str">
        <f t="shared" si="22"/>
        <v>GP350789B865</v>
      </c>
      <c r="B1471" s="7" t="s">
        <v>820</v>
      </c>
      <c r="C1471" s="7" t="s">
        <v>1039</v>
      </c>
      <c r="D1471" s="7" t="s">
        <v>7</v>
      </c>
      <c r="E1471" s="7" t="s">
        <v>1177</v>
      </c>
      <c r="F1471" s="7" t="s">
        <v>128</v>
      </c>
      <c r="G1471" s="7" t="s">
        <v>130</v>
      </c>
      <c r="H1471" s="7" t="s">
        <v>129</v>
      </c>
      <c r="I1471" s="30">
        <v>1</v>
      </c>
      <c r="J1471" s="7" t="s">
        <v>1177</v>
      </c>
      <c r="K1471" s="7" t="s">
        <v>1178</v>
      </c>
      <c r="L1471" s="7" t="s">
        <v>132</v>
      </c>
      <c r="M1471" s="7" t="s">
        <v>133</v>
      </c>
      <c r="N1471" s="30">
        <v>0</v>
      </c>
      <c r="O1471" s="30">
        <v>0</v>
      </c>
      <c r="P1471" s="30">
        <v>0</v>
      </c>
      <c r="Q1471" s="30">
        <v>0</v>
      </c>
      <c r="R1471" s="29">
        <v>0</v>
      </c>
      <c r="S1471" s="36">
        <v>0</v>
      </c>
      <c r="T1471" s="7" t="s">
        <v>131</v>
      </c>
      <c r="U1471" s="7" t="s">
        <v>1040</v>
      </c>
      <c r="V1471" s="7" t="s">
        <v>1040</v>
      </c>
      <c r="W1471" s="7" t="s">
        <v>1177</v>
      </c>
      <c r="X1471" s="30">
        <v>1</v>
      </c>
      <c r="Y1471" s="7" t="s">
        <v>1177</v>
      </c>
      <c r="Z1471" s="7" t="s">
        <v>1178</v>
      </c>
      <c r="AA1471" s="30">
        <v>0</v>
      </c>
      <c r="AB1471" s="36">
        <v>0</v>
      </c>
      <c r="AC1471" s="7" t="s">
        <v>1177</v>
      </c>
      <c r="AD1471" s="37">
        <v>0</v>
      </c>
      <c r="AE1471" s="7" t="s">
        <v>1177</v>
      </c>
      <c r="AF1471" s="7" t="s">
        <v>1177</v>
      </c>
      <c r="AG1471" s="7" t="s">
        <v>1177</v>
      </c>
      <c r="AH1471" s="38"/>
      <c r="AI1471" s="36">
        <v>0</v>
      </c>
      <c r="AJ1471" s="7" t="s">
        <v>1193</v>
      </c>
      <c r="AK1471" s="7" t="s">
        <v>1177</v>
      </c>
      <c r="AL1471" s="7" t="s">
        <v>1177</v>
      </c>
      <c r="AM1471" s="7" t="s">
        <v>1177</v>
      </c>
      <c r="AN1471" s="7" t="s">
        <v>3212</v>
      </c>
      <c r="AO1471" s="7" t="s">
        <v>1177</v>
      </c>
      <c r="AP1471" s="7" t="s">
        <v>1177</v>
      </c>
      <c r="AQ1471" s="7" t="s">
        <v>1177</v>
      </c>
      <c r="AR1471" s="29">
        <v>0</v>
      </c>
      <c r="AS1471" s="7" t="s">
        <v>1177</v>
      </c>
      <c r="AT1471" s="7" t="s">
        <v>1363</v>
      </c>
      <c r="AU1471" s="38">
        <v>46275</v>
      </c>
      <c r="AV1471" s="39">
        <v>0.62673611111111005</v>
      </c>
    </row>
    <row r="1472" spans="1:48" x14ac:dyDescent="0.35">
      <c r="A1472" t="str">
        <f t="shared" si="22"/>
        <v>GP351497B856</v>
      </c>
      <c r="B1472" s="7" t="s">
        <v>93</v>
      </c>
      <c r="C1472" s="7" t="s">
        <v>852</v>
      </c>
      <c r="D1472" s="7" t="s">
        <v>21</v>
      </c>
      <c r="E1472" s="7" t="s">
        <v>1177</v>
      </c>
      <c r="F1472" s="7" t="s">
        <v>128</v>
      </c>
      <c r="G1472" s="7" t="s">
        <v>130</v>
      </c>
      <c r="H1472" s="7" t="s">
        <v>129</v>
      </c>
      <c r="I1472" s="30">
        <v>2</v>
      </c>
      <c r="J1472" s="7" t="s">
        <v>1177</v>
      </c>
      <c r="K1472" s="7" t="s">
        <v>1178</v>
      </c>
      <c r="L1472" s="7" t="s">
        <v>132</v>
      </c>
      <c r="M1472" s="7" t="s">
        <v>133</v>
      </c>
      <c r="N1472" s="30">
        <v>0</v>
      </c>
      <c r="O1472" s="30">
        <v>0</v>
      </c>
      <c r="P1472" s="30">
        <v>0</v>
      </c>
      <c r="Q1472" s="30">
        <v>0</v>
      </c>
      <c r="R1472" s="29">
        <v>0</v>
      </c>
      <c r="S1472" s="36">
        <v>0</v>
      </c>
      <c r="T1472" s="7" t="s">
        <v>131</v>
      </c>
      <c r="U1472" s="7" t="s">
        <v>853</v>
      </c>
      <c r="V1472" s="7" t="s">
        <v>853</v>
      </c>
      <c r="W1472" s="7" t="s">
        <v>1177</v>
      </c>
      <c r="X1472" s="30">
        <v>1</v>
      </c>
      <c r="Y1472" s="7" t="s">
        <v>1177</v>
      </c>
      <c r="Z1472" s="7" t="s">
        <v>1178</v>
      </c>
      <c r="AA1472" s="30">
        <v>0</v>
      </c>
      <c r="AB1472" s="36">
        <v>0</v>
      </c>
      <c r="AC1472" s="7" t="s">
        <v>1177</v>
      </c>
      <c r="AD1472" s="37">
        <v>0</v>
      </c>
      <c r="AE1472" s="7" t="s">
        <v>1177</v>
      </c>
      <c r="AF1472" s="7" t="s">
        <v>1177</v>
      </c>
      <c r="AG1472" s="7" t="s">
        <v>1177</v>
      </c>
      <c r="AH1472" s="38"/>
      <c r="AI1472" s="36">
        <v>0</v>
      </c>
      <c r="AJ1472" s="7" t="s">
        <v>1193</v>
      </c>
      <c r="AK1472" s="7" t="s">
        <v>1177</v>
      </c>
      <c r="AL1472" s="7" t="s">
        <v>1177</v>
      </c>
      <c r="AM1472" s="7" t="s">
        <v>1177</v>
      </c>
      <c r="AN1472" s="7" t="s">
        <v>3212</v>
      </c>
      <c r="AO1472" s="7" t="s">
        <v>1177</v>
      </c>
      <c r="AP1472" s="7" t="s">
        <v>1177</v>
      </c>
      <c r="AQ1472" s="7" t="s">
        <v>1177</v>
      </c>
      <c r="AR1472" s="29">
        <v>0</v>
      </c>
      <c r="AS1472" s="7" t="s">
        <v>1177</v>
      </c>
      <c r="AT1472" s="7" t="s">
        <v>1363</v>
      </c>
      <c r="AU1472" s="38">
        <v>46275</v>
      </c>
      <c r="AV1472" s="39">
        <v>0.62489583333332999</v>
      </c>
    </row>
    <row r="1473" spans="1:48" x14ac:dyDescent="0.35">
      <c r="A1473" t="str">
        <f t="shared" si="22"/>
        <v>GP355611B838</v>
      </c>
      <c r="B1473" s="7" t="s">
        <v>506</v>
      </c>
      <c r="C1473" s="7" t="s">
        <v>744</v>
      </c>
      <c r="D1473" s="7" t="s">
        <v>48</v>
      </c>
      <c r="E1473" s="7" t="s">
        <v>1177</v>
      </c>
      <c r="F1473" s="7" t="s">
        <v>134</v>
      </c>
      <c r="G1473" s="7" t="s">
        <v>130</v>
      </c>
      <c r="H1473" s="7" t="s">
        <v>129</v>
      </c>
      <c r="I1473" s="30">
        <v>1</v>
      </c>
      <c r="J1473" s="7" t="s">
        <v>1177</v>
      </c>
      <c r="K1473" s="7" t="s">
        <v>1178</v>
      </c>
      <c r="L1473" s="7" t="s">
        <v>132</v>
      </c>
      <c r="M1473" s="7" t="s">
        <v>133</v>
      </c>
      <c r="N1473" s="30">
        <v>0</v>
      </c>
      <c r="O1473" s="30">
        <v>0</v>
      </c>
      <c r="P1473" s="30">
        <v>0</v>
      </c>
      <c r="Q1473" s="30">
        <v>0</v>
      </c>
      <c r="R1473" s="29">
        <v>0</v>
      </c>
      <c r="S1473" s="36">
        <v>0</v>
      </c>
      <c r="T1473" s="7" t="s">
        <v>131</v>
      </c>
      <c r="U1473" s="7" t="s">
        <v>745</v>
      </c>
      <c r="V1473" s="7" t="s">
        <v>745</v>
      </c>
      <c r="W1473" s="7" t="s">
        <v>1177</v>
      </c>
      <c r="X1473" s="30">
        <v>1</v>
      </c>
      <c r="Y1473" s="7" t="s">
        <v>1177</v>
      </c>
      <c r="Z1473" s="7" t="s">
        <v>1178</v>
      </c>
      <c r="AA1473" s="30">
        <v>0</v>
      </c>
      <c r="AB1473" s="36">
        <v>0</v>
      </c>
      <c r="AC1473" s="7" t="s">
        <v>1177</v>
      </c>
      <c r="AD1473" s="37">
        <v>0</v>
      </c>
      <c r="AE1473" s="7" t="s">
        <v>1177</v>
      </c>
      <c r="AF1473" s="7" t="s">
        <v>1177</v>
      </c>
      <c r="AG1473" s="7" t="s">
        <v>1177</v>
      </c>
      <c r="AH1473" s="38"/>
      <c r="AI1473" s="36">
        <v>0</v>
      </c>
      <c r="AJ1473" s="7" t="s">
        <v>1193</v>
      </c>
      <c r="AK1473" s="7" t="s">
        <v>1177</v>
      </c>
      <c r="AL1473" s="7" t="s">
        <v>1177</v>
      </c>
      <c r="AM1473" s="7" t="s">
        <v>1177</v>
      </c>
      <c r="AN1473" s="7" t="s">
        <v>3212</v>
      </c>
      <c r="AO1473" s="7" t="s">
        <v>1177</v>
      </c>
      <c r="AP1473" s="7" t="s">
        <v>1177</v>
      </c>
      <c r="AQ1473" s="7" t="s">
        <v>1177</v>
      </c>
      <c r="AR1473" s="29">
        <v>0</v>
      </c>
      <c r="AS1473" s="7" t="s">
        <v>1177</v>
      </c>
      <c r="AT1473" s="7" t="s">
        <v>1363</v>
      </c>
      <c r="AU1473" s="38">
        <v>46275</v>
      </c>
      <c r="AV1473" s="39">
        <v>0.60443287037036997</v>
      </c>
    </row>
    <row r="1474" spans="1:48" x14ac:dyDescent="0.35">
      <c r="A1474" t="str">
        <f t="shared" si="22"/>
        <v>GP356037B856</v>
      </c>
      <c r="B1474" s="7" t="s">
        <v>907</v>
      </c>
      <c r="C1474" s="7" t="s">
        <v>852</v>
      </c>
      <c r="D1474" s="7" t="s">
        <v>21</v>
      </c>
      <c r="E1474" s="7" t="s">
        <v>1177</v>
      </c>
      <c r="F1474" s="7" t="s">
        <v>128</v>
      </c>
      <c r="G1474" s="7" t="s">
        <v>130</v>
      </c>
      <c r="H1474" s="7" t="s">
        <v>129</v>
      </c>
      <c r="I1474" s="30">
        <v>1</v>
      </c>
      <c r="J1474" s="7" t="s">
        <v>1177</v>
      </c>
      <c r="K1474" s="7" t="s">
        <v>1178</v>
      </c>
      <c r="L1474" s="7" t="s">
        <v>132</v>
      </c>
      <c r="M1474" s="7" t="s">
        <v>133</v>
      </c>
      <c r="N1474" s="30">
        <v>0</v>
      </c>
      <c r="O1474" s="30">
        <v>0</v>
      </c>
      <c r="P1474" s="30">
        <v>0</v>
      </c>
      <c r="Q1474" s="30">
        <v>0</v>
      </c>
      <c r="R1474" s="29">
        <v>0</v>
      </c>
      <c r="S1474" s="36">
        <v>0</v>
      </c>
      <c r="T1474" s="7" t="s">
        <v>131</v>
      </c>
      <c r="U1474" s="7" t="s">
        <v>853</v>
      </c>
      <c r="V1474" s="7" t="s">
        <v>853</v>
      </c>
      <c r="W1474" s="7" t="s">
        <v>1177</v>
      </c>
      <c r="X1474" s="30">
        <v>1</v>
      </c>
      <c r="Y1474" s="7" t="s">
        <v>1177</v>
      </c>
      <c r="Z1474" s="7" t="s">
        <v>1178</v>
      </c>
      <c r="AA1474" s="30">
        <v>0</v>
      </c>
      <c r="AB1474" s="36">
        <v>0</v>
      </c>
      <c r="AC1474" s="7" t="s">
        <v>1177</v>
      </c>
      <c r="AD1474" s="37">
        <v>0</v>
      </c>
      <c r="AE1474" s="7" t="s">
        <v>1177</v>
      </c>
      <c r="AF1474" s="7" t="s">
        <v>1177</v>
      </c>
      <c r="AG1474" s="7" t="s">
        <v>1177</v>
      </c>
      <c r="AH1474" s="38"/>
      <c r="AI1474" s="36">
        <v>0</v>
      </c>
      <c r="AJ1474" s="7" t="s">
        <v>1193</v>
      </c>
      <c r="AK1474" s="7" t="s">
        <v>1177</v>
      </c>
      <c r="AL1474" s="7" t="s">
        <v>1177</v>
      </c>
      <c r="AM1474" s="7" t="s">
        <v>1177</v>
      </c>
      <c r="AN1474" s="7" t="s">
        <v>3212</v>
      </c>
      <c r="AO1474" s="7" t="s">
        <v>1177</v>
      </c>
      <c r="AP1474" s="7" t="s">
        <v>1177</v>
      </c>
      <c r="AQ1474" s="7" t="s">
        <v>1177</v>
      </c>
      <c r="AR1474" s="29">
        <v>0</v>
      </c>
      <c r="AS1474" s="7" t="s">
        <v>1177</v>
      </c>
      <c r="AT1474" s="7" t="s">
        <v>1363</v>
      </c>
      <c r="AU1474" s="38">
        <v>46275</v>
      </c>
      <c r="AV1474" s="39">
        <v>0.62490740740741002</v>
      </c>
    </row>
    <row r="1475" spans="1:48" x14ac:dyDescent="0.35">
      <c r="A1475" t="str">
        <f t="shared" ref="A1475:A1538" si="23">_xlfn.CONCAT(B1475,D1475)</f>
        <v>GP356084B825</v>
      </c>
      <c r="B1475" s="7" t="s">
        <v>611</v>
      </c>
      <c r="C1475" s="7" t="s">
        <v>511</v>
      </c>
      <c r="D1475" s="7" t="s">
        <v>16</v>
      </c>
      <c r="E1475" s="7" t="s">
        <v>1177</v>
      </c>
      <c r="F1475" s="7" t="s">
        <v>128</v>
      </c>
      <c r="G1475" s="7" t="s">
        <v>130</v>
      </c>
      <c r="H1475" s="7" t="s">
        <v>129</v>
      </c>
      <c r="I1475" s="30">
        <v>2</v>
      </c>
      <c r="J1475" s="7" t="s">
        <v>1177</v>
      </c>
      <c r="K1475" s="7" t="s">
        <v>1178</v>
      </c>
      <c r="L1475" s="7" t="s">
        <v>132</v>
      </c>
      <c r="M1475" s="7" t="s">
        <v>133</v>
      </c>
      <c r="N1475" s="30">
        <v>0</v>
      </c>
      <c r="O1475" s="30">
        <v>0</v>
      </c>
      <c r="P1475" s="30">
        <v>0</v>
      </c>
      <c r="Q1475" s="30">
        <v>0</v>
      </c>
      <c r="R1475" s="29">
        <v>0</v>
      </c>
      <c r="S1475" s="36">
        <v>0</v>
      </c>
      <c r="T1475" s="7" t="s">
        <v>131</v>
      </c>
      <c r="U1475" s="7" t="s">
        <v>512</v>
      </c>
      <c r="V1475" s="7" t="s">
        <v>512</v>
      </c>
      <c r="W1475" s="7" t="s">
        <v>1177</v>
      </c>
      <c r="X1475" s="30">
        <v>1</v>
      </c>
      <c r="Y1475" s="7" t="s">
        <v>1177</v>
      </c>
      <c r="Z1475" s="7" t="s">
        <v>1178</v>
      </c>
      <c r="AA1475" s="30">
        <v>0</v>
      </c>
      <c r="AB1475" s="36">
        <v>0</v>
      </c>
      <c r="AC1475" s="7" t="s">
        <v>1177</v>
      </c>
      <c r="AD1475" s="37">
        <v>0</v>
      </c>
      <c r="AE1475" s="7" t="s">
        <v>1177</v>
      </c>
      <c r="AF1475" s="7" t="s">
        <v>1177</v>
      </c>
      <c r="AG1475" s="7" t="s">
        <v>1177</v>
      </c>
      <c r="AH1475" s="38"/>
      <c r="AI1475" s="36">
        <v>0</v>
      </c>
      <c r="AJ1475" s="7" t="s">
        <v>1193</v>
      </c>
      <c r="AK1475" s="7" t="s">
        <v>1177</v>
      </c>
      <c r="AL1475" s="7" t="s">
        <v>1177</v>
      </c>
      <c r="AM1475" s="7" t="s">
        <v>1177</v>
      </c>
      <c r="AN1475" s="7" t="s">
        <v>3212</v>
      </c>
      <c r="AO1475" s="7" t="s">
        <v>1177</v>
      </c>
      <c r="AP1475" s="7" t="s">
        <v>1177</v>
      </c>
      <c r="AQ1475" s="7" t="s">
        <v>1177</v>
      </c>
      <c r="AR1475" s="29">
        <v>0</v>
      </c>
      <c r="AS1475" s="7" t="s">
        <v>1177</v>
      </c>
      <c r="AT1475" s="7" t="s">
        <v>1363</v>
      </c>
      <c r="AU1475" s="38">
        <v>46275</v>
      </c>
      <c r="AV1475" s="39">
        <v>0.62305555555556003</v>
      </c>
    </row>
    <row r="1476" spans="1:48" x14ac:dyDescent="0.35">
      <c r="A1476" t="str">
        <f t="shared" si="23"/>
        <v>GP356544B838</v>
      </c>
      <c r="B1476" s="7" t="s">
        <v>770</v>
      </c>
      <c r="C1476" s="7" t="s">
        <v>744</v>
      </c>
      <c r="D1476" s="7" t="s">
        <v>48</v>
      </c>
      <c r="E1476" s="7" t="s">
        <v>1177</v>
      </c>
      <c r="F1476" s="7" t="s">
        <v>128</v>
      </c>
      <c r="G1476" s="7" t="s">
        <v>130</v>
      </c>
      <c r="H1476" s="7" t="s">
        <v>129</v>
      </c>
      <c r="I1476" s="30">
        <v>1</v>
      </c>
      <c r="J1476" s="7" t="s">
        <v>1177</v>
      </c>
      <c r="K1476" s="7" t="s">
        <v>1178</v>
      </c>
      <c r="L1476" s="7" t="s">
        <v>132</v>
      </c>
      <c r="M1476" s="7" t="s">
        <v>133</v>
      </c>
      <c r="N1476" s="30">
        <v>0</v>
      </c>
      <c r="O1476" s="30">
        <v>0</v>
      </c>
      <c r="P1476" s="30">
        <v>0</v>
      </c>
      <c r="Q1476" s="30">
        <v>0</v>
      </c>
      <c r="R1476" s="29">
        <v>0</v>
      </c>
      <c r="S1476" s="36">
        <v>0</v>
      </c>
      <c r="T1476" s="7" t="s">
        <v>131</v>
      </c>
      <c r="U1476" s="7" t="s">
        <v>745</v>
      </c>
      <c r="V1476" s="7" t="s">
        <v>745</v>
      </c>
      <c r="W1476" s="7" t="s">
        <v>1177</v>
      </c>
      <c r="X1476" s="30">
        <v>1</v>
      </c>
      <c r="Y1476" s="7" t="s">
        <v>1177</v>
      </c>
      <c r="Z1476" s="7" t="s">
        <v>1178</v>
      </c>
      <c r="AA1476" s="30">
        <v>0</v>
      </c>
      <c r="AB1476" s="36">
        <v>0</v>
      </c>
      <c r="AC1476" s="7" t="s">
        <v>1177</v>
      </c>
      <c r="AD1476" s="37">
        <v>0</v>
      </c>
      <c r="AE1476" s="7" t="s">
        <v>1177</v>
      </c>
      <c r="AF1476" s="7" t="s">
        <v>1177</v>
      </c>
      <c r="AG1476" s="7" t="s">
        <v>1177</v>
      </c>
      <c r="AH1476" s="38"/>
      <c r="AI1476" s="36">
        <v>0</v>
      </c>
      <c r="AJ1476" s="7" t="s">
        <v>1193</v>
      </c>
      <c r="AK1476" s="7" t="s">
        <v>1177</v>
      </c>
      <c r="AL1476" s="7" t="s">
        <v>1177</v>
      </c>
      <c r="AM1476" s="7" t="s">
        <v>1177</v>
      </c>
      <c r="AN1476" s="7" t="s">
        <v>3212</v>
      </c>
      <c r="AO1476" s="7" t="s">
        <v>1177</v>
      </c>
      <c r="AP1476" s="7" t="s">
        <v>1177</v>
      </c>
      <c r="AQ1476" s="7" t="s">
        <v>1177</v>
      </c>
      <c r="AR1476" s="29">
        <v>0</v>
      </c>
      <c r="AS1476" s="7" t="s">
        <v>1177</v>
      </c>
      <c r="AT1476" s="7" t="s">
        <v>1363</v>
      </c>
      <c r="AU1476" s="38">
        <v>46275</v>
      </c>
      <c r="AV1476" s="39">
        <v>0.62399305555555995</v>
      </c>
    </row>
    <row r="1477" spans="1:48" x14ac:dyDescent="0.35">
      <c r="A1477" t="str">
        <f t="shared" si="23"/>
        <v>GP358901B825</v>
      </c>
      <c r="B1477" s="7" t="s">
        <v>424</v>
      </c>
      <c r="C1477" s="7" t="s">
        <v>511</v>
      </c>
      <c r="D1477" s="7" t="s">
        <v>16</v>
      </c>
      <c r="E1477" s="7" t="s">
        <v>1177</v>
      </c>
      <c r="F1477" s="7" t="s">
        <v>128</v>
      </c>
      <c r="G1477" s="7" t="s">
        <v>130</v>
      </c>
      <c r="H1477" s="7" t="s">
        <v>129</v>
      </c>
      <c r="I1477" s="30">
        <v>1</v>
      </c>
      <c r="J1477" s="7" t="s">
        <v>1177</v>
      </c>
      <c r="K1477" s="7" t="s">
        <v>1178</v>
      </c>
      <c r="L1477" s="7" t="s">
        <v>132</v>
      </c>
      <c r="M1477" s="7" t="s">
        <v>133</v>
      </c>
      <c r="N1477" s="30">
        <v>0</v>
      </c>
      <c r="O1477" s="30">
        <v>0</v>
      </c>
      <c r="P1477" s="30">
        <v>0</v>
      </c>
      <c r="Q1477" s="30">
        <v>0</v>
      </c>
      <c r="R1477" s="29">
        <v>0</v>
      </c>
      <c r="S1477" s="36">
        <v>0</v>
      </c>
      <c r="T1477" s="7" t="s">
        <v>131</v>
      </c>
      <c r="U1477" s="7" t="s">
        <v>512</v>
      </c>
      <c r="V1477" s="7" t="s">
        <v>512</v>
      </c>
      <c r="W1477" s="7" t="s">
        <v>1177</v>
      </c>
      <c r="X1477" s="30">
        <v>1</v>
      </c>
      <c r="Y1477" s="7" t="s">
        <v>1177</v>
      </c>
      <c r="Z1477" s="7" t="s">
        <v>1178</v>
      </c>
      <c r="AA1477" s="30">
        <v>0</v>
      </c>
      <c r="AB1477" s="36">
        <v>0</v>
      </c>
      <c r="AC1477" s="7" t="s">
        <v>1177</v>
      </c>
      <c r="AD1477" s="37">
        <v>0</v>
      </c>
      <c r="AE1477" s="7" t="s">
        <v>1177</v>
      </c>
      <c r="AF1477" s="7" t="s">
        <v>1177</v>
      </c>
      <c r="AG1477" s="7" t="s">
        <v>1177</v>
      </c>
      <c r="AH1477" s="38"/>
      <c r="AI1477" s="36">
        <v>0</v>
      </c>
      <c r="AJ1477" s="7" t="s">
        <v>1193</v>
      </c>
      <c r="AK1477" s="7" t="s">
        <v>1177</v>
      </c>
      <c r="AL1477" s="7" t="s">
        <v>1177</v>
      </c>
      <c r="AM1477" s="7" t="s">
        <v>1177</v>
      </c>
      <c r="AN1477" s="7" t="s">
        <v>3212</v>
      </c>
      <c r="AO1477" s="7" t="s">
        <v>1177</v>
      </c>
      <c r="AP1477" s="7" t="s">
        <v>1177</v>
      </c>
      <c r="AQ1477" s="7" t="s">
        <v>1177</v>
      </c>
      <c r="AR1477" s="29">
        <v>0</v>
      </c>
      <c r="AS1477" s="7" t="s">
        <v>1177</v>
      </c>
      <c r="AT1477" s="7" t="s">
        <v>1363</v>
      </c>
      <c r="AU1477" s="38">
        <v>46275</v>
      </c>
      <c r="AV1477" s="39">
        <v>0.62305555555556003</v>
      </c>
    </row>
    <row r="1478" spans="1:48" x14ac:dyDescent="0.35">
      <c r="A1478" t="str">
        <f t="shared" si="23"/>
        <v>GP361490B865</v>
      </c>
      <c r="B1478" s="7" t="s">
        <v>821</v>
      </c>
      <c r="C1478" s="7" t="s">
        <v>1039</v>
      </c>
      <c r="D1478" s="7" t="s">
        <v>7</v>
      </c>
      <c r="E1478" s="7" t="s">
        <v>1177</v>
      </c>
      <c r="F1478" s="7" t="s">
        <v>128</v>
      </c>
      <c r="G1478" s="7" t="s">
        <v>130</v>
      </c>
      <c r="H1478" s="7" t="s">
        <v>129</v>
      </c>
      <c r="I1478" s="30">
        <v>1</v>
      </c>
      <c r="J1478" s="7" t="s">
        <v>1177</v>
      </c>
      <c r="K1478" s="7" t="s">
        <v>1178</v>
      </c>
      <c r="L1478" s="7" t="s">
        <v>132</v>
      </c>
      <c r="M1478" s="7" t="s">
        <v>133</v>
      </c>
      <c r="N1478" s="30">
        <v>0</v>
      </c>
      <c r="O1478" s="30">
        <v>0</v>
      </c>
      <c r="P1478" s="30">
        <v>0</v>
      </c>
      <c r="Q1478" s="30">
        <v>0</v>
      </c>
      <c r="R1478" s="29">
        <v>0</v>
      </c>
      <c r="S1478" s="36">
        <v>0</v>
      </c>
      <c r="T1478" s="7" t="s">
        <v>131</v>
      </c>
      <c r="U1478" s="7" t="s">
        <v>1040</v>
      </c>
      <c r="V1478" s="7" t="s">
        <v>1040</v>
      </c>
      <c r="W1478" s="7" t="s">
        <v>1177</v>
      </c>
      <c r="X1478" s="30">
        <v>1</v>
      </c>
      <c r="Y1478" s="7" t="s">
        <v>1177</v>
      </c>
      <c r="Z1478" s="7" t="s">
        <v>1178</v>
      </c>
      <c r="AA1478" s="30">
        <v>0</v>
      </c>
      <c r="AB1478" s="36">
        <v>0</v>
      </c>
      <c r="AC1478" s="7" t="s">
        <v>1177</v>
      </c>
      <c r="AD1478" s="37">
        <v>0</v>
      </c>
      <c r="AE1478" s="7" t="s">
        <v>1177</v>
      </c>
      <c r="AF1478" s="7" t="s">
        <v>1177</v>
      </c>
      <c r="AG1478" s="7" t="s">
        <v>1177</v>
      </c>
      <c r="AH1478" s="38"/>
      <c r="AI1478" s="36">
        <v>0</v>
      </c>
      <c r="AJ1478" s="7" t="s">
        <v>1193</v>
      </c>
      <c r="AK1478" s="7" t="s">
        <v>1177</v>
      </c>
      <c r="AL1478" s="7" t="s">
        <v>1177</v>
      </c>
      <c r="AM1478" s="7" t="s">
        <v>1177</v>
      </c>
      <c r="AN1478" s="7" t="s">
        <v>3212</v>
      </c>
      <c r="AO1478" s="7" t="s">
        <v>1177</v>
      </c>
      <c r="AP1478" s="7" t="s">
        <v>1177</v>
      </c>
      <c r="AQ1478" s="7" t="s">
        <v>1177</v>
      </c>
      <c r="AR1478" s="29">
        <v>0</v>
      </c>
      <c r="AS1478" s="7" t="s">
        <v>1177</v>
      </c>
      <c r="AT1478" s="7" t="s">
        <v>1363</v>
      </c>
      <c r="AU1478" s="38">
        <v>46275</v>
      </c>
      <c r="AV1478" s="39">
        <v>0.62673611111111005</v>
      </c>
    </row>
    <row r="1479" spans="1:48" x14ac:dyDescent="0.35">
      <c r="A1479" t="str">
        <f t="shared" si="23"/>
        <v>GP361514B825</v>
      </c>
      <c r="B1479" s="7" t="s">
        <v>466</v>
      </c>
      <c r="C1479" s="7" t="s">
        <v>511</v>
      </c>
      <c r="D1479" s="7" t="s">
        <v>16</v>
      </c>
      <c r="E1479" s="7" t="s">
        <v>1177</v>
      </c>
      <c r="F1479" s="7" t="s">
        <v>128</v>
      </c>
      <c r="G1479" s="7" t="s">
        <v>130</v>
      </c>
      <c r="H1479" s="7" t="s">
        <v>129</v>
      </c>
      <c r="I1479" s="30">
        <v>2</v>
      </c>
      <c r="J1479" s="7" t="s">
        <v>1177</v>
      </c>
      <c r="K1479" s="7" t="s">
        <v>1178</v>
      </c>
      <c r="L1479" s="7" t="s">
        <v>132</v>
      </c>
      <c r="M1479" s="7" t="s">
        <v>133</v>
      </c>
      <c r="N1479" s="30">
        <v>0</v>
      </c>
      <c r="O1479" s="30">
        <v>0</v>
      </c>
      <c r="P1479" s="30">
        <v>0</v>
      </c>
      <c r="Q1479" s="30">
        <v>0</v>
      </c>
      <c r="R1479" s="29">
        <v>0</v>
      </c>
      <c r="S1479" s="36">
        <v>0</v>
      </c>
      <c r="T1479" s="7" t="s">
        <v>131</v>
      </c>
      <c r="U1479" s="7" t="s">
        <v>512</v>
      </c>
      <c r="V1479" s="7" t="s">
        <v>512</v>
      </c>
      <c r="W1479" s="7" t="s">
        <v>1177</v>
      </c>
      <c r="X1479" s="30">
        <v>1</v>
      </c>
      <c r="Y1479" s="7" t="s">
        <v>1177</v>
      </c>
      <c r="Z1479" s="7" t="s">
        <v>1178</v>
      </c>
      <c r="AA1479" s="30">
        <v>0</v>
      </c>
      <c r="AB1479" s="36">
        <v>0</v>
      </c>
      <c r="AC1479" s="7" t="s">
        <v>1177</v>
      </c>
      <c r="AD1479" s="37">
        <v>0</v>
      </c>
      <c r="AE1479" s="7" t="s">
        <v>1177</v>
      </c>
      <c r="AF1479" s="7" t="s">
        <v>1177</v>
      </c>
      <c r="AG1479" s="7" t="s">
        <v>1177</v>
      </c>
      <c r="AH1479" s="38"/>
      <c r="AI1479" s="36">
        <v>0</v>
      </c>
      <c r="AJ1479" s="7" t="s">
        <v>1193</v>
      </c>
      <c r="AK1479" s="7" t="s">
        <v>1177</v>
      </c>
      <c r="AL1479" s="7" t="s">
        <v>1177</v>
      </c>
      <c r="AM1479" s="7" t="s">
        <v>1177</v>
      </c>
      <c r="AN1479" s="7" t="s">
        <v>3212</v>
      </c>
      <c r="AO1479" s="7" t="s">
        <v>1177</v>
      </c>
      <c r="AP1479" s="7" t="s">
        <v>1177</v>
      </c>
      <c r="AQ1479" s="7" t="s">
        <v>1177</v>
      </c>
      <c r="AR1479" s="29">
        <v>0</v>
      </c>
      <c r="AS1479" s="7" t="s">
        <v>1177</v>
      </c>
      <c r="AT1479" s="7" t="s">
        <v>1363</v>
      </c>
      <c r="AU1479" s="38">
        <v>46275</v>
      </c>
      <c r="AV1479" s="39">
        <v>0.62305555555556003</v>
      </c>
    </row>
    <row r="1480" spans="1:48" x14ac:dyDescent="0.35">
      <c r="A1480" t="str">
        <f t="shared" si="23"/>
        <v>GP363684B857</v>
      </c>
      <c r="B1480" s="7" t="s">
        <v>986</v>
      </c>
      <c r="C1480" s="7" t="s">
        <v>958</v>
      </c>
      <c r="D1480" s="7" t="s">
        <v>23</v>
      </c>
      <c r="E1480" s="7" t="s">
        <v>1177</v>
      </c>
      <c r="F1480" s="7" t="s">
        <v>128</v>
      </c>
      <c r="G1480" s="7" t="s">
        <v>130</v>
      </c>
      <c r="H1480" s="7" t="s">
        <v>129</v>
      </c>
      <c r="I1480" s="30">
        <v>1</v>
      </c>
      <c r="J1480" s="7" t="s">
        <v>1177</v>
      </c>
      <c r="K1480" s="7" t="s">
        <v>1178</v>
      </c>
      <c r="L1480" s="7" t="s">
        <v>132</v>
      </c>
      <c r="M1480" s="7" t="s">
        <v>133</v>
      </c>
      <c r="N1480" s="30">
        <v>0</v>
      </c>
      <c r="O1480" s="30">
        <v>0</v>
      </c>
      <c r="P1480" s="30">
        <v>0</v>
      </c>
      <c r="Q1480" s="30">
        <v>0</v>
      </c>
      <c r="R1480" s="29">
        <v>0</v>
      </c>
      <c r="S1480" s="36">
        <v>0</v>
      </c>
      <c r="T1480" s="7" t="s">
        <v>131</v>
      </c>
      <c r="U1480" s="7" t="s">
        <v>959</v>
      </c>
      <c r="V1480" s="7" t="s">
        <v>959</v>
      </c>
      <c r="W1480" s="7" t="s">
        <v>1177</v>
      </c>
      <c r="X1480" s="30">
        <v>1</v>
      </c>
      <c r="Y1480" s="7" t="s">
        <v>1177</v>
      </c>
      <c r="Z1480" s="7" t="s">
        <v>1178</v>
      </c>
      <c r="AA1480" s="30">
        <v>0</v>
      </c>
      <c r="AB1480" s="36">
        <v>0</v>
      </c>
      <c r="AC1480" s="7" t="s">
        <v>1177</v>
      </c>
      <c r="AD1480" s="37">
        <v>0</v>
      </c>
      <c r="AE1480" s="7" t="s">
        <v>1177</v>
      </c>
      <c r="AF1480" s="7" t="s">
        <v>1177</v>
      </c>
      <c r="AG1480" s="7" t="s">
        <v>1177</v>
      </c>
      <c r="AH1480" s="38"/>
      <c r="AI1480" s="36">
        <v>0</v>
      </c>
      <c r="AJ1480" s="7" t="s">
        <v>1193</v>
      </c>
      <c r="AK1480" s="7" t="s">
        <v>1177</v>
      </c>
      <c r="AL1480" s="7" t="s">
        <v>1177</v>
      </c>
      <c r="AM1480" s="7" t="s">
        <v>1177</v>
      </c>
      <c r="AN1480" s="7" t="s">
        <v>3212</v>
      </c>
      <c r="AO1480" s="7" t="s">
        <v>1177</v>
      </c>
      <c r="AP1480" s="7" t="s">
        <v>1177</v>
      </c>
      <c r="AQ1480" s="7" t="s">
        <v>1177</v>
      </c>
      <c r="AR1480" s="29">
        <v>0</v>
      </c>
      <c r="AS1480" s="7" t="s">
        <v>1177</v>
      </c>
      <c r="AT1480" s="7" t="s">
        <v>1363</v>
      </c>
      <c r="AU1480" s="38">
        <v>46275</v>
      </c>
      <c r="AV1480" s="39">
        <v>0.62512731481480999</v>
      </c>
    </row>
    <row r="1481" spans="1:48" x14ac:dyDescent="0.35">
      <c r="A1481" t="str">
        <f t="shared" si="23"/>
        <v>GP363685B856</v>
      </c>
      <c r="B1481" s="7" t="s">
        <v>908</v>
      </c>
      <c r="C1481" s="7" t="s">
        <v>852</v>
      </c>
      <c r="D1481" s="7" t="s">
        <v>21</v>
      </c>
      <c r="E1481" s="7" t="s">
        <v>1177</v>
      </c>
      <c r="F1481" s="7" t="s">
        <v>128</v>
      </c>
      <c r="G1481" s="7" t="s">
        <v>130</v>
      </c>
      <c r="H1481" s="7" t="s">
        <v>129</v>
      </c>
      <c r="I1481" s="30">
        <v>2</v>
      </c>
      <c r="J1481" s="7" t="s">
        <v>1177</v>
      </c>
      <c r="K1481" s="7" t="s">
        <v>1178</v>
      </c>
      <c r="L1481" s="7" t="s">
        <v>132</v>
      </c>
      <c r="M1481" s="7" t="s">
        <v>133</v>
      </c>
      <c r="N1481" s="30">
        <v>0</v>
      </c>
      <c r="O1481" s="30">
        <v>0</v>
      </c>
      <c r="P1481" s="30">
        <v>0</v>
      </c>
      <c r="Q1481" s="30">
        <v>0</v>
      </c>
      <c r="R1481" s="29">
        <v>0</v>
      </c>
      <c r="S1481" s="36">
        <v>0</v>
      </c>
      <c r="T1481" s="7" t="s">
        <v>131</v>
      </c>
      <c r="U1481" s="7" t="s">
        <v>853</v>
      </c>
      <c r="V1481" s="7" t="s">
        <v>853</v>
      </c>
      <c r="W1481" s="7" t="s">
        <v>1177</v>
      </c>
      <c r="X1481" s="30">
        <v>1</v>
      </c>
      <c r="Y1481" s="7" t="s">
        <v>1177</v>
      </c>
      <c r="Z1481" s="7" t="s">
        <v>1178</v>
      </c>
      <c r="AA1481" s="30">
        <v>0</v>
      </c>
      <c r="AB1481" s="36">
        <v>0</v>
      </c>
      <c r="AC1481" s="7" t="s">
        <v>1177</v>
      </c>
      <c r="AD1481" s="37">
        <v>0</v>
      </c>
      <c r="AE1481" s="7" t="s">
        <v>1177</v>
      </c>
      <c r="AF1481" s="7" t="s">
        <v>1177</v>
      </c>
      <c r="AG1481" s="7" t="s">
        <v>1177</v>
      </c>
      <c r="AH1481" s="38"/>
      <c r="AI1481" s="36">
        <v>0</v>
      </c>
      <c r="AJ1481" s="7" t="s">
        <v>1193</v>
      </c>
      <c r="AK1481" s="7" t="s">
        <v>1177</v>
      </c>
      <c r="AL1481" s="7" t="s">
        <v>1177</v>
      </c>
      <c r="AM1481" s="7" t="s">
        <v>1177</v>
      </c>
      <c r="AN1481" s="7" t="s">
        <v>3212</v>
      </c>
      <c r="AO1481" s="7" t="s">
        <v>1177</v>
      </c>
      <c r="AP1481" s="7" t="s">
        <v>1177</v>
      </c>
      <c r="AQ1481" s="7" t="s">
        <v>1177</v>
      </c>
      <c r="AR1481" s="29">
        <v>0</v>
      </c>
      <c r="AS1481" s="7" t="s">
        <v>1177</v>
      </c>
      <c r="AT1481" s="7" t="s">
        <v>1363</v>
      </c>
      <c r="AU1481" s="38">
        <v>46275</v>
      </c>
      <c r="AV1481" s="39">
        <v>0.62490740740741002</v>
      </c>
    </row>
    <row r="1482" spans="1:48" x14ac:dyDescent="0.35">
      <c r="A1482" t="str">
        <f t="shared" si="23"/>
        <v>GP363685B857</v>
      </c>
      <c r="B1482" s="7" t="s">
        <v>908</v>
      </c>
      <c r="C1482" s="7" t="s">
        <v>958</v>
      </c>
      <c r="D1482" s="7" t="s">
        <v>23</v>
      </c>
      <c r="E1482" s="7" t="s">
        <v>1177</v>
      </c>
      <c r="F1482" s="7" t="s">
        <v>128</v>
      </c>
      <c r="G1482" s="7" t="s">
        <v>130</v>
      </c>
      <c r="H1482" s="7" t="s">
        <v>129</v>
      </c>
      <c r="I1482" s="30">
        <v>2</v>
      </c>
      <c r="J1482" s="7" t="s">
        <v>1177</v>
      </c>
      <c r="K1482" s="7" t="s">
        <v>1178</v>
      </c>
      <c r="L1482" s="7" t="s">
        <v>132</v>
      </c>
      <c r="M1482" s="7" t="s">
        <v>133</v>
      </c>
      <c r="N1482" s="30">
        <v>0</v>
      </c>
      <c r="O1482" s="30">
        <v>0</v>
      </c>
      <c r="P1482" s="30">
        <v>0</v>
      </c>
      <c r="Q1482" s="30">
        <v>0</v>
      </c>
      <c r="R1482" s="29">
        <v>0</v>
      </c>
      <c r="S1482" s="36">
        <v>0</v>
      </c>
      <c r="T1482" s="7" t="s">
        <v>131</v>
      </c>
      <c r="U1482" s="7" t="s">
        <v>959</v>
      </c>
      <c r="V1482" s="7" t="s">
        <v>959</v>
      </c>
      <c r="W1482" s="7" t="s">
        <v>1177</v>
      </c>
      <c r="X1482" s="30">
        <v>1</v>
      </c>
      <c r="Y1482" s="7" t="s">
        <v>1177</v>
      </c>
      <c r="Z1482" s="7" t="s">
        <v>1178</v>
      </c>
      <c r="AA1482" s="30">
        <v>0</v>
      </c>
      <c r="AB1482" s="36">
        <v>0</v>
      </c>
      <c r="AC1482" s="7" t="s">
        <v>1177</v>
      </c>
      <c r="AD1482" s="37">
        <v>0</v>
      </c>
      <c r="AE1482" s="7" t="s">
        <v>1177</v>
      </c>
      <c r="AF1482" s="7" t="s">
        <v>1177</v>
      </c>
      <c r="AG1482" s="7" t="s">
        <v>1177</v>
      </c>
      <c r="AH1482" s="38"/>
      <c r="AI1482" s="36">
        <v>0</v>
      </c>
      <c r="AJ1482" s="7" t="s">
        <v>1193</v>
      </c>
      <c r="AK1482" s="7" t="s">
        <v>1177</v>
      </c>
      <c r="AL1482" s="7" t="s">
        <v>1177</v>
      </c>
      <c r="AM1482" s="7" t="s">
        <v>1177</v>
      </c>
      <c r="AN1482" s="7" t="s">
        <v>3212</v>
      </c>
      <c r="AO1482" s="7" t="s">
        <v>1177</v>
      </c>
      <c r="AP1482" s="7" t="s">
        <v>1177</v>
      </c>
      <c r="AQ1482" s="7" t="s">
        <v>1177</v>
      </c>
      <c r="AR1482" s="29">
        <v>0</v>
      </c>
      <c r="AS1482" s="7" t="s">
        <v>1177</v>
      </c>
      <c r="AT1482" s="7" t="s">
        <v>1363</v>
      </c>
      <c r="AU1482" s="38">
        <v>46275</v>
      </c>
      <c r="AV1482" s="39">
        <v>0.62512731481480999</v>
      </c>
    </row>
    <row r="1483" spans="1:48" x14ac:dyDescent="0.35">
      <c r="A1483" t="str">
        <f t="shared" si="23"/>
        <v>GP364581B856</v>
      </c>
      <c r="B1483" s="7" t="s">
        <v>822</v>
      </c>
      <c r="C1483" s="7" t="s">
        <v>852</v>
      </c>
      <c r="D1483" s="7" t="s">
        <v>21</v>
      </c>
      <c r="E1483" s="7" t="s">
        <v>1177</v>
      </c>
      <c r="F1483" s="7" t="s">
        <v>128</v>
      </c>
      <c r="G1483" s="7" t="s">
        <v>130</v>
      </c>
      <c r="H1483" s="7" t="s">
        <v>129</v>
      </c>
      <c r="I1483" s="30">
        <v>2</v>
      </c>
      <c r="J1483" s="7" t="s">
        <v>1177</v>
      </c>
      <c r="K1483" s="7" t="s">
        <v>1178</v>
      </c>
      <c r="L1483" s="7" t="s">
        <v>132</v>
      </c>
      <c r="M1483" s="7" t="s">
        <v>133</v>
      </c>
      <c r="N1483" s="30">
        <v>0</v>
      </c>
      <c r="O1483" s="30">
        <v>0</v>
      </c>
      <c r="P1483" s="30">
        <v>0</v>
      </c>
      <c r="Q1483" s="30">
        <v>0</v>
      </c>
      <c r="R1483" s="29">
        <v>0</v>
      </c>
      <c r="S1483" s="36">
        <v>0</v>
      </c>
      <c r="T1483" s="7" t="s">
        <v>131</v>
      </c>
      <c r="U1483" s="7" t="s">
        <v>853</v>
      </c>
      <c r="V1483" s="7" t="s">
        <v>853</v>
      </c>
      <c r="W1483" s="7" t="s">
        <v>1177</v>
      </c>
      <c r="X1483" s="30">
        <v>1</v>
      </c>
      <c r="Y1483" s="7" t="s">
        <v>1177</v>
      </c>
      <c r="Z1483" s="7" t="s">
        <v>1178</v>
      </c>
      <c r="AA1483" s="30">
        <v>0</v>
      </c>
      <c r="AB1483" s="36">
        <v>0</v>
      </c>
      <c r="AC1483" s="7" t="s">
        <v>1177</v>
      </c>
      <c r="AD1483" s="37">
        <v>0</v>
      </c>
      <c r="AE1483" s="7" t="s">
        <v>1177</v>
      </c>
      <c r="AF1483" s="7" t="s">
        <v>1177</v>
      </c>
      <c r="AG1483" s="7" t="s">
        <v>1177</v>
      </c>
      <c r="AH1483" s="38"/>
      <c r="AI1483" s="36">
        <v>0</v>
      </c>
      <c r="AJ1483" s="7" t="s">
        <v>1193</v>
      </c>
      <c r="AK1483" s="7" t="s">
        <v>1177</v>
      </c>
      <c r="AL1483" s="7" t="s">
        <v>1177</v>
      </c>
      <c r="AM1483" s="7" t="s">
        <v>1177</v>
      </c>
      <c r="AN1483" s="7" t="s">
        <v>3212</v>
      </c>
      <c r="AO1483" s="7" t="s">
        <v>1177</v>
      </c>
      <c r="AP1483" s="7" t="s">
        <v>1177</v>
      </c>
      <c r="AQ1483" s="7" t="s">
        <v>1177</v>
      </c>
      <c r="AR1483" s="29">
        <v>0</v>
      </c>
      <c r="AS1483" s="7" t="s">
        <v>1177</v>
      </c>
      <c r="AT1483" s="7" t="s">
        <v>1363</v>
      </c>
      <c r="AU1483" s="38">
        <v>46275</v>
      </c>
      <c r="AV1483" s="39">
        <v>0.62490740740741002</v>
      </c>
    </row>
    <row r="1484" spans="1:48" x14ac:dyDescent="0.35">
      <c r="A1484" t="str">
        <f t="shared" si="23"/>
        <v>GP364581B857</v>
      </c>
      <c r="B1484" s="7" t="s">
        <v>822</v>
      </c>
      <c r="C1484" s="7" t="s">
        <v>958</v>
      </c>
      <c r="D1484" s="7" t="s">
        <v>23</v>
      </c>
      <c r="E1484" s="7" t="s">
        <v>1177</v>
      </c>
      <c r="F1484" s="7" t="s">
        <v>128</v>
      </c>
      <c r="G1484" s="7" t="s">
        <v>130</v>
      </c>
      <c r="H1484" s="7" t="s">
        <v>129</v>
      </c>
      <c r="I1484" s="30">
        <v>1</v>
      </c>
      <c r="J1484" s="7" t="s">
        <v>1177</v>
      </c>
      <c r="K1484" s="7" t="s">
        <v>1178</v>
      </c>
      <c r="L1484" s="7" t="s">
        <v>132</v>
      </c>
      <c r="M1484" s="7" t="s">
        <v>133</v>
      </c>
      <c r="N1484" s="30">
        <v>0</v>
      </c>
      <c r="O1484" s="30">
        <v>0</v>
      </c>
      <c r="P1484" s="30">
        <v>0</v>
      </c>
      <c r="Q1484" s="30">
        <v>0</v>
      </c>
      <c r="R1484" s="29">
        <v>0</v>
      </c>
      <c r="S1484" s="36">
        <v>0</v>
      </c>
      <c r="T1484" s="7" t="s">
        <v>131</v>
      </c>
      <c r="U1484" s="7" t="s">
        <v>959</v>
      </c>
      <c r="V1484" s="7" t="s">
        <v>959</v>
      </c>
      <c r="W1484" s="7" t="s">
        <v>1177</v>
      </c>
      <c r="X1484" s="30">
        <v>1</v>
      </c>
      <c r="Y1484" s="7" t="s">
        <v>1177</v>
      </c>
      <c r="Z1484" s="7" t="s">
        <v>1178</v>
      </c>
      <c r="AA1484" s="30">
        <v>0</v>
      </c>
      <c r="AB1484" s="36">
        <v>0</v>
      </c>
      <c r="AC1484" s="7" t="s">
        <v>1177</v>
      </c>
      <c r="AD1484" s="37">
        <v>0</v>
      </c>
      <c r="AE1484" s="7" t="s">
        <v>1177</v>
      </c>
      <c r="AF1484" s="7" t="s">
        <v>1177</v>
      </c>
      <c r="AG1484" s="7" t="s">
        <v>1177</v>
      </c>
      <c r="AH1484" s="38"/>
      <c r="AI1484" s="36">
        <v>0</v>
      </c>
      <c r="AJ1484" s="7" t="s">
        <v>1193</v>
      </c>
      <c r="AK1484" s="7" t="s">
        <v>1177</v>
      </c>
      <c r="AL1484" s="7" t="s">
        <v>1177</v>
      </c>
      <c r="AM1484" s="7" t="s">
        <v>1177</v>
      </c>
      <c r="AN1484" s="7" t="s">
        <v>3212</v>
      </c>
      <c r="AO1484" s="7" t="s">
        <v>1177</v>
      </c>
      <c r="AP1484" s="7" t="s">
        <v>1177</v>
      </c>
      <c r="AQ1484" s="7" t="s">
        <v>1177</v>
      </c>
      <c r="AR1484" s="29">
        <v>0</v>
      </c>
      <c r="AS1484" s="7" t="s">
        <v>1177</v>
      </c>
      <c r="AT1484" s="7" t="s">
        <v>1363</v>
      </c>
      <c r="AU1484" s="38">
        <v>46275</v>
      </c>
      <c r="AV1484" s="39">
        <v>0.62513888888889002</v>
      </c>
    </row>
    <row r="1485" spans="1:48" x14ac:dyDescent="0.35">
      <c r="A1485" t="str">
        <f t="shared" si="23"/>
        <v>GP365395B864</v>
      </c>
      <c r="B1485" s="7" t="s">
        <v>1026</v>
      </c>
      <c r="C1485" s="7" t="s">
        <v>1010</v>
      </c>
      <c r="D1485" s="7" t="s">
        <v>10</v>
      </c>
      <c r="E1485" s="7" t="s">
        <v>1177</v>
      </c>
      <c r="F1485" s="7" t="s">
        <v>128</v>
      </c>
      <c r="G1485" s="7" t="s">
        <v>130</v>
      </c>
      <c r="H1485" s="7" t="s">
        <v>129</v>
      </c>
      <c r="I1485" s="30">
        <v>2</v>
      </c>
      <c r="J1485" s="7" t="s">
        <v>1177</v>
      </c>
      <c r="K1485" s="7" t="s">
        <v>1178</v>
      </c>
      <c r="L1485" s="7" t="s">
        <v>132</v>
      </c>
      <c r="M1485" s="7" t="s">
        <v>133</v>
      </c>
      <c r="N1485" s="30">
        <v>0</v>
      </c>
      <c r="O1485" s="30">
        <v>0</v>
      </c>
      <c r="P1485" s="30">
        <v>0</v>
      </c>
      <c r="Q1485" s="30">
        <v>0</v>
      </c>
      <c r="R1485" s="29">
        <v>0</v>
      </c>
      <c r="S1485" s="36">
        <v>0</v>
      </c>
      <c r="T1485" s="7" t="s">
        <v>131</v>
      </c>
      <c r="U1485" s="7" t="s">
        <v>1011</v>
      </c>
      <c r="V1485" s="7" t="s">
        <v>1011</v>
      </c>
      <c r="W1485" s="7" t="s">
        <v>1177</v>
      </c>
      <c r="X1485" s="30">
        <v>1</v>
      </c>
      <c r="Y1485" s="7" t="s">
        <v>1177</v>
      </c>
      <c r="Z1485" s="7" t="s">
        <v>1178</v>
      </c>
      <c r="AA1485" s="30">
        <v>0</v>
      </c>
      <c r="AB1485" s="36">
        <v>0</v>
      </c>
      <c r="AC1485" s="7" t="s">
        <v>1177</v>
      </c>
      <c r="AD1485" s="37">
        <v>0</v>
      </c>
      <c r="AE1485" s="7" t="s">
        <v>1177</v>
      </c>
      <c r="AF1485" s="7" t="s">
        <v>1177</v>
      </c>
      <c r="AG1485" s="7" t="s">
        <v>1177</v>
      </c>
      <c r="AH1485" s="38"/>
      <c r="AI1485" s="36">
        <v>0</v>
      </c>
      <c r="AJ1485" s="7" t="s">
        <v>1193</v>
      </c>
      <c r="AK1485" s="7" t="s">
        <v>1177</v>
      </c>
      <c r="AL1485" s="7" t="s">
        <v>1177</v>
      </c>
      <c r="AM1485" s="7" t="s">
        <v>1177</v>
      </c>
      <c r="AN1485" s="7" t="s">
        <v>3212</v>
      </c>
      <c r="AO1485" s="7" t="s">
        <v>1177</v>
      </c>
      <c r="AP1485" s="7" t="s">
        <v>1177</v>
      </c>
      <c r="AQ1485" s="7" t="s">
        <v>1177</v>
      </c>
      <c r="AR1485" s="29">
        <v>0</v>
      </c>
      <c r="AS1485" s="7" t="s">
        <v>1177</v>
      </c>
      <c r="AT1485" s="7" t="s">
        <v>1363</v>
      </c>
      <c r="AU1485" s="38">
        <v>46275</v>
      </c>
      <c r="AV1485" s="39">
        <v>0.62633101851852002</v>
      </c>
    </row>
    <row r="1486" spans="1:48" x14ac:dyDescent="0.35">
      <c r="A1486" t="str">
        <f t="shared" si="23"/>
        <v>GP369244B825</v>
      </c>
      <c r="B1486" s="7" t="s">
        <v>612</v>
      </c>
      <c r="C1486" s="7" t="s">
        <v>511</v>
      </c>
      <c r="D1486" s="7" t="s">
        <v>16</v>
      </c>
      <c r="E1486" s="7" t="s">
        <v>1177</v>
      </c>
      <c r="F1486" s="7" t="s">
        <v>128</v>
      </c>
      <c r="G1486" s="7" t="s">
        <v>130</v>
      </c>
      <c r="H1486" s="7" t="s">
        <v>129</v>
      </c>
      <c r="I1486" s="30">
        <v>2</v>
      </c>
      <c r="J1486" s="7" t="s">
        <v>1177</v>
      </c>
      <c r="K1486" s="7" t="s">
        <v>1178</v>
      </c>
      <c r="L1486" s="7" t="s">
        <v>132</v>
      </c>
      <c r="M1486" s="7" t="s">
        <v>133</v>
      </c>
      <c r="N1486" s="30">
        <v>0</v>
      </c>
      <c r="O1486" s="30">
        <v>0</v>
      </c>
      <c r="P1486" s="30">
        <v>0</v>
      </c>
      <c r="Q1486" s="30">
        <v>0</v>
      </c>
      <c r="R1486" s="29">
        <v>0</v>
      </c>
      <c r="S1486" s="36">
        <v>0</v>
      </c>
      <c r="T1486" s="7" t="s">
        <v>131</v>
      </c>
      <c r="U1486" s="7" t="s">
        <v>512</v>
      </c>
      <c r="V1486" s="7" t="s">
        <v>512</v>
      </c>
      <c r="W1486" s="7" t="s">
        <v>1177</v>
      </c>
      <c r="X1486" s="30">
        <v>1</v>
      </c>
      <c r="Y1486" s="7" t="s">
        <v>1177</v>
      </c>
      <c r="Z1486" s="7" t="s">
        <v>1178</v>
      </c>
      <c r="AA1486" s="30">
        <v>0</v>
      </c>
      <c r="AB1486" s="36">
        <v>0</v>
      </c>
      <c r="AC1486" s="7" t="s">
        <v>1177</v>
      </c>
      <c r="AD1486" s="37">
        <v>0</v>
      </c>
      <c r="AE1486" s="7" t="s">
        <v>1177</v>
      </c>
      <c r="AF1486" s="7" t="s">
        <v>1177</v>
      </c>
      <c r="AG1486" s="7" t="s">
        <v>1177</v>
      </c>
      <c r="AH1486" s="38"/>
      <c r="AI1486" s="36">
        <v>0</v>
      </c>
      <c r="AJ1486" s="7" t="s">
        <v>1193</v>
      </c>
      <c r="AK1486" s="7" t="s">
        <v>1177</v>
      </c>
      <c r="AL1486" s="7" t="s">
        <v>1177</v>
      </c>
      <c r="AM1486" s="7" t="s">
        <v>1177</v>
      </c>
      <c r="AN1486" s="7" t="s">
        <v>3212</v>
      </c>
      <c r="AO1486" s="7" t="s">
        <v>1177</v>
      </c>
      <c r="AP1486" s="7" t="s">
        <v>1177</v>
      </c>
      <c r="AQ1486" s="7" t="s">
        <v>1177</v>
      </c>
      <c r="AR1486" s="29">
        <v>0</v>
      </c>
      <c r="AS1486" s="7" t="s">
        <v>1177</v>
      </c>
      <c r="AT1486" s="7" t="s">
        <v>1363</v>
      </c>
      <c r="AU1486" s="38">
        <v>46275</v>
      </c>
      <c r="AV1486" s="39">
        <v>0.62305555555556003</v>
      </c>
    </row>
    <row r="1487" spans="1:48" x14ac:dyDescent="0.35">
      <c r="A1487" t="str">
        <f t="shared" si="23"/>
        <v>GP371842B825</v>
      </c>
      <c r="B1487" s="7" t="s">
        <v>95</v>
      </c>
      <c r="C1487" s="7" t="s">
        <v>511</v>
      </c>
      <c r="D1487" s="7" t="s">
        <v>16</v>
      </c>
      <c r="E1487" s="7" t="s">
        <v>1177</v>
      </c>
      <c r="F1487" s="7" t="s">
        <v>128</v>
      </c>
      <c r="G1487" s="7" t="s">
        <v>130</v>
      </c>
      <c r="H1487" s="7" t="s">
        <v>129</v>
      </c>
      <c r="I1487" s="30">
        <v>2</v>
      </c>
      <c r="J1487" s="7" t="s">
        <v>1177</v>
      </c>
      <c r="K1487" s="7" t="s">
        <v>1178</v>
      </c>
      <c r="L1487" s="7" t="s">
        <v>132</v>
      </c>
      <c r="M1487" s="7" t="s">
        <v>133</v>
      </c>
      <c r="N1487" s="30">
        <v>0</v>
      </c>
      <c r="O1487" s="30">
        <v>0</v>
      </c>
      <c r="P1487" s="30">
        <v>0</v>
      </c>
      <c r="Q1487" s="30">
        <v>0</v>
      </c>
      <c r="R1487" s="29">
        <v>0</v>
      </c>
      <c r="S1487" s="36">
        <v>0</v>
      </c>
      <c r="T1487" s="7" t="s">
        <v>131</v>
      </c>
      <c r="U1487" s="7" t="s">
        <v>512</v>
      </c>
      <c r="V1487" s="7" t="s">
        <v>512</v>
      </c>
      <c r="W1487" s="7" t="s">
        <v>1177</v>
      </c>
      <c r="X1487" s="30">
        <v>1</v>
      </c>
      <c r="Y1487" s="7" t="s">
        <v>1177</v>
      </c>
      <c r="Z1487" s="7" t="s">
        <v>1178</v>
      </c>
      <c r="AA1487" s="30">
        <v>0</v>
      </c>
      <c r="AB1487" s="36">
        <v>0</v>
      </c>
      <c r="AC1487" s="7" t="s">
        <v>1177</v>
      </c>
      <c r="AD1487" s="37">
        <v>0</v>
      </c>
      <c r="AE1487" s="7" t="s">
        <v>1177</v>
      </c>
      <c r="AF1487" s="7" t="s">
        <v>1177</v>
      </c>
      <c r="AG1487" s="7" t="s">
        <v>1177</v>
      </c>
      <c r="AH1487" s="38"/>
      <c r="AI1487" s="36">
        <v>0</v>
      </c>
      <c r="AJ1487" s="7" t="s">
        <v>1193</v>
      </c>
      <c r="AK1487" s="7" t="s">
        <v>1177</v>
      </c>
      <c r="AL1487" s="7" t="s">
        <v>1177</v>
      </c>
      <c r="AM1487" s="7" t="s">
        <v>1177</v>
      </c>
      <c r="AN1487" s="7" t="s">
        <v>3212</v>
      </c>
      <c r="AO1487" s="7" t="s">
        <v>1177</v>
      </c>
      <c r="AP1487" s="7" t="s">
        <v>1177</v>
      </c>
      <c r="AQ1487" s="7" t="s">
        <v>1177</v>
      </c>
      <c r="AR1487" s="29">
        <v>0</v>
      </c>
      <c r="AS1487" s="7" t="s">
        <v>1177</v>
      </c>
      <c r="AT1487" s="7" t="s">
        <v>1363</v>
      </c>
      <c r="AU1487" s="38">
        <v>46275</v>
      </c>
      <c r="AV1487" s="39">
        <v>0.60349537037037004</v>
      </c>
    </row>
    <row r="1488" spans="1:48" x14ac:dyDescent="0.35">
      <c r="A1488" t="str">
        <f t="shared" si="23"/>
        <v>GP371842B832</v>
      </c>
      <c r="B1488" s="7" t="s">
        <v>95</v>
      </c>
      <c r="C1488" s="7" t="s">
        <v>653</v>
      </c>
      <c r="D1488" s="7" t="s">
        <v>19</v>
      </c>
      <c r="E1488" s="7" t="s">
        <v>1177</v>
      </c>
      <c r="F1488" s="7" t="s">
        <v>128</v>
      </c>
      <c r="G1488" s="7" t="s">
        <v>130</v>
      </c>
      <c r="H1488" s="7" t="s">
        <v>129</v>
      </c>
      <c r="I1488" s="30">
        <v>2</v>
      </c>
      <c r="J1488" s="7" t="s">
        <v>1177</v>
      </c>
      <c r="K1488" s="7" t="s">
        <v>1178</v>
      </c>
      <c r="L1488" s="7" t="s">
        <v>132</v>
      </c>
      <c r="M1488" s="7" t="s">
        <v>133</v>
      </c>
      <c r="N1488" s="30">
        <v>0</v>
      </c>
      <c r="O1488" s="30">
        <v>0</v>
      </c>
      <c r="P1488" s="30">
        <v>0</v>
      </c>
      <c r="Q1488" s="30">
        <v>0</v>
      </c>
      <c r="R1488" s="29">
        <v>0</v>
      </c>
      <c r="S1488" s="36">
        <v>0</v>
      </c>
      <c r="T1488" s="7" t="s">
        <v>131</v>
      </c>
      <c r="U1488" s="7" t="s">
        <v>654</v>
      </c>
      <c r="V1488" s="7" t="s">
        <v>654</v>
      </c>
      <c r="W1488" s="7" t="s">
        <v>1177</v>
      </c>
      <c r="X1488" s="30">
        <v>1</v>
      </c>
      <c r="Y1488" s="7" t="s">
        <v>1177</v>
      </c>
      <c r="Z1488" s="7" t="s">
        <v>1178</v>
      </c>
      <c r="AA1488" s="30">
        <v>0</v>
      </c>
      <c r="AB1488" s="36">
        <v>0</v>
      </c>
      <c r="AC1488" s="7" t="s">
        <v>1177</v>
      </c>
      <c r="AD1488" s="37">
        <v>0</v>
      </c>
      <c r="AE1488" s="7" t="s">
        <v>1177</v>
      </c>
      <c r="AF1488" s="7" t="s">
        <v>1177</v>
      </c>
      <c r="AG1488" s="7" t="s">
        <v>1177</v>
      </c>
      <c r="AH1488" s="38"/>
      <c r="AI1488" s="36">
        <v>0</v>
      </c>
      <c r="AJ1488" s="7" t="s">
        <v>1193</v>
      </c>
      <c r="AK1488" s="7" t="s">
        <v>1177</v>
      </c>
      <c r="AL1488" s="7" t="s">
        <v>1177</v>
      </c>
      <c r="AM1488" s="7" t="s">
        <v>1177</v>
      </c>
      <c r="AN1488" s="7" t="s">
        <v>3212</v>
      </c>
      <c r="AO1488" s="7" t="s">
        <v>1177</v>
      </c>
      <c r="AP1488" s="7" t="s">
        <v>1177</v>
      </c>
      <c r="AQ1488" s="7" t="s">
        <v>1177</v>
      </c>
      <c r="AR1488" s="29">
        <v>0</v>
      </c>
      <c r="AS1488" s="7" t="s">
        <v>1177</v>
      </c>
      <c r="AT1488" s="7" t="s">
        <v>1363</v>
      </c>
      <c r="AU1488" s="38">
        <v>46275</v>
      </c>
      <c r="AV1488" s="39">
        <v>0.60383101851851995</v>
      </c>
    </row>
    <row r="1489" spans="1:48" x14ac:dyDescent="0.35">
      <c r="A1489" t="str">
        <f t="shared" si="23"/>
        <v>GP371842B838</v>
      </c>
      <c r="B1489" s="7" t="s">
        <v>95</v>
      </c>
      <c r="C1489" s="7" t="s">
        <v>744</v>
      </c>
      <c r="D1489" s="7" t="s">
        <v>48</v>
      </c>
      <c r="E1489" s="7" t="s">
        <v>1177</v>
      </c>
      <c r="F1489" s="7" t="s">
        <v>128</v>
      </c>
      <c r="G1489" s="7" t="s">
        <v>130</v>
      </c>
      <c r="H1489" s="7" t="s">
        <v>129</v>
      </c>
      <c r="I1489" s="30">
        <v>2</v>
      </c>
      <c r="J1489" s="7" t="s">
        <v>1177</v>
      </c>
      <c r="K1489" s="7" t="s">
        <v>1178</v>
      </c>
      <c r="L1489" s="7" t="s">
        <v>132</v>
      </c>
      <c r="M1489" s="7" t="s">
        <v>133</v>
      </c>
      <c r="N1489" s="30">
        <v>0</v>
      </c>
      <c r="O1489" s="30">
        <v>0</v>
      </c>
      <c r="P1489" s="30">
        <v>0</v>
      </c>
      <c r="Q1489" s="30">
        <v>0</v>
      </c>
      <c r="R1489" s="29">
        <v>0</v>
      </c>
      <c r="S1489" s="36">
        <v>0</v>
      </c>
      <c r="T1489" s="7" t="s">
        <v>131</v>
      </c>
      <c r="U1489" s="7" t="s">
        <v>745</v>
      </c>
      <c r="V1489" s="7" t="s">
        <v>745</v>
      </c>
      <c r="W1489" s="7" t="s">
        <v>1177</v>
      </c>
      <c r="X1489" s="30">
        <v>1</v>
      </c>
      <c r="Y1489" s="7" t="s">
        <v>1177</v>
      </c>
      <c r="Z1489" s="7" t="s">
        <v>1178</v>
      </c>
      <c r="AA1489" s="30">
        <v>0</v>
      </c>
      <c r="AB1489" s="36">
        <v>0</v>
      </c>
      <c r="AC1489" s="7" t="s">
        <v>1177</v>
      </c>
      <c r="AD1489" s="37">
        <v>0</v>
      </c>
      <c r="AE1489" s="7" t="s">
        <v>1177</v>
      </c>
      <c r="AF1489" s="7" t="s">
        <v>1177</v>
      </c>
      <c r="AG1489" s="7" t="s">
        <v>1177</v>
      </c>
      <c r="AH1489" s="38"/>
      <c r="AI1489" s="36">
        <v>0</v>
      </c>
      <c r="AJ1489" s="7" t="s">
        <v>1193</v>
      </c>
      <c r="AK1489" s="7" t="s">
        <v>1177</v>
      </c>
      <c r="AL1489" s="7" t="s">
        <v>1177</v>
      </c>
      <c r="AM1489" s="7" t="s">
        <v>1177</v>
      </c>
      <c r="AN1489" s="7" t="s">
        <v>3212</v>
      </c>
      <c r="AO1489" s="7" t="s">
        <v>1177</v>
      </c>
      <c r="AP1489" s="7" t="s">
        <v>1177</v>
      </c>
      <c r="AQ1489" s="7" t="s">
        <v>1177</v>
      </c>
      <c r="AR1489" s="29">
        <v>0</v>
      </c>
      <c r="AS1489" s="7" t="s">
        <v>1177</v>
      </c>
      <c r="AT1489" s="7" t="s">
        <v>1363</v>
      </c>
      <c r="AU1489" s="38">
        <v>46275</v>
      </c>
      <c r="AV1489" s="39">
        <v>0.60450231481480998</v>
      </c>
    </row>
    <row r="1490" spans="1:48" x14ac:dyDescent="0.35">
      <c r="A1490" t="str">
        <f t="shared" si="23"/>
        <v>GP371842B867</v>
      </c>
      <c r="B1490" s="7" t="s">
        <v>95</v>
      </c>
      <c r="C1490" s="7" t="s">
        <v>1059</v>
      </c>
      <c r="D1490" s="7" t="s">
        <v>25</v>
      </c>
      <c r="E1490" s="7" t="s">
        <v>1177</v>
      </c>
      <c r="F1490" s="7" t="s">
        <v>128</v>
      </c>
      <c r="G1490" s="7" t="s">
        <v>130</v>
      </c>
      <c r="H1490" s="7" t="s">
        <v>129</v>
      </c>
      <c r="I1490" s="30">
        <v>2</v>
      </c>
      <c r="J1490" s="7" t="s">
        <v>1177</v>
      </c>
      <c r="K1490" s="7" t="s">
        <v>1178</v>
      </c>
      <c r="L1490" s="7" t="s">
        <v>132</v>
      </c>
      <c r="M1490" s="7" t="s">
        <v>133</v>
      </c>
      <c r="N1490" s="30">
        <v>0</v>
      </c>
      <c r="O1490" s="30">
        <v>0</v>
      </c>
      <c r="P1490" s="30">
        <v>0</v>
      </c>
      <c r="Q1490" s="30">
        <v>0</v>
      </c>
      <c r="R1490" s="29">
        <v>0</v>
      </c>
      <c r="S1490" s="36">
        <v>0</v>
      </c>
      <c r="T1490" s="7" t="s">
        <v>131</v>
      </c>
      <c r="U1490" s="7" t="s">
        <v>1060</v>
      </c>
      <c r="V1490" s="7" t="s">
        <v>1060</v>
      </c>
      <c r="W1490" s="7" t="s">
        <v>1177</v>
      </c>
      <c r="X1490" s="30">
        <v>1</v>
      </c>
      <c r="Y1490" s="7" t="s">
        <v>1177</v>
      </c>
      <c r="Z1490" s="7" t="s">
        <v>1178</v>
      </c>
      <c r="AA1490" s="30">
        <v>0</v>
      </c>
      <c r="AB1490" s="36">
        <v>0</v>
      </c>
      <c r="AC1490" s="7" t="s">
        <v>1177</v>
      </c>
      <c r="AD1490" s="37">
        <v>0</v>
      </c>
      <c r="AE1490" s="7" t="s">
        <v>1177</v>
      </c>
      <c r="AF1490" s="7" t="s">
        <v>1177</v>
      </c>
      <c r="AG1490" s="7" t="s">
        <v>1177</v>
      </c>
      <c r="AH1490" s="38"/>
      <c r="AI1490" s="36">
        <v>0</v>
      </c>
      <c r="AJ1490" s="7" t="s">
        <v>1193</v>
      </c>
      <c r="AK1490" s="7" t="s">
        <v>1177</v>
      </c>
      <c r="AL1490" s="7" t="s">
        <v>1177</v>
      </c>
      <c r="AM1490" s="7" t="s">
        <v>1177</v>
      </c>
      <c r="AN1490" s="7" t="s">
        <v>3212</v>
      </c>
      <c r="AO1490" s="7" t="s">
        <v>1177</v>
      </c>
      <c r="AP1490" s="7" t="s">
        <v>1177</v>
      </c>
      <c r="AQ1490" s="7" t="s">
        <v>1177</v>
      </c>
      <c r="AR1490" s="29">
        <v>0</v>
      </c>
      <c r="AS1490" s="7" t="s">
        <v>1177</v>
      </c>
      <c r="AT1490" s="7" t="s">
        <v>1363</v>
      </c>
      <c r="AU1490" s="38">
        <v>46275</v>
      </c>
      <c r="AV1490" s="39">
        <v>0.60563657407407001</v>
      </c>
    </row>
    <row r="1491" spans="1:48" x14ac:dyDescent="0.35">
      <c r="A1491" t="str">
        <f t="shared" si="23"/>
        <v>GP372532B856</v>
      </c>
      <c r="B1491" s="7" t="s">
        <v>910</v>
      </c>
      <c r="C1491" s="7" t="s">
        <v>852</v>
      </c>
      <c r="D1491" s="7" t="s">
        <v>21</v>
      </c>
      <c r="E1491" s="7" t="s">
        <v>1177</v>
      </c>
      <c r="F1491" s="7" t="s">
        <v>128</v>
      </c>
      <c r="G1491" s="7" t="s">
        <v>130</v>
      </c>
      <c r="H1491" s="7" t="s">
        <v>129</v>
      </c>
      <c r="I1491" s="30">
        <v>1</v>
      </c>
      <c r="J1491" s="7" t="s">
        <v>1177</v>
      </c>
      <c r="K1491" s="7" t="s">
        <v>1178</v>
      </c>
      <c r="L1491" s="7" t="s">
        <v>132</v>
      </c>
      <c r="M1491" s="7" t="s">
        <v>133</v>
      </c>
      <c r="N1491" s="30">
        <v>0</v>
      </c>
      <c r="O1491" s="30">
        <v>0</v>
      </c>
      <c r="P1491" s="30">
        <v>0</v>
      </c>
      <c r="Q1491" s="30">
        <v>0</v>
      </c>
      <c r="R1491" s="29">
        <v>0</v>
      </c>
      <c r="S1491" s="36">
        <v>0</v>
      </c>
      <c r="T1491" s="7" t="s">
        <v>131</v>
      </c>
      <c r="U1491" s="7" t="s">
        <v>853</v>
      </c>
      <c r="V1491" s="7" t="s">
        <v>853</v>
      </c>
      <c r="W1491" s="7" t="s">
        <v>1177</v>
      </c>
      <c r="X1491" s="30">
        <v>1</v>
      </c>
      <c r="Y1491" s="7" t="s">
        <v>1177</v>
      </c>
      <c r="Z1491" s="7" t="s">
        <v>1178</v>
      </c>
      <c r="AA1491" s="30">
        <v>0</v>
      </c>
      <c r="AB1491" s="36">
        <v>0</v>
      </c>
      <c r="AC1491" s="7" t="s">
        <v>1177</v>
      </c>
      <c r="AD1491" s="37">
        <v>0</v>
      </c>
      <c r="AE1491" s="7" t="s">
        <v>1177</v>
      </c>
      <c r="AF1491" s="7" t="s">
        <v>1177</v>
      </c>
      <c r="AG1491" s="7" t="s">
        <v>1177</v>
      </c>
      <c r="AH1491" s="38"/>
      <c r="AI1491" s="36">
        <v>0</v>
      </c>
      <c r="AJ1491" s="7" t="s">
        <v>1193</v>
      </c>
      <c r="AK1491" s="7" t="s">
        <v>1177</v>
      </c>
      <c r="AL1491" s="7" t="s">
        <v>1177</v>
      </c>
      <c r="AM1491" s="7" t="s">
        <v>1177</v>
      </c>
      <c r="AN1491" s="7" t="s">
        <v>3212</v>
      </c>
      <c r="AO1491" s="7" t="s">
        <v>1177</v>
      </c>
      <c r="AP1491" s="7" t="s">
        <v>1177</v>
      </c>
      <c r="AQ1491" s="7" t="s">
        <v>1177</v>
      </c>
      <c r="AR1491" s="29">
        <v>0</v>
      </c>
      <c r="AS1491" s="7" t="s">
        <v>1177</v>
      </c>
      <c r="AT1491" s="7" t="s">
        <v>1363</v>
      </c>
      <c r="AU1491" s="38">
        <v>46275</v>
      </c>
      <c r="AV1491" s="39">
        <v>0.62490740740741002</v>
      </c>
    </row>
    <row r="1492" spans="1:48" x14ac:dyDescent="0.35">
      <c r="A1492" t="str">
        <f t="shared" si="23"/>
        <v>GP374143B838</v>
      </c>
      <c r="B1492" s="7" t="s">
        <v>425</v>
      </c>
      <c r="C1492" s="7" t="s">
        <v>744</v>
      </c>
      <c r="D1492" s="7" t="s">
        <v>48</v>
      </c>
      <c r="E1492" s="7" t="s">
        <v>1177</v>
      </c>
      <c r="F1492" s="7" t="s">
        <v>128</v>
      </c>
      <c r="G1492" s="7" t="s">
        <v>130</v>
      </c>
      <c r="H1492" s="7" t="s">
        <v>129</v>
      </c>
      <c r="I1492" s="30">
        <v>2</v>
      </c>
      <c r="J1492" s="7" t="s">
        <v>1177</v>
      </c>
      <c r="K1492" s="7" t="s">
        <v>1178</v>
      </c>
      <c r="L1492" s="7" t="s">
        <v>132</v>
      </c>
      <c r="M1492" s="7" t="s">
        <v>133</v>
      </c>
      <c r="N1492" s="30">
        <v>0</v>
      </c>
      <c r="O1492" s="30">
        <v>0</v>
      </c>
      <c r="P1492" s="30">
        <v>0</v>
      </c>
      <c r="Q1492" s="30">
        <v>0</v>
      </c>
      <c r="R1492" s="29">
        <v>0</v>
      </c>
      <c r="S1492" s="36">
        <v>0</v>
      </c>
      <c r="T1492" s="7" t="s">
        <v>131</v>
      </c>
      <c r="U1492" s="7" t="s">
        <v>745</v>
      </c>
      <c r="V1492" s="7" t="s">
        <v>745</v>
      </c>
      <c r="W1492" s="7" t="s">
        <v>1177</v>
      </c>
      <c r="X1492" s="30">
        <v>1</v>
      </c>
      <c r="Y1492" s="7" t="s">
        <v>1177</v>
      </c>
      <c r="Z1492" s="7" t="s">
        <v>1178</v>
      </c>
      <c r="AA1492" s="30">
        <v>0</v>
      </c>
      <c r="AB1492" s="36">
        <v>0</v>
      </c>
      <c r="AC1492" s="7" t="s">
        <v>1177</v>
      </c>
      <c r="AD1492" s="37">
        <v>0</v>
      </c>
      <c r="AE1492" s="7" t="s">
        <v>1177</v>
      </c>
      <c r="AF1492" s="7" t="s">
        <v>1177</v>
      </c>
      <c r="AG1492" s="7" t="s">
        <v>1177</v>
      </c>
      <c r="AH1492" s="38"/>
      <c r="AI1492" s="36">
        <v>0</v>
      </c>
      <c r="AJ1492" s="7" t="s">
        <v>1193</v>
      </c>
      <c r="AK1492" s="7" t="s">
        <v>1177</v>
      </c>
      <c r="AL1492" s="7" t="s">
        <v>1177</v>
      </c>
      <c r="AM1492" s="7" t="s">
        <v>1177</v>
      </c>
      <c r="AN1492" s="7" t="s">
        <v>3212</v>
      </c>
      <c r="AO1492" s="7" t="s">
        <v>1177</v>
      </c>
      <c r="AP1492" s="7" t="s">
        <v>1177</v>
      </c>
      <c r="AQ1492" s="7" t="s">
        <v>1177</v>
      </c>
      <c r="AR1492" s="29">
        <v>0</v>
      </c>
      <c r="AS1492" s="7" t="s">
        <v>1177</v>
      </c>
      <c r="AT1492" s="7" t="s">
        <v>1363</v>
      </c>
      <c r="AU1492" s="38">
        <v>46275</v>
      </c>
      <c r="AV1492" s="39">
        <v>0.62399305555555995</v>
      </c>
    </row>
    <row r="1493" spans="1:48" x14ac:dyDescent="0.35">
      <c r="A1493" t="str">
        <f t="shared" si="23"/>
        <v>GP374770B856</v>
      </c>
      <c r="B1493" s="7" t="s">
        <v>911</v>
      </c>
      <c r="C1493" s="7" t="s">
        <v>852</v>
      </c>
      <c r="D1493" s="7" t="s">
        <v>21</v>
      </c>
      <c r="E1493" s="7" t="s">
        <v>1177</v>
      </c>
      <c r="F1493" s="7" t="s">
        <v>128</v>
      </c>
      <c r="G1493" s="7" t="s">
        <v>130</v>
      </c>
      <c r="H1493" s="7" t="s">
        <v>129</v>
      </c>
      <c r="I1493" s="30">
        <v>4</v>
      </c>
      <c r="J1493" s="7" t="s">
        <v>1177</v>
      </c>
      <c r="K1493" s="7" t="s">
        <v>1178</v>
      </c>
      <c r="L1493" s="7" t="s">
        <v>132</v>
      </c>
      <c r="M1493" s="7" t="s">
        <v>133</v>
      </c>
      <c r="N1493" s="30">
        <v>0</v>
      </c>
      <c r="O1493" s="30">
        <v>0</v>
      </c>
      <c r="P1493" s="30">
        <v>0</v>
      </c>
      <c r="Q1493" s="30">
        <v>0</v>
      </c>
      <c r="R1493" s="29">
        <v>0</v>
      </c>
      <c r="S1493" s="36">
        <v>0</v>
      </c>
      <c r="T1493" s="7" t="s">
        <v>131</v>
      </c>
      <c r="U1493" s="7" t="s">
        <v>853</v>
      </c>
      <c r="V1493" s="7" t="s">
        <v>853</v>
      </c>
      <c r="W1493" s="7" t="s">
        <v>1177</v>
      </c>
      <c r="X1493" s="30">
        <v>1</v>
      </c>
      <c r="Y1493" s="7" t="s">
        <v>1177</v>
      </c>
      <c r="Z1493" s="7" t="s">
        <v>1178</v>
      </c>
      <c r="AA1493" s="30">
        <v>0</v>
      </c>
      <c r="AB1493" s="36">
        <v>0</v>
      </c>
      <c r="AC1493" s="7" t="s">
        <v>1177</v>
      </c>
      <c r="AD1493" s="37">
        <v>0</v>
      </c>
      <c r="AE1493" s="7" t="s">
        <v>1177</v>
      </c>
      <c r="AF1493" s="7" t="s">
        <v>1177</v>
      </c>
      <c r="AG1493" s="7" t="s">
        <v>1177</v>
      </c>
      <c r="AH1493" s="38"/>
      <c r="AI1493" s="36">
        <v>0</v>
      </c>
      <c r="AJ1493" s="7" t="s">
        <v>1193</v>
      </c>
      <c r="AK1493" s="7" t="s">
        <v>1177</v>
      </c>
      <c r="AL1493" s="7" t="s">
        <v>1177</v>
      </c>
      <c r="AM1493" s="7" t="s">
        <v>1177</v>
      </c>
      <c r="AN1493" s="7" t="s">
        <v>3212</v>
      </c>
      <c r="AO1493" s="7" t="s">
        <v>1177</v>
      </c>
      <c r="AP1493" s="7" t="s">
        <v>1177</v>
      </c>
      <c r="AQ1493" s="7" t="s">
        <v>1177</v>
      </c>
      <c r="AR1493" s="29">
        <v>0</v>
      </c>
      <c r="AS1493" s="7" t="s">
        <v>1177</v>
      </c>
      <c r="AT1493" s="7" t="s">
        <v>1363</v>
      </c>
      <c r="AU1493" s="38">
        <v>46275</v>
      </c>
      <c r="AV1493" s="39">
        <v>0.62490740740741002</v>
      </c>
    </row>
    <row r="1494" spans="1:48" x14ac:dyDescent="0.35">
      <c r="A1494" t="str">
        <f t="shared" si="23"/>
        <v>GP384713B856</v>
      </c>
      <c r="B1494" s="7" t="s">
        <v>823</v>
      </c>
      <c r="C1494" s="7" t="s">
        <v>852</v>
      </c>
      <c r="D1494" s="7" t="s">
        <v>21</v>
      </c>
      <c r="E1494" s="7" t="s">
        <v>1177</v>
      </c>
      <c r="F1494" s="7" t="s">
        <v>128</v>
      </c>
      <c r="G1494" s="7" t="s">
        <v>130</v>
      </c>
      <c r="H1494" s="7" t="s">
        <v>129</v>
      </c>
      <c r="I1494" s="30">
        <v>1</v>
      </c>
      <c r="J1494" s="7" t="s">
        <v>1177</v>
      </c>
      <c r="K1494" s="7" t="s">
        <v>1178</v>
      </c>
      <c r="L1494" s="7" t="s">
        <v>132</v>
      </c>
      <c r="M1494" s="7" t="s">
        <v>133</v>
      </c>
      <c r="N1494" s="30">
        <v>0</v>
      </c>
      <c r="O1494" s="30">
        <v>0</v>
      </c>
      <c r="P1494" s="30">
        <v>0</v>
      </c>
      <c r="Q1494" s="30">
        <v>0</v>
      </c>
      <c r="R1494" s="29">
        <v>0</v>
      </c>
      <c r="S1494" s="36">
        <v>0</v>
      </c>
      <c r="T1494" s="7" t="s">
        <v>131</v>
      </c>
      <c r="U1494" s="7" t="s">
        <v>853</v>
      </c>
      <c r="V1494" s="7" t="s">
        <v>853</v>
      </c>
      <c r="W1494" s="7" t="s">
        <v>1177</v>
      </c>
      <c r="X1494" s="30">
        <v>1</v>
      </c>
      <c r="Y1494" s="7" t="s">
        <v>1177</v>
      </c>
      <c r="Z1494" s="7" t="s">
        <v>1178</v>
      </c>
      <c r="AA1494" s="30">
        <v>0</v>
      </c>
      <c r="AB1494" s="36">
        <v>0</v>
      </c>
      <c r="AC1494" s="7" t="s">
        <v>1177</v>
      </c>
      <c r="AD1494" s="37">
        <v>0</v>
      </c>
      <c r="AE1494" s="7" t="s">
        <v>1177</v>
      </c>
      <c r="AF1494" s="7" t="s">
        <v>1177</v>
      </c>
      <c r="AG1494" s="7" t="s">
        <v>1177</v>
      </c>
      <c r="AH1494" s="38"/>
      <c r="AI1494" s="36">
        <v>0</v>
      </c>
      <c r="AJ1494" s="7" t="s">
        <v>1193</v>
      </c>
      <c r="AK1494" s="7" t="s">
        <v>1177</v>
      </c>
      <c r="AL1494" s="7" t="s">
        <v>1177</v>
      </c>
      <c r="AM1494" s="7" t="s">
        <v>1177</v>
      </c>
      <c r="AN1494" s="7" t="s">
        <v>3212</v>
      </c>
      <c r="AO1494" s="7" t="s">
        <v>1177</v>
      </c>
      <c r="AP1494" s="7" t="s">
        <v>1177</v>
      </c>
      <c r="AQ1494" s="7" t="s">
        <v>1177</v>
      </c>
      <c r="AR1494" s="29">
        <v>0</v>
      </c>
      <c r="AS1494" s="7" t="s">
        <v>1177</v>
      </c>
      <c r="AT1494" s="7" t="s">
        <v>1363</v>
      </c>
      <c r="AU1494" s="38">
        <v>46275</v>
      </c>
      <c r="AV1494" s="39">
        <v>0.62490740740741002</v>
      </c>
    </row>
    <row r="1495" spans="1:48" x14ac:dyDescent="0.35">
      <c r="A1495" t="str">
        <f t="shared" si="23"/>
        <v>GP384713B864</v>
      </c>
      <c r="B1495" s="7" t="s">
        <v>823</v>
      </c>
      <c r="C1495" s="7" t="s">
        <v>1010</v>
      </c>
      <c r="D1495" s="7" t="s">
        <v>10</v>
      </c>
      <c r="E1495" s="7" t="s">
        <v>1177</v>
      </c>
      <c r="F1495" s="7" t="s">
        <v>128</v>
      </c>
      <c r="G1495" s="7" t="s">
        <v>130</v>
      </c>
      <c r="H1495" s="7" t="s">
        <v>129</v>
      </c>
      <c r="I1495" s="30">
        <v>2</v>
      </c>
      <c r="J1495" s="7" t="s">
        <v>1177</v>
      </c>
      <c r="K1495" s="7" t="s">
        <v>1178</v>
      </c>
      <c r="L1495" s="7" t="s">
        <v>132</v>
      </c>
      <c r="M1495" s="7" t="s">
        <v>133</v>
      </c>
      <c r="N1495" s="30">
        <v>0</v>
      </c>
      <c r="O1495" s="30">
        <v>0</v>
      </c>
      <c r="P1495" s="30">
        <v>0</v>
      </c>
      <c r="Q1495" s="30">
        <v>0</v>
      </c>
      <c r="R1495" s="29">
        <v>0</v>
      </c>
      <c r="S1495" s="36">
        <v>0</v>
      </c>
      <c r="T1495" s="7" t="s">
        <v>131</v>
      </c>
      <c r="U1495" s="7" t="s">
        <v>1011</v>
      </c>
      <c r="V1495" s="7" t="s">
        <v>1011</v>
      </c>
      <c r="W1495" s="7" t="s">
        <v>1177</v>
      </c>
      <c r="X1495" s="30">
        <v>1</v>
      </c>
      <c r="Y1495" s="7" t="s">
        <v>1177</v>
      </c>
      <c r="Z1495" s="7" t="s">
        <v>1178</v>
      </c>
      <c r="AA1495" s="30">
        <v>0</v>
      </c>
      <c r="AB1495" s="36">
        <v>0</v>
      </c>
      <c r="AC1495" s="7" t="s">
        <v>1177</v>
      </c>
      <c r="AD1495" s="37">
        <v>0</v>
      </c>
      <c r="AE1495" s="7" t="s">
        <v>1177</v>
      </c>
      <c r="AF1495" s="7" t="s">
        <v>1177</v>
      </c>
      <c r="AG1495" s="7" t="s">
        <v>1177</v>
      </c>
      <c r="AH1495" s="38"/>
      <c r="AI1495" s="36">
        <v>0</v>
      </c>
      <c r="AJ1495" s="7" t="s">
        <v>1193</v>
      </c>
      <c r="AK1495" s="7" t="s">
        <v>1177</v>
      </c>
      <c r="AL1495" s="7" t="s">
        <v>1177</v>
      </c>
      <c r="AM1495" s="7" t="s">
        <v>1177</v>
      </c>
      <c r="AN1495" s="7" t="s">
        <v>3212</v>
      </c>
      <c r="AO1495" s="7" t="s">
        <v>1177</v>
      </c>
      <c r="AP1495" s="7" t="s">
        <v>1177</v>
      </c>
      <c r="AQ1495" s="7" t="s">
        <v>1177</v>
      </c>
      <c r="AR1495" s="29">
        <v>0</v>
      </c>
      <c r="AS1495" s="7" t="s">
        <v>1177</v>
      </c>
      <c r="AT1495" s="7" t="s">
        <v>1363</v>
      </c>
      <c r="AU1495" s="38">
        <v>46275</v>
      </c>
      <c r="AV1495" s="39">
        <v>0.62633101851852002</v>
      </c>
    </row>
    <row r="1496" spans="1:48" x14ac:dyDescent="0.35">
      <c r="A1496" t="str">
        <f t="shared" si="23"/>
        <v>GP384713B867</v>
      </c>
      <c r="B1496" s="7" t="s">
        <v>823</v>
      </c>
      <c r="C1496" s="7" t="s">
        <v>1059</v>
      </c>
      <c r="D1496" s="7" t="s">
        <v>25</v>
      </c>
      <c r="E1496" s="7" t="s">
        <v>1177</v>
      </c>
      <c r="F1496" s="7" t="s">
        <v>128</v>
      </c>
      <c r="G1496" s="7" t="s">
        <v>130</v>
      </c>
      <c r="H1496" s="7" t="s">
        <v>129</v>
      </c>
      <c r="I1496" s="30">
        <v>2</v>
      </c>
      <c r="J1496" s="7" t="s">
        <v>1177</v>
      </c>
      <c r="K1496" s="7" t="s">
        <v>1178</v>
      </c>
      <c r="L1496" s="7" t="s">
        <v>132</v>
      </c>
      <c r="M1496" s="7" t="s">
        <v>133</v>
      </c>
      <c r="N1496" s="30">
        <v>0</v>
      </c>
      <c r="O1496" s="30">
        <v>0</v>
      </c>
      <c r="P1496" s="30">
        <v>0</v>
      </c>
      <c r="Q1496" s="30">
        <v>0</v>
      </c>
      <c r="R1496" s="29">
        <v>0</v>
      </c>
      <c r="S1496" s="36">
        <v>0</v>
      </c>
      <c r="T1496" s="7" t="s">
        <v>131</v>
      </c>
      <c r="U1496" s="7" t="s">
        <v>1060</v>
      </c>
      <c r="V1496" s="7" t="s">
        <v>1060</v>
      </c>
      <c r="W1496" s="7" t="s">
        <v>1177</v>
      </c>
      <c r="X1496" s="30">
        <v>1</v>
      </c>
      <c r="Y1496" s="7" t="s">
        <v>1177</v>
      </c>
      <c r="Z1496" s="7" t="s">
        <v>1178</v>
      </c>
      <c r="AA1496" s="30">
        <v>0</v>
      </c>
      <c r="AB1496" s="36">
        <v>0</v>
      </c>
      <c r="AC1496" s="7" t="s">
        <v>1177</v>
      </c>
      <c r="AD1496" s="37">
        <v>0</v>
      </c>
      <c r="AE1496" s="7" t="s">
        <v>1177</v>
      </c>
      <c r="AF1496" s="7" t="s">
        <v>1177</v>
      </c>
      <c r="AG1496" s="7" t="s">
        <v>1177</v>
      </c>
      <c r="AH1496" s="38"/>
      <c r="AI1496" s="36">
        <v>0</v>
      </c>
      <c r="AJ1496" s="7" t="s">
        <v>1193</v>
      </c>
      <c r="AK1496" s="7" t="s">
        <v>1177</v>
      </c>
      <c r="AL1496" s="7" t="s">
        <v>1177</v>
      </c>
      <c r="AM1496" s="7" t="s">
        <v>1177</v>
      </c>
      <c r="AN1496" s="7" t="s">
        <v>3212</v>
      </c>
      <c r="AO1496" s="7" t="s">
        <v>1177</v>
      </c>
      <c r="AP1496" s="7" t="s">
        <v>1177</v>
      </c>
      <c r="AQ1496" s="7" t="s">
        <v>1177</v>
      </c>
      <c r="AR1496" s="29">
        <v>0</v>
      </c>
      <c r="AS1496" s="7" t="s">
        <v>1177</v>
      </c>
      <c r="AT1496" s="7" t="s">
        <v>1363</v>
      </c>
      <c r="AU1496" s="38">
        <v>46275</v>
      </c>
      <c r="AV1496" s="39">
        <v>0.62715277777778</v>
      </c>
    </row>
    <row r="1497" spans="1:48" x14ac:dyDescent="0.35">
      <c r="A1497" t="str">
        <f t="shared" si="23"/>
        <v>GP386042B857</v>
      </c>
      <c r="B1497" s="7" t="s">
        <v>987</v>
      </c>
      <c r="C1497" s="7" t="s">
        <v>958</v>
      </c>
      <c r="D1497" s="7" t="s">
        <v>23</v>
      </c>
      <c r="E1497" s="7" t="s">
        <v>1177</v>
      </c>
      <c r="F1497" s="7" t="s">
        <v>128</v>
      </c>
      <c r="G1497" s="7" t="s">
        <v>130</v>
      </c>
      <c r="H1497" s="7" t="s">
        <v>129</v>
      </c>
      <c r="I1497" s="30">
        <v>2</v>
      </c>
      <c r="J1497" s="7" t="s">
        <v>1177</v>
      </c>
      <c r="K1497" s="7" t="s">
        <v>1178</v>
      </c>
      <c r="L1497" s="7" t="s">
        <v>132</v>
      </c>
      <c r="M1497" s="7" t="s">
        <v>133</v>
      </c>
      <c r="N1497" s="30">
        <v>0</v>
      </c>
      <c r="O1497" s="30">
        <v>0</v>
      </c>
      <c r="P1497" s="30">
        <v>0</v>
      </c>
      <c r="Q1497" s="30">
        <v>0</v>
      </c>
      <c r="R1497" s="29">
        <v>0</v>
      </c>
      <c r="S1497" s="36">
        <v>0</v>
      </c>
      <c r="T1497" s="7" t="s">
        <v>131</v>
      </c>
      <c r="U1497" s="7" t="s">
        <v>959</v>
      </c>
      <c r="V1497" s="7" t="s">
        <v>959</v>
      </c>
      <c r="W1497" s="7" t="s">
        <v>1177</v>
      </c>
      <c r="X1497" s="30">
        <v>1</v>
      </c>
      <c r="Y1497" s="7" t="s">
        <v>1177</v>
      </c>
      <c r="Z1497" s="7" t="s">
        <v>1178</v>
      </c>
      <c r="AA1497" s="30">
        <v>0</v>
      </c>
      <c r="AB1497" s="36">
        <v>0</v>
      </c>
      <c r="AC1497" s="7" t="s">
        <v>1177</v>
      </c>
      <c r="AD1497" s="37">
        <v>0</v>
      </c>
      <c r="AE1497" s="7" t="s">
        <v>1177</v>
      </c>
      <c r="AF1497" s="7" t="s">
        <v>1177</v>
      </c>
      <c r="AG1497" s="7" t="s">
        <v>1177</v>
      </c>
      <c r="AH1497" s="38"/>
      <c r="AI1497" s="36">
        <v>0</v>
      </c>
      <c r="AJ1497" s="7" t="s">
        <v>1193</v>
      </c>
      <c r="AK1497" s="7" t="s">
        <v>1177</v>
      </c>
      <c r="AL1497" s="7" t="s">
        <v>1177</v>
      </c>
      <c r="AM1497" s="7" t="s">
        <v>1177</v>
      </c>
      <c r="AN1497" s="7" t="s">
        <v>3212</v>
      </c>
      <c r="AO1497" s="7" t="s">
        <v>1177</v>
      </c>
      <c r="AP1497" s="7" t="s">
        <v>1177</v>
      </c>
      <c r="AQ1497" s="7" t="s">
        <v>1177</v>
      </c>
      <c r="AR1497" s="29">
        <v>0</v>
      </c>
      <c r="AS1497" s="7" t="s">
        <v>1177</v>
      </c>
      <c r="AT1497" s="7" t="s">
        <v>1363</v>
      </c>
      <c r="AU1497" s="38">
        <v>46275</v>
      </c>
      <c r="AV1497" s="39">
        <v>0.62515046296295995</v>
      </c>
    </row>
    <row r="1498" spans="1:48" x14ac:dyDescent="0.35">
      <c r="A1498" t="str">
        <f t="shared" si="23"/>
        <v>GP386042B864</v>
      </c>
      <c r="B1498" s="7" t="s">
        <v>987</v>
      </c>
      <c r="C1498" s="7" t="s">
        <v>1010</v>
      </c>
      <c r="D1498" s="7" t="s">
        <v>10</v>
      </c>
      <c r="E1498" s="7" t="s">
        <v>1177</v>
      </c>
      <c r="F1498" s="7" t="s">
        <v>128</v>
      </c>
      <c r="G1498" s="7" t="s">
        <v>130</v>
      </c>
      <c r="H1498" s="7" t="s">
        <v>129</v>
      </c>
      <c r="I1498" s="30">
        <v>2</v>
      </c>
      <c r="J1498" s="7" t="s">
        <v>1177</v>
      </c>
      <c r="K1498" s="7" t="s">
        <v>1178</v>
      </c>
      <c r="L1498" s="7" t="s">
        <v>132</v>
      </c>
      <c r="M1498" s="7" t="s">
        <v>133</v>
      </c>
      <c r="N1498" s="30">
        <v>0</v>
      </c>
      <c r="O1498" s="30">
        <v>0</v>
      </c>
      <c r="P1498" s="30">
        <v>0</v>
      </c>
      <c r="Q1498" s="30">
        <v>0</v>
      </c>
      <c r="R1498" s="29">
        <v>0</v>
      </c>
      <c r="S1498" s="36">
        <v>0</v>
      </c>
      <c r="T1498" s="7" t="s">
        <v>131</v>
      </c>
      <c r="U1498" s="7" t="s">
        <v>1011</v>
      </c>
      <c r="V1498" s="7" t="s">
        <v>1011</v>
      </c>
      <c r="W1498" s="7" t="s">
        <v>1177</v>
      </c>
      <c r="X1498" s="30">
        <v>1</v>
      </c>
      <c r="Y1498" s="7" t="s">
        <v>1177</v>
      </c>
      <c r="Z1498" s="7" t="s">
        <v>1178</v>
      </c>
      <c r="AA1498" s="30">
        <v>0</v>
      </c>
      <c r="AB1498" s="36">
        <v>0</v>
      </c>
      <c r="AC1498" s="7" t="s">
        <v>1177</v>
      </c>
      <c r="AD1498" s="37">
        <v>0</v>
      </c>
      <c r="AE1498" s="7" t="s">
        <v>1177</v>
      </c>
      <c r="AF1498" s="7" t="s">
        <v>1177</v>
      </c>
      <c r="AG1498" s="7" t="s">
        <v>1177</v>
      </c>
      <c r="AH1498" s="38"/>
      <c r="AI1498" s="36">
        <v>0</v>
      </c>
      <c r="AJ1498" s="7" t="s">
        <v>1193</v>
      </c>
      <c r="AK1498" s="7" t="s">
        <v>1177</v>
      </c>
      <c r="AL1498" s="7" t="s">
        <v>1177</v>
      </c>
      <c r="AM1498" s="7" t="s">
        <v>1177</v>
      </c>
      <c r="AN1498" s="7" t="s">
        <v>3212</v>
      </c>
      <c r="AO1498" s="7" t="s">
        <v>1177</v>
      </c>
      <c r="AP1498" s="7" t="s">
        <v>1177</v>
      </c>
      <c r="AQ1498" s="7" t="s">
        <v>1177</v>
      </c>
      <c r="AR1498" s="29">
        <v>0</v>
      </c>
      <c r="AS1498" s="7" t="s">
        <v>1177</v>
      </c>
      <c r="AT1498" s="7" t="s">
        <v>1363</v>
      </c>
      <c r="AU1498" s="38">
        <v>46275</v>
      </c>
      <c r="AV1498" s="39">
        <v>0.62633101851852002</v>
      </c>
    </row>
    <row r="1499" spans="1:48" x14ac:dyDescent="0.35">
      <c r="A1499" t="str">
        <f t="shared" si="23"/>
        <v>GP386042B865</v>
      </c>
      <c r="B1499" s="7" t="s">
        <v>987</v>
      </c>
      <c r="C1499" s="7" t="s">
        <v>1039</v>
      </c>
      <c r="D1499" s="7" t="s">
        <v>7</v>
      </c>
      <c r="E1499" s="7" t="s">
        <v>1177</v>
      </c>
      <c r="F1499" s="7" t="s">
        <v>128</v>
      </c>
      <c r="G1499" s="7" t="s">
        <v>130</v>
      </c>
      <c r="H1499" s="7" t="s">
        <v>129</v>
      </c>
      <c r="I1499" s="30">
        <v>2</v>
      </c>
      <c r="J1499" s="7" t="s">
        <v>1177</v>
      </c>
      <c r="K1499" s="7" t="s">
        <v>1178</v>
      </c>
      <c r="L1499" s="7" t="s">
        <v>132</v>
      </c>
      <c r="M1499" s="7" t="s">
        <v>133</v>
      </c>
      <c r="N1499" s="30">
        <v>0</v>
      </c>
      <c r="O1499" s="30">
        <v>0</v>
      </c>
      <c r="P1499" s="30">
        <v>0</v>
      </c>
      <c r="Q1499" s="30">
        <v>0</v>
      </c>
      <c r="R1499" s="29">
        <v>0</v>
      </c>
      <c r="S1499" s="36">
        <v>0</v>
      </c>
      <c r="T1499" s="7" t="s">
        <v>131</v>
      </c>
      <c r="U1499" s="7" t="s">
        <v>1040</v>
      </c>
      <c r="V1499" s="7" t="s">
        <v>1040</v>
      </c>
      <c r="W1499" s="7" t="s">
        <v>1177</v>
      </c>
      <c r="X1499" s="30">
        <v>1</v>
      </c>
      <c r="Y1499" s="7" t="s">
        <v>1177</v>
      </c>
      <c r="Z1499" s="7" t="s">
        <v>1178</v>
      </c>
      <c r="AA1499" s="30">
        <v>0</v>
      </c>
      <c r="AB1499" s="36">
        <v>0</v>
      </c>
      <c r="AC1499" s="7" t="s">
        <v>1177</v>
      </c>
      <c r="AD1499" s="37">
        <v>0</v>
      </c>
      <c r="AE1499" s="7" t="s">
        <v>1177</v>
      </c>
      <c r="AF1499" s="7" t="s">
        <v>1177</v>
      </c>
      <c r="AG1499" s="7" t="s">
        <v>1177</v>
      </c>
      <c r="AH1499" s="38"/>
      <c r="AI1499" s="36">
        <v>0</v>
      </c>
      <c r="AJ1499" s="7" t="s">
        <v>1193</v>
      </c>
      <c r="AK1499" s="7" t="s">
        <v>1177</v>
      </c>
      <c r="AL1499" s="7" t="s">
        <v>1177</v>
      </c>
      <c r="AM1499" s="7" t="s">
        <v>1177</v>
      </c>
      <c r="AN1499" s="7" t="s">
        <v>3212</v>
      </c>
      <c r="AO1499" s="7" t="s">
        <v>1177</v>
      </c>
      <c r="AP1499" s="7" t="s">
        <v>1177</v>
      </c>
      <c r="AQ1499" s="7" t="s">
        <v>1177</v>
      </c>
      <c r="AR1499" s="29">
        <v>0</v>
      </c>
      <c r="AS1499" s="7" t="s">
        <v>1177</v>
      </c>
      <c r="AT1499" s="7" t="s">
        <v>1363</v>
      </c>
      <c r="AU1499" s="38">
        <v>46275</v>
      </c>
      <c r="AV1499" s="39">
        <v>0.62673611111111005</v>
      </c>
    </row>
    <row r="1500" spans="1:48" x14ac:dyDescent="0.35">
      <c r="A1500" t="str">
        <f t="shared" si="23"/>
        <v>GP386246B856</v>
      </c>
      <c r="B1500" s="7" t="s">
        <v>912</v>
      </c>
      <c r="C1500" s="7" t="s">
        <v>852</v>
      </c>
      <c r="D1500" s="7" t="s">
        <v>21</v>
      </c>
      <c r="E1500" s="7" t="s">
        <v>1177</v>
      </c>
      <c r="F1500" s="7" t="s">
        <v>128</v>
      </c>
      <c r="G1500" s="7" t="s">
        <v>130</v>
      </c>
      <c r="H1500" s="7" t="s">
        <v>129</v>
      </c>
      <c r="I1500" s="30">
        <v>1</v>
      </c>
      <c r="J1500" s="7" t="s">
        <v>1177</v>
      </c>
      <c r="K1500" s="7" t="s">
        <v>1178</v>
      </c>
      <c r="L1500" s="7" t="s">
        <v>132</v>
      </c>
      <c r="M1500" s="7" t="s">
        <v>133</v>
      </c>
      <c r="N1500" s="30">
        <v>0</v>
      </c>
      <c r="O1500" s="30">
        <v>0</v>
      </c>
      <c r="P1500" s="30">
        <v>0</v>
      </c>
      <c r="Q1500" s="30">
        <v>0</v>
      </c>
      <c r="R1500" s="29">
        <v>0</v>
      </c>
      <c r="S1500" s="36">
        <v>0</v>
      </c>
      <c r="T1500" s="7" t="s">
        <v>131</v>
      </c>
      <c r="U1500" s="7" t="s">
        <v>853</v>
      </c>
      <c r="V1500" s="7" t="s">
        <v>853</v>
      </c>
      <c r="W1500" s="7" t="s">
        <v>1177</v>
      </c>
      <c r="X1500" s="30">
        <v>1</v>
      </c>
      <c r="Y1500" s="7" t="s">
        <v>1177</v>
      </c>
      <c r="Z1500" s="7" t="s">
        <v>1178</v>
      </c>
      <c r="AA1500" s="30">
        <v>0</v>
      </c>
      <c r="AB1500" s="36">
        <v>0</v>
      </c>
      <c r="AC1500" s="7" t="s">
        <v>1177</v>
      </c>
      <c r="AD1500" s="37">
        <v>0</v>
      </c>
      <c r="AE1500" s="7" t="s">
        <v>1177</v>
      </c>
      <c r="AF1500" s="7" t="s">
        <v>1177</v>
      </c>
      <c r="AG1500" s="7" t="s">
        <v>1177</v>
      </c>
      <c r="AH1500" s="38"/>
      <c r="AI1500" s="36">
        <v>0</v>
      </c>
      <c r="AJ1500" s="7" t="s">
        <v>1193</v>
      </c>
      <c r="AK1500" s="7" t="s">
        <v>1177</v>
      </c>
      <c r="AL1500" s="7" t="s">
        <v>1177</v>
      </c>
      <c r="AM1500" s="7" t="s">
        <v>1177</v>
      </c>
      <c r="AN1500" s="7" t="s">
        <v>3212</v>
      </c>
      <c r="AO1500" s="7" t="s">
        <v>1177</v>
      </c>
      <c r="AP1500" s="7" t="s">
        <v>1177</v>
      </c>
      <c r="AQ1500" s="7" t="s">
        <v>1177</v>
      </c>
      <c r="AR1500" s="29">
        <v>0</v>
      </c>
      <c r="AS1500" s="7" t="s">
        <v>1177</v>
      </c>
      <c r="AT1500" s="7" t="s">
        <v>1363</v>
      </c>
      <c r="AU1500" s="38">
        <v>46275</v>
      </c>
      <c r="AV1500" s="39">
        <v>0.62490740740741002</v>
      </c>
    </row>
    <row r="1501" spans="1:48" x14ac:dyDescent="0.35">
      <c r="A1501" t="str">
        <f t="shared" si="23"/>
        <v>GP386275B856</v>
      </c>
      <c r="B1501" s="7" t="s">
        <v>913</v>
      </c>
      <c r="C1501" s="7" t="s">
        <v>852</v>
      </c>
      <c r="D1501" s="7" t="s">
        <v>21</v>
      </c>
      <c r="E1501" s="7" t="s">
        <v>1177</v>
      </c>
      <c r="F1501" s="7" t="s">
        <v>128</v>
      </c>
      <c r="G1501" s="7" t="s">
        <v>130</v>
      </c>
      <c r="H1501" s="7" t="s">
        <v>129</v>
      </c>
      <c r="I1501" s="30">
        <v>2</v>
      </c>
      <c r="J1501" s="7" t="s">
        <v>1177</v>
      </c>
      <c r="K1501" s="7" t="s">
        <v>1178</v>
      </c>
      <c r="L1501" s="7" t="s">
        <v>132</v>
      </c>
      <c r="M1501" s="7" t="s">
        <v>133</v>
      </c>
      <c r="N1501" s="30">
        <v>0</v>
      </c>
      <c r="O1501" s="30">
        <v>0</v>
      </c>
      <c r="P1501" s="30">
        <v>0</v>
      </c>
      <c r="Q1501" s="30">
        <v>0</v>
      </c>
      <c r="R1501" s="29">
        <v>0</v>
      </c>
      <c r="S1501" s="36">
        <v>0</v>
      </c>
      <c r="T1501" s="7" t="s">
        <v>131</v>
      </c>
      <c r="U1501" s="7" t="s">
        <v>853</v>
      </c>
      <c r="V1501" s="7" t="s">
        <v>853</v>
      </c>
      <c r="W1501" s="7" t="s">
        <v>1177</v>
      </c>
      <c r="X1501" s="30">
        <v>1</v>
      </c>
      <c r="Y1501" s="7" t="s">
        <v>1177</v>
      </c>
      <c r="Z1501" s="7" t="s">
        <v>1178</v>
      </c>
      <c r="AA1501" s="30">
        <v>0</v>
      </c>
      <c r="AB1501" s="36">
        <v>0</v>
      </c>
      <c r="AC1501" s="7" t="s">
        <v>1177</v>
      </c>
      <c r="AD1501" s="37">
        <v>0</v>
      </c>
      <c r="AE1501" s="7" t="s">
        <v>1177</v>
      </c>
      <c r="AF1501" s="7" t="s">
        <v>1177</v>
      </c>
      <c r="AG1501" s="7" t="s">
        <v>1177</v>
      </c>
      <c r="AH1501" s="38"/>
      <c r="AI1501" s="36">
        <v>0</v>
      </c>
      <c r="AJ1501" s="7" t="s">
        <v>1193</v>
      </c>
      <c r="AK1501" s="7" t="s">
        <v>1177</v>
      </c>
      <c r="AL1501" s="7" t="s">
        <v>1177</v>
      </c>
      <c r="AM1501" s="7" t="s">
        <v>1177</v>
      </c>
      <c r="AN1501" s="7" t="s">
        <v>3212</v>
      </c>
      <c r="AO1501" s="7" t="s">
        <v>1177</v>
      </c>
      <c r="AP1501" s="7" t="s">
        <v>1177</v>
      </c>
      <c r="AQ1501" s="7" t="s">
        <v>1177</v>
      </c>
      <c r="AR1501" s="29">
        <v>0</v>
      </c>
      <c r="AS1501" s="7" t="s">
        <v>1177</v>
      </c>
      <c r="AT1501" s="7" t="s">
        <v>1363</v>
      </c>
      <c r="AU1501" s="38">
        <v>46275</v>
      </c>
      <c r="AV1501" s="39">
        <v>0.62490740740741002</v>
      </c>
    </row>
    <row r="1502" spans="1:48" x14ac:dyDescent="0.35">
      <c r="A1502" t="str">
        <f t="shared" si="23"/>
        <v>GP386279B856</v>
      </c>
      <c r="B1502" s="7" t="s">
        <v>914</v>
      </c>
      <c r="C1502" s="7" t="s">
        <v>852</v>
      </c>
      <c r="D1502" s="7" t="s">
        <v>21</v>
      </c>
      <c r="E1502" s="7" t="s">
        <v>1177</v>
      </c>
      <c r="F1502" s="7" t="s">
        <v>128</v>
      </c>
      <c r="G1502" s="7" t="s">
        <v>130</v>
      </c>
      <c r="H1502" s="7" t="s">
        <v>129</v>
      </c>
      <c r="I1502" s="30">
        <v>2</v>
      </c>
      <c r="J1502" s="7" t="s">
        <v>1177</v>
      </c>
      <c r="K1502" s="7" t="s">
        <v>1178</v>
      </c>
      <c r="L1502" s="7" t="s">
        <v>132</v>
      </c>
      <c r="M1502" s="7" t="s">
        <v>133</v>
      </c>
      <c r="N1502" s="30">
        <v>0</v>
      </c>
      <c r="O1502" s="30">
        <v>0</v>
      </c>
      <c r="P1502" s="30">
        <v>0</v>
      </c>
      <c r="Q1502" s="30">
        <v>0</v>
      </c>
      <c r="R1502" s="29">
        <v>0</v>
      </c>
      <c r="S1502" s="36">
        <v>0</v>
      </c>
      <c r="T1502" s="7" t="s">
        <v>131</v>
      </c>
      <c r="U1502" s="7" t="s">
        <v>853</v>
      </c>
      <c r="V1502" s="7" t="s">
        <v>853</v>
      </c>
      <c r="W1502" s="7" t="s">
        <v>1177</v>
      </c>
      <c r="X1502" s="30">
        <v>1</v>
      </c>
      <c r="Y1502" s="7" t="s">
        <v>1177</v>
      </c>
      <c r="Z1502" s="7" t="s">
        <v>1178</v>
      </c>
      <c r="AA1502" s="30">
        <v>0</v>
      </c>
      <c r="AB1502" s="36">
        <v>0</v>
      </c>
      <c r="AC1502" s="7" t="s">
        <v>1177</v>
      </c>
      <c r="AD1502" s="37">
        <v>0</v>
      </c>
      <c r="AE1502" s="7" t="s">
        <v>1177</v>
      </c>
      <c r="AF1502" s="7" t="s">
        <v>1177</v>
      </c>
      <c r="AG1502" s="7" t="s">
        <v>1177</v>
      </c>
      <c r="AH1502" s="38"/>
      <c r="AI1502" s="36">
        <v>0</v>
      </c>
      <c r="AJ1502" s="7" t="s">
        <v>1193</v>
      </c>
      <c r="AK1502" s="7" t="s">
        <v>1177</v>
      </c>
      <c r="AL1502" s="7" t="s">
        <v>1177</v>
      </c>
      <c r="AM1502" s="7" t="s">
        <v>1177</v>
      </c>
      <c r="AN1502" s="7" t="s">
        <v>3212</v>
      </c>
      <c r="AO1502" s="7" t="s">
        <v>1177</v>
      </c>
      <c r="AP1502" s="7" t="s">
        <v>1177</v>
      </c>
      <c r="AQ1502" s="7" t="s">
        <v>1177</v>
      </c>
      <c r="AR1502" s="29">
        <v>0</v>
      </c>
      <c r="AS1502" s="7" t="s">
        <v>1177</v>
      </c>
      <c r="AT1502" s="7" t="s">
        <v>1363</v>
      </c>
      <c r="AU1502" s="38">
        <v>46275</v>
      </c>
      <c r="AV1502" s="39">
        <v>0.62490740740741002</v>
      </c>
    </row>
    <row r="1503" spans="1:48" x14ac:dyDescent="0.35">
      <c r="A1503" t="str">
        <f t="shared" si="23"/>
        <v>GP386280B856</v>
      </c>
      <c r="B1503" s="7" t="s">
        <v>915</v>
      </c>
      <c r="C1503" s="7" t="s">
        <v>852</v>
      </c>
      <c r="D1503" s="7" t="s">
        <v>21</v>
      </c>
      <c r="E1503" s="7" t="s">
        <v>1177</v>
      </c>
      <c r="F1503" s="7" t="s">
        <v>128</v>
      </c>
      <c r="G1503" s="7" t="s">
        <v>130</v>
      </c>
      <c r="H1503" s="7" t="s">
        <v>129</v>
      </c>
      <c r="I1503" s="30">
        <v>1</v>
      </c>
      <c r="J1503" s="7" t="s">
        <v>1177</v>
      </c>
      <c r="K1503" s="7" t="s">
        <v>1178</v>
      </c>
      <c r="L1503" s="7" t="s">
        <v>132</v>
      </c>
      <c r="M1503" s="7" t="s">
        <v>133</v>
      </c>
      <c r="N1503" s="30">
        <v>0</v>
      </c>
      <c r="O1503" s="30">
        <v>0</v>
      </c>
      <c r="P1503" s="30">
        <v>0</v>
      </c>
      <c r="Q1503" s="30">
        <v>0</v>
      </c>
      <c r="R1503" s="29">
        <v>0</v>
      </c>
      <c r="S1503" s="36">
        <v>0</v>
      </c>
      <c r="T1503" s="7" t="s">
        <v>131</v>
      </c>
      <c r="U1503" s="7" t="s">
        <v>853</v>
      </c>
      <c r="V1503" s="7" t="s">
        <v>853</v>
      </c>
      <c r="W1503" s="7" t="s">
        <v>1177</v>
      </c>
      <c r="X1503" s="30">
        <v>1</v>
      </c>
      <c r="Y1503" s="7" t="s">
        <v>1177</v>
      </c>
      <c r="Z1503" s="7" t="s">
        <v>1178</v>
      </c>
      <c r="AA1503" s="30">
        <v>0</v>
      </c>
      <c r="AB1503" s="36">
        <v>0</v>
      </c>
      <c r="AC1503" s="7" t="s">
        <v>1177</v>
      </c>
      <c r="AD1503" s="37">
        <v>0</v>
      </c>
      <c r="AE1503" s="7" t="s">
        <v>1177</v>
      </c>
      <c r="AF1503" s="7" t="s">
        <v>1177</v>
      </c>
      <c r="AG1503" s="7" t="s">
        <v>1177</v>
      </c>
      <c r="AH1503" s="38"/>
      <c r="AI1503" s="36">
        <v>0</v>
      </c>
      <c r="AJ1503" s="7" t="s">
        <v>1193</v>
      </c>
      <c r="AK1503" s="7" t="s">
        <v>1177</v>
      </c>
      <c r="AL1503" s="7" t="s">
        <v>1177</v>
      </c>
      <c r="AM1503" s="7" t="s">
        <v>1177</v>
      </c>
      <c r="AN1503" s="7" t="s">
        <v>3212</v>
      </c>
      <c r="AO1503" s="7" t="s">
        <v>1177</v>
      </c>
      <c r="AP1503" s="7" t="s">
        <v>1177</v>
      </c>
      <c r="AQ1503" s="7" t="s">
        <v>1177</v>
      </c>
      <c r="AR1503" s="29">
        <v>0</v>
      </c>
      <c r="AS1503" s="7" t="s">
        <v>1177</v>
      </c>
      <c r="AT1503" s="7" t="s">
        <v>1363</v>
      </c>
      <c r="AU1503" s="38">
        <v>46275</v>
      </c>
      <c r="AV1503" s="39">
        <v>0.62489583333332999</v>
      </c>
    </row>
    <row r="1504" spans="1:48" x14ac:dyDescent="0.35">
      <c r="A1504" t="str">
        <f t="shared" si="23"/>
        <v>GP386293B856</v>
      </c>
      <c r="B1504" s="7" t="s">
        <v>916</v>
      </c>
      <c r="C1504" s="7" t="s">
        <v>852</v>
      </c>
      <c r="D1504" s="7" t="s">
        <v>21</v>
      </c>
      <c r="E1504" s="7" t="s">
        <v>1177</v>
      </c>
      <c r="F1504" s="7" t="s">
        <v>128</v>
      </c>
      <c r="G1504" s="7" t="s">
        <v>130</v>
      </c>
      <c r="H1504" s="7" t="s">
        <v>129</v>
      </c>
      <c r="I1504" s="30">
        <v>2</v>
      </c>
      <c r="J1504" s="7" t="s">
        <v>1177</v>
      </c>
      <c r="K1504" s="7" t="s">
        <v>1178</v>
      </c>
      <c r="L1504" s="7" t="s">
        <v>132</v>
      </c>
      <c r="M1504" s="7" t="s">
        <v>133</v>
      </c>
      <c r="N1504" s="30">
        <v>0</v>
      </c>
      <c r="O1504" s="30">
        <v>0</v>
      </c>
      <c r="P1504" s="30">
        <v>0</v>
      </c>
      <c r="Q1504" s="30">
        <v>0</v>
      </c>
      <c r="R1504" s="29">
        <v>0</v>
      </c>
      <c r="S1504" s="36">
        <v>0</v>
      </c>
      <c r="T1504" s="7" t="s">
        <v>131</v>
      </c>
      <c r="U1504" s="7" t="s">
        <v>853</v>
      </c>
      <c r="V1504" s="7" t="s">
        <v>853</v>
      </c>
      <c r="W1504" s="7" t="s">
        <v>1177</v>
      </c>
      <c r="X1504" s="30">
        <v>1</v>
      </c>
      <c r="Y1504" s="7" t="s">
        <v>1177</v>
      </c>
      <c r="Z1504" s="7" t="s">
        <v>1178</v>
      </c>
      <c r="AA1504" s="30">
        <v>0</v>
      </c>
      <c r="AB1504" s="36">
        <v>0</v>
      </c>
      <c r="AC1504" s="7" t="s">
        <v>1177</v>
      </c>
      <c r="AD1504" s="37">
        <v>0</v>
      </c>
      <c r="AE1504" s="7" t="s">
        <v>1177</v>
      </c>
      <c r="AF1504" s="7" t="s">
        <v>1177</v>
      </c>
      <c r="AG1504" s="7" t="s">
        <v>1177</v>
      </c>
      <c r="AH1504" s="38"/>
      <c r="AI1504" s="36">
        <v>0</v>
      </c>
      <c r="AJ1504" s="7" t="s">
        <v>1193</v>
      </c>
      <c r="AK1504" s="7" t="s">
        <v>1177</v>
      </c>
      <c r="AL1504" s="7" t="s">
        <v>1177</v>
      </c>
      <c r="AM1504" s="7" t="s">
        <v>1177</v>
      </c>
      <c r="AN1504" s="7" t="s">
        <v>3212</v>
      </c>
      <c r="AO1504" s="7" t="s">
        <v>1177</v>
      </c>
      <c r="AP1504" s="7" t="s">
        <v>1177</v>
      </c>
      <c r="AQ1504" s="7" t="s">
        <v>1177</v>
      </c>
      <c r="AR1504" s="29">
        <v>0</v>
      </c>
      <c r="AS1504" s="7" t="s">
        <v>1177</v>
      </c>
      <c r="AT1504" s="7" t="s">
        <v>1363</v>
      </c>
      <c r="AU1504" s="38">
        <v>46275</v>
      </c>
      <c r="AV1504" s="39">
        <v>0.62489583333332999</v>
      </c>
    </row>
    <row r="1505" spans="1:48" x14ac:dyDescent="0.35">
      <c r="A1505" t="str">
        <f t="shared" si="23"/>
        <v>GP386295B856</v>
      </c>
      <c r="B1505" s="7" t="s">
        <v>917</v>
      </c>
      <c r="C1505" s="7" t="s">
        <v>852</v>
      </c>
      <c r="D1505" s="7" t="s">
        <v>21</v>
      </c>
      <c r="E1505" s="7" t="s">
        <v>1177</v>
      </c>
      <c r="F1505" s="7" t="s">
        <v>128</v>
      </c>
      <c r="G1505" s="7" t="s">
        <v>130</v>
      </c>
      <c r="H1505" s="7" t="s">
        <v>129</v>
      </c>
      <c r="I1505" s="30">
        <v>2</v>
      </c>
      <c r="J1505" s="7" t="s">
        <v>1177</v>
      </c>
      <c r="K1505" s="7" t="s">
        <v>1178</v>
      </c>
      <c r="L1505" s="7" t="s">
        <v>132</v>
      </c>
      <c r="M1505" s="7" t="s">
        <v>133</v>
      </c>
      <c r="N1505" s="30">
        <v>0</v>
      </c>
      <c r="O1505" s="30">
        <v>0</v>
      </c>
      <c r="P1505" s="30">
        <v>0</v>
      </c>
      <c r="Q1505" s="30">
        <v>0</v>
      </c>
      <c r="R1505" s="29">
        <v>0</v>
      </c>
      <c r="S1505" s="36">
        <v>0</v>
      </c>
      <c r="T1505" s="7" t="s">
        <v>131</v>
      </c>
      <c r="U1505" s="7" t="s">
        <v>853</v>
      </c>
      <c r="V1505" s="7" t="s">
        <v>853</v>
      </c>
      <c r="W1505" s="7" t="s">
        <v>1177</v>
      </c>
      <c r="X1505" s="30">
        <v>1</v>
      </c>
      <c r="Y1505" s="7" t="s">
        <v>1177</v>
      </c>
      <c r="Z1505" s="7" t="s">
        <v>1178</v>
      </c>
      <c r="AA1505" s="30">
        <v>0</v>
      </c>
      <c r="AB1505" s="36">
        <v>0</v>
      </c>
      <c r="AC1505" s="7" t="s">
        <v>1177</v>
      </c>
      <c r="AD1505" s="37">
        <v>0</v>
      </c>
      <c r="AE1505" s="7" t="s">
        <v>1177</v>
      </c>
      <c r="AF1505" s="7" t="s">
        <v>1177</v>
      </c>
      <c r="AG1505" s="7" t="s">
        <v>1177</v>
      </c>
      <c r="AH1505" s="38"/>
      <c r="AI1505" s="36">
        <v>0</v>
      </c>
      <c r="AJ1505" s="7" t="s">
        <v>1193</v>
      </c>
      <c r="AK1505" s="7" t="s">
        <v>1177</v>
      </c>
      <c r="AL1505" s="7" t="s">
        <v>1177</v>
      </c>
      <c r="AM1505" s="7" t="s">
        <v>1177</v>
      </c>
      <c r="AN1505" s="7" t="s">
        <v>3212</v>
      </c>
      <c r="AO1505" s="7" t="s">
        <v>1177</v>
      </c>
      <c r="AP1505" s="7" t="s">
        <v>1177</v>
      </c>
      <c r="AQ1505" s="7" t="s">
        <v>1177</v>
      </c>
      <c r="AR1505" s="29">
        <v>0</v>
      </c>
      <c r="AS1505" s="7" t="s">
        <v>1177</v>
      </c>
      <c r="AT1505" s="7" t="s">
        <v>1363</v>
      </c>
      <c r="AU1505" s="38">
        <v>46275</v>
      </c>
      <c r="AV1505" s="39">
        <v>0.62489583333332999</v>
      </c>
    </row>
    <row r="1506" spans="1:48" x14ac:dyDescent="0.35">
      <c r="A1506" t="str">
        <f t="shared" si="23"/>
        <v>GP387818B857</v>
      </c>
      <c r="B1506" s="7" t="s">
        <v>989</v>
      </c>
      <c r="C1506" s="7" t="s">
        <v>958</v>
      </c>
      <c r="D1506" s="7" t="s">
        <v>23</v>
      </c>
      <c r="E1506" s="7" t="s">
        <v>1177</v>
      </c>
      <c r="F1506" s="7" t="s">
        <v>128</v>
      </c>
      <c r="G1506" s="7" t="s">
        <v>130</v>
      </c>
      <c r="H1506" s="7" t="s">
        <v>129</v>
      </c>
      <c r="I1506" s="30">
        <v>1</v>
      </c>
      <c r="J1506" s="7" t="s">
        <v>1177</v>
      </c>
      <c r="K1506" s="7" t="s">
        <v>1178</v>
      </c>
      <c r="L1506" s="7" t="s">
        <v>132</v>
      </c>
      <c r="M1506" s="7" t="s">
        <v>133</v>
      </c>
      <c r="N1506" s="30">
        <v>0</v>
      </c>
      <c r="O1506" s="30">
        <v>0</v>
      </c>
      <c r="P1506" s="30">
        <v>0</v>
      </c>
      <c r="Q1506" s="30">
        <v>0</v>
      </c>
      <c r="R1506" s="29">
        <v>0</v>
      </c>
      <c r="S1506" s="36">
        <v>0</v>
      </c>
      <c r="T1506" s="7" t="s">
        <v>131</v>
      </c>
      <c r="U1506" s="7" t="s">
        <v>959</v>
      </c>
      <c r="V1506" s="7" t="s">
        <v>959</v>
      </c>
      <c r="W1506" s="7" t="s">
        <v>1177</v>
      </c>
      <c r="X1506" s="30">
        <v>1</v>
      </c>
      <c r="Y1506" s="7" t="s">
        <v>1177</v>
      </c>
      <c r="Z1506" s="7" t="s">
        <v>1178</v>
      </c>
      <c r="AA1506" s="30">
        <v>0</v>
      </c>
      <c r="AB1506" s="36">
        <v>0</v>
      </c>
      <c r="AC1506" s="7" t="s">
        <v>1177</v>
      </c>
      <c r="AD1506" s="37">
        <v>0</v>
      </c>
      <c r="AE1506" s="7" t="s">
        <v>1177</v>
      </c>
      <c r="AF1506" s="7" t="s">
        <v>1177</v>
      </c>
      <c r="AG1506" s="7" t="s">
        <v>1177</v>
      </c>
      <c r="AH1506" s="38"/>
      <c r="AI1506" s="36">
        <v>0</v>
      </c>
      <c r="AJ1506" s="7" t="s">
        <v>1193</v>
      </c>
      <c r="AK1506" s="7" t="s">
        <v>1177</v>
      </c>
      <c r="AL1506" s="7" t="s">
        <v>1177</v>
      </c>
      <c r="AM1506" s="7" t="s">
        <v>1177</v>
      </c>
      <c r="AN1506" s="7" t="s">
        <v>3212</v>
      </c>
      <c r="AO1506" s="7" t="s">
        <v>1177</v>
      </c>
      <c r="AP1506" s="7" t="s">
        <v>1177</v>
      </c>
      <c r="AQ1506" s="7" t="s">
        <v>1177</v>
      </c>
      <c r="AR1506" s="29">
        <v>0</v>
      </c>
      <c r="AS1506" s="7" t="s">
        <v>1177</v>
      </c>
      <c r="AT1506" s="7" t="s">
        <v>1363</v>
      </c>
      <c r="AU1506" s="38">
        <v>46275</v>
      </c>
      <c r="AV1506" s="39">
        <v>0.62515046296295995</v>
      </c>
    </row>
    <row r="1507" spans="1:48" x14ac:dyDescent="0.35">
      <c r="A1507" t="str">
        <f t="shared" si="23"/>
        <v>GP389291B825</v>
      </c>
      <c r="B1507" s="7" t="s">
        <v>613</v>
      </c>
      <c r="C1507" s="7" t="s">
        <v>511</v>
      </c>
      <c r="D1507" s="7" t="s">
        <v>16</v>
      </c>
      <c r="E1507" s="7" t="s">
        <v>1177</v>
      </c>
      <c r="F1507" s="7" t="s">
        <v>128</v>
      </c>
      <c r="G1507" s="7" t="s">
        <v>130</v>
      </c>
      <c r="H1507" s="7" t="s">
        <v>129</v>
      </c>
      <c r="I1507" s="30">
        <v>3</v>
      </c>
      <c r="J1507" s="7" t="s">
        <v>1177</v>
      </c>
      <c r="K1507" s="7" t="s">
        <v>1178</v>
      </c>
      <c r="L1507" s="7" t="s">
        <v>132</v>
      </c>
      <c r="M1507" s="7" t="s">
        <v>133</v>
      </c>
      <c r="N1507" s="30">
        <v>0</v>
      </c>
      <c r="O1507" s="30">
        <v>0</v>
      </c>
      <c r="P1507" s="30">
        <v>0</v>
      </c>
      <c r="Q1507" s="30">
        <v>0</v>
      </c>
      <c r="R1507" s="29">
        <v>0</v>
      </c>
      <c r="S1507" s="36">
        <v>0</v>
      </c>
      <c r="T1507" s="7" t="s">
        <v>131</v>
      </c>
      <c r="U1507" s="7" t="s">
        <v>512</v>
      </c>
      <c r="V1507" s="7" t="s">
        <v>512</v>
      </c>
      <c r="W1507" s="7" t="s">
        <v>1177</v>
      </c>
      <c r="X1507" s="30">
        <v>1</v>
      </c>
      <c r="Y1507" s="7" t="s">
        <v>1177</v>
      </c>
      <c r="Z1507" s="7" t="s">
        <v>1178</v>
      </c>
      <c r="AA1507" s="30">
        <v>0</v>
      </c>
      <c r="AB1507" s="36">
        <v>0</v>
      </c>
      <c r="AC1507" s="7" t="s">
        <v>1177</v>
      </c>
      <c r="AD1507" s="37">
        <v>0</v>
      </c>
      <c r="AE1507" s="7" t="s">
        <v>1177</v>
      </c>
      <c r="AF1507" s="7" t="s">
        <v>1177</v>
      </c>
      <c r="AG1507" s="7" t="s">
        <v>1177</v>
      </c>
      <c r="AH1507" s="38"/>
      <c r="AI1507" s="36">
        <v>0</v>
      </c>
      <c r="AJ1507" s="7" t="s">
        <v>1193</v>
      </c>
      <c r="AK1507" s="7" t="s">
        <v>1177</v>
      </c>
      <c r="AL1507" s="7" t="s">
        <v>1177</v>
      </c>
      <c r="AM1507" s="7" t="s">
        <v>1177</v>
      </c>
      <c r="AN1507" s="7" t="s">
        <v>3212</v>
      </c>
      <c r="AO1507" s="7" t="s">
        <v>1177</v>
      </c>
      <c r="AP1507" s="7" t="s">
        <v>1177</v>
      </c>
      <c r="AQ1507" s="7" t="s">
        <v>1177</v>
      </c>
      <c r="AR1507" s="29">
        <v>0</v>
      </c>
      <c r="AS1507" s="7" t="s">
        <v>1177</v>
      </c>
      <c r="AT1507" s="7" t="s">
        <v>1363</v>
      </c>
      <c r="AU1507" s="38">
        <v>46275</v>
      </c>
      <c r="AV1507" s="39">
        <v>0.62305555555556003</v>
      </c>
    </row>
    <row r="1508" spans="1:48" x14ac:dyDescent="0.35">
      <c r="A1508" t="str">
        <f t="shared" si="23"/>
        <v>GP389291B832</v>
      </c>
      <c r="B1508" s="7" t="s">
        <v>613</v>
      </c>
      <c r="C1508" s="7" t="s">
        <v>653</v>
      </c>
      <c r="D1508" s="7" t="s">
        <v>19</v>
      </c>
      <c r="E1508" s="7" t="s">
        <v>1177</v>
      </c>
      <c r="F1508" s="7" t="s">
        <v>128</v>
      </c>
      <c r="G1508" s="7" t="s">
        <v>130</v>
      </c>
      <c r="H1508" s="7" t="s">
        <v>129</v>
      </c>
      <c r="I1508" s="30">
        <v>2</v>
      </c>
      <c r="J1508" s="7" t="s">
        <v>1177</v>
      </c>
      <c r="K1508" s="7" t="s">
        <v>1178</v>
      </c>
      <c r="L1508" s="7" t="s">
        <v>132</v>
      </c>
      <c r="M1508" s="7" t="s">
        <v>133</v>
      </c>
      <c r="N1508" s="30">
        <v>0</v>
      </c>
      <c r="O1508" s="30">
        <v>0</v>
      </c>
      <c r="P1508" s="30">
        <v>0</v>
      </c>
      <c r="Q1508" s="30">
        <v>0</v>
      </c>
      <c r="R1508" s="29">
        <v>0</v>
      </c>
      <c r="S1508" s="36">
        <v>0</v>
      </c>
      <c r="T1508" s="7" t="s">
        <v>131</v>
      </c>
      <c r="U1508" s="7" t="s">
        <v>654</v>
      </c>
      <c r="V1508" s="7" t="s">
        <v>654</v>
      </c>
      <c r="W1508" s="7" t="s">
        <v>1177</v>
      </c>
      <c r="X1508" s="30">
        <v>1</v>
      </c>
      <c r="Y1508" s="7" t="s">
        <v>1177</v>
      </c>
      <c r="Z1508" s="7" t="s">
        <v>1178</v>
      </c>
      <c r="AA1508" s="30">
        <v>0</v>
      </c>
      <c r="AB1508" s="36">
        <v>0</v>
      </c>
      <c r="AC1508" s="7" t="s">
        <v>1177</v>
      </c>
      <c r="AD1508" s="37">
        <v>0</v>
      </c>
      <c r="AE1508" s="7" t="s">
        <v>1177</v>
      </c>
      <c r="AF1508" s="7" t="s">
        <v>1177</v>
      </c>
      <c r="AG1508" s="7" t="s">
        <v>1177</v>
      </c>
      <c r="AH1508" s="38"/>
      <c r="AI1508" s="36">
        <v>0</v>
      </c>
      <c r="AJ1508" s="7" t="s">
        <v>1193</v>
      </c>
      <c r="AK1508" s="7" t="s">
        <v>1177</v>
      </c>
      <c r="AL1508" s="7" t="s">
        <v>1177</v>
      </c>
      <c r="AM1508" s="7" t="s">
        <v>1177</v>
      </c>
      <c r="AN1508" s="7" t="s">
        <v>3212</v>
      </c>
      <c r="AO1508" s="7" t="s">
        <v>1177</v>
      </c>
      <c r="AP1508" s="7" t="s">
        <v>1177</v>
      </c>
      <c r="AQ1508" s="7" t="s">
        <v>1177</v>
      </c>
      <c r="AR1508" s="29">
        <v>0</v>
      </c>
      <c r="AS1508" s="7" t="s">
        <v>1177</v>
      </c>
      <c r="AT1508" s="7" t="s">
        <v>1363</v>
      </c>
      <c r="AU1508" s="38">
        <v>46275</v>
      </c>
      <c r="AV1508" s="39">
        <v>0.62339120370370005</v>
      </c>
    </row>
    <row r="1509" spans="1:48" x14ac:dyDescent="0.35">
      <c r="A1509" t="str">
        <f t="shared" si="23"/>
        <v>GP389965B856</v>
      </c>
      <c r="B1509" s="7" t="s">
        <v>918</v>
      </c>
      <c r="C1509" s="7" t="s">
        <v>852</v>
      </c>
      <c r="D1509" s="7" t="s">
        <v>21</v>
      </c>
      <c r="E1509" s="7" t="s">
        <v>1177</v>
      </c>
      <c r="F1509" s="7" t="s">
        <v>128</v>
      </c>
      <c r="G1509" s="7" t="s">
        <v>130</v>
      </c>
      <c r="H1509" s="7" t="s">
        <v>129</v>
      </c>
      <c r="I1509" s="30">
        <v>1</v>
      </c>
      <c r="J1509" s="7" t="s">
        <v>1177</v>
      </c>
      <c r="K1509" s="7" t="s">
        <v>1178</v>
      </c>
      <c r="L1509" s="7" t="s">
        <v>132</v>
      </c>
      <c r="M1509" s="7" t="s">
        <v>133</v>
      </c>
      <c r="N1509" s="30">
        <v>0</v>
      </c>
      <c r="O1509" s="30">
        <v>0</v>
      </c>
      <c r="P1509" s="30">
        <v>0</v>
      </c>
      <c r="Q1509" s="30">
        <v>0</v>
      </c>
      <c r="R1509" s="29">
        <v>0</v>
      </c>
      <c r="S1509" s="36">
        <v>0</v>
      </c>
      <c r="T1509" s="7" t="s">
        <v>131</v>
      </c>
      <c r="U1509" s="7" t="s">
        <v>853</v>
      </c>
      <c r="V1509" s="7" t="s">
        <v>853</v>
      </c>
      <c r="W1509" s="7" t="s">
        <v>1177</v>
      </c>
      <c r="X1509" s="30">
        <v>1</v>
      </c>
      <c r="Y1509" s="7" t="s">
        <v>1177</v>
      </c>
      <c r="Z1509" s="7" t="s">
        <v>1178</v>
      </c>
      <c r="AA1509" s="30">
        <v>0</v>
      </c>
      <c r="AB1509" s="36">
        <v>0</v>
      </c>
      <c r="AC1509" s="7" t="s">
        <v>1177</v>
      </c>
      <c r="AD1509" s="37">
        <v>0</v>
      </c>
      <c r="AE1509" s="7" t="s">
        <v>1177</v>
      </c>
      <c r="AF1509" s="7" t="s">
        <v>1177</v>
      </c>
      <c r="AG1509" s="7" t="s">
        <v>1177</v>
      </c>
      <c r="AH1509" s="38"/>
      <c r="AI1509" s="36">
        <v>0</v>
      </c>
      <c r="AJ1509" s="7" t="s">
        <v>1193</v>
      </c>
      <c r="AK1509" s="7" t="s">
        <v>1177</v>
      </c>
      <c r="AL1509" s="7" t="s">
        <v>1177</v>
      </c>
      <c r="AM1509" s="7" t="s">
        <v>1177</v>
      </c>
      <c r="AN1509" s="7" t="s">
        <v>3212</v>
      </c>
      <c r="AO1509" s="7" t="s">
        <v>1177</v>
      </c>
      <c r="AP1509" s="7" t="s">
        <v>1177</v>
      </c>
      <c r="AQ1509" s="7" t="s">
        <v>1177</v>
      </c>
      <c r="AR1509" s="29">
        <v>0</v>
      </c>
      <c r="AS1509" s="7" t="s">
        <v>1177</v>
      </c>
      <c r="AT1509" s="7" t="s">
        <v>1363</v>
      </c>
      <c r="AU1509" s="38">
        <v>46275</v>
      </c>
      <c r="AV1509" s="39">
        <v>0.62489583333332999</v>
      </c>
    </row>
    <row r="1510" spans="1:48" x14ac:dyDescent="0.35">
      <c r="A1510" t="str">
        <f t="shared" si="23"/>
        <v>GP389965B857</v>
      </c>
      <c r="B1510" s="7" t="s">
        <v>918</v>
      </c>
      <c r="C1510" s="7" t="s">
        <v>958</v>
      </c>
      <c r="D1510" s="7" t="s">
        <v>23</v>
      </c>
      <c r="E1510" s="7" t="s">
        <v>1177</v>
      </c>
      <c r="F1510" s="7" t="s">
        <v>128</v>
      </c>
      <c r="G1510" s="7" t="s">
        <v>130</v>
      </c>
      <c r="H1510" s="7" t="s">
        <v>129</v>
      </c>
      <c r="I1510" s="30">
        <v>1</v>
      </c>
      <c r="J1510" s="7" t="s">
        <v>1177</v>
      </c>
      <c r="K1510" s="7" t="s">
        <v>1178</v>
      </c>
      <c r="L1510" s="7" t="s">
        <v>132</v>
      </c>
      <c r="M1510" s="7" t="s">
        <v>133</v>
      </c>
      <c r="N1510" s="30">
        <v>0</v>
      </c>
      <c r="O1510" s="30">
        <v>0</v>
      </c>
      <c r="P1510" s="30">
        <v>0</v>
      </c>
      <c r="Q1510" s="30">
        <v>0</v>
      </c>
      <c r="R1510" s="29">
        <v>0</v>
      </c>
      <c r="S1510" s="36">
        <v>0</v>
      </c>
      <c r="T1510" s="7" t="s">
        <v>131</v>
      </c>
      <c r="U1510" s="7" t="s">
        <v>959</v>
      </c>
      <c r="V1510" s="7" t="s">
        <v>959</v>
      </c>
      <c r="W1510" s="7" t="s">
        <v>1177</v>
      </c>
      <c r="X1510" s="30">
        <v>1</v>
      </c>
      <c r="Y1510" s="7" t="s">
        <v>1177</v>
      </c>
      <c r="Z1510" s="7" t="s">
        <v>1178</v>
      </c>
      <c r="AA1510" s="30">
        <v>0</v>
      </c>
      <c r="AB1510" s="36">
        <v>0</v>
      </c>
      <c r="AC1510" s="7" t="s">
        <v>1177</v>
      </c>
      <c r="AD1510" s="37">
        <v>0</v>
      </c>
      <c r="AE1510" s="7" t="s">
        <v>1177</v>
      </c>
      <c r="AF1510" s="7" t="s">
        <v>1177</v>
      </c>
      <c r="AG1510" s="7" t="s">
        <v>1177</v>
      </c>
      <c r="AH1510" s="38"/>
      <c r="AI1510" s="36">
        <v>0</v>
      </c>
      <c r="AJ1510" s="7" t="s">
        <v>1193</v>
      </c>
      <c r="AK1510" s="7" t="s">
        <v>1177</v>
      </c>
      <c r="AL1510" s="7" t="s">
        <v>1177</v>
      </c>
      <c r="AM1510" s="7" t="s">
        <v>1177</v>
      </c>
      <c r="AN1510" s="7" t="s">
        <v>3212</v>
      </c>
      <c r="AO1510" s="7" t="s">
        <v>1177</v>
      </c>
      <c r="AP1510" s="7" t="s">
        <v>1177</v>
      </c>
      <c r="AQ1510" s="7" t="s">
        <v>1177</v>
      </c>
      <c r="AR1510" s="29">
        <v>0</v>
      </c>
      <c r="AS1510" s="7" t="s">
        <v>1177</v>
      </c>
      <c r="AT1510" s="7" t="s">
        <v>1363</v>
      </c>
      <c r="AU1510" s="38">
        <v>46275</v>
      </c>
      <c r="AV1510" s="39">
        <v>0.62515046296295995</v>
      </c>
    </row>
    <row r="1511" spans="1:48" x14ac:dyDescent="0.35">
      <c r="A1511" t="str">
        <f t="shared" si="23"/>
        <v>GP389966B864</v>
      </c>
      <c r="B1511" s="7" t="s">
        <v>824</v>
      </c>
      <c r="C1511" s="7" t="s">
        <v>1010</v>
      </c>
      <c r="D1511" s="7" t="s">
        <v>10</v>
      </c>
      <c r="E1511" s="7" t="s">
        <v>1177</v>
      </c>
      <c r="F1511" s="7" t="s">
        <v>128</v>
      </c>
      <c r="G1511" s="7" t="s">
        <v>130</v>
      </c>
      <c r="H1511" s="7" t="s">
        <v>129</v>
      </c>
      <c r="I1511" s="30">
        <v>1</v>
      </c>
      <c r="J1511" s="7" t="s">
        <v>1177</v>
      </c>
      <c r="K1511" s="7" t="s">
        <v>1178</v>
      </c>
      <c r="L1511" s="7" t="s">
        <v>132</v>
      </c>
      <c r="M1511" s="7" t="s">
        <v>133</v>
      </c>
      <c r="N1511" s="30">
        <v>0</v>
      </c>
      <c r="O1511" s="30">
        <v>0</v>
      </c>
      <c r="P1511" s="30">
        <v>0</v>
      </c>
      <c r="Q1511" s="30">
        <v>0</v>
      </c>
      <c r="R1511" s="29">
        <v>0</v>
      </c>
      <c r="S1511" s="36">
        <v>0</v>
      </c>
      <c r="T1511" s="7" t="s">
        <v>131</v>
      </c>
      <c r="U1511" s="7" t="s">
        <v>1011</v>
      </c>
      <c r="V1511" s="7" t="s">
        <v>1011</v>
      </c>
      <c r="W1511" s="7" t="s">
        <v>1177</v>
      </c>
      <c r="X1511" s="30">
        <v>1</v>
      </c>
      <c r="Y1511" s="7" t="s">
        <v>1177</v>
      </c>
      <c r="Z1511" s="7" t="s">
        <v>1178</v>
      </c>
      <c r="AA1511" s="30">
        <v>0</v>
      </c>
      <c r="AB1511" s="36">
        <v>0</v>
      </c>
      <c r="AC1511" s="7" t="s">
        <v>1177</v>
      </c>
      <c r="AD1511" s="37">
        <v>0</v>
      </c>
      <c r="AE1511" s="7" t="s">
        <v>1177</v>
      </c>
      <c r="AF1511" s="7" t="s">
        <v>1177</v>
      </c>
      <c r="AG1511" s="7" t="s">
        <v>1177</v>
      </c>
      <c r="AH1511" s="38"/>
      <c r="AI1511" s="36">
        <v>0</v>
      </c>
      <c r="AJ1511" s="7" t="s">
        <v>1193</v>
      </c>
      <c r="AK1511" s="7" t="s">
        <v>1177</v>
      </c>
      <c r="AL1511" s="7" t="s">
        <v>1177</v>
      </c>
      <c r="AM1511" s="7" t="s">
        <v>1177</v>
      </c>
      <c r="AN1511" s="7" t="s">
        <v>3212</v>
      </c>
      <c r="AO1511" s="7" t="s">
        <v>1177</v>
      </c>
      <c r="AP1511" s="7" t="s">
        <v>1177</v>
      </c>
      <c r="AQ1511" s="7" t="s">
        <v>1177</v>
      </c>
      <c r="AR1511" s="29">
        <v>0</v>
      </c>
      <c r="AS1511" s="7" t="s">
        <v>1177</v>
      </c>
      <c r="AT1511" s="7" t="s">
        <v>1363</v>
      </c>
      <c r="AU1511" s="38">
        <v>46275</v>
      </c>
      <c r="AV1511" s="39">
        <v>0.62633101851852002</v>
      </c>
    </row>
    <row r="1512" spans="1:48" x14ac:dyDescent="0.35">
      <c r="A1512" t="str">
        <f t="shared" si="23"/>
        <v>GP389966B865</v>
      </c>
      <c r="B1512" s="7" t="s">
        <v>824</v>
      </c>
      <c r="C1512" s="7" t="s">
        <v>1039</v>
      </c>
      <c r="D1512" s="7" t="s">
        <v>7</v>
      </c>
      <c r="E1512" s="7" t="s">
        <v>1177</v>
      </c>
      <c r="F1512" s="7" t="s">
        <v>128</v>
      </c>
      <c r="G1512" s="7" t="s">
        <v>130</v>
      </c>
      <c r="H1512" s="7" t="s">
        <v>129</v>
      </c>
      <c r="I1512" s="30">
        <v>1</v>
      </c>
      <c r="J1512" s="7" t="s">
        <v>1177</v>
      </c>
      <c r="K1512" s="7" t="s">
        <v>1178</v>
      </c>
      <c r="L1512" s="7" t="s">
        <v>132</v>
      </c>
      <c r="M1512" s="7" t="s">
        <v>133</v>
      </c>
      <c r="N1512" s="30">
        <v>0</v>
      </c>
      <c r="O1512" s="30">
        <v>0</v>
      </c>
      <c r="P1512" s="30">
        <v>0</v>
      </c>
      <c r="Q1512" s="30">
        <v>0</v>
      </c>
      <c r="R1512" s="29">
        <v>0</v>
      </c>
      <c r="S1512" s="36">
        <v>0</v>
      </c>
      <c r="T1512" s="7" t="s">
        <v>131</v>
      </c>
      <c r="U1512" s="7" t="s">
        <v>1040</v>
      </c>
      <c r="V1512" s="7" t="s">
        <v>1040</v>
      </c>
      <c r="W1512" s="7" t="s">
        <v>1177</v>
      </c>
      <c r="X1512" s="30">
        <v>1</v>
      </c>
      <c r="Y1512" s="7" t="s">
        <v>1177</v>
      </c>
      <c r="Z1512" s="7" t="s">
        <v>1178</v>
      </c>
      <c r="AA1512" s="30">
        <v>0</v>
      </c>
      <c r="AB1512" s="36">
        <v>0</v>
      </c>
      <c r="AC1512" s="7" t="s">
        <v>1177</v>
      </c>
      <c r="AD1512" s="37">
        <v>0</v>
      </c>
      <c r="AE1512" s="7" t="s">
        <v>1177</v>
      </c>
      <c r="AF1512" s="7" t="s">
        <v>1177</v>
      </c>
      <c r="AG1512" s="7" t="s">
        <v>1177</v>
      </c>
      <c r="AH1512" s="38"/>
      <c r="AI1512" s="36">
        <v>0</v>
      </c>
      <c r="AJ1512" s="7" t="s">
        <v>1193</v>
      </c>
      <c r="AK1512" s="7" t="s">
        <v>1177</v>
      </c>
      <c r="AL1512" s="7" t="s">
        <v>1177</v>
      </c>
      <c r="AM1512" s="7" t="s">
        <v>1177</v>
      </c>
      <c r="AN1512" s="7" t="s">
        <v>3212</v>
      </c>
      <c r="AO1512" s="7" t="s">
        <v>1177</v>
      </c>
      <c r="AP1512" s="7" t="s">
        <v>1177</v>
      </c>
      <c r="AQ1512" s="7" t="s">
        <v>1177</v>
      </c>
      <c r="AR1512" s="29">
        <v>0</v>
      </c>
      <c r="AS1512" s="7" t="s">
        <v>1177</v>
      </c>
      <c r="AT1512" s="7" t="s">
        <v>1363</v>
      </c>
      <c r="AU1512" s="38">
        <v>46275</v>
      </c>
      <c r="AV1512" s="39">
        <v>0.62673611111111005</v>
      </c>
    </row>
    <row r="1513" spans="1:48" x14ac:dyDescent="0.35">
      <c r="A1513" t="str">
        <f t="shared" si="23"/>
        <v>GP392486B838</v>
      </c>
      <c r="B1513" s="7" t="s">
        <v>771</v>
      </c>
      <c r="C1513" s="7" t="s">
        <v>744</v>
      </c>
      <c r="D1513" s="7" t="s">
        <v>48</v>
      </c>
      <c r="E1513" s="7" t="s">
        <v>1177</v>
      </c>
      <c r="F1513" s="7" t="s">
        <v>128</v>
      </c>
      <c r="G1513" s="7" t="s">
        <v>130</v>
      </c>
      <c r="H1513" s="7" t="s">
        <v>129</v>
      </c>
      <c r="I1513" s="30">
        <v>2</v>
      </c>
      <c r="J1513" s="7" t="s">
        <v>1177</v>
      </c>
      <c r="K1513" s="7" t="s">
        <v>1178</v>
      </c>
      <c r="L1513" s="7" t="s">
        <v>132</v>
      </c>
      <c r="M1513" s="7" t="s">
        <v>133</v>
      </c>
      <c r="N1513" s="30">
        <v>0</v>
      </c>
      <c r="O1513" s="30">
        <v>0</v>
      </c>
      <c r="P1513" s="30">
        <v>0</v>
      </c>
      <c r="Q1513" s="30">
        <v>0</v>
      </c>
      <c r="R1513" s="29">
        <v>0</v>
      </c>
      <c r="S1513" s="36">
        <v>0</v>
      </c>
      <c r="T1513" s="7" t="s">
        <v>131</v>
      </c>
      <c r="U1513" s="7" t="s">
        <v>745</v>
      </c>
      <c r="V1513" s="7" t="s">
        <v>745</v>
      </c>
      <c r="W1513" s="7" t="s">
        <v>1177</v>
      </c>
      <c r="X1513" s="30">
        <v>1</v>
      </c>
      <c r="Y1513" s="7" t="s">
        <v>1177</v>
      </c>
      <c r="Z1513" s="7" t="s">
        <v>1178</v>
      </c>
      <c r="AA1513" s="30">
        <v>0</v>
      </c>
      <c r="AB1513" s="36">
        <v>0</v>
      </c>
      <c r="AC1513" s="7" t="s">
        <v>1177</v>
      </c>
      <c r="AD1513" s="37">
        <v>0</v>
      </c>
      <c r="AE1513" s="7" t="s">
        <v>1177</v>
      </c>
      <c r="AF1513" s="7" t="s">
        <v>1177</v>
      </c>
      <c r="AG1513" s="7" t="s">
        <v>1177</v>
      </c>
      <c r="AH1513" s="38"/>
      <c r="AI1513" s="36">
        <v>0</v>
      </c>
      <c r="AJ1513" s="7" t="s">
        <v>1193</v>
      </c>
      <c r="AK1513" s="7" t="s">
        <v>1177</v>
      </c>
      <c r="AL1513" s="7" t="s">
        <v>1177</v>
      </c>
      <c r="AM1513" s="7" t="s">
        <v>1177</v>
      </c>
      <c r="AN1513" s="7" t="s">
        <v>3212</v>
      </c>
      <c r="AO1513" s="7" t="s">
        <v>1177</v>
      </c>
      <c r="AP1513" s="7" t="s">
        <v>1177</v>
      </c>
      <c r="AQ1513" s="7" t="s">
        <v>1177</v>
      </c>
      <c r="AR1513" s="29">
        <v>0</v>
      </c>
      <c r="AS1513" s="7" t="s">
        <v>1177</v>
      </c>
      <c r="AT1513" s="7" t="s">
        <v>1363</v>
      </c>
      <c r="AU1513" s="38">
        <v>46275</v>
      </c>
      <c r="AV1513" s="39">
        <v>0.62399305555555995</v>
      </c>
    </row>
    <row r="1514" spans="1:48" x14ac:dyDescent="0.35">
      <c r="A1514" t="str">
        <f t="shared" si="23"/>
        <v>GP392486B856</v>
      </c>
      <c r="B1514" s="7" t="s">
        <v>771</v>
      </c>
      <c r="C1514" s="7" t="s">
        <v>852</v>
      </c>
      <c r="D1514" s="7" t="s">
        <v>21</v>
      </c>
      <c r="E1514" s="7" t="s">
        <v>1177</v>
      </c>
      <c r="F1514" s="7" t="s">
        <v>128</v>
      </c>
      <c r="G1514" s="7" t="s">
        <v>130</v>
      </c>
      <c r="H1514" s="7" t="s">
        <v>129</v>
      </c>
      <c r="I1514" s="30">
        <v>2</v>
      </c>
      <c r="J1514" s="7" t="s">
        <v>1177</v>
      </c>
      <c r="K1514" s="7" t="s">
        <v>1178</v>
      </c>
      <c r="L1514" s="7" t="s">
        <v>132</v>
      </c>
      <c r="M1514" s="7" t="s">
        <v>133</v>
      </c>
      <c r="N1514" s="30">
        <v>0</v>
      </c>
      <c r="O1514" s="30">
        <v>0</v>
      </c>
      <c r="P1514" s="30">
        <v>0</v>
      </c>
      <c r="Q1514" s="30">
        <v>0</v>
      </c>
      <c r="R1514" s="29">
        <v>0</v>
      </c>
      <c r="S1514" s="36">
        <v>0</v>
      </c>
      <c r="T1514" s="7" t="s">
        <v>131</v>
      </c>
      <c r="U1514" s="7" t="s">
        <v>853</v>
      </c>
      <c r="V1514" s="7" t="s">
        <v>853</v>
      </c>
      <c r="W1514" s="7" t="s">
        <v>1177</v>
      </c>
      <c r="X1514" s="30">
        <v>1</v>
      </c>
      <c r="Y1514" s="7" t="s">
        <v>1177</v>
      </c>
      <c r="Z1514" s="7" t="s">
        <v>1178</v>
      </c>
      <c r="AA1514" s="30">
        <v>0</v>
      </c>
      <c r="AB1514" s="36">
        <v>0</v>
      </c>
      <c r="AC1514" s="7" t="s">
        <v>1177</v>
      </c>
      <c r="AD1514" s="37">
        <v>0</v>
      </c>
      <c r="AE1514" s="7" t="s">
        <v>1177</v>
      </c>
      <c r="AF1514" s="7" t="s">
        <v>1177</v>
      </c>
      <c r="AG1514" s="7" t="s">
        <v>1177</v>
      </c>
      <c r="AH1514" s="38"/>
      <c r="AI1514" s="36">
        <v>0</v>
      </c>
      <c r="AJ1514" s="7" t="s">
        <v>1193</v>
      </c>
      <c r="AK1514" s="7" t="s">
        <v>1177</v>
      </c>
      <c r="AL1514" s="7" t="s">
        <v>1177</v>
      </c>
      <c r="AM1514" s="7" t="s">
        <v>1177</v>
      </c>
      <c r="AN1514" s="7" t="s">
        <v>3212</v>
      </c>
      <c r="AO1514" s="7" t="s">
        <v>1177</v>
      </c>
      <c r="AP1514" s="7" t="s">
        <v>1177</v>
      </c>
      <c r="AQ1514" s="7" t="s">
        <v>1177</v>
      </c>
      <c r="AR1514" s="29">
        <v>0</v>
      </c>
      <c r="AS1514" s="7" t="s">
        <v>1177</v>
      </c>
      <c r="AT1514" s="7" t="s">
        <v>1363</v>
      </c>
      <c r="AU1514" s="38">
        <v>46275</v>
      </c>
      <c r="AV1514" s="39">
        <v>0.62490740740741002</v>
      </c>
    </row>
    <row r="1515" spans="1:48" x14ac:dyDescent="0.35">
      <c r="A1515" t="str">
        <f t="shared" si="23"/>
        <v>GP392490B856</v>
      </c>
      <c r="B1515" s="7" t="s">
        <v>825</v>
      </c>
      <c r="C1515" s="7" t="s">
        <v>852</v>
      </c>
      <c r="D1515" s="7" t="s">
        <v>21</v>
      </c>
      <c r="E1515" s="7" t="s">
        <v>1177</v>
      </c>
      <c r="F1515" s="7" t="s">
        <v>128</v>
      </c>
      <c r="G1515" s="7" t="s">
        <v>130</v>
      </c>
      <c r="H1515" s="7" t="s">
        <v>129</v>
      </c>
      <c r="I1515" s="30">
        <v>2</v>
      </c>
      <c r="J1515" s="7" t="s">
        <v>1177</v>
      </c>
      <c r="K1515" s="7" t="s">
        <v>1178</v>
      </c>
      <c r="L1515" s="7" t="s">
        <v>132</v>
      </c>
      <c r="M1515" s="7" t="s">
        <v>133</v>
      </c>
      <c r="N1515" s="30">
        <v>0</v>
      </c>
      <c r="O1515" s="30">
        <v>0</v>
      </c>
      <c r="P1515" s="30">
        <v>0</v>
      </c>
      <c r="Q1515" s="30">
        <v>0</v>
      </c>
      <c r="R1515" s="29">
        <v>0</v>
      </c>
      <c r="S1515" s="36">
        <v>0</v>
      </c>
      <c r="T1515" s="7" t="s">
        <v>131</v>
      </c>
      <c r="U1515" s="7" t="s">
        <v>853</v>
      </c>
      <c r="V1515" s="7" t="s">
        <v>853</v>
      </c>
      <c r="W1515" s="7" t="s">
        <v>1177</v>
      </c>
      <c r="X1515" s="30">
        <v>1</v>
      </c>
      <c r="Y1515" s="7" t="s">
        <v>1177</v>
      </c>
      <c r="Z1515" s="7" t="s">
        <v>1178</v>
      </c>
      <c r="AA1515" s="30">
        <v>0</v>
      </c>
      <c r="AB1515" s="36">
        <v>0</v>
      </c>
      <c r="AC1515" s="7" t="s">
        <v>1177</v>
      </c>
      <c r="AD1515" s="37">
        <v>0</v>
      </c>
      <c r="AE1515" s="7" t="s">
        <v>1177</v>
      </c>
      <c r="AF1515" s="7" t="s">
        <v>1177</v>
      </c>
      <c r="AG1515" s="7" t="s">
        <v>1177</v>
      </c>
      <c r="AH1515" s="38"/>
      <c r="AI1515" s="36">
        <v>0</v>
      </c>
      <c r="AJ1515" s="7" t="s">
        <v>1193</v>
      </c>
      <c r="AK1515" s="7" t="s">
        <v>1177</v>
      </c>
      <c r="AL1515" s="7" t="s">
        <v>1177</v>
      </c>
      <c r="AM1515" s="7" t="s">
        <v>1177</v>
      </c>
      <c r="AN1515" s="7" t="s">
        <v>3212</v>
      </c>
      <c r="AO1515" s="7" t="s">
        <v>1177</v>
      </c>
      <c r="AP1515" s="7" t="s">
        <v>1177</v>
      </c>
      <c r="AQ1515" s="7" t="s">
        <v>1177</v>
      </c>
      <c r="AR1515" s="29">
        <v>0</v>
      </c>
      <c r="AS1515" s="7" t="s">
        <v>1177</v>
      </c>
      <c r="AT1515" s="7" t="s">
        <v>1363</v>
      </c>
      <c r="AU1515" s="38">
        <v>46275</v>
      </c>
      <c r="AV1515" s="39">
        <v>0.62490740740741002</v>
      </c>
    </row>
    <row r="1516" spans="1:48" x14ac:dyDescent="0.35">
      <c r="A1516" t="str">
        <f t="shared" si="23"/>
        <v>GP392490B857</v>
      </c>
      <c r="B1516" s="7" t="s">
        <v>825</v>
      </c>
      <c r="C1516" s="7" t="s">
        <v>958</v>
      </c>
      <c r="D1516" s="7" t="s">
        <v>23</v>
      </c>
      <c r="E1516" s="7" t="s">
        <v>1177</v>
      </c>
      <c r="F1516" s="7" t="s">
        <v>128</v>
      </c>
      <c r="G1516" s="7" t="s">
        <v>130</v>
      </c>
      <c r="H1516" s="7" t="s">
        <v>129</v>
      </c>
      <c r="I1516" s="30">
        <v>2</v>
      </c>
      <c r="J1516" s="7" t="s">
        <v>1177</v>
      </c>
      <c r="K1516" s="7" t="s">
        <v>1178</v>
      </c>
      <c r="L1516" s="7" t="s">
        <v>132</v>
      </c>
      <c r="M1516" s="7" t="s">
        <v>133</v>
      </c>
      <c r="N1516" s="30">
        <v>0</v>
      </c>
      <c r="O1516" s="30">
        <v>0</v>
      </c>
      <c r="P1516" s="30">
        <v>0</v>
      </c>
      <c r="Q1516" s="30">
        <v>0</v>
      </c>
      <c r="R1516" s="29">
        <v>0</v>
      </c>
      <c r="S1516" s="36">
        <v>0</v>
      </c>
      <c r="T1516" s="7" t="s">
        <v>131</v>
      </c>
      <c r="U1516" s="7" t="s">
        <v>959</v>
      </c>
      <c r="V1516" s="7" t="s">
        <v>959</v>
      </c>
      <c r="W1516" s="7" t="s">
        <v>1177</v>
      </c>
      <c r="X1516" s="30">
        <v>1</v>
      </c>
      <c r="Y1516" s="7" t="s">
        <v>1177</v>
      </c>
      <c r="Z1516" s="7" t="s">
        <v>1178</v>
      </c>
      <c r="AA1516" s="30">
        <v>0</v>
      </c>
      <c r="AB1516" s="36">
        <v>0</v>
      </c>
      <c r="AC1516" s="7" t="s">
        <v>1177</v>
      </c>
      <c r="AD1516" s="37">
        <v>0</v>
      </c>
      <c r="AE1516" s="7" t="s">
        <v>1177</v>
      </c>
      <c r="AF1516" s="7" t="s">
        <v>1177</v>
      </c>
      <c r="AG1516" s="7" t="s">
        <v>1177</v>
      </c>
      <c r="AH1516" s="38"/>
      <c r="AI1516" s="36">
        <v>0</v>
      </c>
      <c r="AJ1516" s="7" t="s">
        <v>1193</v>
      </c>
      <c r="AK1516" s="7" t="s">
        <v>1177</v>
      </c>
      <c r="AL1516" s="7" t="s">
        <v>1177</v>
      </c>
      <c r="AM1516" s="7" t="s">
        <v>1177</v>
      </c>
      <c r="AN1516" s="7" t="s">
        <v>3212</v>
      </c>
      <c r="AO1516" s="7" t="s">
        <v>1177</v>
      </c>
      <c r="AP1516" s="7" t="s">
        <v>1177</v>
      </c>
      <c r="AQ1516" s="7" t="s">
        <v>1177</v>
      </c>
      <c r="AR1516" s="29">
        <v>0</v>
      </c>
      <c r="AS1516" s="7" t="s">
        <v>1177</v>
      </c>
      <c r="AT1516" s="7" t="s">
        <v>1363</v>
      </c>
      <c r="AU1516" s="38">
        <v>46275</v>
      </c>
      <c r="AV1516" s="39">
        <v>0.62515046296295995</v>
      </c>
    </row>
    <row r="1517" spans="1:48" x14ac:dyDescent="0.35">
      <c r="A1517" t="str">
        <f t="shared" si="23"/>
        <v>GP392490B864</v>
      </c>
      <c r="B1517" s="7" t="s">
        <v>825</v>
      </c>
      <c r="C1517" s="7" t="s">
        <v>1010</v>
      </c>
      <c r="D1517" s="7" t="s">
        <v>10</v>
      </c>
      <c r="E1517" s="7" t="s">
        <v>1177</v>
      </c>
      <c r="F1517" s="7" t="s">
        <v>128</v>
      </c>
      <c r="G1517" s="7" t="s">
        <v>130</v>
      </c>
      <c r="H1517" s="7" t="s">
        <v>129</v>
      </c>
      <c r="I1517" s="30">
        <v>2</v>
      </c>
      <c r="J1517" s="7" t="s">
        <v>1177</v>
      </c>
      <c r="K1517" s="7" t="s">
        <v>1178</v>
      </c>
      <c r="L1517" s="7" t="s">
        <v>132</v>
      </c>
      <c r="M1517" s="7" t="s">
        <v>133</v>
      </c>
      <c r="N1517" s="30">
        <v>0</v>
      </c>
      <c r="O1517" s="30">
        <v>0</v>
      </c>
      <c r="P1517" s="30">
        <v>0</v>
      </c>
      <c r="Q1517" s="30">
        <v>0</v>
      </c>
      <c r="R1517" s="29">
        <v>0</v>
      </c>
      <c r="S1517" s="36">
        <v>0</v>
      </c>
      <c r="T1517" s="7" t="s">
        <v>131</v>
      </c>
      <c r="U1517" s="7" t="s">
        <v>1011</v>
      </c>
      <c r="V1517" s="7" t="s">
        <v>1011</v>
      </c>
      <c r="W1517" s="7" t="s">
        <v>1177</v>
      </c>
      <c r="X1517" s="30">
        <v>1</v>
      </c>
      <c r="Y1517" s="7" t="s">
        <v>1177</v>
      </c>
      <c r="Z1517" s="7" t="s">
        <v>1178</v>
      </c>
      <c r="AA1517" s="30">
        <v>0</v>
      </c>
      <c r="AB1517" s="36">
        <v>0</v>
      </c>
      <c r="AC1517" s="7" t="s">
        <v>1177</v>
      </c>
      <c r="AD1517" s="37">
        <v>0</v>
      </c>
      <c r="AE1517" s="7" t="s">
        <v>1177</v>
      </c>
      <c r="AF1517" s="7" t="s">
        <v>1177</v>
      </c>
      <c r="AG1517" s="7" t="s">
        <v>1177</v>
      </c>
      <c r="AH1517" s="38"/>
      <c r="AI1517" s="36">
        <v>0</v>
      </c>
      <c r="AJ1517" s="7" t="s">
        <v>1193</v>
      </c>
      <c r="AK1517" s="7" t="s">
        <v>1177</v>
      </c>
      <c r="AL1517" s="7" t="s">
        <v>1177</v>
      </c>
      <c r="AM1517" s="7" t="s">
        <v>1177</v>
      </c>
      <c r="AN1517" s="7" t="s">
        <v>3212</v>
      </c>
      <c r="AO1517" s="7" t="s">
        <v>1177</v>
      </c>
      <c r="AP1517" s="7" t="s">
        <v>1177</v>
      </c>
      <c r="AQ1517" s="7" t="s">
        <v>1177</v>
      </c>
      <c r="AR1517" s="29">
        <v>0</v>
      </c>
      <c r="AS1517" s="7" t="s">
        <v>1177</v>
      </c>
      <c r="AT1517" s="7" t="s">
        <v>1363</v>
      </c>
      <c r="AU1517" s="38">
        <v>46275</v>
      </c>
      <c r="AV1517" s="39">
        <v>0.62633101851852002</v>
      </c>
    </row>
    <row r="1518" spans="1:48" x14ac:dyDescent="0.35">
      <c r="A1518" t="str">
        <f t="shared" si="23"/>
        <v>GP392490B865</v>
      </c>
      <c r="B1518" s="7" t="s">
        <v>825</v>
      </c>
      <c r="C1518" s="7" t="s">
        <v>1039</v>
      </c>
      <c r="D1518" s="7" t="s">
        <v>7</v>
      </c>
      <c r="E1518" s="7" t="s">
        <v>1177</v>
      </c>
      <c r="F1518" s="7" t="s">
        <v>128</v>
      </c>
      <c r="G1518" s="7" t="s">
        <v>130</v>
      </c>
      <c r="H1518" s="7" t="s">
        <v>129</v>
      </c>
      <c r="I1518" s="30">
        <v>2</v>
      </c>
      <c r="J1518" s="7" t="s">
        <v>1177</v>
      </c>
      <c r="K1518" s="7" t="s">
        <v>1178</v>
      </c>
      <c r="L1518" s="7" t="s">
        <v>132</v>
      </c>
      <c r="M1518" s="7" t="s">
        <v>133</v>
      </c>
      <c r="N1518" s="30">
        <v>0</v>
      </c>
      <c r="O1518" s="30">
        <v>0</v>
      </c>
      <c r="P1518" s="30">
        <v>0</v>
      </c>
      <c r="Q1518" s="30">
        <v>0</v>
      </c>
      <c r="R1518" s="29">
        <v>0</v>
      </c>
      <c r="S1518" s="36">
        <v>0</v>
      </c>
      <c r="T1518" s="7" t="s">
        <v>131</v>
      </c>
      <c r="U1518" s="7" t="s">
        <v>1040</v>
      </c>
      <c r="V1518" s="7" t="s">
        <v>1040</v>
      </c>
      <c r="W1518" s="7" t="s">
        <v>1177</v>
      </c>
      <c r="X1518" s="30">
        <v>1</v>
      </c>
      <c r="Y1518" s="7" t="s">
        <v>1177</v>
      </c>
      <c r="Z1518" s="7" t="s">
        <v>1178</v>
      </c>
      <c r="AA1518" s="30">
        <v>0</v>
      </c>
      <c r="AB1518" s="36">
        <v>0</v>
      </c>
      <c r="AC1518" s="7" t="s">
        <v>1177</v>
      </c>
      <c r="AD1518" s="37">
        <v>0</v>
      </c>
      <c r="AE1518" s="7" t="s">
        <v>1177</v>
      </c>
      <c r="AF1518" s="7" t="s">
        <v>1177</v>
      </c>
      <c r="AG1518" s="7" t="s">
        <v>1177</v>
      </c>
      <c r="AH1518" s="38"/>
      <c r="AI1518" s="36">
        <v>0</v>
      </c>
      <c r="AJ1518" s="7" t="s">
        <v>1193</v>
      </c>
      <c r="AK1518" s="7" t="s">
        <v>1177</v>
      </c>
      <c r="AL1518" s="7" t="s">
        <v>1177</v>
      </c>
      <c r="AM1518" s="7" t="s">
        <v>1177</v>
      </c>
      <c r="AN1518" s="7" t="s">
        <v>3212</v>
      </c>
      <c r="AO1518" s="7" t="s">
        <v>1177</v>
      </c>
      <c r="AP1518" s="7" t="s">
        <v>1177</v>
      </c>
      <c r="AQ1518" s="7" t="s">
        <v>1177</v>
      </c>
      <c r="AR1518" s="29">
        <v>0</v>
      </c>
      <c r="AS1518" s="7" t="s">
        <v>1177</v>
      </c>
      <c r="AT1518" s="7" t="s">
        <v>1363</v>
      </c>
      <c r="AU1518" s="38">
        <v>46275</v>
      </c>
      <c r="AV1518" s="39">
        <v>0.62673611111111005</v>
      </c>
    </row>
    <row r="1519" spans="1:48" x14ac:dyDescent="0.35">
      <c r="A1519" t="str">
        <f t="shared" si="23"/>
        <v>GP392490B867</v>
      </c>
      <c r="B1519" s="7" t="s">
        <v>825</v>
      </c>
      <c r="C1519" s="7" t="s">
        <v>1059</v>
      </c>
      <c r="D1519" s="7" t="s">
        <v>25</v>
      </c>
      <c r="E1519" s="7" t="s">
        <v>1177</v>
      </c>
      <c r="F1519" s="7" t="s">
        <v>128</v>
      </c>
      <c r="G1519" s="7" t="s">
        <v>130</v>
      </c>
      <c r="H1519" s="7" t="s">
        <v>129</v>
      </c>
      <c r="I1519" s="30">
        <v>2</v>
      </c>
      <c r="J1519" s="7" t="s">
        <v>1177</v>
      </c>
      <c r="K1519" s="7" t="s">
        <v>1178</v>
      </c>
      <c r="L1519" s="7" t="s">
        <v>132</v>
      </c>
      <c r="M1519" s="7" t="s">
        <v>133</v>
      </c>
      <c r="N1519" s="30">
        <v>0</v>
      </c>
      <c r="O1519" s="30">
        <v>0</v>
      </c>
      <c r="P1519" s="30">
        <v>0</v>
      </c>
      <c r="Q1519" s="30">
        <v>0</v>
      </c>
      <c r="R1519" s="29">
        <v>0</v>
      </c>
      <c r="S1519" s="36">
        <v>0</v>
      </c>
      <c r="T1519" s="7" t="s">
        <v>131</v>
      </c>
      <c r="U1519" s="7" t="s">
        <v>1060</v>
      </c>
      <c r="V1519" s="7" t="s">
        <v>1060</v>
      </c>
      <c r="W1519" s="7" t="s">
        <v>1177</v>
      </c>
      <c r="X1519" s="30">
        <v>1</v>
      </c>
      <c r="Y1519" s="7" t="s">
        <v>1177</v>
      </c>
      <c r="Z1519" s="7" t="s">
        <v>1178</v>
      </c>
      <c r="AA1519" s="30">
        <v>0</v>
      </c>
      <c r="AB1519" s="36">
        <v>0</v>
      </c>
      <c r="AC1519" s="7" t="s">
        <v>1177</v>
      </c>
      <c r="AD1519" s="37">
        <v>0</v>
      </c>
      <c r="AE1519" s="7" t="s">
        <v>1177</v>
      </c>
      <c r="AF1519" s="7" t="s">
        <v>1177</v>
      </c>
      <c r="AG1519" s="7" t="s">
        <v>1177</v>
      </c>
      <c r="AH1519" s="38"/>
      <c r="AI1519" s="36">
        <v>0</v>
      </c>
      <c r="AJ1519" s="7" t="s">
        <v>1193</v>
      </c>
      <c r="AK1519" s="7" t="s">
        <v>1177</v>
      </c>
      <c r="AL1519" s="7" t="s">
        <v>1177</v>
      </c>
      <c r="AM1519" s="7" t="s">
        <v>1177</v>
      </c>
      <c r="AN1519" s="7" t="s">
        <v>3212</v>
      </c>
      <c r="AO1519" s="7" t="s">
        <v>1177</v>
      </c>
      <c r="AP1519" s="7" t="s">
        <v>1177</v>
      </c>
      <c r="AQ1519" s="7" t="s">
        <v>1177</v>
      </c>
      <c r="AR1519" s="29">
        <v>0</v>
      </c>
      <c r="AS1519" s="7" t="s">
        <v>1177</v>
      </c>
      <c r="AT1519" s="7" t="s">
        <v>1363</v>
      </c>
      <c r="AU1519" s="38">
        <v>46275</v>
      </c>
      <c r="AV1519" s="39">
        <v>0.62715277777778</v>
      </c>
    </row>
    <row r="1520" spans="1:48" x14ac:dyDescent="0.35">
      <c r="A1520" t="str">
        <f t="shared" si="23"/>
        <v>GP392491B856</v>
      </c>
      <c r="B1520" s="7" t="s">
        <v>919</v>
      </c>
      <c r="C1520" s="7" t="s">
        <v>852</v>
      </c>
      <c r="D1520" s="7" t="s">
        <v>21</v>
      </c>
      <c r="E1520" s="7" t="s">
        <v>1177</v>
      </c>
      <c r="F1520" s="7" t="s">
        <v>128</v>
      </c>
      <c r="G1520" s="7" t="s">
        <v>130</v>
      </c>
      <c r="H1520" s="7" t="s">
        <v>129</v>
      </c>
      <c r="I1520" s="30">
        <v>2</v>
      </c>
      <c r="J1520" s="7" t="s">
        <v>1177</v>
      </c>
      <c r="K1520" s="7" t="s">
        <v>1178</v>
      </c>
      <c r="L1520" s="7" t="s">
        <v>132</v>
      </c>
      <c r="M1520" s="7" t="s">
        <v>133</v>
      </c>
      <c r="N1520" s="30">
        <v>0</v>
      </c>
      <c r="O1520" s="30">
        <v>0</v>
      </c>
      <c r="P1520" s="30">
        <v>0</v>
      </c>
      <c r="Q1520" s="30">
        <v>0</v>
      </c>
      <c r="R1520" s="29">
        <v>0</v>
      </c>
      <c r="S1520" s="36">
        <v>0</v>
      </c>
      <c r="T1520" s="7" t="s">
        <v>131</v>
      </c>
      <c r="U1520" s="7" t="s">
        <v>853</v>
      </c>
      <c r="V1520" s="7" t="s">
        <v>853</v>
      </c>
      <c r="W1520" s="7" t="s">
        <v>1177</v>
      </c>
      <c r="X1520" s="30">
        <v>1</v>
      </c>
      <c r="Y1520" s="7" t="s">
        <v>1177</v>
      </c>
      <c r="Z1520" s="7" t="s">
        <v>1178</v>
      </c>
      <c r="AA1520" s="30">
        <v>0</v>
      </c>
      <c r="AB1520" s="36">
        <v>0</v>
      </c>
      <c r="AC1520" s="7" t="s">
        <v>1177</v>
      </c>
      <c r="AD1520" s="37">
        <v>0</v>
      </c>
      <c r="AE1520" s="7" t="s">
        <v>1177</v>
      </c>
      <c r="AF1520" s="7" t="s">
        <v>1177</v>
      </c>
      <c r="AG1520" s="7" t="s">
        <v>1177</v>
      </c>
      <c r="AH1520" s="38"/>
      <c r="AI1520" s="36">
        <v>0</v>
      </c>
      <c r="AJ1520" s="7" t="s">
        <v>1193</v>
      </c>
      <c r="AK1520" s="7" t="s">
        <v>1177</v>
      </c>
      <c r="AL1520" s="7" t="s">
        <v>1177</v>
      </c>
      <c r="AM1520" s="7" t="s">
        <v>1177</v>
      </c>
      <c r="AN1520" s="7" t="s">
        <v>3212</v>
      </c>
      <c r="AO1520" s="7" t="s">
        <v>1177</v>
      </c>
      <c r="AP1520" s="7" t="s">
        <v>1177</v>
      </c>
      <c r="AQ1520" s="7" t="s">
        <v>1177</v>
      </c>
      <c r="AR1520" s="29">
        <v>0</v>
      </c>
      <c r="AS1520" s="7" t="s">
        <v>1177</v>
      </c>
      <c r="AT1520" s="7" t="s">
        <v>1363</v>
      </c>
      <c r="AU1520" s="38">
        <v>46275</v>
      </c>
      <c r="AV1520" s="39">
        <v>0.62490740740741002</v>
      </c>
    </row>
    <row r="1521" spans="1:48" x14ac:dyDescent="0.35">
      <c r="A1521" t="str">
        <f t="shared" si="23"/>
        <v>GP393135B864</v>
      </c>
      <c r="B1521" s="7" t="s">
        <v>1027</v>
      </c>
      <c r="C1521" s="7" t="s">
        <v>1010</v>
      </c>
      <c r="D1521" s="7" t="s">
        <v>10</v>
      </c>
      <c r="E1521" s="7" t="s">
        <v>1177</v>
      </c>
      <c r="F1521" s="7" t="s">
        <v>128</v>
      </c>
      <c r="G1521" s="7" t="s">
        <v>130</v>
      </c>
      <c r="H1521" s="7" t="s">
        <v>129</v>
      </c>
      <c r="I1521" s="30">
        <v>2</v>
      </c>
      <c r="J1521" s="7" t="s">
        <v>1177</v>
      </c>
      <c r="K1521" s="7" t="s">
        <v>1178</v>
      </c>
      <c r="L1521" s="7" t="s">
        <v>132</v>
      </c>
      <c r="M1521" s="7" t="s">
        <v>133</v>
      </c>
      <c r="N1521" s="30">
        <v>0</v>
      </c>
      <c r="O1521" s="30">
        <v>0</v>
      </c>
      <c r="P1521" s="30">
        <v>0</v>
      </c>
      <c r="Q1521" s="30">
        <v>0</v>
      </c>
      <c r="R1521" s="29">
        <v>0</v>
      </c>
      <c r="S1521" s="36">
        <v>0</v>
      </c>
      <c r="T1521" s="7" t="s">
        <v>131</v>
      </c>
      <c r="U1521" s="7" t="s">
        <v>1011</v>
      </c>
      <c r="V1521" s="7" t="s">
        <v>1011</v>
      </c>
      <c r="W1521" s="7" t="s">
        <v>1177</v>
      </c>
      <c r="X1521" s="30">
        <v>1</v>
      </c>
      <c r="Y1521" s="7" t="s">
        <v>1177</v>
      </c>
      <c r="Z1521" s="7" t="s">
        <v>1178</v>
      </c>
      <c r="AA1521" s="30">
        <v>0</v>
      </c>
      <c r="AB1521" s="36">
        <v>0</v>
      </c>
      <c r="AC1521" s="7" t="s">
        <v>1177</v>
      </c>
      <c r="AD1521" s="37">
        <v>0</v>
      </c>
      <c r="AE1521" s="7" t="s">
        <v>1177</v>
      </c>
      <c r="AF1521" s="7" t="s">
        <v>1177</v>
      </c>
      <c r="AG1521" s="7" t="s">
        <v>1177</v>
      </c>
      <c r="AH1521" s="38"/>
      <c r="AI1521" s="36">
        <v>0</v>
      </c>
      <c r="AJ1521" s="7" t="s">
        <v>1193</v>
      </c>
      <c r="AK1521" s="7" t="s">
        <v>1177</v>
      </c>
      <c r="AL1521" s="7" t="s">
        <v>1177</v>
      </c>
      <c r="AM1521" s="7" t="s">
        <v>1177</v>
      </c>
      <c r="AN1521" s="7" t="s">
        <v>3212</v>
      </c>
      <c r="AO1521" s="7" t="s">
        <v>1177</v>
      </c>
      <c r="AP1521" s="7" t="s">
        <v>1177</v>
      </c>
      <c r="AQ1521" s="7" t="s">
        <v>1177</v>
      </c>
      <c r="AR1521" s="29">
        <v>0</v>
      </c>
      <c r="AS1521" s="7" t="s">
        <v>1177</v>
      </c>
      <c r="AT1521" s="7" t="s">
        <v>1363</v>
      </c>
      <c r="AU1521" s="38">
        <v>46275</v>
      </c>
      <c r="AV1521" s="39">
        <v>0.62633101851852002</v>
      </c>
    </row>
    <row r="1522" spans="1:48" x14ac:dyDescent="0.35">
      <c r="A1522" t="str">
        <f t="shared" si="23"/>
        <v>GP393135B865</v>
      </c>
      <c r="B1522" s="7" t="s">
        <v>1027</v>
      </c>
      <c r="C1522" s="7" t="s">
        <v>1039</v>
      </c>
      <c r="D1522" s="7" t="s">
        <v>7</v>
      </c>
      <c r="E1522" s="7" t="s">
        <v>1177</v>
      </c>
      <c r="F1522" s="7" t="s">
        <v>128</v>
      </c>
      <c r="G1522" s="7" t="s">
        <v>130</v>
      </c>
      <c r="H1522" s="7" t="s">
        <v>129</v>
      </c>
      <c r="I1522" s="30">
        <v>2</v>
      </c>
      <c r="J1522" s="7" t="s">
        <v>1177</v>
      </c>
      <c r="K1522" s="7" t="s">
        <v>1178</v>
      </c>
      <c r="L1522" s="7" t="s">
        <v>132</v>
      </c>
      <c r="M1522" s="7" t="s">
        <v>133</v>
      </c>
      <c r="N1522" s="30">
        <v>0</v>
      </c>
      <c r="O1522" s="30">
        <v>0</v>
      </c>
      <c r="P1522" s="30">
        <v>0</v>
      </c>
      <c r="Q1522" s="30">
        <v>0</v>
      </c>
      <c r="R1522" s="29">
        <v>0</v>
      </c>
      <c r="S1522" s="36">
        <v>0</v>
      </c>
      <c r="T1522" s="7" t="s">
        <v>131</v>
      </c>
      <c r="U1522" s="7" t="s">
        <v>1040</v>
      </c>
      <c r="V1522" s="7" t="s">
        <v>1040</v>
      </c>
      <c r="W1522" s="7" t="s">
        <v>1177</v>
      </c>
      <c r="X1522" s="30">
        <v>1</v>
      </c>
      <c r="Y1522" s="7" t="s">
        <v>1177</v>
      </c>
      <c r="Z1522" s="7" t="s">
        <v>1178</v>
      </c>
      <c r="AA1522" s="30">
        <v>0</v>
      </c>
      <c r="AB1522" s="36">
        <v>0</v>
      </c>
      <c r="AC1522" s="7" t="s">
        <v>1177</v>
      </c>
      <c r="AD1522" s="37">
        <v>0</v>
      </c>
      <c r="AE1522" s="7" t="s">
        <v>1177</v>
      </c>
      <c r="AF1522" s="7" t="s">
        <v>1177</v>
      </c>
      <c r="AG1522" s="7" t="s">
        <v>1177</v>
      </c>
      <c r="AH1522" s="38"/>
      <c r="AI1522" s="36">
        <v>0</v>
      </c>
      <c r="AJ1522" s="7" t="s">
        <v>1193</v>
      </c>
      <c r="AK1522" s="7" t="s">
        <v>1177</v>
      </c>
      <c r="AL1522" s="7" t="s">
        <v>1177</v>
      </c>
      <c r="AM1522" s="7" t="s">
        <v>1177</v>
      </c>
      <c r="AN1522" s="7" t="s">
        <v>3212</v>
      </c>
      <c r="AO1522" s="7" t="s">
        <v>1177</v>
      </c>
      <c r="AP1522" s="7" t="s">
        <v>1177</v>
      </c>
      <c r="AQ1522" s="7" t="s">
        <v>1177</v>
      </c>
      <c r="AR1522" s="29">
        <v>0</v>
      </c>
      <c r="AS1522" s="7" t="s">
        <v>1177</v>
      </c>
      <c r="AT1522" s="7" t="s">
        <v>1363</v>
      </c>
      <c r="AU1522" s="38">
        <v>46275</v>
      </c>
      <c r="AV1522" s="39">
        <v>0.62673611111111005</v>
      </c>
    </row>
    <row r="1523" spans="1:48" x14ac:dyDescent="0.35">
      <c r="A1523" t="str">
        <f t="shared" si="23"/>
        <v>GP394700B856</v>
      </c>
      <c r="B1523" s="7" t="s">
        <v>920</v>
      </c>
      <c r="C1523" s="7" t="s">
        <v>852</v>
      </c>
      <c r="D1523" s="7" t="s">
        <v>21</v>
      </c>
      <c r="E1523" s="7" t="s">
        <v>1177</v>
      </c>
      <c r="F1523" s="7" t="s">
        <v>128</v>
      </c>
      <c r="G1523" s="7" t="s">
        <v>130</v>
      </c>
      <c r="H1523" s="7" t="s">
        <v>129</v>
      </c>
      <c r="I1523" s="30">
        <v>2</v>
      </c>
      <c r="J1523" s="7" t="s">
        <v>1177</v>
      </c>
      <c r="K1523" s="7" t="s">
        <v>1178</v>
      </c>
      <c r="L1523" s="7" t="s">
        <v>132</v>
      </c>
      <c r="M1523" s="7" t="s">
        <v>133</v>
      </c>
      <c r="N1523" s="30">
        <v>0</v>
      </c>
      <c r="O1523" s="30">
        <v>0</v>
      </c>
      <c r="P1523" s="30">
        <v>0</v>
      </c>
      <c r="Q1523" s="30">
        <v>0</v>
      </c>
      <c r="R1523" s="29">
        <v>0</v>
      </c>
      <c r="S1523" s="36">
        <v>0</v>
      </c>
      <c r="T1523" s="7" t="s">
        <v>131</v>
      </c>
      <c r="U1523" s="7" t="s">
        <v>853</v>
      </c>
      <c r="V1523" s="7" t="s">
        <v>853</v>
      </c>
      <c r="W1523" s="7" t="s">
        <v>1177</v>
      </c>
      <c r="X1523" s="30">
        <v>1</v>
      </c>
      <c r="Y1523" s="7" t="s">
        <v>1177</v>
      </c>
      <c r="Z1523" s="7" t="s">
        <v>1178</v>
      </c>
      <c r="AA1523" s="30">
        <v>0</v>
      </c>
      <c r="AB1523" s="36">
        <v>0</v>
      </c>
      <c r="AC1523" s="7" t="s">
        <v>1177</v>
      </c>
      <c r="AD1523" s="37">
        <v>0</v>
      </c>
      <c r="AE1523" s="7" t="s">
        <v>1177</v>
      </c>
      <c r="AF1523" s="7" t="s">
        <v>1177</v>
      </c>
      <c r="AG1523" s="7" t="s">
        <v>1177</v>
      </c>
      <c r="AH1523" s="38"/>
      <c r="AI1523" s="36">
        <v>0</v>
      </c>
      <c r="AJ1523" s="7" t="s">
        <v>1193</v>
      </c>
      <c r="AK1523" s="7" t="s">
        <v>1177</v>
      </c>
      <c r="AL1523" s="7" t="s">
        <v>1177</v>
      </c>
      <c r="AM1523" s="7" t="s">
        <v>1177</v>
      </c>
      <c r="AN1523" s="7" t="s">
        <v>3212</v>
      </c>
      <c r="AO1523" s="7" t="s">
        <v>1177</v>
      </c>
      <c r="AP1523" s="7" t="s">
        <v>1177</v>
      </c>
      <c r="AQ1523" s="7" t="s">
        <v>1177</v>
      </c>
      <c r="AR1523" s="29">
        <v>0</v>
      </c>
      <c r="AS1523" s="7" t="s">
        <v>1177</v>
      </c>
      <c r="AT1523" s="7" t="s">
        <v>1363</v>
      </c>
      <c r="AU1523" s="38">
        <v>46275</v>
      </c>
      <c r="AV1523" s="39">
        <v>0.62490740740741002</v>
      </c>
    </row>
    <row r="1524" spans="1:48" x14ac:dyDescent="0.35">
      <c r="A1524" t="str">
        <f t="shared" si="23"/>
        <v>GP394701B856</v>
      </c>
      <c r="B1524" s="7" t="s">
        <v>921</v>
      </c>
      <c r="C1524" s="7" t="s">
        <v>852</v>
      </c>
      <c r="D1524" s="7" t="s">
        <v>21</v>
      </c>
      <c r="E1524" s="7" t="s">
        <v>1177</v>
      </c>
      <c r="F1524" s="7" t="s">
        <v>128</v>
      </c>
      <c r="G1524" s="7" t="s">
        <v>130</v>
      </c>
      <c r="H1524" s="7" t="s">
        <v>129</v>
      </c>
      <c r="I1524" s="30">
        <v>2</v>
      </c>
      <c r="J1524" s="7" t="s">
        <v>1177</v>
      </c>
      <c r="K1524" s="7" t="s">
        <v>1178</v>
      </c>
      <c r="L1524" s="7" t="s">
        <v>132</v>
      </c>
      <c r="M1524" s="7" t="s">
        <v>133</v>
      </c>
      <c r="N1524" s="30">
        <v>0</v>
      </c>
      <c r="O1524" s="30">
        <v>0</v>
      </c>
      <c r="P1524" s="30">
        <v>0</v>
      </c>
      <c r="Q1524" s="30">
        <v>0</v>
      </c>
      <c r="R1524" s="29">
        <v>0</v>
      </c>
      <c r="S1524" s="36">
        <v>0</v>
      </c>
      <c r="T1524" s="7" t="s">
        <v>131</v>
      </c>
      <c r="U1524" s="7" t="s">
        <v>853</v>
      </c>
      <c r="V1524" s="7" t="s">
        <v>853</v>
      </c>
      <c r="W1524" s="7" t="s">
        <v>1177</v>
      </c>
      <c r="X1524" s="30">
        <v>1</v>
      </c>
      <c r="Y1524" s="7" t="s">
        <v>1177</v>
      </c>
      <c r="Z1524" s="7" t="s">
        <v>1178</v>
      </c>
      <c r="AA1524" s="30">
        <v>0</v>
      </c>
      <c r="AB1524" s="36">
        <v>0</v>
      </c>
      <c r="AC1524" s="7" t="s">
        <v>1177</v>
      </c>
      <c r="AD1524" s="37">
        <v>0</v>
      </c>
      <c r="AE1524" s="7" t="s">
        <v>1177</v>
      </c>
      <c r="AF1524" s="7" t="s">
        <v>1177</v>
      </c>
      <c r="AG1524" s="7" t="s">
        <v>1177</v>
      </c>
      <c r="AH1524" s="38"/>
      <c r="AI1524" s="36">
        <v>0</v>
      </c>
      <c r="AJ1524" s="7" t="s">
        <v>1193</v>
      </c>
      <c r="AK1524" s="7" t="s">
        <v>1177</v>
      </c>
      <c r="AL1524" s="7" t="s">
        <v>1177</v>
      </c>
      <c r="AM1524" s="7" t="s">
        <v>1177</v>
      </c>
      <c r="AN1524" s="7" t="s">
        <v>3212</v>
      </c>
      <c r="AO1524" s="7" t="s">
        <v>1177</v>
      </c>
      <c r="AP1524" s="7" t="s">
        <v>1177</v>
      </c>
      <c r="AQ1524" s="7" t="s">
        <v>1177</v>
      </c>
      <c r="AR1524" s="29">
        <v>0</v>
      </c>
      <c r="AS1524" s="7" t="s">
        <v>1177</v>
      </c>
      <c r="AT1524" s="7" t="s">
        <v>1363</v>
      </c>
      <c r="AU1524" s="38">
        <v>46275</v>
      </c>
      <c r="AV1524" s="39">
        <v>0.62490740740741002</v>
      </c>
    </row>
    <row r="1525" spans="1:48" x14ac:dyDescent="0.35">
      <c r="A1525" t="str">
        <f t="shared" si="23"/>
        <v>GP396950B833</v>
      </c>
      <c r="B1525" s="7" t="s">
        <v>721</v>
      </c>
      <c r="C1525" s="7" t="s">
        <v>698</v>
      </c>
      <c r="D1525" s="7" t="s">
        <v>697</v>
      </c>
      <c r="E1525" s="7" t="s">
        <v>1177</v>
      </c>
      <c r="F1525" s="7" t="s">
        <v>128</v>
      </c>
      <c r="G1525" s="7" t="s">
        <v>130</v>
      </c>
      <c r="H1525" s="7" t="s">
        <v>129</v>
      </c>
      <c r="I1525" s="30">
        <v>2</v>
      </c>
      <c r="J1525" s="7" t="s">
        <v>1177</v>
      </c>
      <c r="K1525" s="7" t="s">
        <v>1178</v>
      </c>
      <c r="L1525" s="7" t="s">
        <v>132</v>
      </c>
      <c r="M1525" s="7" t="s">
        <v>133</v>
      </c>
      <c r="N1525" s="30">
        <v>0</v>
      </c>
      <c r="O1525" s="30">
        <v>0</v>
      </c>
      <c r="P1525" s="30">
        <v>0</v>
      </c>
      <c r="Q1525" s="30">
        <v>0</v>
      </c>
      <c r="R1525" s="29">
        <v>0</v>
      </c>
      <c r="S1525" s="36">
        <v>0</v>
      </c>
      <c r="T1525" s="7" t="s">
        <v>131</v>
      </c>
      <c r="U1525" s="7" t="s">
        <v>699</v>
      </c>
      <c r="V1525" s="7" t="s">
        <v>699</v>
      </c>
      <c r="W1525" s="7" t="s">
        <v>1177</v>
      </c>
      <c r="X1525" s="30">
        <v>1</v>
      </c>
      <c r="Y1525" s="7" t="s">
        <v>1177</v>
      </c>
      <c r="Z1525" s="7" t="s">
        <v>1178</v>
      </c>
      <c r="AA1525" s="30">
        <v>0</v>
      </c>
      <c r="AB1525" s="36">
        <v>0</v>
      </c>
      <c r="AC1525" s="7" t="s">
        <v>1177</v>
      </c>
      <c r="AD1525" s="37">
        <v>0</v>
      </c>
      <c r="AE1525" s="7" t="s">
        <v>1177</v>
      </c>
      <c r="AF1525" s="7" t="s">
        <v>1177</v>
      </c>
      <c r="AG1525" s="7" t="s">
        <v>1177</v>
      </c>
      <c r="AH1525" s="38"/>
      <c r="AI1525" s="36">
        <v>0</v>
      </c>
      <c r="AJ1525" s="7" t="s">
        <v>1193</v>
      </c>
      <c r="AK1525" s="7" t="s">
        <v>1177</v>
      </c>
      <c r="AL1525" s="7" t="s">
        <v>1177</v>
      </c>
      <c r="AM1525" s="7" t="s">
        <v>1177</v>
      </c>
      <c r="AN1525" s="7" t="s">
        <v>3212</v>
      </c>
      <c r="AO1525" s="7" t="s">
        <v>1177</v>
      </c>
      <c r="AP1525" s="7" t="s">
        <v>1177</v>
      </c>
      <c r="AQ1525" s="7" t="s">
        <v>1177</v>
      </c>
      <c r="AR1525" s="29">
        <v>0</v>
      </c>
      <c r="AS1525" s="7" t="s">
        <v>1177</v>
      </c>
      <c r="AT1525" s="7" t="s">
        <v>1363</v>
      </c>
      <c r="AU1525" s="38">
        <v>46275</v>
      </c>
      <c r="AV1525" s="39">
        <v>0.62353009259258996</v>
      </c>
    </row>
    <row r="1526" spans="1:48" x14ac:dyDescent="0.35">
      <c r="A1526" t="str">
        <f t="shared" si="23"/>
        <v>GP396950B864</v>
      </c>
      <c r="B1526" s="7" t="s">
        <v>721</v>
      </c>
      <c r="C1526" s="7" t="s">
        <v>1010</v>
      </c>
      <c r="D1526" s="7" t="s">
        <v>10</v>
      </c>
      <c r="E1526" s="7" t="s">
        <v>1177</v>
      </c>
      <c r="F1526" s="7" t="s">
        <v>128</v>
      </c>
      <c r="G1526" s="7" t="s">
        <v>130</v>
      </c>
      <c r="H1526" s="7" t="s">
        <v>129</v>
      </c>
      <c r="I1526" s="30">
        <v>2</v>
      </c>
      <c r="J1526" s="7" t="s">
        <v>1177</v>
      </c>
      <c r="K1526" s="7" t="s">
        <v>1178</v>
      </c>
      <c r="L1526" s="7" t="s">
        <v>132</v>
      </c>
      <c r="M1526" s="7" t="s">
        <v>133</v>
      </c>
      <c r="N1526" s="30">
        <v>0</v>
      </c>
      <c r="O1526" s="30">
        <v>0</v>
      </c>
      <c r="P1526" s="30">
        <v>0</v>
      </c>
      <c r="Q1526" s="30">
        <v>0</v>
      </c>
      <c r="R1526" s="29">
        <v>0</v>
      </c>
      <c r="S1526" s="36">
        <v>0</v>
      </c>
      <c r="T1526" s="7" t="s">
        <v>131</v>
      </c>
      <c r="U1526" s="7" t="s">
        <v>1011</v>
      </c>
      <c r="V1526" s="7" t="s">
        <v>1011</v>
      </c>
      <c r="W1526" s="7" t="s">
        <v>1177</v>
      </c>
      <c r="X1526" s="30">
        <v>1</v>
      </c>
      <c r="Y1526" s="7" t="s">
        <v>1177</v>
      </c>
      <c r="Z1526" s="7" t="s">
        <v>1178</v>
      </c>
      <c r="AA1526" s="30">
        <v>0</v>
      </c>
      <c r="AB1526" s="36">
        <v>0</v>
      </c>
      <c r="AC1526" s="7" t="s">
        <v>1177</v>
      </c>
      <c r="AD1526" s="37">
        <v>0</v>
      </c>
      <c r="AE1526" s="7" t="s">
        <v>1177</v>
      </c>
      <c r="AF1526" s="7" t="s">
        <v>1177</v>
      </c>
      <c r="AG1526" s="7" t="s">
        <v>1177</v>
      </c>
      <c r="AH1526" s="38"/>
      <c r="AI1526" s="36">
        <v>0</v>
      </c>
      <c r="AJ1526" s="7" t="s">
        <v>1193</v>
      </c>
      <c r="AK1526" s="7" t="s">
        <v>1177</v>
      </c>
      <c r="AL1526" s="7" t="s">
        <v>1177</v>
      </c>
      <c r="AM1526" s="7" t="s">
        <v>1177</v>
      </c>
      <c r="AN1526" s="7" t="s">
        <v>3212</v>
      </c>
      <c r="AO1526" s="7" t="s">
        <v>1177</v>
      </c>
      <c r="AP1526" s="7" t="s">
        <v>1177</v>
      </c>
      <c r="AQ1526" s="7" t="s">
        <v>1177</v>
      </c>
      <c r="AR1526" s="29">
        <v>0</v>
      </c>
      <c r="AS1526" s="7" t="s">
        <v>1177</v>
      </c>
      <c r="AT1526" s="7" t="s">
        <v>1363</v>
      </c>
      <c r="AU1526" s="38">
        <v>46275</v>
      </c>
      <c r="AV1526" s="39">
        <v>0.62630787037036995</v>
      </c>
    </row>
    <row r="1527" spans="1:48" x14ac:dyDescent="0.35">
      <c r="A1527" t="str">
        <f t="shared" si="23"/>
        <v>GP402176B838</v>
      </c>
      <c r="B1527" s="7" t="s">
        <v>772</v>
      </c>
      <c r="C1527" s="7" t="s">
        <v>744</v>
      </c>
      <c r="D1527" s="7" t="s">
        <v>48</v>
      </c>
      <c r="E1527" s="7" t="s">
        <v>1177</v>
      </c>
      <c r="F1527" s="7" t="s">
        <v>128</v>
      </c>
      <c r="G1527" s="7" t="s">
        <v>130</v>
      </c>
      <c r="H1527" s="7" t="s">
        <v>129</v>
      </c>
      <c r="I1527" s="30">
        <v>2</v>
      </c>
      <c r="J1527" s="7" t="s">
        <v>1177</v>
      </c>
      <c r="K1527" s="7" t="s">
        <v>1178</v>
      </c>
      <c r="L1527" s="7" t="s">
        <v>132</v>
      </c>
      <c r="M1527" s="7" t="s">
        <v>133</v>
      </c>
      <c r="N1527" s="30">
        <v>0</v>
      </c>
      <c r="O1527" s="30">
        <v>0</v>
      </c>
      <c r="P1527" s="30">
        <v>0</v>
      </c>
      <c r="Q1527" s="30">
        <v>0</v>
      </c>
      <c r="R1527" s="29">
        <v>0</v>
      </c>
      <c r="S1527" s="36">
        <v>0</v>
      </c>
      <c r="T1527" s="7" t="s">
        <v>131</v>
      </c>
      <c r="U1527" s="7" t="s">
        <v>745</v>
      </c>
      <c r="V1527" s="7" t="s">
        <v>745</v>
      </c>
      <c r="W1527" s="7" t="s">
        <v>1177</v>
      </c>
      <c r="X1527" s="30">
        <v>1</v>
      </c>
      <c r="Y1527" s="7" t="s">
        <v>1177</v>
      </c>
      <c r="Z1527" s="7" t="s">
        <v>1178</v>
      </c>
      <c r="AA1527" s="30">
        <v>0</v>
      </c>
      <c r="AB1527" s="36">
        <v>0</v>
      </c>
      <c r="AC1527" s="7" t="s">
        <v>1177</v>
      </c>
      <c r="AD1527" s="37">
        <v>0</v>
      </c>
      <c r="AE1527" s="7" t="s">
        <v>1177</v>
      </c>
      <c r="AF1527" s="7" t="s">
        <v>1177</v>
      </c>
      <c r="AG1527" s="7" t="s">
        <v>1177</v>
      </c>
      <c r="AH1527" s="38"/>
      <c r="AI1527" s="36">
        <v>0</v>
      </c>
      <c r="AJ1527" s="7" t="s">
        <v>1193</v>
      </c>
      <c r="AK1527" s="7" t="s">
        <v>1177</v>
      </c>
      <c r="AL1527" s="7" t="s">
        <v>1177</v>
      </c>
      <c r="AM1527" s="7" t="s">
        <v>1177</v>
      </c>
      <c r="AN1527" s="7" t="s">
        <v>3212</v>
      </c>
      <c r="AO1527" s="7" t="s">
        <v>1177</v>
      </c>
      <c r="AP1527" s="7" t="s">
        <v>1177</v>
      </c>
      <c r="AQ1527" s="7" t="s">
        <v>1177</v>
      </c>
      <c r="AR1527" s="29">
        <v>0</v>
      </c>
      <c r="AS1527" s="7" t="s">
        <v>1177</v>
      </c>
      <c r="AT1527" s="7" t="s">
        <v>1363</v>
      </c>
      <c r="AU1527" s="38">
        <v>46275</v>
      </c>
      <c r="AV1527" s="39">
        <v>0.62400462962962999</v>
      </c>
    </row>
    <row r="1528" spans="1:48" x14ac:dyDescent="0.35">
      <c r="A1528" t="str">
        <f t="shared" si="23"/>
        <v>GP403215B856</v>
      </c>
      <c r="B1528" s="7" t="s">
        <v>922</v>
      </c>
      <c r="C1528" s="7" t="s">
        <v>852</v>
      </c>
      <c r="D1528" s="7" t="s">
        <v>21</v>
      </c>
      <c r="E1528" s="7" t="s">
        <v>1177</v>
      </c>
      <c r="F1528" s="7" t="s">
        <v>128</v>
      </c>
      <c r="G1528" s="7" t="s">
        <v>130</v>
      </c>
      <c r="H1528" s="7" t="s">
        <v>129</v>
      </c>
      <c r="I1528" s="30">
        <v>2</v>
      </c>
      <c r="J1528" s="7" t="s">
        <v>1177</v>
      </c>
      <c r="K1528" s="7" t="s">
        <v>1178</v>
      </c>
      <c r="L1528" s="7" t="s">
        <v>132</v>
      </c>
      <c r="M1528" s="7" t="s">
        <v>133</v>
      </c>
      <c r="N1528" s="30">
        <v>0</v>
      </c>
      <c r="O1528" s="30">
        <v>0</v>
      </c>
      <c r="P1528" s="30">
        <v>0</v>
      </c>
      <c r="Q1528" s="30">
        <v>0</v>
      </c>
      <c r="R1528" s="29">
        <v>0</v>
      </c>
      <c r="S1528" s="36">
        <v>0</v>
      </c>
      <c r="T1528" s="7" t="s">
        <v>131</v>
      </c>
      <c r="U1528" s="7" t="s">
        <v>853</v>
      </c>
      <c r="V1528" s="7" t="s">
        <v>853</v>
      </c>
      <c r="W1528" s="7" t="s">
        <v>1177</v>
      </c>
      <c r="X1528" s="30">
        <v>1</v>
      </c>
      <c r="Y1528" s="7" t="s">
        <v>1177</v>
      </c>
      <c r="Z1528" s="7" t="s">
        <v>1178</v>
      </c>
      <c r="AA1528" s="30">
        <v>0</v>
      </c>
      <c r="AB1528" s="36">
        <v>0</v>
      </c>
      <c r="AC1528" s="7" t="s">
        <v>1177</v>
      </c>
      <c r="AD1528" s="37">
        <v>0</v>
      </c>
      <c r="AE1528" s="7" t="s">
        <v>1177</v>
      </c>
      <c r="AF1528" s="7" t="s">
        <v>1177</v>
      </c>
      <c r="AG1528" s="7" t="s">
        <v>1177</v>
      </c>
      <c r="AH1528" s="38"/>
      <c r="AI1528" s="36">
        <v>0</v>
      </c>
      <c r="AJ1528" s="7" t="s">
        <v>1193</v>
      </c>
      <c r="AK1528" s="7" t="s">
        <v>1177</v>
      </c>
      <c r="AL1528" s="7" t="s">
        <v>1177</v>
      </c>
      <c r="AM1528" s="7" t="s">
        <v>1177</v>
      </c>
      <c r="AN1528" s="7" t="s">
        <v>3212</v>
      </c>
      <c r="AO1528" s="7" t="s">
        <v>1177</v>
      </c>
      <c r="AP1528" s="7" t="s">
        <v>1177</v>
      </c>
      <c r="AQ1528" s="7" t="s">
        <v>1177</v>
      </c>
      <c r="AR1528" s="29">
        <v>0</v>
      </c>
      <c r="AS1528" s="7" t="s">
        <v>1177</v>
      </c>
      <c r="AT1528" s="7" t="s">
        <v>1363</v>
      </c>
      <c r="AU1528" s="38">
        <v>46275</v>
      </c>
      <c r="AV1528" s="39">
        <v>0.62490740740741002</v>
      </c>
    </row>
    <row r="1529" spans="1:48" x14ac:dyDescent="0.35">
      <c r="A1529" t="str">
        <f t="shared" si="23"/>
        <v>GP403315B832</v>
      </c>
      <c r="B1529" s="7" t="s">
        <v>481</v>
      </c>
      <c r="C1529" s="7" t="s">
        <v>653</v>
      </c>
      <c r="D1529" s="7" t="s">
        <v>19</v>
      </c>
      <c r="E1529" s="7" t="s">
        <v>1177</v>
      </c>
      <c r="F1529" s="7" t="s">
        <v>128</v>
      </c>
      <c r="G1529" s="7" t="s">
        <v>130</v>
      </c>
      <c r="H1529" s="7" t="s">
        <v>129</v>
      </c>
      <c r="I1529" s="30">
        <v>2</v>
      </c>
      <c r="J1529" s="7" t="s">
        <v>1177</v>
      </c>
      <c r="K1529" s="7" t="s">
        <v>1178</v>
      </c>
      <c r="L1529" s="7" t="s">
        <v>132</v>
      </c>
      <c r="M1529" s="7" t="s">
        <v>133</v>
      </c>
      <c r="N1529" s="30">
        <v>0</v>
      </c>
      <c r="O1529" s="30">
        <v>0</v>
      </c>
      <c r="P1529" s="30">
        <v>0</v>
      </c>
      <c r="Q1529" s="30">
        <v>0</v>
      </c>
      <c r="R1529" s="29">
        <v>0</v>
      </c>
      <c r="S1529" s="36">
        <v>0</v>
      </c>
      <c r="T1529" s="7" t="s">
        <v>131</v>
      </c>
      <c r="U1529" s="7" t="s">
        <v>654</v>
      </c>
      <c r="V1529" s="7" t="s">
        <v>654</v>
      </c>
      <c r="W1529" s="7" t="s">
        <v>1177</v>
      </c>
      <c r="X1529" s="30">
        <v>1</v>
      </c>
      <c r="Y1529" s="7" t="s">
        <v>1177</v>
      </c>
      <c r="Z1529" s="7" t="s">
        <v>1178</v>
      </c>
      <c r="AA1529" s="30">
        <v>0</v>
      </c>
      <c r="AB1529" s="36">
        <v>0</v>
      </c>
      <c r="AC1529" s="7" t="s">
        <v>1177</v>
      </c>
      <c r="AD1529" s="37">
        <v>0</v>
      </c>
      <c r="AE1529" s="7" t="s">
        <v>1177</v>
      </c>
      <c r="AF1529" s="7" t="s">
        <v>1177</v>
      </c>
      <c r="AG1529" s="7" t="s">
        <v>1177</v>
      </c>
      <c r="AH1529" s="38"/>
      <c r="AI1529" s="36">
        <v>0</v>
      </c>
      <c r="AJ1529" s="7" t="s">
        <v>1193</v>
      </c>
      <c r="AK1529" s="7" t="s">
        <v>1177</v>
      </c>
      <c r="AL1529" s="7" t="s">
        <v>1177</v>
      </c>
      <c r="AM1529" s="7" t="s">
        <v>1177</v>
      </c>
      <c r="AN1529" s="7" t="s">
        <v>3212</v>
      </c>
      <c r="AO1529" s="7" t="s">
        <v>1177</v>
      </c>
      <c r="AP1529" s="7" t="s">
        <v>1177</v>
      </c>
      <c r="AQ1529" s="7" t="s">
        <v>1177</v>
      </c>
      <c r="AR1529" s="29">
        <v>0</v>
      </c>
      <c r="AS1529" s="7" t="s">
        <v>1177</v>
      </c>
      <c r="AT1529" s="7" t="s">
        <v>1363</v>
      </c>
      <c r="AU1529" s="38">
        <v>46275</v>
      </c>
      <c r="AV1529" s="39">
        <v>0.62339120370370005</v>
      </c>
    </row>
    <row r="1530" spans="1:48" x14ac:dyDescent="0.35">
      <c r="A1530" t="str">
        <f t="shared" si="23"/>
        <v>GP404152B856</v>
      </c>
      <c r="B1530" s="7" t="s">
        <v>291</v>
      </c>
      <c r="C1530" s="7" t="s">
        <v>852</v>
      </c>
      <c r="D1530" s="7" t="s">
        <v>21</v>
      </c>
      <c r="E1530" s="7" t="s">
        <v>1177</v>
      </c>
      <c r="F1530" s="7" t="s">
        <v>128</v>
      </c>
      <c r="G1530" s="7" t="s">
        <v>130</v>
      </c>
      <c r="H1530" s="7" t="s">
        <v>129</v>
      </c>
      <c r="I1530" s="30">
        <v>2</v>
      </c>
      <c r="J1530" s="7" t="s">
        <v>1177</v>
      </c>
      <c r="K1530" s="7" t="s">
        <v>1178</v>
      </c>
      <c r="L1530" s="7" t="s">
        <v>132</v>
      </c>
      <c r="M1530" s="7" t="s">
        <v>133</v>
      </c>
      <c r="N1530" s="30">
        <v>0</v>
      </c>
      <c r="O1530" s="30">
        <v>0</v>
      </c>
      <c r="P1530" s="30">
        <v>0</v>
      </c>
      <c r="Q1530" s="30">
        <v>0</v>
      </c>
      <c r="R1530" s="29">
        <v>0</v>
      </c>
      <c r="S1530" s="36">
        <v>0</v>
      </c>
      <c r="T1530" s="7" t="s">
        <v>131</v>
      </c>
      <c r="U1530" s="7" t="s">
        <v>853</v>
      </c>
      <c r="V1530" s="7" t="s">
        <v>853</v>
      </c>
      <c r="W1530" s="7" t="s">
        <v>1177</v>
      </c>
      <c r="X1530" s="30">
        <v>1</v>
      </c>
      <c r="Y1530" s="7" t="s">
        <v>1177</v>
      </c>
      <c r="Z1530" s="7" t="s">
        <v>1178</v>
      </c>
      <c r="AA1530" s="30">
        <v>0</v>
      </c>
      <c r="AB1530" s="36">
        <v>0</v>
      </c>
      <c r="AC1530" s="7" t="s">
        <v>1177</v>
      </c>
      <c r="AD1530" s="37">
        <v>0</v>
      </c>
      <c r="AE1530" s="7" t="s">
        <v>1177</v>
      </c>
      <c r="AF1530" s="7" t="s">
        <v>1177</v>
      </c>
      <c r="AG1530" s="7" t="s">
        <v>1177</v>
      </c>
      <c r="AH1530" s="38"/>
      <c r="AI1530" s="36">
        <v>0</v>
      </c>
      <c r="AJ1530" s="7" t="s">
        <v>1193</v>
      </c>
      <c r="AK1530" s="7" t="s">
        <v>1177</v>
      </c>
      <c r="AL1530" s="7" t="s">
        <v>1177</v>
      </c>
      <c r="AM1530" s="7" t="s">
        <v>1177</v>
      </c>
      <c r="AN1530" s="7" t="s">
        <v>3212</v>
      </c>
      <c r="AO1530" s="7" t="s">
        <v>1177</v>
      </c>
      <c r="AP1530" s="7" t="s">
        <v>1177</v>
      </c>
      <c r="AQ1530" s="7" t="s">
        <v>1177</v>
      </c>
      <c r="AR1530" s="29">
        <v>0</v>
      </c>
      <c r="AS1530" s="7" t="s">
        <v>1177</v>
      </c>
      <c r="AT1530" s="7" t="s">
        <v>1363</v>
      </c>
      <c r="AU1530" s="38">
        <v>46275</v>
      </c>
      <c r="AV1530" s="39">
        <v>0.60523148148147998</v>
      </c>
    </row>
    <row r="1531" spans="1:48" x14ac:dyDescent="0.35">
      <c r="A1531" t="str">
        <f t="shared" si="23"/>
        <v>GP404152B865</v>
      </c>
      <c r="B1531" s="7" t="s">
        <v>291</v>
      </c>
      <c r="C1531" s="7" t="s">
        <v>1039</v>
      </c>
      <c r="D1531" s="7" t="s">
        <v>7</v>
      </c>
      <c r="E1531" s="7" t="s">
        <v>1177</v>
      </c>
      <c r="F1531" s="7" t="s">
        <v>128</v>
      </c>
      <c r="G1531" s="7" t="s">
        <v>130</v>
      </c>
      <c r="H1531" s="7" t="s">
        <v>129</v>
      </c>
      <c r="I1531" s="30">
        <v>2</v>
      </c>
      <c r="J1531" s="7" t="s">
        <v>1177</v>
      </c>
      <c r="K1531" s="7" t="s">
        <v>1178</v>
      </c>
      <c r="L1531" s="7" t="s">
        <v>132</v>
      </c>
      <c r="M1531" s="7" t="s">
        <v>133</v>
      </c>
      <c r="N1531" s="30">
        <v>0</v>
      </c>
      <c r="O1531" s="30">
        <v>0</v>
      </c>
      <c r="P1531" s="30">
        <v>0</v>
      </c>
      <c r="Q1531" s="30">
        <v>0</v>
      </c>
      <c r="R1531" s="29">
        <v>0</v>
      </c>
      <c r="S1531" s="36">
        <v>0</v>
      </c>
      <c r="T1531" s="7" t="s">
        <v>131</v>
      </c>
      <c r="U1531" s="7" t="s">
        <v>1040</v>
      </c>
      <c r="V1531" s="7" t="s">
        <v>1040</v>
      </c>
      <c r="W1531" s="7" t="s">
        <v>1177</v>
      </c>
      <c r="X1531" s="30">
        <v>1</v>
      </c>
      <c r="Y1531" s="7" t="s">
        <v>1177</v>
      </c>
      <c r="Z1531" s="7" t="s">
        <v>1178</v>
      </c>
      <c r="AA1531" s="30">
        <v>0</v>
      </c>
      <c r="AB1531" s="36">
        <v>0</v>
      </c>
      <c r="AC1531" s="7" t="s">
        <v>1177</v>
      </c>
      <c r="AD1531" s="37">
        <v>0</v>
      </c>
      <c r="AE1531" s="7" t="s">
        <v>1177</v>
      </c>
      <c r="AF1531" s="7" t="s">
        <v>1177</v>
      </c>
      <c r="AG1531" s="7" t="s">
        <v>1177</v>
      </c>
      <c r="AH1531" s="38"/>
      <c r="AI1531" s="36">
        <v>0</v>
      </c>
      <c r="AJ1531" s="7" t="s">
        <v>1193</v>
      </c>
      <c r="AK1531" s="7" t="s">
        <v>1177</v>
      </c>
      <c r="AL1531" s="7" t="s">
        <v>1177</v>
      </c>
      <c r="AM1531" s="7" t="s">
        <v>1177</v>
      </c>
      <c r="AN1531" s="7" t="s">
        <v>3212</v>
      </c>
      <c r="AO1531" s="7" t="s">
        <v>1177</v>
      </c>
      <c r="AP1531" s="7" t="s">
        <v>1177</v>
      </c>
      <c r="AQ1531" s="7" t="s">
        <v>1177</v>
      </c>
      <c r="AR1531" s="29">
        <v>0</v>
      </c>
      <c r="AS1531" s="7" t="s">
        <v>1177</v>
      </c>
      <c r="AT1531" s="7" t="s">
        <v>1363</v>
      </c>
      <c r="AU1531" s="38">
        <v>46275</v>
      </c>
      <c r="AV1531" s="39">
        <v>0.60548611111110995</v>
      </c>
    </row>
    <row r="1532" spans="1:48" x14ac:dyDescent="0.35">
      <c r="A1532" t="str">
        <f t="shared" si="23"/>
        <v>GP404153B838</v>
      </c>
      <c r="B1532" s="7" t="s">
        <v>191</v>
      </c>
      <c r="C1532" s="7" t="s">
        <v>744</v>
      </c>
      <c r="D1532" s="7" t="s">
        <v>48</v>
      </c>
      <c r="E1532" s="7" t="s">
        <v>1177</v>
      </c>
      <c r="F1532" s="7" t="s">
        <v>128</v>
      </c>
      <c r="G1532" s="7" t="s">
        <v>130</v>
      </c>
      <c r="H1532" s="7" t="s">
        <v>129</v>
      </c>
      <c r="I1532" s="30">
        <v>2</v>
      </c>
      <c r="J1532" s="7" t="s">
        <v>1177</v>
      </c>
      <c r="K1532" s="7" t="s">
        <v>1178</v>
      </c>
      <c r="L1532" s="7" t="s">
        <v>132</v>
      </c>
      <c r="M1532" s="7" t="s">
        <v>133</v>
      </c>
      <c r="N1532" s="30">
        <v>0</v>
      </c>
      <c r="O1532" s="30">
        <v>0</v>
      </c>
      <c r="P1532" s="30">
        <v>0</v>
      </c>
      <c r="Q1532" s="30">
        <v>0</v>
      </c>
      <c r="R1532" s="29">
        <v>0</v>
      </c>
      <c r="S1532" s="36">
        <v>0</v>
      </c>
      <c r="T1532" s="7" t="s">
        <v>131</v>
      </c>
      <c r="U1532" s="7" t="s">
        <v>745</v>
      </c>
      <c r="V1532" s="7" t="s">
        <v>745</v>
      </c>
      <c r="W1532" s="7" t="s">
        <v>1177</v>
      </c>
      <c r="X1532" s="30">
        <v>1</v>
      </c>
      <c r="Y1532" s="7" t="s">
        <v>1177</v>
      </c>
      <c r="Z1532" s="7" t="s">
        <v>1178</v>
      </c>
      <c r="AA1532" s="30">
        <v>0</v>
      </c>
      <c r="AB1532" s="36">
        <v>0</v>
      </c>
      <c r="AC1532" s="7" t="s">
        <v>1177</v>
      </c>
      <c r="AD1532" s="37">
        <v>0</v>
      </c>
      <c r="AE1532" s="7" t="s">
        <v>1177</v>
      </c>
      <c r="AF1532" s="7" t="s">
        <v>1177</v>
      </c>
      <c r="AG1532" s="7" t="s">
        <v>1177</v>
      </c>
      <c r="AH1532" s="38"/>
      <c r="AI1532" s="36">
        <v>0</v>
      </c>
      <c r="AJ1532" s="7" t="s">
        <v>1193</v>
      </c>
      <c r="AK1532" s="7" t="s">
        <v>1177</v>
      </c>
      <c r="AL1532" s="7" t="s">
        <v>1177</v>
      </c>
      <c r="AM1532" s="7" t="s">
        <v>1177</v>
      </c>
      <c r="AN1532" s="7" t="s">
        <v>3212</v>
      </c>
      <c r="AO1532" s="7" t="s">
        <v>1177</v>
      </c>
      <c r="AP1532" s="7" t="s">
        <v>1177</v>
      </c>
      <c r="AQ1532" s="7" t="s">
        <v>1177</v>
      </c>
      <c r="AR1532" s="29">
        <v>0</v>
      </c>
      <c r="AS1532" s="7" t="s">
        <v>1177</v>
      </c>
      <c r="AT1532" s="7" t="s">
        <v>1363</v>
      </c>
      <c r="AU1532" s="38">
        <v>46275</v>
      </c>
      <c r="AV1532" s="39">
        <v>0.60453703703703998</v>
      </c>
    </row>
    <row r="1533" spans="1:48" x14ac:dyDescent="0.35">
      <c r="A1533" t="str">
        <f t="shared" si="23"/>
        <v>GP404153B857</v>
      </c>
      <c r="B1533" s="7" t="s">
        <v>191</v>
      </c>
      <c r="C1533" s="7" t="s">
        <v>958</v>
      </c>
      <c r="D1533" s="7" t="s">
        <v>23</v>
      </c>
      <c r="E1533" s="7" t="s">
        <v>1177</v>
      </c>
      <c r="F1533" s="7" t="s">
        <v>128</v>
      </c>
      <c r="G1533" s="7" t="s">
        <v>130</v>
      </c>
      <c r="H1533" s="7" t="s">
        <v>129</v>
      </c>
      <c r="I1533" s="30">
        <v>1</v>
      </c>
      <c r="J1533" s="7" t="s">
        <v>1177</v>
      </c>
      <c r="K1533" s="7" t="s">
        <v>1178</v>
      </c>
      <c r="L1533" s="7" t="s">
        <v>132</v>
      </c>
      <c r="M1533" s="7" t="s">
        <v>133</v>
      </c>
      <c r="N1533" s="30">
        <v>0</v>
      </c>
      <c r="O1533" s="30">
        <v>0</v>
      </c>
      <c r="P1533" s="30">
        <v>0</v>
      </c>
      <c r="Q1533" s="30">
        <v>0</v>
      </c>
      <c r="R1533" s="29">
        <v>0</v>
      </c>
      <c r="S1533" s="36">
        <v>0</v>
      </c>
      <c r="T1533" s="7" t="s">
        <v>131</v>
      </c>
      <c r="U1533" s="7" t="s">
        <v>959</v>
      </c>
      <c r="V1533" s="7" t="s">
        <v>959</v>
      </c>
      <c r="W1533" s="7" t="s">
        <v>1177</v>
      </c>
      <c r="X1533" s="30">
        <v>1</v>
      </c>
      <c r="Y1533" s="7" t="s">
        <v>1177</v>
      </c>
      <c r="Z1533" s="7" t="s">
        <v>1178</v>
      </c>
      <c r="AA1533" s="30">
        <v>0</v>
      </c>
      <c r="AB1533" s="36">
        <v>0</v>
      </c>
      <c r="AC1533" s="7" t="s">
        <v>1177</v>
      </c>
      <c r="AD1533" s="37">
        <v>0</v>
      </c>
      <c r="AE1533" s="7" t="s">
        <v>1177</v>
      </c>
      <c r="AF1533" s="7" t="s">
        <v>1177</v>
      </c>
      <c r="AG1533" s="7" t="s">
        <v>1177</v>
      </c>
      <c r="AH1533" s="38"/>
      <c r="AI1533" s="36">
        <v>0</v>
      </c>
      <c r="AJ1533" s="7" t="s">
        <v>1193</v>
      </c>
      <c r="AK1533" s="7" t="s">
        <v>1177</v>
      </c>
      <c r="AL1533" s="7" t="s">
        <v>1177</v>
      </c>
      <c r="AM1533" s="7" t="s">
        <v>1177</v>
      </c>
      <c r="AN1533" s="7" t="s">
        <v>3212</v>
      </c>
      <c r="AO1533" s="7" t="s">
        <v>1177</v>
      </c>
      <c r="AP1533" s="7" t="s">
        <v>1177</v>
      </c>
      <c r="AQ1533" s="7" t="s">
        <v>1177</v>
      </c>
      <c r="AR1533" s="29">
        <v>0</v>
      </c>
      <c r="AS1533" s="7" t="s">
        <v>1177</v>
      </c>
      <c r="AT1533" s="7" t="s">
        <v>1363</v>
      </c>
      <c r="AU1533" s="38">
        <v>46275</v>
      </c>
      <c r="AV1533" s="39">
        <v>0.60524305555556002</v>
      </c>
    </row>
    <row r="1534" spans="1:48" x14ac:dyDescent="0.35">
      <c r="A1534" t="str">
        <f t="shared" si="23"/>
        <v>GP404153B864</v>
      </c>
      <c r="B1534" s="7" t="s">
        <v>191</v>
      </c>
      <c r="C1534" s="7" t="s">
        <v>1010</v>
      </c>
      <c r="D1534" s="7" t="s">
        <v>10</v>
      </c>
      <c r="E1534" s="7" t="s">
        <v>1177</v>
      </c>
      <c r="F1534" s="7" t="s">
        <v>128</v>
      </c>
      <c r="G1534" s="7" t="s">
        <v>130</v>
      </c>
      <c r="H1534" s="7" t="s">
        <v>129</v>
      </c>
      <c r="I1534" s="30">
        <v>2</v>
      </c>
      <c r="J1534" s="7" t="s">
        <v>1177</v>
      </c>
      <c r="K1534" s="7" t="s">
        <v>1178</v>
      </c>
      <c r="L1534" s="7" t="s">
        <v>132</v>
      </c>
      <c r="M1534" s="7" t="s">
        <v>133</v>
      </c>
      <c r="N1534" s="30">
        <v>0</v>
      </c>
      <c r="O1534" s="30">
        <v>0</v>
      </c>
      <c r="P1534" s="30">
        <v>0</v>
      </c>
      <c r="Q1534" s="30">
        <v>0</v>
      </c>
      <c r="R1534" s="29">
        <v>0</v>
      </c>
      <c r="S1534" s="36">
        <v>0</v>
      </c>
      <c r="T1534" s="7" t="s">
        <v>131</v>
      </c>
      <c r="U1534" s="7" t="s">
        <v>1011</v>
      </c>
      <c r="V1534" s="7" t="s">
        <v>1011</v>
      </c>
      <c r="W1534" s="7" t="s">
        <v>1177</v>
      </c>
      <c r="X1534" s="30">
        <v>1</v>
      </c>
      <c r="Y1534" s="7" t="s">
        <v>1177</v>
      </c>
      <c r="Z1534" s="7" t="s">
        <v>1178</v>
      </c>
      <c r="AA1534" s="30">
        <v>0</v>
      </c>
      <c r="AB1534" s="36">
        <v>0</v>
      </c>
      <c r="AC1534" s="7" t="s">
        <v>1177</v>
      </c>
      <c r="AD1534" s="37">
        <v>0</v>
      </c>
      <c r="AE1534" s="7" t="s">
        <v>1177</v>
      </c>
      <c r="AF1534" s="7" t="s">
        <v>1177</v>
      </c>
      <c r="AG1534" s="7" t="s">
        <v>1177</v>
      </c>
      <c r="AH1534" s="38"/>
      <c r="AI1534" s="36">
        <v>0</v>
      </c>
      <c r="AJ1534" s="7" t="s">
        <v>1193</v>
      </c>
      <c r="AK1534" s="7" t="s">
        <v>1177</v>
      </c>
      <c r="AL1534" s="7" t="s">
        <v>1177</v>
      </c>
      <c r="AM1534" s="7" t="s">
        <v>1177</v>
      </c>
      <c r="AN1534" s="7" t="s">
        <v>3212</v>
      </c>
      <c r="AO1534" s="7" t="s">
        <v>1177</v>
      </c>
      <c r="AP1534" s="7" t="s">
        <v>1177</v>
      </c>
      <c r="AQ1534" s="7" t="s">
        <v>1177</v>
      </c>
      <c r="AR1534" s="29">
        <v>0</v>
      </c>
      <c r="AS1534" s="7" t="s">
        <v>1177</v>
      </c>
      <c r="AT1534" s="7" t="s">
        <v>1363</v>
      </c>
      <c r="AU1534" s="38">
        <v>46275</v>
      </c>
      <c r="AV1534" s="39">
        <v>0.60542824074073998</v>
      </c>
    </row>
    <row r="1535" spans="1:48" x14ac:dyDescent="0.35">
      <c r="A1535" t="str">
        <f t="shared" si="23"/>
        <v>GP404153B865</v>
      </c>
      <c r="B1535" s="7" t="s">
        <v>191</v>
      </c>
      <c r="C1535" s="7" t="s">
        <v>1039</v>
      </c>
      <c r="D1535" s="7" t="s">
        <v>7</v>
      </c>
      <c r="E1535" s="7" t="s">
        <v>1177</v>
      </c>
      <c r="F1535" s="7" t="s">
        <v>128</v>
      </c>
      <c r="G1535" s="7" t="s">
        <v>130</v>
      </c>
      <c r="H1535" s="7" t="s">
        <v>129</v>
      </c>
      <c r="I1535" s="30">
        <v>2</v>
      </c>
      <c r="J1535" s="7" t="s">
        <v>1177</v>
      </c>
      <c r="K1535" s="7" t="s">
        <v>1178</v>
      </c>
      <c r="L1535" s="7" t="s">
        <v>132</v>
      </c>
      <c r="M1535" s="7" t="s">
        <v>133</v>
      </c>
      <c r="N1535" s="30">
        <v>0</v>
      </c>
      <c r="O1535" s="30">
        <v>0</v>
      </c>
      <c r="P1535" s="30">
        <v>0</v>
      </c>
      <c r="Q1535" s="30">
        <v>0</v>
      </c>
      <c r="R1535" s="29">
        <v>0</v>
      </c>
      <c r="S1535" s="36">
        <v>0</v>
      </c>
      <c r="T1535" s="7" t="s">
        <v>131</v>
      </c>
      <c r="U1535" s="7" t="s">
        <v>1040</v>
      </c>
      <c r="V1535" s="7" t="s">
        <v>1040</v>
      </c>
      <c r="W1535" s="7" t="s">
        <v>1177</v>
      </c>
      <c r="X1535" s="30">
        <v>1</v>
      </c>
      <c r="Y1535" s="7" t="s">
        <v>1177</v>
      </c>
      <c r="Z1535" s="7" t="s">
        <v>1178</v>
      </c>
      <c r="AA1535" s="30">
        <v>0</v>
      </c>
      <c r="AB1535" s="36">
        <v>0</v>
      </c>
      <c r="AC1535" s="7" t="s">
        <v>1177</v>
      </c>
      <c r="AD1535" s="37">
        <v>0</v>
      </c>
      <c r="AE1535" s="7" t="s">
        <v>1177</v>
      </c>
      <c r="AF1535" s="7" t="s">
        <v>1177</v>
      </c>
      <c r="AG1535" s="7" t="s">
        <v>1177</v>
      </c>
      <c r="AH1535" s="38"/>
      <c r="AI1535" s="36">
        <v>0</v>
      </c>
      <c r="AJ1535" s="7" t="s">
        <v>1193</v>
      </c>
      <c r="AK1535" s="7" t="s">
        <v>1177</v>
      </c>
      <c r="AL1535" s="7" t="s">
        <v>1177</v>
      </c>
      <c r="AM1535" s="7" t="s">
        <v>1177</v>
      </c>
      <c r="AN1535" s="7" t="s">
        <v>3212</v>
      </c>
      <c r="AO1535" s="7" t="s">
        <v>1177</v>
      </c>
      <c r="AP1535" s="7" t="s">
        <v>1177</v>
      </c>
      <c r="AQ1535" s="7" t="s">
        <v>1177</v>
      </c>
      <c r="AR1535" s="29">
        <v>0</v>
      </c>
      <c r="AS1535" s="7" t="s">
        <v>1177</v>
      </c>
      <c r="AT1535" s="7" t="s">
        <v>1363</v>
      </c>
      <c r="AU1535" s="38">
        <v>46275</v>
      </c>
      <c r="AV1535" s="39">
        <v>0.60548611111110995</v>
      </c>
    </row>
    <row r="1536" spans="1:48" x14ac:dyDescent="0.35">
      <c r="A1536" t="str">
        <f t="shared" si="23"/>
        <v>GP404625B857</v>
      </c>
      <c r="B1536" s="7" t="s">
        <v>826</v>
      </c>
      <c r="C1536" s="7" t="s">
        <v>958</v>
      </c>
      <c r="D1536" s="7" t="s">
        <v>23</v>
      </c>
      <c r="E1536" s="7" t="s">
        <v>1177</v>
      </c>
      <c r="F1536" s="7" t="s">
        <v>128</v>
      </c>
      <c r="G1536" s="7" t="s">
        <v>130</v>
      </c>
      <c r="H1536" s="7" t="s">
        <v>129</v>
      </c>
      <c r="I1536" s="30">
        <v>2</v>
      </c>
      <c r="J1536" s="7" t="s">
        <v>1177</v>
      </c>
      <c r="K1536" s="7" t="s">
        <v>1178</v>
      </c>
      <c r="L1536" s="7" t="s">
        <v>132</v>
      </c>
      <c r="M1536" s="7" t="s">
        <v>133</v>
      </c>
      <c r="N1536" s="30">
        <v>0</v>
      </c>
      <c r="O1536" s="30">
        <v>0</v>
      </c>
      <c r="P1536" s="30">
        <v>0</v>
      </c>
      <c r="Q1536" s="30">
        <v>0</v>
      </c>
      <c r="R1536" s="29">
        <v>0</v>
      </c>
      <c r="S1536" s="36">
        <v>0</v>
      </c>
      <c r="T1536" s="7" t="s">
        <v>131</v>
      </c>
      <c r="U1536" s="7" t="s">
        <v>959</v>
      </c>
      <c r="V1536" s="7" t="s">
        <v>959</v>
      </c>
      <c r="W1536" s="7" t="s">
        <v>1177</v>
      </c>
      <c r="X1536" s="30">
        <v>1</v>
      </c>
      <c r="Y1536" s="7" t="s">
        <v>1177</v>
      </c>
      <c r="Z1536" s="7" t="s">
        <v>1178</v>
      </c>
      <c r="AA1536" s="30">
        <v>0</v>
      </c>
      <c r="AB1536" s="36">
        <v>0</v>
      </c>
      <c r="AC1536" s="7" t="s">
        <v>1177</v>
      </c>
      <c r="AD1536" s="37">
        <v>0</v>
      </c>
      <c r="AE1536" s="7" t="s">
        <v>1177</v>
      </c>
      <c r="AF1536" s="7" t="s">
        <v>1177</v>
      </c>
      <c r="AG1536" s="7" t="s">
        <v>1177</v>
      </c>
      <c r="AH1536" s="38"/>
      <c r="AI1536" s="36">
        <v>0</v>
      </c>
      <c r="AJ1536" s="7" t="s">
        <v>1193</v>
      </c>
      <c r="AK1536" s="7" t="s">
        <v>1177</v>
      </c>
      <c r="AL1536" s="7" t="s">
        <v>1177</v>
      </c>
      <c r="AM1536" s="7" t="s">
        <v>1177</v>
      </c>
      <c r="AN1536" s="7" t="s">
        <v>3212</v>
      </c>
      <c r="AO1536" s="7" t="s">
        <v>1177</v>
      </c>
      <c r="AP1536" s="7" t="s">
        <v>1177</v>
      </c>
      <c r="AQ1536" s="7" t="s">
        <v>1177</v>
      </c>
      <c r="AR1536" s="29">
        <v>0</v>
      </c>
      <c r="AS1536" s="7" t="s">
        <v>1177</v>
      </c>
      <c r="AT1536" s="7" t="s">
        <v>1363</v>
      </c>
      <c r="AU1536" s="38">
        <v>46275</v>
      </c>
      <c r="AV1536" s="39">
        <v>0.62515046296295995</v>
      </c>
    </row>
    <row r="1537" spans="1:48" x14ac:dyDescent="0.35">
      <c r="A1537" t="str">
        <f t="shared" si="23"/>
        <v>GP408817B864</v>
      </c>
      <c r="B1537" s="7" t="s">
        <v>1029</v>
      </c>
      <c r="C1537" s="7" t="s">
        <v>1010</v>
      </c>
      <c r="D1537" s="7" t="s">
        <v>10</v>
      </c>
      <c r="E1537" s="7" t="s">
        <v>1177</v>
      </c>
      <c r="F1537" s="7" t="s">
        <v>128</v>
      </c>
      <c r="G1537" s="7" t="s">
        <v>130</v>
      </c>
      <c r="H1537" s="7" t="s">
        <v>129</v>
      </c>
      <c r="I1537" s="30">
        <v>1</v>
      </c>
      <c r="J1537" s="7" t="s">
        <v>1177</v>
      </c>
      <c r="K1537" s="7" t="s">
        <v>1178</v>
      </c>
      <c r="L1537" s="7" t="s">
        <v>132</v>
      </c>
      <c r="M1537" s="7" t="s">
        <v>133</v>
      </c>
      <c r="N1537" s="30">
        <v>0</v>
      </c>
      <c r="O1537" s="30">
        <v>0</v>
      </c>
      <c r="P1537" s="30">
        <v>0</v>
      </c>
      <c r="Q1537" s="30">
        <v>0</v>
      </c>
      <c r="R1537" s="29">
        <v>0</v>
      </c>
      <c r="S1537" s="36">
        <v>0</v>
      </c>
      <c r="T1537" s="7" t="s">
        <v>131</v>
      </c>
      <c r="U1537" s="7" t="s">
        <v>1011</v>
      </c>
      <c r="V1537" s="7" t="s">
        <v>1011</v>
      </c>
      <c r="W1537" s="7" t="s">
        <v>1177</v>
      </c>
      <c r="X1537" s="30">
        <v>1</v>
      </c>
      <c r="Y1537" s="7" t="s">
        <v>1177</v>
      </c>
      <c r="Z1537" s="7" t="s">
        <v>1178</v>
      </c>
      <c r="AA1537" s="30">
        <v>0</v>
      </c>
      <c r="AB1537" s="36">
        <v>0</v>
      </c>
      <c r="AC1537" s="7" t="s">
        <v>1177</v>
      </c>
      <c r="AD1537" s="37">
        <v>0</v>
      </c>
      <c r="AE1537" s="7" t="s">
        <v>1177</v>
      </c>
      <c r="AF1537" s="7" t="s">
        <v>1177</v>
      </c>
      <c r="AG1537" s="7" t="s">
        <v>1177</v>
      </c>
      <c r="AH1537" s="38"/>
      <c r="AI1537" s="36">
        <v>0</v>
      </c>
      <c r="AJ1537" s="7" t="s">
        <v>1193</v>
      </c>
      <c r="AK1537" s="7" t="s">
        <v>1177</v>
      </c>
      <c r="AL1537" s="7" t="s">
        <v>1177</v>
      </c>
      <c r="AM1537" s="7" t="s">
        <v>1177</v>
      </c>
      <c r="AN1537" s="7" t="s">
        <v>3212</v>
      </c>
      <c r="AO1537" s="7" t="s">
        <v>1177</v>
      </c>
      <c r="AP1537" s="7" t="s">
        <v>1177</v>
      </c>
      <c r="AQ1537" s="7" t="s">
        <v>1177</v>
      </c>
      <c r="AR1537" s="29">
        <v>0</v>
      </c>
      <c r="AS1537" s="7" t="s">
        <v>1177</v>
      </c>
      <c r="AT1537" s="7" t="s">
        <v>1363</v>
      </c>
      <c r="AU1537" s="38">
        <v>46275</v>
      </c>
      <c r="AV1537" s="39">
        <v>0.62630787037036995</v>
      </c>
    </row>
    <row r="1538" spans="1:48" x14ac:dyDescent="0.35">
      <c r="A1538" t="str">
        <f t="shared" si="23"/>
        <v>GP408817B865</v>
      </c>
      <c r="B1538" s="7" t="s">
        <v>1029</v>
      </c>
      <c r="C1538" s="7" t="s">
        <v>1039</v>
      </c>
      <c r="D1538" s="7" t="s">
        <v>7</v>
      </c>
      <c r="E1538" s="7" t="s">
        <v>1177</v>
      </c>
      <c r="F1538" s="7" t="s">
        <v>128</v>
      </c>
      <c r="G1538" s="7" t="s">
        <v>130</v>
      </c>
      <c r="H1538" s="7" t="s">
        <v>129</v>
      </c>
      <c r="I1538" s="30">
        <v>1</v>
      </c>
      <c r="J1538" s="7" t="s">
        <v>1177</v>
      </c>
      <c r="K1538" s="7" t="s">
        <v>1178</v>
      </c>
      <c r="L1538" s="7" t="s">
        <v>132</v>
      </c>
      <c r="M1538" s="7" t="s">
        <v>133</v>
      </c>
      <c r="N1538" s="30">
        <v>0</v>
      </c>
      <c r="O1538" s="30">
        <v>0</v>
      </c>
      <c r="P1538" s="30">
        <v>0</v>
      </c>
      <c r="Q1538" s="30">
        <v>0</v>
      </c>
      <c r="R1538" s="29">
        <v>0</v>
      </c>
      <c r="S1538" s="36">
        <v>0</v>
      </c>
      <c r="T1538" s="7" t="s">
        <v>131</v>
      </c>
      <c r="U1538" s="7" t="s">
        <v>1040</v>
      </c>
      <c r="V1538" s="7" t="s">
        <v>1040</v>
      </c>
      <c r="W1538" s="7" t="s">
        <v>1177</v>
      </c>
      <c r="X1538" s="30">
        <v>1</v>
      </c>
      <c r="Y1538" s="7" t="s">
        <v>1177</v>
      </c>
      <c r="Z1538" s="7" t="s">
        <v>1178</v>
      </c>
      <c r="AA1538" s="30">
        <v>0</v>
      </c>
      <c r="AB1538" s="36">
        <v>0</v>
      </c>
      <c r="AC1538" s="7" t="s">
        <v>1177</v>
      </c>
      <c r="AD1538" s="37">
        <v>0</v>
      </c>
      <c r="AE1538" s="7" t="s">
        <v>1177</v>
      </c>
      <c r="AF1538" s="7" t="s">
        <v>1177</v>
      </c>
      <c r="AG1538" s="7" t="s">
        <v>1177</v>
      </c>
      <c r="AH1538" s="38"/>
      <c r="AI1538" s="36">
        <v>0</v>
      </c>
      <c r="AJ1538" s="7" t="s">
        <v>1193</v>
      </c>
      <c r="AK1538" s="7" t="s">
        <v>1177</v>
      </c>
      <c r="AL1538" s="7" t="s">
        <v>1177</v>
      </c>
      <c r="AM1538" s="7" t="s">
        <v>1177</v>
      </c>
      <c r="AN1538" s="7" t="s">
        <v>3212</v>
      </c>
      <c r="AO1538" s="7" t="s">
        <v>1177</v>
      </c>
      <c r="AP1538" s="7" t="s">
        <v>1177</v>
      </c>
      <c r="AQ1538" s="7" t="s">
        <v>1177</v>
      </c>
      <c r="AR1538" s="29">
        <v>0</v>
      </c>
      <c r="AS1538" s="7" t="s">
        <v>1177</v>
      </c>
      <c r="AT1538" s="7" t="s">
        <v>1363</v>
      </c>
      <c r="AU1538" s="38">
        <v>46275</v>
      </c>
      <c r="AV1538" s="39">
        <v>0.62673611111111005</v>
      </c>
    </row>
    <row r="1539" spans="1:48" x14ac:dyDescent="0.35">
      <c r="A1539" t="str">
        <f t="shared" ref="A1539:A1602" si="24">_xlfn.CONCAT(B1539,D1539)</f>
        <v>GP408818B856</v>
      </c>
      <c r="B1539" s="7" t="s">
        <v>923</v>
      </c>
      <c r="C1539" s="7" t="s">
        <v>852</v>
      </c>
      <c r="D1539" s="7" t="s">
        <v>21</v>
      </c>
      <c r="E1539" s="7" t="s">
        <v>1177</v>
      </c>
      <c r="F1539" s="7" t="s">
        <v>128</v>
      </c>
      <c r="G1539" s="7" t="s">
        <v>130</v>
      </c>
      <c r="H1539" s="7" t="s">
        <v>129</v>
      </c>
      <c r="I1539" s="30">
        <v>1</v>
      </c>
      <c r="J1539" s="7" t="s">
        <v>1177</v>
      </c>
      <c r="K1539" s="7" t="s">
        <v>1178</v>
      </c>
      <c r="L1539" s="7" t="s">
        <v>132</v>
      </c>
      <c r="M1539" s="7" t="s">
        <v>133</v>
      </c>
      <c r="N1539" s="30">
        <v>0</v>
      </c>
      <c r="O1539" s="30">
        <v>0</v>
      </c>
      <c r="P1539" s="30">
        <v>0</v>
      </c>
      <c r="Q1539" s="30">
        <v>0</v>
      </c>
      <c r="R1539" s="29">
        <v>0</v>
      </c>
      <c r="S1539" s="36">
        <v>0</v>
      </c>
      <c r="T1539" s="7" t="s">
        <v>131</v>
      </c>
      <c r="U1539" s="7" t="s">
        <v>853</v>
      </c>
      <c r="V1539" s="7" t="s">
        <v>853</v>
      </c>
      <c r="W1539" s="7" t="s">
        <v>1177</v>
      </c>
      <c r="X1539" s="30">
        <v>1</v>
      </c>
      <c r="Y1539" s="7" t="s">
        <v>1177</v>
      </c>
      <c r="Z1539" s="7" t="s">
        <v>1178</v>
      </c>
      <c r="AA1539" s="30">
        <v>0</v>
      </c>
      <c r="AB1539" s="36">
        <v>0</v>
      </c>
      <c r="AC1539" s="7" t="s">
        <v>1177</v>
      </c>
      <c r="AD1539" s="37">
        <v>0</v>
      </c>
      <c r="AE1539" s="7" t="s">
        <v>1177</v>
      </c>
      <c r="AF1539" s="7" t="s">
        <v>1177</v>
      </c>
      <c r="AG1539" s="7" t="s">
        <v>1177</v>
      </c>
      <c r="AH1539" s="38"/>
      <c r="AI1539" s="36">
        <v>0</v>
      </c>
      <c r="AJ1539" s="7" t="s">
        <v>1193</v>
      </c>
      <c r="AK1539" s="7" t="s">
        <v>1177</v>
      </c>
      <c r="AL1539" s="7" t="s">
        <v>1177</v>
      </c>
      <c r="AM1539" s="7" t="s">
        <v>1177</v>
      </c>
      <c r="AN1539" s="7" t="s">
        <v>3212</v>
      </c>
      <c r="AO1539" s="7" t="s">
        <v>1177</v>
      </c>
      <c r="AP1539" s="7" t="s">
        <v>1177</v>
      </c>
      <c r="AQ1539" s="7" t="s">
        <v>1177</v>
      </c>
      <c r="AR1539" s="29">
        <v>0</v>
      </c>
      <c r="AS1539" s="7" t="s">
        <v>1177</v>
      </c>
      <c r="AT1539" s="7" t="s">
        <v>1363</v>
      </c>
      <c r="AU1539" s="38">
        <v>46275</v>
      </c>
      <c r="AV1539" s="39">
        <v>0.62490740740741002</v>
      </c>
    </row>
    <row r="1540" spans="1:48" x14ac:dyDescent="0.35">
      <c r="A1540" t="str">
        <f t="shared" si="24"/>
        <v>GP410260B856</v>
      </c>
      <c r="B1540" s="7" t="s">
        <v>924</v>
      </c>
      <c r="C1540" s="7" t="s">
        <v>852</v>
      </c>
      <c r="D1540" s="7" t="s">
        <v>21</v>
      </c>
      <c r="E1540" s="7" t="s">
        <v>1177</v>
      </c>
      <c r="F1540" s="7" t="s">
        <v>128</v>
      </c>
      <c r="G1540" s="7" t="s">
        <v>130</v>
      </c>
      <c r="H1540" s="7" t="s">
        <v>129</v>
      </c>
      <c r="I1540" s="30">
        <v>1</v>
      </c>
      <c r="J1540" s="7" t="s">
        <v>1177</v>
      </c>
      <c r="K1540" s="7" t="s">
        <v>1178</v>
      </c>
      <c r="L1540" s="7" t="s">
        <v>132</v>
      </c>
      <c r="M1540" s="7" t="s">
        <v>133</v>
      </c>
      <c r="N1540" s="30">
        <v>0</v>
      </c>
      <c r="O1540" s="30">
        <v>0</v>
      </c>
      <c r="P1540" s="30">
        <v>0</v>
      </c>
      <c r="Q1540" s="30">
        <v>0</v>
      </c>
      <c r="R1540" s="29">
        <v>0</v>
      </c>
      <c r="S1540" s="36">
        <v>0</v>
      </c>
      <c r="T1540" s="7" t="s">
        <v>131</v>
      </c>
      <c r="U1540" s="7" t="s">
        <v>853</v>
      </c>
      <c r="V1540" s="7" t="s">
        <v>853</v>
      </c>
      <c r="W1540" s="7" t="s">
        <v>1177</v>
      </c>
      <c r="X1540" s="30">
        <v>1</v>
      </c>
      <c r="Y1540" s="7" t="s">
        <v>1177</v>
      </c>
      <c r="Z1540" s="7" t="s">
        <v>1178</v>
      </c>
      <c r="AA1540" s="30">
        <v>0</v>
      </c>
      <c r="AB1540" s="36">
        <v>0</v>
      </c>
      <c r="AC1540" s="7" t="s">
        <v>1177</v>
      </c>
      <c r="AD1540" s="37">
        <v>0</v>
      </c>
      <c r="AE1540" s="7" t="s">
        <v>1177</v>
      </c>
      <c r="AF1540" s="7" t="s">
        <v>1177</v>
      </c>
      <c r="AG1540" s="7" t="s">
        <v>1177</v>
      </c>
      <c r="AH1540" s="38"/>
      <c r="AI1540" s="36">
        <v>0</v>
      </c>
      <c r="AJ1540" s="7" t="s">
        <v>1193</v>
      </c>
      <c r="AK1540" s="7" t="s">
        <v>1177</v>
      </c>
      <c r="AL1540" s="7" t="s">
        <v>1177</v>
      </c>
      <c r="AM1540" s="7" t="s">
        <v>1177</v>
      </c>
      <c r="AN1540" s="7" t="s">
        <v>3212</v>
      </c>
      <c r="AO1540" s="7" t="s">
        <v>1177</v>
      </c>
      <c r="AP1540" s="7" t="s">
        <v>1177</v>
      </c>
      <c r="AQ1540" s="7" t="s">
        <v>1177</v>
      </c>
      <c r="AR1540" s="29">
        <v>0</v>
      </c>
      <c r="AS1540" s="7" t="s">
        <v>1177</v>
      </c>
      <c r="AT1540" s="7" t="s">
        <v>1363</v>
      </c>
      <c r="AU1540" s="38">
        <v>46275</v>
      </c>
      <c r="AV1540" s="39">
        <v>0.62490740740741002</v>
      </c>
    </row>
    <row r="1541" spans="1:48" x14ac:dyDescent="0.35">
      <c r="A1541" t="str">
        <f t="shared" si="24"/>
        <v>GP410278B856</v>
      </c>
      <c r="B1541" s="7" t="s">
        <v>827</v>
      </c>
      <c r="C1541" s="7" t="s">
        <v>852</v>
      </c>
      <c r="D1541" s="7" t="s">
        <v>21</v>
      </c>
      <c r="E1541" s="7" t="s">
        <v>1177</v>
      </c>
      <c r="F1541" s="7" t="s">
        <v>128</v>
      </c>
      <c r="G1541" s="7" t="s">
        <v>130</v>
      </c>
      <c r="H1541" s="7" t="s">
        <v>129</v>
      </c>
      <c r="I1541" s="30">
        <v>2</v>
      </c>
      <c r="J1541" s="7" t="s">
        <v>1177</v>
      </c>
      <c r="K1541" s="7" t="s">
        <v>1178</v>
      </c>
      <c r="L1541" s="7" t="s">
        <v>132</v>
      </c>
      <c r="M1541" s="7" t="s">
        <v>133</v>
      </c>
      <c r="N1541" s="30">
        <v>0</v>
      </c>
      <c r="O1541" s="30">
        <v>0</v>
      </c>
      <c r="P1541" s="30">
        <v>0</v>
      </c>
      <c r="Q1541" s="30">
        <v>0</v>
      </c>
      <c r="R1541" s="29">
        <v>0</v>
      </c>
      <c r="S1541" s="36">
        <v>0</v>
      </c>
      <c r="T1541" s="7" t="s">
        <v>131</v>
      </c>
      <c r="U1541" s="7" t="s">
        <v>853</v>
      </c>
      <c r="V1541" s="7" t="s">
        <v>853</v>
      </c>
      <c r="W1541" s="7" t="s">
        <v>1177</v>
      </c>
      <c r="X1541" s="30">
        <v>1</v>
      </c>
      <c r="Y1541" s="7" t="s">
        <v>1177</v>
      </c>
      <c r="Z1541" s="7" t="s">
        <v>1178</v>
      </c>
      <c r="AA1541" s="30">
        <v>0</v>
      </c>
      <c r="AB1541" s="36">
        <v>0</v>
      </c>
      <c r="AC1541" s="7" t="s">
        <v>1177</v>
      </c>
      <c r="AD1541" s="37">
        <v>0</v>
      </c>
      <c r="AE1541" s="7" t="s">
        <v>1177</v>
      </c>
      <c r="AF1541" s="7" t="s">
        <v>1177</v>
      </c>
      <c r="AG1541" s="7" t="s">
        <v>1177</v>
      </c>
      <c r="AH1541" s="38"/>
      <c r="AI1541" s="36">
        <v>0</v>
      </c>
      <c r="AJ1541" s="7" t="s">
        <v>1193</v>
      </c>
      <c r="AK1541" s="7" t="s">
        <v>1177</v>
      </c>
      <c r="AL1541" s="7" t="s">
        <v>1177</v>
      </c>
      <c r="AM1541" s="7" t="s">
        <v>1177</v>
      </c>
      <c r="AN1541" s="7" t="s">
        <v>3212</v>
      </c>
      <c r="AO1541" s="7" t="s">
        <v>1177</v>
      </c>
      <c r="AP1541" s="7" t="s">
        <v>1177</v>
      </c>
      <c r="AQ1541" s="7" t="s">
        <v>1177</v>
      </c>
      <c r="AR1541" s="29">
        <v>0</v>
      </c>
      <c r="AS1541" s="7" t="s">
        <v>1177</v>
      </c>
      <c r="AT1541" s="7" t="s">
        <v>1363</v>
      </c>
      <c r="AU1541" s="38">
        <v>46275</v>
      </c>
      <c r="AV1541" s="39">
        <v>0.62486111111110998</v>
      </c>
    </row>
    <row r="1542" spans="1:48" x14ac:dyDescent="0.35">
      <c r="A1542" t="str">
        <f t="shared" si="24"/>
        <v>GP410278B857</v>
      </c>
      <c r="B1542" s="7" t="s">
        <v>827</v>
      </c>
      <c r="C1542" s="7" t="s">
        <v>958</v>
      </c>
      <c r="D1542" s="7" t="s">
        <v>23</v>
      </c>
      <c r="E1542" s="7" t="s">
        <v>1177</v>
      </c>
      <c r="F1542" s="7" t="s">
        <v>128</v>
      </c>
      <c r="G1542" s="7" t="s">
        <v>130</v>
      </c>
      <c r="H1542" s="7" t="s">
        <v>129</v>
      </c>
      <c r="I1542" s="30">
        <v>2</v>
      </c>
      <c r="J1542" s="7" t="s">
        <v>1177</v>
      </c>
      <c r="K1542" s="7" t="s">
        <v>1178</v>
      </c>
      <c r="L1542" s="7" t="s">
        <v>132</v>
      </c>
      <c r="M1542" s="7" t="s">
        <v>133</v>
      </c>
      <c r="N1542" s="30">
        <v>0</v>
      </c>
      <c r="O1542" s="30">
        <v>0</v>
      </c>
      <c r="P1542" s="30">
        <v>0</v>
      </c>
      <c r="Q1542" s="30">
        <v>0</v>
      </c>
      <c r="R1542" s="29">
        <v>0</v>
      </c>
      <c r="S1542" s="36">
        <v>0</v>
      </c>
      <c r="T1542" s="7" t="s">
        <v>131</v>
      </c>
      <c r="U1542" s="7" t="s">
        <v>959</v>
      </c>
      <c r="V1542" s="7" t="s">
        <v>959</v>
      </c>
      <c r="W1542" s="7" t="s">
        <v>1177</v>
      </c>
      <c r="X1542" s="30">
        <v>1</v>
      </c>
      <c r="Y1542" s="7" t="s">
        <v>1177</v>
      </c>
      <c r="Z1542" s="7" t="s">
        <v>1178</v>
      </c>
      <c r="AA1542" s="30">
        <v>0</v>
      </c>
      <c r="AB1542" s="36">
        <v>0</v>
      </c>
      <c r="AC1542" s="7" t="s">
        <v>1177</v>
      </c>
      <c r="AD1542" s="37">
        <v>0</v>
      </c>
      <c r="AE1542" s="7" t="s">
        <v>1177</v>
      </c>
      <c r="AF1542" s="7" t="s">
        <v>1177</v>
      </c>
      <c r="AG1542" s="7" t="s">
        <v>1177</v>
      </c>
      <c r="AH1542" s="38"/>
      <c r="AI1542" s="36">
        <v>0</v>
      </c>
      <c r="AJ1542" s="7" t="s">
        <v>1193</v>
      </c>
      <c r="AK1542" s="7" t="s">
        <v>1177</v>
      </c>
      <c r="AL1542" s="7" t="s">
        <v>1177</v>
      </c>
      <c r="AM1542" s="7" t="s">
        <v>1177</v>
      </c>
      <c r="AN1542" s="7" t="s">
        <v>3212</v>
      </c>
      <c r="AO1542" s="7" t="s">
        <v>1177</v>
      </c>
      <c r="AP1542" s="7" t="s">
        <v>1177</v>
      </c>
      <c r="AQ1542" s="7" t="s">
        <v>1177</v>
      </c>
      <c r="AR1542" s="29">
        <v>0</v>
      </c>
      <c r="AS1542" s="7" t="s">
        <v>1177</v>
      </c>
      <c r="AT1542" s="7" t="s">
        <v>1363</v>
      </c>
      <c r="AU1542" s="38">
        <v>46275</v>
      </c>
      <c r="AV1542" s="39">
        <v>0.62515046296295995</v>
      </c>
    </row>
    <row r="1543" spans="1:48" x14ac:dyDescent="0.35">
      <c r="A1543" t="str">
        <f t="shared" si="24"/>
        <v>GP410278B864</v>
      </c>
      <c r="B1543" s="7" t="s">
        <v>827</v>
      </c>
      <c r="C1543" s="7" t="s">
        <v>1010</v>
      </c>
      <c r="D1543" s="7" t="s">
        <v>10</v>
      </c>
      <c r="E1543" s="7" t="s">
        <v>1177</v>
      </c>
      <c r="F1543" s="7" t="s">
        <v>128</v>
      </c>
      <c r="G1543" s="7" t="s">
        <v>130</v>
      </c>
      <c r="H1543" s="7" t="s">
        <v>129</v>
      </c>
      <c r="I1543" s="30">
        <v>2</v>
      </c>
      <c r="J1543" s="7" t="s">
        <v>1177</v>
      </c>
      <c r="K1543" s="7" t="s">
        <v>1178</v>
      </c>
      <c r="L1543" s="7" t="s">
        <v>132</v>
      </c>
      <c r="M1543" s="7" t="s">
        <v>133</v>
      </c>
      <c r="N1543" s="30">
        <v>0</v>
      </c>
      <c r="O1543" s="30">
        <v>0</v>
      </c>
      <c r="P1543" s="30">
        <v>0</v>
      </c>
      <c r="Q1543" s="30">
        <v>0</v>
      </c>
      <c r="R1543" s="29">
        <v>0</v>
      </c>
      <c r="S1543" s="36">
        <v>0</v>
      </c>
      <c r="T1543" s="7" t="s">
        <v>131</v>
      </c>
      <c r="U1543" s="7" t="s">
        <v>1011</v>
      </c>
      <c r="V1543" s="7" t="s">
        <v>1011</v>
      </c>
      <c r="W1543" s="7" t="s">
        <v>1177</v>
      </c>
      <c r="X1543" s="30">
        <v>1</v>
      </c>
      <c r="Y1543" s="7" t="s">
        <v>1177</v>
      </c>
      <c r="Z1543" s="7" t="s">
        <v>1178</v>
      </c>
      <c r="AA1543" s="30">
        <v>0</v>
      </c>
      <c r="AB1543" s="36">
        <v>0</v>
      </c>
      <c r="AC1543" s="7" t="s">
        <v>1177</v>
      </c>
      <c r="AD1543" s="37">
        <v>0</v>
      </c>
      <c r="AE1543" s="7" t="s">
        <v>1177</v>
      </c>
      <c r="AF1543" s="7" t="s">
        <v>1177</v>
      </c>
      <c r="AG1543" s="7" t="s">
        <v>1177</v>
      </c>
      <c r="AH1543" s="38"/>
      <c r="AI1543" s="36">
        <v>0</v>
      </c>
      <c r="AJ1543" s="7" t="s">
        <v>1193</v>
      </c>
      <c r="AK1543" s="7" t="s">
        <v>1177</v>
      </c>
      <c r="AL1543" s="7" t="s">
        <v>1177</v>
      </c>
      <c r="AM1543" s="7" t="s">
        <v>1177</v>
      </c>
      <c r="AN1543" s="7" t="s">
        <v>3212</v>
      </c>
      <c r="AO1543" s="7" t="s">
        <v>1177</v>
      </c>
      <c r="AP1543" s="7" t="s">
        <v>1177</v>
      </c>
      <c r="AQ1543" s="7" t="s">
        <v>1177</v>
      </c>
      <c r="AR1543" s="29">
        <v>0</v>
      </c>
      <c r="AS1543" s="7" t="s">
        <v>1177</v>
      </c>
      <c r="AT1543" s="7" t="s">
        <v>1363</v>
      </c>
      <c r="AU1543" s="38">
        <v>46275</v>
      </c>
      <c r="AV1543" s="39">
        <v>0.62630787037036995</v>
      </c>
    </row>
    <row r="1544" spans="1:48" x14ac:dyDescent="0.35">
      <c r="A1544" t="str">
        <f t="shared" si="24"/>
        <v>GP410278B865</v>
      </c>
      <c r="B1544" s="7" t="s">
        <v>827</v>
      </c>
      <c r="C1544" s="7" t="s">
        <v>1039</v>
      </c>
      <c r="D1544" s="7" t="s">
        <v>7</v>
      </c>
      <c r="E1544" s="7" t="s">
        <v>1177</v>
      </c>
      <c r="F1544" s="7" t="s">
        <v>128</v>
      </c>
      <c r="G1544" s="7" t="s">
        <v>130</v>
      </c>
      <c r="H1544" s="7" t="s">
        <v>129</v>
      </c>
      <c r="I1544" s="30">
        <v>2</v>
      </c>
      <c r="J1544" s="7" t="s">
        <v>1177</v>
      </c>
      <c r="K1544" s="7" t="s">
        <v>1178</v>
      </c>
      <c r="L1544" s="7" t="s">
        <v>132</v>
      </c>
      <c r="M1544" s="7" t="s">
        <v>133</v>
      </c>
      <c r="N1544" s="30">
        <v>0</v>
      </c>
      <c r="O1544" s="30">
        <v>0</v>
      </c>
      <c r="P1544" s="30">
        <v>0</v>
      </c>
      <c r="Q1544" s="30">
        <v>0</v>
      </c>
      <c r="R1544" s="29">
        <v>0</v>
      </c>
      <c r="S1544" s="36">
        <v>0</v>
      </c>
      <c r="T1544" s="7" t="s">
        <v>131</v>
      </c>
      <c r="U1544" s="7" t="s">
        <v>1040</v>
      </c>
      <c r="V1544" s="7" t="s">
        <v>1040</v>
      </c>
      <c r="W1544" s="7" t="s">
        <v>1177</v>
      </c>
      <c r="X1544" s="30">
        <v>1</v>
      </c>
      <c r="Y1544" s="7" t="s">
        <v>1177</v>
      </c>
      <c r="Z1544" s="7" t="s">
        <v>1178</v>
      </c>
      <c r="AA1544" s="30">
        <v>0</v>
      </c>
      <c r="AB1544" s="36">
        <v>0</v>
      </c>
      <c r="AC1544" s="7" t="s">
        <v>1177</v>
      </c>
      <c r="AD1544" s="37">
        <v>0</v>
      </c>
      <c r="AE1544" s="7" t="s">
        <v>1177</v>
      </c>
      <c r="AF1544" s="7" t="s">
        <v>1177</v>
      </c>
      <c r="AG1544" s="7" t="s">
        <v>1177</v>
      </c>
      <c r="AH1544" s="38"/>
      <c r="AI1544" s="36">
        <v>0</v>
      </c>
      <c r="AJ1544" s="7" t="s">
        <v>1193</v>
      </c>
      <c r="AK1544" s="7" t="s">
        <v>1177</v>
      </c>
      <c r="AL1544" s="7" t="s">
        <v>1177</v>
      </c>
      <c r="AM1544" s="7" t="s">
        <v>1177</v>
      </c>
      <c r="AN1544" s="7" t="s">
        <v>3212</v>
      </c>
      <c r="AO1544" s="7" t="s">
        <v>1177</v>
      </c>
      <c r="AP1544" s="7" t="s">
        <v>1177</v>
      </c>
      <c r="AQ1544" s="7" t="s">
        <v>1177</v>
      </c>
      <c r="AR1544" s="29">
        <v>0</v>
      </c>
      <c r="AS1544" s="7" t="s">
        <v>1177</v>
      </c>
      <c r="AT1544" s="7" t="s">
        <v>1363</v>
      </c>
      <c r="AU1544" s="38">
        <v>46275</v>
      </c>
      <c r="AV1544" s="39">
        <v>0.62673611111111005</v>
      </c>
    </row>
    <row r="1545" spans="1:48" x14ac:dyDescent="0.35">
      <c r="A1545" t="str">
        <f t="shared" si="24"/>
        <v>GP410278B867</v>
      </c>
      <c r="B1545" s="7" t="s">
        <v>827</v>
      </c>
      <c r="C1545" s="7" t="s">
        <v>1059</v>
      </c>
      <c r="D1545" s="7" t="s">
        <v>25</v>
      </c>
      <c r="E1545" s="7" t="s">
        <v>1177</v>
      </c>
      <c r="F1545" s="7" t="s">
        <v>128</v>
      </c>
      <c r="G1545" s="7" t="s">
        <v>130</v>
      </c>
      <c r="H1545" s="7" t="s">
        <v>129</v>
      </c>
      <c r="I1545" s="30">
        <v>2</v>
      </c>
      <c r="J1545" s="7" t="s">
        <v>1177</v>
      </c>
      <c r="K1545" s="7" t="s">
        <v>1178</v>
      </c>
      <c r="L1545" s="7" t="s">
        <v>132</v>
      </c>
      <c r="M1545" s="7" t="s">
        <v>133</v>
      </c>
      <c r="N1545" s="30">
        <v>0</v>
      </c>
      <c r="O1545" s="30">
        <v>0</v>
      </c>
      <c r="P1545" s="30">
        <v>0</v>
      </c>
      <c r="Q1545" s="30">
        <v>0</v>
      </c>
      <c r="R1545" s="29">
        <v>0</v>
      </c>
      <c r="S1545" s="36">
        <v>0</v>
      </c>
      <c r="T1545" s="7" t="s">
        <v>131</v>
      </c>
      <c r="U1545" s="7" t="s">
        <v>1060</v>
      </c>
      <c r="V1545" s="7" t="s">
        <v>1060</v>
      </c>
      <c r="W1545" s="7" t="s">
        <v>1177</v>
      </c>
      <c r="X1545" s="30">
        <v>1</v>
      </c>
      <c r="Y1545" s="7" t="s">
        <v>1177</v>
      </c>
      <c r="Z1545" s="7" t="s">
        <v>1178</v>
      </c>
      <c r="AA1545" s="30">
        <v>0</v>
      </c>
      <c r="AB1545" s="36">
        <v>0</v>
      </c>
      <c r="AC1545" s="7" t="s">
        <v>1177</v>
      </c>
      <c r="AD1545" s="37">
        <v>0</v>
      </c>
      <c r="AE1545" s="7" t="s">
        <v>1177</v>
      </c>
      <c r="AF1545" s="7" t="s">
        <v>1177</v>
      </c>
      <c r="AG1545" s="7" t="s">
        <v>1177</v>
      </c>
      <c r="AH1545" s="38"/>
      <c r="AI1545" s="36">
        <v>0</v>
      </c>
      <c r="AJ1545" s="7" t="s">
        <v>1193</v>
      </c>
      <c r="AK1545" s="7" t="s">
        <v>1177</v>
      </c>
      <c r="AL1545" s="7" t="s">
        <v>1177</v>
      </c>
      <c r="AM1545" s="7" t="s">
        <v>1177</v>
      </c>
      <c r="AN1545" s="7" t="s">
        <v>3212</v>
      </c>
      <c r="AO1545" s="7" t="s">
        <v>1177</v>
      </c>
      <c r="AP1545" s="7" t="s">
        <v>1177</v>
      </c>
      <c r="AQ1545" s="7" t="s">
        <v>1177</v>
      </c>
      <c r="AR1545" s="29">
        <v>0</v>
      </c>
      <c r="AS1545" s="7" t="s">
        <v>1177</v>
      </c>
      <c r="AT1545" s="7" t="s">
        <v>1363</v>
      </c>
      <c r="AU1545" s="38">
        <v>46275</v>
      </c>
      <c r="AV1545" s="39">
        <v>0.62715277777778</v>
      </c>
    </row>
    <row r="1546" spans="1:48" x14ac:dyDescent="0.35">
      <c r="A1546" t="str">
        <f t="shared" si="24"/>
        <v>GP410280B864</v>
      </c>
      <c r="B1546" s="7" t="s">
        <v>829</v>
      </c>
      <c r="C1546" s="7" t="s">
        <v>1010</v>
      </c>
      <c r="D1546" s="7" t="s">
        <v>10</v>
      </c>
      <c r="E1546" s="7" t="s">
        <v>1177</v>
      </c>
      <c r="F1546" s="7" t="s">
        <v>128</v>
      </c>
      <c r="G1546" s="7" t="s">
        <v>130</v>
      </c>
      <c r="H1546" s="7" t="s">
        <v>129</v>
      </c>
      <c r="I1546" s="30">
        <v>45</v>
      </c>
      <c r="J1546" s="7" t="s">
        <v>1177</v>
      </c>
      <c r="K1546" s="7" t="s">
        <v>1178</v>
      </c>
      <c r="L1546" s="7" t="s">
        <v>132</v>
      </c>
      <c r="M1546" s="7" t="s">
        <v>133</v>
      </c>
      <c r="N1546" s="30">
        <v>0</v>
      </c>
      <c r="O1546" s="30">
        <v>0</v>
      </c>
      <c r="P1546" s="30">
        <v>0</v>
      </c>
      <c r="Q1546" s="30">
        <v>0</v>
      </c>
      <c r="R1546" s="29">
        <v>0</v>
      </c>
      <c r="S1546" s="36">
        <v>0</v>
      </c>
      <c r="T1546" s="7" t="s">
        <v>131</v>
      </c>
      <c r="U1546" s="7" t="s">
        <v>1011</v>
      </c>
      <c r="V1546" s="7" t="s">
        <v>1011</v>
      </c>
      <c r="W1546" s="7" t="s">
        <v>1177</v>
      </c>
      <c r="X1546" s="30">
        <v>11</v>
      </c>
      <c r="Y1546" s="7" t="s">
        <v>1177</v>
      </c>
      <c r="Z1546" s="7" t="s">
        <v>1178</v>
      </c>
      <c r="AA1546" s="30">
        <v>0</v>
      </c>
      <c r="AB1546" s="36">
        <v>0</v>
      </c>
      <c r="AC1546" s="7" t="s">
        <v>1177</v>
      </c>
      <c r="AD1546" s="37">
        <v>0</v>
      </c>
      <c r="AE1546" s="7" t="s">
        <v>1177</v>
      </c>
      <c r="AF1546" s="7" t="s">
        <v>1177</v>
      </c>
      <c r="AG1546" s="7" t="s">
        <v>1177</v>
      </c>
      <c r="AH1546" s="38"/>
      <c r="AI1546" s="36">
        <v>0</v>
      </c>
      <c r="AJ1546" s="7" t="s">
        <v>1193</v>
      </c>
      <c r="AK1546" s="7" t="s">
        <v>1177</v>
      </c>
      <c r="AL1546" s="7" t="s">
        <v>1177</v>
      </c>
      <c r="AM1546" s="7" t="s">
        <v>1177</v>
      </c>
      <c r="AN1546" s="7" t="s">
        <v>3212</v>
      </c>
      <c r="AO1546" s="7" t="s">
        <v>1177</v>
      </c>
      <c r="AP1546" s="7" t="s">
        <v>1177</v>
      </c>
      <c r="AQ1546" s="7" t="s">
        <v>1177</v>
      </c>
      <c r="AR1546" s="29">
        <v>0</v>
      </c>
      <c r="AS1546" s="7" t="s">
        <v>1177</v>
      </c>
      <c r="AT1546" s="7" t="s">
        <v>1363</v>
      </c>
      <c r="AU1546" s="38">
        <v>46275</v>
      </c>
      <c r="AV1546" s="39">
        <v>0.62631944444443999</v>
      </c>
    </row>
    <row r="1547" spans="1:48" x14ac:dyDescent="0.35">
      <c r="A1547" t="str">
        <f t="shared" si="24"/>
        <v>GP410280B865</v>
      </c>
      <c r="B1547" s="7" t="s">
        <v>829</v>
      </c>
      <c r="C1547" s="7" t="s">
        <v>1039</v>
      </c>
      <c r="D1547" s="7" t="s">
        <v>7</v>
      </c>
      <c r="E1547" s="7" t="s">
        <v>1177</v>
      </c>
      <c r="F1547" s="7" t="s">
        <v>128</v>
      </c>
      <c r="G1547" s="7" t="s">
        <v>130</v>
      </c>
      <c r="H1547" s="7" t="s">
        <v>129</v>
      </c>
      <c r="I1547" s="30">
        <v>45</v>
      </c>
      <c r="J1547" s="7" t="s">
        <v>1177</v>
      </c>
      <c r="K1547" s="7" t="s">
        <v>1178</v>
      </c>
      <c r="L1547" s="7" t="s">
        <v>132</v>
      </c>
      <c r="M1547" s="7" t="s">
        <v>133</v>
      </c>
      <c r="N1547" s="30">
        <v>0</v>
      </c>
      <c r="O1547" s="30">
        <v>0</v>
      </c>
      <c r="P1547" s="30">
        <v>0</v>
      </c>
      <c r="Q1547" s="30">
        <v>0</v>
      </c>
      <c r="R1547" s="29">
        <v>0</v>
      </c>
      <c r="S1547" s="36">
        <v>0</v>
      </c>
      <c r="T1547" s="7" t="s">
        <v>131</v>
      </c>
      <c r="U1547" s="7" t="s">
        <v>1040</v>
      </c>
      <c r="V1547" s="7" t="s">
        <v>1040</v>
      </c>
      <c r="W1547" s="7" t="s">
        <v>1177</v>
      </c>
      <c r="X1547" s="30">
        <v>11</v>
      </c>
      <c r="Y1547" s="7" t="s">
        <v>1177</v>
      </c>
      <c r="Z1547" s="7" t="s">
        <v>1178</v>
      </c>
      <c r="AA1547" s="30">
        <v>0</v>
      </c>
      <c r="AB1547" s="36">
        <v>0</v>
      </c>
      <c r="AC1547" s="7" t="s">
        <v>1177</v>
      </c>
      <c r="AD1547" s="37">
        <v>0</v>
      </c>
      <c r="AE1547" s="7" t="s">
        <v>1177</v>
      </c>
      <c r="AF1547" s="7" t="s">
        <v>1177</v>
      </c>
      <c r="AG1547" s="7" t="s">
        <v>1177</v>
      </c>
      <c r="AH1547" s="38"/>
      <c r="AI1547" s="36">
        <v>0</v>
      </c>
      <c r="AJ1547" s="7" t="s">
        <v>1193</v>
      </c>
      <c r="AK1547" s="7" t="s">
        <v>1177</v>
      </c>
      <c r="AL1547" s="7" t="s">
        <v>1177</v>
      </c>
      <c r="AM1547" s="7" t="s">
        <v>1177</v>
      </c>
      <c r="AN1547" s="7" t="s">
        <v>3212</v>
      </c>
      <c r="AO1547" s="7" t="s">
        <v>1177</v>
      </c>
      <c r="AP1547" s="7" t="s">
        <v>1177</v>
      </c>
      <c r="AQ1547" s="7" t="s">
        <v>1177</v>
      </c>
      <c r="AR1547" s="29">
        <v>0</v>
      </c>
      <c r="AS1547" s="7" t="s">
        <v>1177</v>
      </c>
      <c r="AT1547" s="7" t="s">
        <v>1363</v>
      </c>
      <c r="AU1547" s="38">
        <v>46275</v>
      </c>
      <c r="AV1547" s="39">
        <v>0.62673611111111005</v>
      </c>
    </row>
    <row r="1548" spans="1:48" x14ac:dyDescent="0.35">
      <c r="A1548" t="str">
        <f t="shared" si="24"/>
        <v>GP410281B864</v>
      </c>
      <c r="B1548" s="7" t="s">
        <v>97</v>
      </c>
      <c r="C1548" s="7" t="s">
        <v>1010</v>
      </c>
      <c r="D1548" s="7" t="s">
        <v>10</v>
      </c>
      <c r="E1548" s="7" t="s">
        <v>1177</v>
      </c>
      <c r="F1548" s="7" t="s">
        <v>128</v>
      </c>
      <c r="G1548" s="7" t="s">
        <v>130</v>
      </c>
      <c r="H1548" s="7" t="s">
        <v>129</v>
      </c>
      <c r="I1548" s="30">
        <v>15</v>
      </c>
      <c r="J1548" s="7" t="s">
        <v>1177</v>
      </c>
      <c r="K1548" s="7" t="s">
        <v>1178</v>
      </c>
      <c r="L1548" s="7" t="s">
        <v>132</v>
      </c>
      <c r="M1548" s="7" t="s">
        <v>133</v>
      </c>
      <c r="N1548" s="30">
        <v>0</v>
      </c>
      <c r="O1548" s="30">
        <v>0</v>
      </c>
      <c r="P1548" s="30">
        <v>0</v>
      </c>
      <c r="Q1548" s="30">
        <v>0</v>
      </c>
      <c r="R1548" s="29">
        <v>0</v>
      </c>
      <c r="S1548" s="36">
        <v>0</v>
      </c>
      <c r="T1548" s="7" t="s">
        <v>131</v>
      </c>
      <c r="U1548" s="7" t="s">
        <v>1011</v>
      </c>
      <c r="V1548" s="7" t="s">
        <v>1011</v>
      </c>
      <c r="W1548" s="7" t="s">
        <v>1177</v>
      </c>
      <c r="X1548" s="30">
        <v>4</v>
      </c>
      <c r="Y1548" s="7" t="s">
        <v>1177</v>
      </c>
      <c r="Z1548" s="7" t="s">
        <v>1178</v>
      </c>
      <c r="AA1548" s="30">
        <v>0</v>
      </c>
      <c r="AB1548" s="36">
        <v>0</v>
      </c>
      <c r="AC1548" s="7" t="s">
        <v>1177</v>
      </c>
      <c r="AD1548" s="37">
        <v>0</v>
      </c>
      <c r="AE1548" s="7" t="s">
        <v>1177</v>
      </c>
      <c r="AF1548" s="7" t="s">
        <v>1177</v>
      </c>
      <c r="AG1548" s="7" t="s">
        <v>1177</v>
      </c>
      <c r="AH1548" s="38"/>
      <c r="AI1548" s="36">
        <v>0</v>
      </c>
      <c r="AJ1548" s="7" t="s">
        <v>1193</v>
      </c>
      <c r="AK1548" s="7" t="s">
        <v>1177</v>
      </c>
      <c r="AL1548" s="7" t="s">
        <v>1177</v>
      </c>
      <c r="AM1548" s="7" t="s">
        <v>1177</v>
      </c>
      <c r="AN1548" s="7" t="s">
        <v>3212</v>
      </c>
      <c r="AO1548" s="7" t="s">
        <v>1177</v>
      </c>
      <c r="AP1548" s="7" t="s">
        <v>1177</v>
      </c>
      <c r="AQ1548" s="7" t="s">
        <v>1177</v>
      </c>
      <c r="AR1548" s="29">
        <v>0</v>
      </c>
      <c r="AS1548" s="7" t="s">
        <v>1177</v>
      </c>
      <c r="AT1548" s="7" t="s">
        <v>1363</v>
      </c>
      <c r="AU1548" s="38">
        <v>46275</v>
      </c>
      <c r="AV1548" s="39">
        <v>0.62631944444443999</v>
      </c>
    </row>
    <row r="1549" spans="1:48" x14ac:dyDescent="0.35">
      <c r="A1549" t="str">
        <f t="shared" si="24"/>
        <v>GP410281B865</v>
      </c>
      <c r="B1549" s="7" t="s">
        <v>97</v>
      </c>
      <c r="C1549" s="7" t="s">
        <v>1039</v>
      </c>
      <c r="D1549" s="7" t="s">
        <v>7</v>
      </c>
      <c r="E1549" s="7" t="s">
        <v>1177</v>
      </c>
      <c r="F1549" s="7" t="s">
        <v>128</v>
      </c>
      <c r="G1549" s="7" t="s">
        <v>130</v>
      </c>
      <c r="H1549" s="7" t="s">
        <v>129</v>
      </c>
      <c r="I1549" s="30">
        <v>15</v>
      </c>
      <c r="J1549" s="7" t="s">
        <v>1177</v>
      </c>
      <c r="K1549" s="7" t="s">
        <v>1178</v>
      </c>
      <c r="L1549" s="7" t="s">
        <v>132</v>
      </c>
      <c r="M1549" s="7" t="s">
        <v>133</v>
      </c>
      <c r="N1549" s="30">
        <v>0</v>
      </c>
      <c r="O1549" s="30">
        <v>0</v>
      </c>
      <c r="P1549" s="30">
        <v>0</v>
      </c>
      <c r="Q1549" s="30">
        <v>0</v>
      </c>
      <c r="R1549" s="29">
        <v>0</v>
      </c>
      <c r="S1549" s="36">
        <v>0</v>
      </c>
      <c r="T1549" s="7" t="s">
        <v>131</v>
      </c>
      <c r="U1549" s="7" t="s">
        <v>1040</v>
      </c>
      <c r="V1549" s="7" t="s">
        <v>1040</v>
      </c>
      <c r="W1549" s="7" t="s">
        <v>1177</v>
      </c>
      <c r="X1549" s="30">
        <v>4</v>
      </c>
      <c r="Y1549" s="7" t="s">
        <v>1177</v>
      </c>
      <c r="Z1549" s="7" t="s">
        <v>1178</v>
      </c>
      <c r="AA1549" s="30">
        <v>0</v>
      </c>
      <c r="AB1549" s="36">
        <v>0</v>
      </c>
      <c r="AC1549" s="7" t="s">
        <v>1177</v>
      </c>
      <c r="AD1549" s="37">
        <v>0</v>
      </c>
      <c r="AE1549" s="7" t="s">
        <v>1177</v>
      </c>
      <c r="AF1549" s="7" t="s">
        <v>1177</v>
      </c>
      <c r="AG1549" s="7" t="s">
        <v>1177</v>
      </c>
      <c r="AH1549" s="38"/>
      <c r="AI1549" s="36">
        <v>0</v>
      </c>
      <c r="AJ1549" s="7" t="s">
        <v>1193</v>
      </c>
      <c r="AK1549" s="7" t="s">
        <v>1177</v>
      </c>
      <c r="AL1549" s="7" t="s">
        <v>1177</v>
      </c>
      <c r="AM1549" s="7" t="s">
        <v>1177</v>
      </c>
      <c r="AN1549" s="7" t="s">
        <v>3212</v>
      </c>
      <c r="AO1549" s="7" t="s">
        <v>1177</v>
      </c>
      <c r="AP1549" s="7" t="s">
        <v>1177</v>
      </c>
      <c r="AQ1549" s="7" t="s">
        <v>1177</v>
      </c>
      <c r="AR1549" s="29">
        <v>0</v>
      </c>
      <c r="AS1549" s="7" t="s">
        <v>1177</v>
      </c>
      <c r="AT1549" s="7" t="s">
        <v>1363</v>
      </c>
      <c r="AU1549" s="38">
        <v>46275</v>
      </c>
      <c r="AV1549" s="39">
        <v>0.62674768518518997</v>
      </c>
    </row>
    <row r="1550" spans="1:48" x14ac:dyDescent="0.35">
      <c r="A1550" t="str">
        <f t="shared" si="24"/>
        <v>GP410282B856</v>
      </c>
      <c r="B1550" s="7" t="s">
        <v>99</v>
      </c>
      <c r="C1550" s="7" t="s">
        <v>852</v>
      </c>
      <c r="D1550" s="7" t="s">
        <v>21</v>
      </c>
      <c r="E1550" s="7" t="s">
        <v>1177</v>
      </c>
      <c r="F1550" s="7" t="s">
        <v>128</v>
      </c>
      <c r="G1550" s="7" t="s">
        <v>130</v>
      </c>
      <c r="H1550" s="7" t="s">
        <v>129</v>
      </c>
      <c r="I1550" s="30">
        <v>6</v>
      </c>
      <c r="J1550" s="7" t="s">
        <v>1177</v>
      </c>
      <c r="K1550" s="7" t="s">
        <v>1178</v>
      </c>
      <c r="L1550" s="7" t="s">
        <v>132</v>
      </c>
      <c r="M1550" s="7" t="s">
        <v>133</v>
      </c>
      <c r="N1550" s="30">
        <v>0</v>
      </c>
      <c r="O1550" s="30">
        <v>0</v>
      </c>
      <c r="P1550" s="30">
        <v>0</v>
      </c>
      <c r="Q1550" s="30">
        <v>0</v>
      </c>
      <c r="R1550" s="29">
        <v>0</v>
      </c>
      <c r="S1550" s="36">
        <v>0</v>
      </c>
      <c r="T1550" s="7" t="s">
        <v>131</v>
      </c>
      <c r="U1550" s="7" t="s">
        <v>853</v>
      </c>
      <c r="V1550" s="7" t="s">
        <v>853</v>
      </c>
      <c r="W1550" s="7" t="s">
        <v>1177</v>
      </c>
      <c r="X1550" s="30">
        <v>2</v>
      </c>
      <c r="Y1550" s="7" t="s">
        <v>1177</v>
      </c>
      <c r="Z1550" s="7" t="s">
        <v>1178</v>
      </c>
      <c r="AA1550" s="30">
        <v>0</v>
      </c>
      <c r="AB1550" s="36">
        <v>0</v>
      </c>
      <c r="AC1550" s="7" t="s">
        <v>1177</v>
      </c>
      <c r="AD1550" s="37">
        <v>0</v>
      </c>
      <c r="AE1550" s="7" t="s">
        <v>1177</v>
      </c>
      <c r="AF1550" s="7" t="s">
        <v>1177</v>
      </c>
      <c r="AG1550" s="7" t="s">
        <v>1177</v>
      </c>
      <c r="AH1550" s="38"/>
      <c r="AI1550" s="36">
        <v>0</v>
      </c>
      <c r="AJ1550" s="7" t="s">
        <v>1193</v>
      </c>
      <c r="AK1550" s="7" t="s">
        <v>1177</v>
      </c>
      <c r="AL1550" s="7" t="s">
        <v>1177</v>
      </c>
      <c r="AM1550" s="7" t="s">
        <v>1177</v>
      </c>
      <c r="AN1550" s="7" t="s">
        <v>3212</v>
      </c>
      <c r="AO1550" s="7" t="s">
        <v>1177</v>
      </c>
      <c r="AP1550" s="7" t="s">
        <v>1177</v>
      </c>
      <c r="AQ1550" s="7" t="s">
        <v>1177</v>
      </c>
      <c r="AR1550" s="29">
        <v>0</v>
      </c>
      <c r="AS1550" s="7" t="s">
        <v>1177</v>
      </c>
      <c r="AT1550" s="7" t="s">
        <v>1363</v>
      </c>
      <c r="AU1550" s="38">
        <v>46275</v>
      </c>
      <c r="AV1550" s="39">
        <v>0.62487268518519001</v>
      </c>
    </row>
    <row r="1551" spans="1:48" x14ac:dyDescent="0.35">
      <c r="A1551" t="str">
        <f t="shared" si="24"/>
        <v>GP410282B857</v>
      </c>
      <c r="B1551" s="7" t="s">
        <v>99</v>
      </c>
      <c r="C1551" s="7" t="s">
        <v>958</v>
      </c>
      <c r="D1551" s="7" t="s">
        <v>23</v>
      </c>
      <c r="E1551" s="7" t="s">
        <v>1177</v>
      </c>
      <c r="F1551" s="7" t="s">
        <v>128</v>
      </c>
      <c r="G1551" s="7" t="s">
        <v>130</v>
      </c>
      <c r="H1551" s="7" t="s">
        <v>129</v>
      </c>
      <c r="I1551" s="30">
        <v>8</v>
      </c>
      <c r="J1551" s="7" t="s">
        <v>1177</v>
      </c>
      <c r="K1551" s="7" t="s">
        <v>1178</v>
      </c>
      <c r="L1551" s="7" t="s">
        <v>132</v>
      </c>
      <c r="M1551" s="7" t="s">
        <v>133</v>
      </c>
      <c r="N1551" s="30">
        <v>0</v>
      </c>
      <c r="O1551" s="30">
        <v>0</v>
      </c>
      <c r="P1551" s="30">
        <v>0</v>
      </c>
      <c r="Q1551" s="30">
        <v>0</v>
      </c>
      <c r="R1551" s="29">
        <v>0</v>
      </c>
      <c r="S1551" s="36">
        <v>0</v>
      </c>
      <c r="T1551" s="7" t="s">
        <v>131</v>
      </c>
      <c r="U1551" s="7" t="s">
        <v>959</v>
      </c>
      <c r="V1551" s="7" t="s">
        <v>959</v>
      </c>
      <c r="W1551" s="7" t="s">
        <v>1177</v>
      </c>
      <c r="X1551" s="30">
        <v>2</v>
      </c>
      <c r="Y1551" s="7" t="s">
        <v>1177</v>
      </c>
      <c r="Z1551" s="7" t="s">
        <v>1178</v>
      </c>
      <c r="AA1551" s="30">
        <v>0</v>
      </c>
      <c r="AB1551" s="36">
        <v>0</v>
      </c>
      <c r="AC1551" s="7" t="s">
        <v>1177</v>
      </c>
      <c r="AD1551" s="37">
        <v>0</v>
      </c>
      <c r="AE1551" s="7" t="s">
        <v>1177</v>
      </c>
      <c r="AF1551" s="7" t="s">
        <v>1177</v>
      </c>
      <c r="AG1551" s="7" t="s">
        <v>1177</v>
      </c>
      <c r="AH1551" s="38"/>
      <c r="AI1551" s="36">
        <v>0</v>
      </c>
      <c r="AJ1551" s="7" t="s">
        <v>1193</v>
      </c>
      <c r="AK1551" s="7" t="s">
        <v>1177</v>
      </c>
      <c r="AL1551" s="7" t="s">
        <v>1177</v>
      </c>
      <c r="AM1551" s="7" t="s">
        <v>1177</v>
      </c>
      <c r="AN1551" s="7" t="s">
        <v>3212</v>
      </c>
      <c r="AO1551" s="7" t="s">
        <v>1177</v>
      </c>
      <c r="AP1551" s="7" t="s">
        <v>1177</v>
      </c>
      <c r="AQ1551" s="7" t="s">
        <v>1177</v>
      </c>
      <c r="AR1551" s="29">
        <v>0</v>
      </c>
      <c r="AS1551" s="7" t="s">
        <v>1177</v>
      </c>
      <c r="AT1551" s="7" t="s">
        <v>1363</v>
      </c>
      <c r="AU1551" s="38">
        <v>46275</v>
      </c>
      <c r="AV1551" s="39">
        <v>0.62515046296295995</v>
      </c>
    </row>
    <row r="1552" spans="1:48" x14ac:dyDescent="0.35">
      <c r="A1552" t="str">
        <f t="shared" si="24"/>
        <v>GP410282B864</v>
      </c>
      <c r="B1552" s="7" t="s">
        <v>99</v>
      </c>
      <c r="C1552" s="7" t="s">
        <v>1010</v>
      </c>
      <c r="D1552" s="7" t="s">
        <v>10</v>
      </c>
      <c r="E1552" s="7" t="s">
        <v>1177</v>
      </c>
      <c r="F1552" s="7" t="s">
        <v>128</v>
      </c>
      <c r="G1552" s="7" t="s">
        <v>130</v>
      </c>
      <c r="H1552" s="7" t="s">
        <v>129</v>
      </c>
      <c r="I1552" s="30">
        <v>15</v>
      </c>
      <c r="J1552" s="7" t="s">
        <v>1177</v>
      </c>
      <c r="K1552" s="7" t="s">
        <v>1178</v>
      </c>
      <c r="L1552" s="7" t="s">
        <v>132</v>
      </c>
      <c r="M1552" s="7" t="s">
        <v>133</v>
      </c>
      <c r="N1552" s="30">
        <v>0</v>
      </c>
      <c r="O1552" s="30">
        <v>0</v>
      </c>
      <c r="P1552" s="30">
        <v>0</v>
      </c>
      <c r="Q1552" s="30">
        <v>0</v>
      </c>
      <c r="R1552" s="29">
        <v>0</v>
      </c>
      <c r="S1552" s="36">
        <v>0</v>
      </c>
      <c r="T1552" s="7" t="s">
        <v>131</v>
      </c>
      <c r="U1552" s="7" t="s">
        <v>1011</v>
      </c>
      <c r="V1552" s="7" t="s">
        <v>1011</v>
      </c>
      <c r="W1552" s="7" t="s">
        <v>1177</v>
      </c>
      <c r="X1552" s="30">
        <v>4</v>
      </c>
      <c r="Y1552" s="7" t="s">
        <v>1177</v>
      </c>
      <c r="Z1552" s="7" t="s">
        <v>1178</v>
      </c>
      <c r="AA1552" s="30">
        <v>0</v>
      </c>
      <c r="AB1552" s="36">
        <v>0</v>
      </c>
      <c r="AC1552" s="7" t="s">
        <v>1177</v>
      </c>
      <c r="AD1552" s="37">
        <v>0</v>
      </c>
      <c r="AE1552" s="7" t="s">
        <v>1177</v>
      </c>
      <c r="AF1552" s="7" t="s">
        <v>1177</v>
      </c>
      <c r="AG1552" s="7" t="s">
        <v>1177</v>
      </c>
      <c r="AH1552" s="38"/>
      <c r="AI1552" s="36">
        <v>0</v>
      </c>
      <c r="AJ1552" s="7" t="s">
        <v>1193</v>
      </c>
      <c r="AK1552" s="7" t="s">
        <v>1177</v>
      </c>
      <c r="AL1552" s="7" t="s">
        <v>1177</v>
      </c>
      <c r="AM1552" s="7" t="s">
        <v>1177</v>
      </c>
      <c r="AN1552" s="7" t="s">
        <v>3212</v>
      </c>
      <c r="AO1552" s="7" t="s">
        <v>1177</v>
      </c>
      <c r="AP1552" s="7" t="s">
        <v>1177</v>
      </c>
      <c r="AQ1552" s="7" t="s">
        <v>1177</v>
      </c>
      <c r="AR1552" s="29">
        <v>0</v>
      </c>
      <c r="AS1552" s="7" t="s">
        <v>1177</v>
      </c>
      <c r="AT1552" s="7" t="s">
        <v>1363</v>
      </c>
      <c r="AU1552" s="38">
        <v>46275</v>
      </c>
      <c r="AV1552" s="39">
        <v>0.62630787037036995</v>
      </c>
    </row>
    <row r="1553" spans="1:48" x14ac:dyDescent="0.35">
      <c r="A1553" t="str">
        <f t="shared" si="24"/>
        <v>GP410282B865</v>
      </c>
      <c r="B1553" s="7" t="s">
        <v>99</v>
      </c>
      <c r="C1553" s="7" t="s">
        <v>1039</v>
      </c>
      <c r="D1553" s="7" t="s">
        <v>7</v>
      </c>
      <c r="E1553" s="7" t="s">
        <v>1177</v>
      </c>
      <c r="F1553" s="7" t="s">
        <v>128</v>
      </c>
      <c r="G1553" s="7" t="s">
        <v>130</v>
      </c>
      <c r="H1553" s="7" t="s">
        <v>129</v>
      </c>
      <c r="I1553" s="30">
        <v>15</v>
      </c>
      <c r="J1553" s="7" t="s">
        <v>1177</v>
      </c>
      <c r="K1553" s="7" t="s">
        <v>1178</v>
      </c>
      <c r="L1553" s="7" t="s">
        <v>132</v>
      </c>
      <c r="M1553" s="7" t="s">
        <v>133</v>
      </c>
      <c r="N1553" s="30">
        <v>0</v>
      </c>
      <c r="O1553" s="30">
        <v>0</v>
      </c>
      <c r="P1553" s="30">
        <v>0</v>
      </c>
      <c r="Q1553" s="30">
        <v>0</v>
      </c>
      <c r="R1553" s="29">
        <v>0</v>
      </c>
      <c r="S1553" s="36">
        <v>0</v>
      </c>
      <c r="T1553" s="7" t="s">
        <v>131</v>
      </c>
      <c r="U1553" s="7" t="s">
        <v>1040</v>
      </c>
      <c r="V1553" s="7" t="s">
        <v>1040</v>
      </c>
      <c r="W1553" s="7" t="s">
        <v>1177</v>
      </c>
      <c r="X1553" s="30">
        <v>4</v>
      </c>
      <c r="Y1553" s="7" t="s">
        <v>1177</v>
      </c>
      <c r="Z1553" s="7" t="s">
        <v>1178</v>
      </c>
      <c r="AA1553" s="30">
        <v>0</v>
      </c>
      <c r="AB1553" s="36">
        <v>0</v>
      </c>
      <c r="AC1553" s="7" t="s">
        <v>1177</v>
      </c>
      <c r="AD1553" s="37">
        <v>0</v>
      </c>
      <c r="AE1553" s="7" t="s">
        <v>1177</v>
      </c>
      <c r="AF1553" s="7" t="s">
        <v>1177</v>
      </c>
      <c r="AG1553" s="7" t="s">
        <v>1177</v>
      </c>
      <c r="AH1553" s="38"/>
      <c r="AI1553" s="36">
        <v>0</v>
      </c>
      <c r="AJ1553" s="7" t="s">
        <v>1193</v>
      </c>
      <c r="AK1553" s="7" t="s">
        <v>1177</v>
      </c>
      <c r="AL1553" s="7" t="s">
        <v>1177</v>
      </c>
      <c r="AM1553" s="7" t="s">
        <v>1177</v>
      </c>
      <c r="AN1553" s="7" t="s">
        <v>3212</v>
      </c>
      <c r="AO1553" s="7" t="s">
        <v>1177</v>
      </c>
      <c r="AP1553" s="7" t="s">
        <v>1177</v>
      </c>
      <c r="AQ1553" s="7" t="s">
        <v>1177</v>
      </c>
      <c r="AR1553" s="29">
        <v>0</v>
      </c>
      <c r="AS1553" s="7" t="s">
        <v>1177</v>
      </c>
      <c r="AT1553" s="7" t="s">
        <v>1363</v>
      </c>
      <c r="AU1553" s="38">
        <v>46275</v>
      </c>
      <c r="AV1553" s="39">
        <v>0.62674768518518997</v>
      </c>
    </row>
    <row r="1554" spans="1:48" x14ac:dyDescent="0.35">
      <c r="A1554" t="str">
        <f t="shared" si="24"/>
        <v>GP410282B867</v>
      </c>
      <c r="B1554" s="7" t="s">
        <v>99</v>
      </c>
      <c r="C1554" s="7" t="s">
        <v>1059</v>
      </c>
      <c r="D1554" s="7" t="s">
        <v>25</v>
      </c>
      <c r="E1554" s="7" t="s">
        <v>1177</v>
      </c>
      <c r="F1554" s="7" t="s">
        <v>128</v>
      </c>
      <c r="G1554" s="7" t="s">
        <v>130</v>
      </c>
      <c r="H1554" s="7" t="s">
        <v>129</v>
      </c>
      <c r="I1554" s="30">
        <v>2</v>
      </c>
      <c r="J1554" s="7" t="s">
        <v>1177</v>
      </c>
      <c r="K1554" s="7" t="s">
        <v>1178</v>
      </c>
      <c r="L1554" s="7" t="s">
        <v>132</v>
      </c>
      <c r="M1554" s="7" t="s">
        <v>133</v>
      </c>
      <c r="N1554" s="30">
        <v>0</v>
      </c>
      <c r="O1554" s="30">
        <v>0</v>
      </c>
      <c r="P1554" s="30">
        <v>0</v>
      </c>
      <c r="Q1554" s="30">
        <v>0</v>
      </c>
      <c r="R1554" s="29">
        <v>0</v>
      </c>
      <c r="S1554" s="36">
        <v>0</v>
      </c>
      <c r="T1554" s="7" t="s">
        <v>131</v>
      </c>
      <c r="U1554" s="7" t="s">
        <v>1060</v>
      </c>
      <c r="V1554" s="7" t="s">
        <v>1060</v>
      </c>
      <c r="W1554" s="7" t="s">
        <v>1177</v>
      </c>
      <c r="X1554" s="30">
        <v>1</v>
      </c>
      <c r="Y1554" s="7" t="s">
        <v>1177</v>
      </c>
      <c r="Z1554" s="7" t="s">
        <v>1178</v>
      </c>
      <c r="AA1554" s="30">
        <v>0</v>
      </c>
      <c r="AB1554" s="36">
        <v>0</v>
      </c>
      <c r="AC1554" s="7" t="s">
        <v>1177</v>
      </c>
      <c r="AD1554" s="37">
        <v>0</v>
      </c>
      <c r="AE1554" s="7" t="s">
        <v>1177</v>
      </c>
      <c r="AF1554" s="7" t="s">
        <v>1177</v>
      </c>
      <c r="AG1554" s="7" t="s">
        <v>1177</v>
      </c>
      <c r="AH1554" s="38"/>
      <c r="AI1554" s="36">
        <v>0</v>
      </c>
      <c r="AJ1554" s="7" t="s">
        <v>1193</v>
      </c>
      <c r="AK1554" s="7" t="s">
        <v>1177</v>
      </c>
      <c r="AL1554" s="7" t="s">
        <v>1177</v>
      </c>
      <c r="AM1554" s="7" t="s">
        <v>1177</v>
      </c>
      <c r="AN1554" s="7" t="s">
        <v>3212</v>
      </c>
      <c r="AO1554" s="7" t="s">
        <v>1177</v>
      </c>
      <c r="AP1554" s="7" t="s">
        <v>1177</v>
      </c>
      <c r="AQ1554" s="7" t="s">
        <v>1177</v>
      </c>
      <c r="AR1554" s="29">
        <v>0</v>
      </c>
      <c r="AS1554" s="7" t="s">
        <v>1177</v>
      </c>
      <c r="AT1554" s="7" t="s">
        <v>1363</v>
      </c>
      <c r="AU1554" s="38">
        <v>46275</v>
      </c>
      <c r="AV1554" s="39">
        <v>0.62715277777778</v>
      </c>
    </row>
    <row r="1555" spans="1:48" x14ac:dyDescent="0.35">
      <c r="A1555" t="str">
        <f t="shared" si="24"/>
        <v>GP410420B856</v>
      </c>
      <c r="B1555" s="7" t="s">
        <v>925</v>
      </c>
      <c r="C1555" s="7" t="s">
        <v>852</v>
      </c>
      <c r="D1555" s="7" t="s">
        <v>21</v>
      </c>
      <c r="E1555" s="7" t="s">
        <v>1177</v>
      </c>
      <c r="F1555" s="7" t="s">
        <v>128</v>
      </c>
      <c r="G1555" s="7" t="s">
        <v>130</v>
      </c>
      <c r="H1555" s="7" t="s">
        <v>129</v>
      </c>
      <c r="I1555" s="30">
        <v>1</v>
      </c>
      <c r="J1555" s="7" t="s">
        <v>1177</v>
      </c>
      <c r="K1555" s="7" t="s">
        <v>1178</v>
      </c>
      <c r="L1555" s="7" t="s">
        <v>132</v>
      </c>
      <c r="M1555" s="7" t="s">
        <v>133</v>
      </c>
      <c r="N1555" s="30">
        <v>0</v>
      </c>
      <c r="O1555" s="30">
        <v>0</v>
      </c>
      <c r="P1555" s="30">
        <v>0</v>
      </c>
      <c r="Q1555" s="30">
        <v>0</v>
      </c>
      <c r="R1555" s="29">
        <v>0</v>
      </c>
      <c r="S1555" s="36">
        <v>0</v>
      </c>
      <c r="T1555" s="7" t="s">
        <v>131</v>
      </c>
      <c r="U1555" s="7" t="s">
        <v>853</v>
      </c>
      <c r="V1555" s="7" t="s">
        <v>853</v>
      </c>
      <c r="W1555" s="7" t="s">
        <v>1177</v>
      </c>
      <c r="X1555" s="30">
        <v>1</v>
      </c>
      <c r="Y1555" s="7" t="s">
        <v>1177</v>
      </c>
      <c r="Z1555" s="7" t="s">
        <v>1178</v>
      </c>
      <c r="AA1555" s="30">
        <v>0</v>
      </c>
      <c r="AB1555" s="36">
        <v>0</v>
      </c>
      <c r="AC1555" s="7" t="s">
        <v>1177</v>
      </c>
      <c r="AD1555" s="37">
        <v>0</v>
      </c>
      <c r="AE1555" s="7" t="s">
        <v>1177</v>
      </c>
      <c r="AF1555" s="7" t="s">
        <v>1177</v>
      </c>
      <c r="AG1555" s="7" t="s">
        <v>1177</v>
      </c>
      <c r="AH1555" s="38"/>
      <c r="AI1555" s="36">
        <v>0</v>
      </c>
      <c r="AJ1555" s="7" t="s">
        <v>1193</v>
      </c>
      <c r="AK1555" s="7" t="s">
        <v>1177</v>
      </c>
      <c r="AL1555" s="7" t="s">
        <v>1177</v>
      </c>
      <c r="AM1555" s="7" t="s">
        <v>1177</v>
      </c>
      <c r="AN1555" s="7" t="s">
        <v>3212</v>
      </c>
      <c r="AO1555" s="7" t="s">
        <v>1177</v>
      </c>
      <c r="AP1555" s="7" t="s">
        <v>1177</v>
      </c>
      <c r="AQ1555" s="7" t="s">
        <v>1177</v>
      </c>
      <c r="AR1555" s="29">
        <v>0</v>
      </c>
      <c r="AS1555" s="7" t="s">
        <v>1177</v>
      </c>
      <c r="AT1555" s="7" t="s">
        <v>1363</v>
      </c>
      <c r="AU1555" s="38">
        <v>46275</v>
      </c>
      <c r="AV1555" s="39">
        <v>0.62487268518519001</v>
      </c>
    </row>
    <row r="1556" spans="1:48" x14ac:dyDescent="0.35">
      <c r="A1556" t="str">
        <f t="shared" si="24"/>
        <v>GP410421B856</v>
      </c>
      <c r="B1556" s="7" t="s">
        <v>926</v>
      </c>
      <c r="C1556" s="7" t="s">
        <v>852</v>
      </c>
      <c r="D1556" s="7" t="s">
        <v>21</v>
      </c>
      <c r="E1556" s="7" t="s">
        <v>1177</v>
      </c>
      <c r="F1556" s="7" t="s">
        <v>128</v>
      </c>
      <c r="G1556" s="7" t="s">
        <v>130</v>
      </c>
      <c r="H1556" s="7" t="s">
        <v>129</v>
      </c>
      <c r="I1556" s="30">
        <v>2</v>
      </c>
      <c r="J1556" s="7" t="s">
        <v>1177</v>
      </c>
      <c r="K1556" s="7" t="s">
        <v>1178</v>
      </c>
      <c r="L1556" s="7" t="s">
        <v>132</v>
      </c>
      <c r="M1556" s="7" t="s">
        <v>133</v>
      </c>
      <c r="N1556" s="30">
        <v>0</v>
      </c>
      <c r="O1556" s="30">
        <v>0</v>
      </c>
      <c r="P1556" s="30">
        <v>0</v>
      </c>
      <c r="Q1556" s="30">
        <v>0</v>
      </c>
      <c r="R1556" s="29">
        <v>0</v>
      </c>
      <c r="S1556" s="36">
        <v>0</v>
      </c>
      <c r="T1556" s="7" t="s">
        <v>131</v>
      </c>
      <c r="U1556" s="7" t="s">
        <v>853</v>
      </c>
      <c r="V1556" s="7" t="s">
        <v>853</v>
      </c>
      <c r="W1556" s="7" t="s">
        <v>1177</v>
      </c>
      <c r="X1556" s="30">
        <v>1</v>
      </c>
      <c r="Y1556" s="7" t="s">
        <v>1177</v>
      </c>
      <c r="Z1556" s="7" t="s">
        <v>1178</v>
      </c>
      <c r="AA1556" s="30">
        <v>0</v>
      </c>
      <c r="AB1556" s="36">
        <v>0</v>
      </c>
      <c r="AC1556" s="7" t="s">
        <v>1177</v>
      </c>
      <c r="AD1556" s="37">
        <v>0</v>
      </c>
      <c r="AE1556" s="7" t="s">
        <v>1177</v>
      </c>
      <c r="AF1556" s="7" t="s">
        <v>1177</v>
      </c>
      <c r="AG1556" s="7" t="s">
        <v>1177</v>
      </c>
      <c r="AH1556" s="38"/>
      <c r="AI1556" s="36">
        <v>0</v>
      </c>
      <c r="AJ1556" s="7" t="s">
        <v>1193</v>
      </c>
      <c r="AK1556" s="7" t="s">
        <v>1177</v>
      </c>
      <c r="AL1556" s="7" t="s">
        <v>1177</v>
      </c>
      <c r="AM1556" s="7" t="s">
        <v>1177</v>
      </c>
      <c r="AN1556" s="7" t="s">
        <v>3212</v>
      </c>
      <c r="AO1556" s="7" t="s">
        <v>1177</v>
      </c>
      <c r="AP1556" s="7" t="s">
        <v>1177</v>
      </c>
      <c r="AQ1556" s="7" t="s">
        <v>1177</v>
      </c>
      <c r="AR1556" s="29">
        <v>0</v>
      </c>
      <c r="AS1556" s="7" t="s">
        <v>1177</v>
      </c>
      <c r="AT1556" s="7" t="s">
        <v>1363</v>
      </c>
      <c r="AU1556" s="38">
        <v>46275</v>
      </c>
      <c r="AV1556" s="39">
        <v>0.62487268518519001</v>
      </c>
    </row>
    <row r="1557" spans="1:48" x14ac:dyDescent="0.35">
      <c r="A1557" t="str">
        <f t="shared" si="24"/>
        <v>GP410547B856</v>
      </c>
      <c r="B1557" s="7" t="s">
        <v>927</v>
      </c>
      <c r="C1557" s="7" t="s">
        <v>852</v>
      </c>
      <c r="D1557" s="7" t="s">
        <v>21</v>
      </c>
      <c r="E1557" s="7" t="s">
        <v>1177</v>
      </c>
      <c r="F1557" s="7" t="s">
        <v>128</v>
      </c>
      <c r="G1557" s="7" t="s">
        <v>130</v>
      </c>
      <c r="H1557" s="7" t="s">
        <v>129</v>
      </c>
      <c r="I1557" s="30">
        <v>2</v>
      </c>
      <c r="J1557" s="7" t="s">
        <v>1177</v>
      </c>
      <c r="K1557" s="7" t="s">
        <v>1178</v>
      </c>
      <c r="L1557" s="7" t="s">
        <v>132</v>
      </c>
      <c r="M1557" s="7" t="s">
        <v>133</v>
      </c>
      <c r="N1557" s="30">
        <v>0</v>
      </c>
      <c r="O1557" s="30">
        <v>0</v>
      </c>
      <c r="P1557" s="30">
        <v>0</v>
      </c>
      <c r="Q1557" s="30">
        <v>0</v>
      </c>
      <c r="R1557" s="29">
        <v>0</v>
      </c>
      <c r="S1557" s="36">
        <v>0</v>
      </c>
      <c r="T1557" s="7" t="s">
        <v>131</v>
      </c>
      <c r="U1557" s="7" t="s">
        <v>853</v>
      </c>
      <c r="V1557" s="7" t="s">
        <v>853</v>
      </c>
      <c r="W1557" s="7" t="s">
        <v>1177</v>
      </c>
      <c r="X1557" s="30">
        <v>1</v>
      </c>
      <c r="Y1557" s="7" t="s">
        <v>1177</v>
      </c>
      <c r="Z1557" s="7" t="s">
        <v>1178</v>
      </c>
      <c r="AA1557" s="30">
        <v>0</v>
      </c>
      <c r="AB1557" s="36">
        <v>0</v>
      </c>
      <c r="AC1557" s="7" t="s">
        <v>1177</v>
      </c>
      <c r="AD1557" s="37">
        <v>0</v>
      </c>
      <c r="AE1557" s="7" t="s">
        <v>1177</v>
      </c>
      <c r="AF1557" s="7" t="s">
        <v>1177</v>
      </c>
      <c r="AG1557" s="7" t="s">
        <v>1177</v>
      </c>
      <c r="AH1557" s="38"/>
      <c r="AI1557" s="36">
        <v>0</v>
      </c>
      <c r="AJ1557" s="7" t="s">
        <v>1193</v>
      </c>
      <c r="AK1557" s="7" t="s">
        <v>1177</v>
      </c>
      <c r="AL1557" s="7" t="s">
        <v>1177</v>
      </c>
      <c r="AM1557" s="7" t="s">
        <v>1177</v>
      </c>
      <c r="AN1557" s="7" t="s">
        <v>3212</v>
      </c>
      <c r="AO1557" s="7" t="s">
        <v>1177</v>
      </c>
      <c r="AP1557" s="7" t="s">
        <v>1177</v>
      </c>
      <c r="AQ1557" s="7" t="s">
        <v>1177</v>
      </c>
      <c r="AR1557" s="29">
        <v>0</v>
      </c>
      <c r="AS1557" s="7" t="s">
        <v>1177</v>
      </c>
      <c r="AT1557" s="7" t="s">
        <v>1363</v>
      </c>
      <c r="AU1557" s="38">
        <v>46275</v>
      </c>
      <c r="AV1557" s="39">
        <v>0.62487268518519001</v>
      </c>
    </row>
    <row r="1558" spans="1:48" x14ac:dyDescent="0.35">
      <c r="A1558" t="str">
        <f t="shared" si="24"/>
        <v>GP410547B857</v>
      </c>
      <c r="B1558" s="7" t="s">
        <v>927</v>
      </c>
      <c r="C1558" s="7" t="s">
        <v>958</v>
      </c>
      <c r="D1558" s="7" t="s">
        <v>23</v>
      </c>
      <c r="E1558" s="7" t="s">
        <v>1177</v>
      </c>
      <c r="F1558" s="7" t="s">
        <v>128</v>
      </c>
      <c r="G1558" s="7" t="s">
        <v>130</v>
      </c>
      <c r="H1558" s="7" t="s">
        <v>129</v>
      </c>
      <c r="I1558" s="30">
        <v>2</v>
      </c>
      <c r="J1558" s="7" t="s">
        <v>1177</v>
      </c>
      <c r="K1558" s="7" t="s">
        <v>1178</v>
      </c>
      <c r="L1558" s="7" t="s">
        <v>132</v>
      </c>
      <c r="M1558" s="7" t="s">
        <v>133</v>
      </c>
      <c r="N1558" s="30">
        <v>0</v>
      </c>
      <c r="O1558" s="30">
        <v>0</v>
      </c>
      <c r="P1558" s="30">
        <v>0</v>
      </c>
      <c r="Q1558" s="30">
        <v>0</v>
      </c>
      <c r="R1558" s="29">
        <v>0</v>
      </c>
      <c r="S1558" s="36">
        <v>0</v>
      </c>
      <c r="T1558" s="7" t="s">
        <v>131</v>
      </c>
      <c r="U1558" s="7" t="s">
        <v>959</v>
      </c>
      <c r="V1558" s="7" t="s">
        <v>959</v>
      </c>
      <c r="W1558" s="7" t="s">
        <v>1177</v>
      </c>
      <c r="X1558" s="30">
        <v>1</v>
      </c>
      <c r="Y1558" s="7" t="s">
        <v>1177</v>
      </c>
      <c r="Z1558" s="7" t="s">
        <v>1178</v>
      </c>
      <c r="AA1558" s="30">
        <v>0</v>
      </c>
      <c r="AB1558" s="36">
        <v>0</v>
      </c>
      <c r="AC1558" s="7" t="s">
        <v>1177</v>
      </c>
      <c r="AD1558" s="37">
        <v>0</v>
      </c>
      <c r="AE1558" s="7" t="s">
        <v>1177</v>
      </c>
      <c r="AF1558" s="7" t="s">
        <v>1177</v>
      </c>
      <c r="AG1558" s="7" t="s">
        <v>1177</v>
      </c>
      <c r="AH1558" s="38"/>
      <c r="AI1558" s="36">
        <v>0</v>
      </c>
      <c r="AJ1558" s="7" t="s">
        <v>1193</v>
      </c>
      <c r="AK1558" s="7" t="s">
        <v>1177</v>
      </c>
      <c r="AL1558" s="7" t="s">
        <v>1177</v>
      </c>
      <c r="AM1558" s="7" t="s">
        <v>1177</v>
      </c>
      <c r="AN1558" s="7" t="s">
        <v>3212</v>
      </c>
      <c r="AO1558" s="7" t="s">
        <v>1177</v>
      </c>
      <c r="AP1558" s="7" t="s">
        <v>1177</v>
      </c>
      <c r="AQ1558" s="7" t="s">
        <v>1177</v>
      </c>
      <c r="AR1558" s="29">
        <v>0</v>
      </c>
      <c r="AS1558" s="7" t="s">
        <v>1177</v>
      </c>
      <c r="AT1558" s="7" t="s">
        <v>1363</v>
      </c>
      <c r="AU1558" s="38">
        <v>46275</v>
      </c>
      <c r="AV1558" s="39">
        <v>0.62515046296295995</v>
      </c>
    </row>
    <row r="1559" spans="1:48" x14ac:dyDescent="0.35">
      <c r="A1559" t="str">
        <f t="shared" si="24"/>
        <v>GP410547B864</v>
      </c>
      <c r="B1559" s="7" t="s">
        <v>927</v>
      </c>
      <c r="C1559" s="7" t="s">
        <v>1010</v>
      </c>
      <c r="D1559" s="7" t="s">
        <v>10</v>
      </c>
      <c r="E1559" s="7" t="s">
        <v>1177</v>
      </c>
      <c r="F1559" s="7" t="s">
        <v>128</v>
      </c>
      <c r="G1559" s="7" t="s">
        <v>130</v>
      </c>
      <c r="H1559" s="7" t="s">
        <v>129</v>
      </c>
      <c r="I1559" s="30">
        <v>2</v>
      </c>
      <c r="J1559" s="7" t="s">
        <v>1177</v>
      </c>
      <c r="K1559" s="7" t="s">
        <v>1178</v>
      </c>
      <c r="L1559" s="7" t="s">
        <v>132</v>
      </c>
      <c r="M1559" s="7" t="s">
        <v>133</v>
      </c>
      <c r="N1559" s="30">
        <v>0</v>
      </c>
      <c r="O1559" s="30">
        <v>0</v>
      </c>
      <c r="P1559" s="30">
        <v>0</v>
      </c>
      <c r="Q1559" s="30">
        <v>0</v>
      </c>
      <c r="R1559" s="29">
        <v>0</v>
      </c>
      <c r="S1559" s="36">
        <v>0</v>
      </c>
      <c r="T1559" s="7" t="s">
        <v>131</v>
      </c>
      <c r="U1559" s="7" t="s">
        <v>1011</v>
      </c>
      <c r="V1559" s="7" t="s">
        <v>1011</v>
      </c>
      <c r="W1559" s="7" t="s">
        <v>1177</v>
      </c>
      <c r="X1559" s="30">
        <v>1</v>
      </c>
      <c r="Y1559" s="7" t="s">
        <v>1177</v>
      </c>
      <c r="Z1559" s="7" t="s">
        <v>1178</v>
      </c>
      <c r="AA1559" s="30">
        <v>0</v>
      </c>
      <c r="AB1559" s="36">
        <v>0</v>
      </c>
      <c r="AC1559" s="7" t="s">
        <v>1177</v>
      </c>
      <c r="AD1559" s="37">
        <v>0</v>
      </c>
      <c r="AE1559" s="7" t="s">
        <v>1177</v>
      </c>
      <c r="AF1559" s="7" t="s">
        <v>1177</v>
      </c>
      <c r="AG1559" s="7" t="s">
        <v>1177</v>
      </c>
      <c r="AH1559" s="38"/>
      <c r="AI1559" s="36">
        <v>0</v>
      </c>
      <c r="AJ1559" s="7" t="s">
        <v>1193</v>
      </c>
      <c r="AK1559" s="7" t="s">
        <v>1177</v>
      </c>
      <c r="AL1559" s="7" t="s">
        <v>1177</v>
      </c>
      <c r="AM1559" s="7" t="s">
        <v>1177</v>
      </c>
      <c r="AN1559" s="7" t="s">
        <v>3212</v>
      </c>
      <c r="AO1559" s="7" t="s">
        <v>1177</v>
      </c>
      <c r="AP1559" s="7" t="s">
        <v>1177</v>
      </c>
      <c r="AQ1559" s="7" t="s">
        <v>1177</v>
      </c>
      <c r="AR1559" s="29">
        <v>0</v>
      </c>
      <c r="AS1559" s="7" t="s">
        <v>1177</v>
      </c>
      <c r="AT1559" s="7" t="s">
        <v>1363</v>
      </c>
      <c r="AU1559" s="38">
        <v>46275</v>
      </c>
      <c r="AV1559" s="39">
        <v>0.62630787037036995</v>
      </c>
    </row>
    <row r="1560" spans="1:48" x14ac:dyDescent="0.35">
      <c r="A1560" t="str">
        <f t="shared" si="24"/>
        <v>GP410547B865</v>
      </c>
      <c r="B1560" s="7" t="s">
        <v>927</v>
      </c>
      <c r="C1560" s="7" t="s">
        <v>1039</v>
      </c>
      <c r="D1560" s="7" t="s">
        <v>7</v>
      </c>
      <c r="E1560" s="7" t="s">
        <v>1177</v>
      </c>
      <c r="F1560" s="7" t="s">
        <v>128</v>
      </c>
      <c r="G1560" s="7" t="s">
        <v>130</v>
      </c>
      <c r="H1560" s="7" t="s">
        <v>129</v>
      </c>
      <c r="I1560" s="30">
        <v>3</v>
      </c>
      <c r="J1560" s="7" t="s">
        <v>1177</v>
      </c>
      <c r="K1560" s="7" t="s">
        <v>1178</v>
      </c>
      <c r="L1560" s="7" t="s">
        <v>132</v>
      </c>
      <c r="M1560" s="7" t="s">
        <v>133</v>
      </c>
      <c r="N1560" s="30">
        <v>0</v>
      </c>
      <c r="O1560" s="30">
        <v>0</v>
      </c>
      <c r="P1560" s="30">
        <v>0</v>
      </c>
      <c r="Q1560" s="30">
        <v>0</v>
      </c>
      <c r="R1560" s="29">
        <v>0</v>
      </c>
      <c r="S1560" s="36">
        <v>0</v>
      </c>
      <c r="T1560" s="7" t="s">
        <v>131</v>
      </c>
      <c r="U1560" s="7" t="s">
        <v>1040</v>
      </c>
      <c r="V1560" s="7" t="s">
        <v>1040</v>
      </c>
      <c r="W1560" s="7" t="s">
        <v>1177</v>
      </c>
      <c r="X1560" s="30">
        <v>1</v>
      </c>
      <c r="Y1560" s="7" t="s">
        <v>1177</v>
      </c>
      <c r="Z1560" s="7" t="s">
        <v>1178</v>
      </c>
      <c r="AA1560" s="30">
        <v>0</v>
      </c>
      <c r="AB1560" s="36">
        <v>0</v>
      </c>
      <c r="AC1560" s="7" t="s">
        <v>1177</v>
      </c>
      <c r="AD1560" s="37">
        <v>0</v>
      </c>
      <c r="AE1560" s="7" t="s">
        <v>1177</v>
      </c>
      <c r="AF1560" s="7" t="s">
        <v>1177</v>
      </c>
      <c r="AG1560" s="7" t="s">
        <v>1177</v>
      </c>
      <c r="AH1560" s="38"/>
      <c r="AI1560" s="36">
        <v>0</v>
      </c>
      <c r="AJ1560" s="7" t="s">
        <v>1193</v>
      </c>
      <c r="AK1560" s="7" t="s">
        <v>1177</v>
      </c>
      <c r="AL1560" s="7" t="s">
        <v>1177</v>
      </c>
      <c r="AM1560" s="7" t="s">
        <v>1177</v>
      </c>
      <c r="AN1560" s="7" t="s">
        <v>3212</v>
      </c>
      <c r="AO1560" s="7" t="s">
        <v>1177</v>
      </c>
      <c r="AP1560" s="7" t="s">
        <v>1177</v>
      </c>
      <c r="AQ1560" s="7" t="s">
        <v>1177</v>
      </c>
      <c r="AR1560" s="29">
        <v>0</v>
      </c>
      <c r="AS1560" s="7" t="s">
        <v>1177</v>
      </c>
      <c r="AT1560" s="7" t="s">
        <v>1363</v>
      </c>
      <c r="AU1560" s="38">
        <v>46275</v>
      </c>
      <c r="AV1560" s="39">
        <v>0.62674768518518997</v>
      </c>
    </row>
    <row r="1561" spans="1:48" x14ac:dyDescent="0.35">
      <c r="A1561" t="str">
        <f t="shared" si="24"/>
        <v>GP410547B867</v>
      </c>
      <c r="B1561" s="7" t="s">
        <v>927</v>
      </c>
      <c r="C1561" s="7" t="s">
        <v>1059</v>
      </c>
      <c r="D1561" s="7" t="s">
        <v>25</v>
      </c>
      <c r="E1561" s="7" t="s">
        <v>1177</v>
      </c>
      <c r="F1561" s="7" t="s">
        <v>128</v>
      </c>
      <c r="G1561" s="7" t="s">
        <v>130</v>
      </c>
      <c r="H1561" s="7" t="s">
        <v>129</v>
      </c>
      <c r="I1561" s="30">
        <v>2</v>
      </c>
      <c r="J1561" s="7" t="s">
        <v>1177</v>
      </c>
      <c r="K1561" s="7" t="s">
        <v>1178</v>
      </c>
      <c r="L1561" s="7" t="s">
        <v>132</v>
      </c>
      <c r="M1561" s="7" t="s">
        <v>133</v>
      </c>
      <c r="N1561" s="30">
        <v>0</v>
      </c>
      <c r="O1561" s="30">
        <v>0</v>
      </c>
      <c r="P1561" s="30">
        <v>0</v>
      </c>
      <c r="Q1561" s="30">
        <v>0</v>
      </c>
      <c r="R1561" s="29">
        <v>0</v>
      </c>
      <c r="S1561" s="36">
        <v>0</v>
      </c>
      <c r="T1561" s="7" t="s">
        <v>131</v>
      </c>
      <c r="U1561" s="7" t="s">
        <v>1060</v>
      </c>
      <c r="V1561" s="7" t="s">
        <v>1060</v>
      </c>
      <c r="W1561" s="7" t="s">
        <v>1177</v>
      </c>
      <c r="X1561" s="30">
        <v>1</v>
      </c>
      <c r="Y1561" s="7" t="s">
        <v>1177</v>
      </c>
      <c r="Z1561" s="7" t="s">
        <v>1178</v>
      </c>
      <c r="AA1561" s="30">
        <v>0</v>
      </c>
      <c r="AB1561" s="36">
        <v>0</v>
      </c>
      <c r="AC1561" s="7" t="s">
        <v>1177</v>
      </c>
      <c r="AD1561" s="37">
        <v>0</v>
      </c>
      <c r="AE1561" s="7" t="s">
        <v>1177</v>
      </c>
      <c r="AF1561" s="7" t="s">
        <v>1177</v>
      </c>
      <c r="AG1561" s="7" t="s">
        <v>1177</v>
      </c>
      <c r="AH1561" s="38"/>
      <c r="AI1561" s="36">
        <v>0</v>
      </c>
      <c r="AJ1561" s="7" t="s">
        <v>1193</v>
      </c>
      <c r="AK1561" s="7" t="s">
        <v>1177</v>
      </c>
      <c r="AL1561" s="7" t="s">
        <v>1177</v>
      </c>
      <c r="AM1561" s="7" t="s">
        <v>1177</v>
      </c>
      <c r="AN1561" s="7" t="s">
        <v>3212</v>
      </c>
      <c r="AO1561" s="7" t="s">
        <v>1177</v>
      </c>
      <c r="AP1561" s="7" t="s">
        <v>1177</v>
      </c>
      <c r="AQ1561" s="7" t="s">
        <v>1177</v>
      </c>
      <c r="AR1561" s="29">
        <v>0</v>
      </c>
      <c r="AS1561" s="7" t="s">
        <v>1177</v>
      </c>
      <c r="AT1561" s="7" t="s">
        <v>1363</v>
      </c>
      <c r="AU1561" s="38">
        <v>46275</v>
      </c>
      <c r="AV1561" s="39">
        <v>0.62715277777778</v>
      </c>
    </row>
    <row r="1562" spans="1:48" x14ac:dyDescent="0.35">
      <c r="A1562" t="str">
        <f t="shared" si="24"/>
        <v>GP410668B856</v>
      </c>
      <c r="B1562" s="7" t="s">
        <v>928</v>
      </c>
      <c r="C1562" s="7" t="s">
        <v>852</v>
      </c>
      <c r="D1562" s="7" t="s">
        <v>21</v>
      </c>
      <c r="E1562" s="7" t="s">
        <v>1177</v>
      </c>
      <c r="F1562" s="7" t="s">
        <v>128</v>
      </c>
      <c r="G1562" s="7" t="s">
        <v>130</v>
      </c>
      <c r="H1562" s="7" t="s">
        <v>129</v>
      </c>
      <c r="I1562" s="30">
        <v>2</v>
      </c>
      <c r="J1562" s="7" t="s">
        <v>1177</v>
      </c>
      <c r="K1562" s="7" t="s">
        <v>1178</v>
      </c>
      <c r="L1562" s="7" t="s">
        <v>132</v>
      </c>
      <c r="M1562" s="7" t="s">
        <v>133</v>
      </c>
      <c r="N1562" s="30">
        <v>0</v>
      </c>
      <c r="O1562" s="30">
        <v>0</v>
      </c>
      <c r="P1562" s="30">
        <v>0</v>
      </c>
      <c r="Q1562" s="30">
        <v>0</v>
      </c>
      <c r="R1562" s="29">
        <v>0</v>
      </c>
      <c r="S1562" s="36">
        <v>0</v>
      </c>
      <c r="T1562" s="7" t="s">
        <v>131</v>
      </c>
      <c r="U1562" s="7" t="s">
        <v>853</v>
      </c>
      <c r="V1562" s="7" t="s">
        <v>853</v>
      </c>
      <c r="W1562" s="7" t="s">
        <v>1177</v>
      </c>
      <c r="X1562" s="30">
        <v>1</v>
      </c>
      <c r="Y1562" s="7" t="s">
        <v>1177</v>
      </c>
      <c r="Z1562" s="7" t="s">
        <v>1178</v>
      </c>
      <c r="AA1562" s="30">
        <v>0</v>
      </c>
      <c r="AB1562" s="36">
        <v>0</v>
      </c>
      <c r="AC1562" s="7" t="s">
        <v>1177</v>
      </c>
      <c r="AD1562" s="37">
        <v>0</v>
      </c>
      <c r="AE1562" s="7" t="s">
        <v>1177</v>
      </c>
      <c r="AF1562" s="7" t="s">
        <v>1177</v>
      </c>
      <c r="AG1562" s="7" t="s">
        <v>1177</v>
      </c>
      <c r="AH1562" s="38"/>
      <c r="AI1562" s="36">
        <v>0</v>
      </c>
      <c r="AJ1562" s="7" t="s">
        <v>1193</v>
      </c>
      <c r="AK1562" s="7" t="s">
        <v>1177</v>
      </c>
      <c r="AL1562" s="7" t="s">
        <v>1177</v>
      </c>
      <c r="AM1562" s="7" t="s">
        <v>1177</v>
      </c>
      <c r="AN1562" s="7" t="s">
        <v>3212</v>
      </c>
      <c r="AO1562" s="7" t="s">
        <v>1177</v>
      </c>
      <c r="AP1562" s="7" t="s">
        <v>1177</v>
      </c>
      <c r="AQ1562" s="7" t="s">
        <v>1177</v>
      </c>
      <c r="AR1562" s="29">
        <v>0</v>
      </c>
      <c r="AS1562" s="7" t="s">
        <v>1177</v>
      </c>
      <c r="AT1562" s="7" t="s">
        <v>1363</v>
      </c>
      <c r="AU1562" s="38">
        <v>46275</v>
      </c>
      <c r="AV1562" s="39">
        <v>0.62487268518519001</v>
      </c>
    </row>
    <row r="1563" spans="1:48" x14ac:dyDescent="0.35">
      <c r="A1563" t="str">
        <f t="shared" si="24"/>
        <v>GP410668B857</v>
      </c>
      <c r="B1563" s="7" t="s">
        <v>928</v>
      </c>
      <c r="C1563" s="7" t="s">
        <v>958</v>
      </c>
      <c r="D1563" s="7" t="s">
        <v>23</v>
      </c>
      <c r="E1563" s="7" t="s">
        <v>1177</v>
      </c>
      <c r="F1563" s="7" t="s">
        <v>128</v>
      </c>
      <c r="G1563" s="7" t="s">
        <v>130</v>
      </c>
      <c r="H1563" s="7" t="s">
        <v>129</v>
      </c>
      <c r="I1563" s="30">
        <v>1</v>
      </c>
      <c r="J1563" s="7" t="s">
        <v>1177</v>
      </c>
      <c r="K1563" s="7" t="s">
        <v>1178</v>
      </c>
      <c r="L1563" s="7" t="s">
        <v>132</v>
      </c>
      <c r="M1563" s="7" t="s">
        <v>133</v>
      </c>
      <c r="N1563" s="30">
        <v>0</v>
      </c>
      <c r="O1563" s="30">
        <v>0</v>
      </c>
      <c r="P1563" s="30">
        <v>0</v>
      </c>
      <c r="Q1563" s="30">
        <v>0</v>
      </c>
      <c r="R1563" s="29">
        <v>0</v>
      </c>
      <c r="S1563" s="36">
        <v>0</v>
      </c>
      <c r="T1563" s="7" t="s">
        <v>131</v>
      </c>
      <c r="U1563" s="7" t="s">
        <v>959</v>
      </c>
      <c r="V1563" s="7" t="s">
        <v>959</v>
      </c>
      <c r="W1563" s="7" t="s">
        <v>1177</v>
      </c>
      <c r="X1563" s="30">
        <v>1</v>
      </c>
      <c r="Y1563" s="7" t="s">
        <v>1177</v>
      </c>
      <c r="Z1563" s="7" t="s">
        <v>1178</v>
      </c>
      <c r="AA1563" s="30">
        <v>0</v>
      </c>
      <c r="AB1563" s="36">
        <v>0</v>
      </c>
      <c r="AC1563" s="7" t="s">
        <v>1177</v>
      </c>
      <c r="AD1563" s="37">
        <v>0</v>
      </c>
      <c r="AE1563" s="7" t="s">
        <v>1177</v>
      </c>
      <c r="AF1563" s="7" t="s">
        <v>1177</v>
      </c>
      <c r="AG1563" s="7" t="s">
        <v>1177</v>
      </c>
      <c r="AH1563" s="38"/>
      <c r="AI1563" s="36">
        <v>0</v>
      </c>
      <c r="AJ1563" s="7" t="s">
        <v>1193</v>
      </c>
      <c r="AK1563" s="7" t="s">
        <v>1177</v>
      </c>
      <c r="AL1563" s="7" t="s">
        <v>1177</v>
      </c>
      <c r="AM1563" s="7" t="s">
        <v>1177</v>
      </c>
      <c r="AN1563" s="7" t="s">
        <v>3212</v>
      </c>
      <c r="AO1563" s="7" t="s">
        <v>1177</v>
      </c>
      <c r="AP1563" s="7" t="s">
        <v>1177</v>
      </c>
      <c r="AQ1563" s="7" t="s">
        <v>1177</v>
      </c>
      <c r="AR1563" s="29">
        <v>0</v>
      </c>
      <c r="AS1563" s="7" t="s">
        <v>1177</v>
      </c>
      <c r="AT1563" s="7" t="s">
        <v>1363</v>
      </c>
      <c r="AU1563" s="38">
        <v>46275</v>
      </c>
      <c r="AV1563" s="39">
        <v>0.62515046296295995</v>
      </c>
    </row>
    <row r="1564" spans="1:48" x14ac:dyDescent="0.35">
      <c r="A1564" t="str">
        <f t="shared" si="24"/>
        <v>GP410669B856</v>
      </c>
      <c r="B1564" s="7" t="s">
        <v>929</v>
      </c>
      <c r="C1564" s="7" t="s">
        <v>852</v>
      </c>
      <c r="D1564" s="7" t="s">
        <v>21</v>
      </c>
      <c r="E1564" s="7" t="s">
        <v>1177</v>
      </c>
      <c r="F1564" s="7" t="s">
        <v>128</v>
      </c>
      <c r="G1564" s="7" t="s">
        <v>130</v>
      </c>
      <c r="H1564" s="7" t="s">
        <v>129</v>
      </c>
      <c r="I1564" s="30">
        <v>1</v>
      </c>
      <c r="J1564" s="7" t="s">
        <v>1177</v>
      </c>
      <c r="K1564" s="7" t="s">
        <v>1178</v>
      </c>
      <c r="L1564" s="7" t="s">
        <v>132</v>
      </c>
      <c r="M1564" s="7" t="s">
        <v>133</v>
      </c>
      <c r="N1564" s="30">
        <v>0</v>
      </c>
      <c r="O1564" s="30">
        <v>0</v>
      </c>
      <c r="P1564" s="30">
        <v>0</v>
      </c>
      <c r="Q1564" s="30">
        <v>0</v>
      </c>
      <c r="R1564" s="29">
        <v>0</v>
      </c>
      <c r="S1564" s="36">
        <v>0</v>
      </c>
      <c r="T1564" s="7" t="s">
        <v>131</v>
      </c>
      <c r="U1564" s="7" t="s">
        <v>853</v>
      </c>
      <c r="V1564" s="7" t="s">
        <v>853</v>
      </c>
      <c r="W1564" s="7" t="s">
        <v>1177</v>
      </c>
      <c r="X1564" s="30">
        <v>1</v>
      </c>
      <c r="Y1564" s="7" t="s">
        <v>1177</v>
      </c>
      <c r="Z1564" s="7" t="s">
        <v>1178</v>
      </c>
      <c r="AA1564" s="30">
        <v>0</v>
      </c>
      <c r="AB1564" s="36">
        <v>0</v>
      </c>
      <c r="AC1564" s="7" t="s">
        <v>1177</v>
      </c>
      <c r="AD1564" s="37">
        <v>0</v>
      </c>
      <c r="AE1564" s="7" t="s">
        <v>1177</v>
      </c>
      <c r="AF1564" s="7" t="s">
        <v>1177</v>
      </c>
      <c r="AG1564" s="7" t="s">
        <v>1177</v>
      </c>
      <c r="AH1564" s="38"/>
      <c r="AI1564" s="36">
        <v>0</v>
      </c>
      <c r="AJ1564" s="7" t="s">
        <v>1193</v>
      </c>
      <c r="AK1564" s="7" t="s">
        <v>1177</v>
      </c>
      <c r="AL1564" s="7" t="s">
        <v>1177</v>
      </c>
      <c r="AM1564" s="7" t="s">
        <v>1177</v>
      </c>
      <c r="AN1564" s="7" t="s">
        <v>3212</v>
      </c>
      <c r="AO1564" s="7" t="s">
        <v>1177</v>
      </c>
      <c r="AP1564" s="7" t="s">
        <v>1177</v>
      </c>
      <c r="AQ1564" s="7" t="s">
        <v>1177</v>
      </c>
      <c r="AR1564" s="29">
        <v>0</v>
      </c>
      <c r="AS1564" s="7" t="s">
        <v>1177</v>
      </c>
      <c r="AT1564" s="7" t="s">
        <v>1363</v>
      </c>
      <c r="AU1564" s="38">
        <v>46275</v>
      </c>
      <c r="AV1564" s="39">
        <v>0.62487268518519001</v>
      </c>
    </row>
    <row r="1565" spans="1:48" x14ac:dyDescent="0.35">
      <c r="A1565" t="str">
        <f t="shared" si="24"/>
        <v>GP411469B856</v>
      </c>
      <c r="B1565" s="7" t="s">
        <v>100</v>
      </c>
      <c r="C1565" s="7" t="s">
        <v>852</v>
      </c>
      <c r="D1565" s="7" t="s">
        <v>21</v>
      </c>
      <c r="E1565" s="7" t="s">
        <v>1177</v>
      </c>
      <c r="F1565" s="7" t="s">
        <v>128</v>
      </c>
      <c r="G1565" s="7" t="s">
        <v>130</v>
      </c>
      <c r="H1565" s="7" t="s">
        <v>129</v>
      </c>
      <c r="I1565" s="30">
        <v>2</v>
      </c>
      <c r="J1565" s="7" t="s">
        <v>1177</v>
      </c>
      <c r="K1565" s="7" t="s">
        <v>1178</v>
      </c>
      <c r="L1565" s="7" t="s">
        <v>132</v>
      </c>
      <c r="M1565" s="7" t="s">
        <v>133</v>
      </c>
      <c r="N1565" s="30">
        <v>0</v>
      </c>
      <c r="O1565" s="30">
        <v>0</v>
      </c>
      <c r="P1565" s="30">
        <v>0</v>
      </c>
      <c r="Q1565" s="30">
        <v>0</v>
      </c>
      <c r="R1565" s="29">
        <v>0</v>
      </c>
      <c r="S1565" s="36">
        <v>0</v>
      </c>
      <c r="T1565" s="7" t="s">
        <v>131</v>
      </c>
      <c r="U1565" s="7" t="s">
        <v>853</v>
      </c>
      <c r="V1565" s="7" t="s">
        <v>853</v>
      </c>
      <c r="W1565" s="7" t="s">
        <v>1177</v>
      </c>
      <c r="X1565" s="30">
        <v>1</v>
      </c>
      <c r="Y1565" s="7" t="s">
        <v>1177</v>
      </c>
      <c r="Z1565" s="7" t="s">
        <v>1178</v>
      </c>
      <c r="AA1565" s="30">
        <v>0</v>
      </c>
      <c r="AB1565" s="36">
        <v>0</v>
      </c>
      <c r="AC1565" s="7" t="s">
        <v>1177</v>
      </c>
      <c r="AD1565" s="37">
        <v>0</v>
      </c>
      <c r="AE1565" s="7" t="s">
        <v>1177</v>
      </c>
      <c r="AF1565" s="7" t="s">
        <v>1177</v>
      </c>
      <c r="AG1565" s="7" t="s">
        <v>1177</v>
      </c>
      <c r="AH1565" s="38"/>
      <c r="AI1565" s="36">
        <v>0</v>
      </c>
      <c r="AJ1565" s="7" t="s">
        <v>1193</v>
      </c>
      <c r="AK1565" s="7" t="s">
        <v>1177</v>
      </c>
      <c r="AL1565" s="7" t="s">
        <v>1177</v>
      </c>
      <c r="AM1565" s="7" t="s">
        <v>1177</v>
      </c>
      <c r="AN1565" s="7" t="s">
        <v>3212</v>
      </c>
      <c r="AO1565" s="7" t="s">
        <v>1177</v>
      </c>
      <c r="AP1565" s="7" t="s">
        <v>1177</v>
      </c>
      <c r="AQ1565" s="7" t="s">
        <v>1177</v>
      </c>
      <c r="AR1565" s="29">
        <v>0</v>
      </c>
      <c r="AS1565" s="7" t="s">
        <v>1177</v>
      </c>
      <c r="AT1565" s="7" t="s">
        <v>1363</v>
      </c>
      <c r="AU1565" s="38">
        <v>46275</v>
      </c>
      <c r="AV1565" s="39">
        <v>0.62486111111110998</v>
      </c>
    </row>
    <row r="1566" spans="1:48" x14ac:dyDescent="0.35">
      <c r="A1566" t="str">
        <f t="shared" si="24"/>
        <v>GP411469B857</v>
      </c>
      <c r="B1566" s="7" t="s">
        <v>100</v>
      </c>
      <c r="C1566" s="7" t="s">
        <v>958</v>
      </c>
      <c r="D1566" s="7" t="s">
        <v>23</v>
      </c>
      <c r="E1566" s="7" t="s">
        <v>1177</v>
      </c>
      <c r="F1566" s="7" t="s">
        <v>128</v>
      </c>
      <c r="G1566" s="7" t="s">
        <v>130</v>
      </c>
      <c r="H1566" s="7" t="s">
        <v>129</v>
      </c>
      <c r="I1566" s="30">
        <v>2</v>
      </c>
      <c r="J1566" s="7" t="s">
        <v>1177</v>
      </c>
      <c r="K1566" s="7" t="s">
        <v>1178</v>
      </c>
      <c r="L1566" s="7" t="s">
        <v>132</v>
      </c>
      <c r="M1566" s="7" t="s">
        <v>133</v>
      </c>
      <c r="N1566" s="30">
        <v>0</v>
      </c>
      <c r="O1566" s="30">
        <v>0</v>
      </c>
      <c r="P1566" s="30">
        <v>0</v>
      </c>
      <c r="Q1566" s="30">
        <v>0</v>
      </c>
      <c r="R1566" s="29">
        <v>0</v>
      </c>
      <c r="S1566" s="36">
        <v>0</v>
      </c>
      <c r="T1566" s="7" t="s">
        <v>131</v>
      </c>
      <c r="U1566" s="7" t="s">
        <v>959</v>
      </c>
      <c r="V1566" s="7" t="s">
        <v>959</v>
      </c>
      <c r="W1566" s="7" t="s">
        <v>1177</v>
      </c>
      <c r="X1566" s="30">
        <v>1</v>
      </c>
      <c r="Y1566" s="7" t="s">
        <v>1177</v>
      </c>
      <c r="Z1566" s="7" t="s">
        <v>1178</v>
      </c>
      <c r="AA1566" s="30">
        <v>0</v>
      </c>
      <c r="AB1566" s="36">
        <v>0</v>
      </c>
      <c r="AC1566" s="7" t="s">
        <v>1177</v>
      </c>
      <c r="AD1566" s="37">
        <v>0</v>
      </c>
      <c r="AE1566" s="7" t="s">
        <v>1177</v>
      </c>
      <c r="AF1566" s="7" t="s">
        <v>1177</v>
      </c>
      <c r="AG1566" s="7" t="s">
        <v>1177</v>
      </c>
      <c r="AH1566" s="38"/>
      <c r="AI1566" s="36">
        <v>0</v>
      </c>
      <c r="AJ1566" s="7" t="s">
        <v>1193</v>
      </c>
      <c r="AK1566" s="7" t="s">
        <v>1177</v>
      </c>
      <c r="AL1566" s="7" t="s">
        <v>1177</v>
      </c>
      <c r="AM1566" s="7" t="s">
        <v>1177</v>
      </c>
      <c r="AN1566" s="7" t="s">
        <v>3212</v>
      </c>
      <c r="AO1566" s="7" t="s">
        <v>1177</v>
      </c>
      <c r="AP1566" s="7" t="s">
        <v>1177</v>
      </c>
      <c r="AQ1566" s="7" t="s">
        <v>1177</v>
      </c>
      <c r="AR1566" s="29">
        <v>0</v>
      </c>
      <c r="AS1566" s="7" t="s">
        <v>1177</v>
      </c>
      <c r="AT1566" s="7" t="s">
        <v>1363</v>
      </c>
      <c r="AU1566" s="38">
        <v>46275</v>
      </c>
      <c r="AV1566" s="39">
        <v>0.62515046296295995</v>
      </c>
    </row>
    <row r="1567" spans="1:48" x14ac:dyDescent="0.35">
      <c r="A1567" t="str">
        <f t="shared" si="24"/>
        <v>GP411469B864</v>
      </c>
      <c r="B1567" s="7" t="s">
        <v>100</v>
      </c>
      <c r="C1567" s="7" t="s">
        <v>1010</v>
      </c>
      <c r="D1567" s="7" t="s">
        <v>10</v>
      </c>
      <c r="E1567" s="7" t="s">
        <v>1177</v>
      </c>
      <c r="F1567" s="7" t="s">
        <v>128</v>
      </c>
      <c r="G1567" s="7" t="s">
        <v>130</v>
      </c>
      <c r="H1567" s="7" t="s">
        <v>129</v>
      </c>
      <c r="I1567" s="30">
        <v>2</v>
      </c>
      <c r="J1567" s="7" t="s">
        <v>1177</v>
      </c>
      <c r="K1567" s="7" t="s">
        <v>1178</v>
      </c>
      <c r="L1567" s="7" t="s">
        <v>132</v>
      </c>
      <c r="M1567" s="7" t="s">
        <v>133</v>
      </c>
      <c r="N1567" s="30">
        <v>0</v>
      </c>
      <c r="O1567" s="30">
        <v>0</v>
      </c>
      <c r="P1567" s="30">
        <v>0</v>
      </c>
      <c r="Q1567" s="30">
        <v>0</v>
      </c>
      <c r="R1567" s="29">
        <v>0</v>
      </c>
      <c r="S1567" s="36">
        <v>0</v>
      </c>
      <c r="T1567" s="7" t="s">
        <v>131</v>
      </c>
      <c r="U1567" s="7" t="s">
        <v>1011</v>
      </c>
      <c r="V1567" s="7" t="s">
        <v>1011</v>
      </c>
      <c r="W1567" s="7" t="s">
        <v>1177</v>
      </c>
      <c r="X1567" s="30">
        <v>1</v>
      </c>
      <c r="Y1567" s="7" t="s">
        <v>1177</v>
      </c>
      <c r="Z1567" s="7" t="s">
        <v>1178</v>
      </c>
      <c r="AA1567" s="30">
        <v>0</v>
      </c>
      <c r="AB1567" s="36">
        <v>0</v>
      </c>
      <c r="AC1567" s="7" t="s">
        <v>1177</v>
      </c>
      <c r="AD1567" s="37">
        <v>0</v>
      </c>
      <c r="AE1567" s="7" t="s">
        <v>1177</v>
      </c>
      <c r="AF1567" s="7" t="s">
        <v>1177</v>
      </c>
      <c r="AG1567" s="7" t="s">
        <v>1177</v>
      </c>
      <c r="AH1567" s="38"/>
      <c r="AI1567" s="36">
        <v>0</v>
      </c>
      <c r="AJ1567" s="7" t="s">
        <v>1193</v>
      </c>
      <c r="AK1567" s="7" t="s">
        <v>1177</v>
      </c>
      <c r="AL1567" s="7" t="s">
        <v>1177</v>
      </c>
      <c r="AM1567" s="7" t="s">
        <v>1177</v>
      </c>
      <c r="AN1567" s="7" t="s">
        <v>3212</v>
      </c>
      <c r="AO1567" s="7" t="s">
        <v>1177</v>
      </c>
      <c r="AP1567" s="7" t="s">
        <v>1177</v>
      </c>
      <c r="AQ1567" s="7" t="s">
        <v>1177</v>
      </c>
      <c r="AR1567" s="29">
        <v>0</v>
      </c>
      <c r="AS1567" s="7" t="s">
        <v>1177</v>
      </c>
      <c r="AT1567" s="7" t="s">
        <v>1363</v>
      </c>
      <c r="AU1567" s="38">
        <v>46275</v>
      </c>
      <c r="AV1567" s="39">
        <v>0.62631944444443999</v>
      </c>
    </row>
    <row r="1568" spans="1:48" x14ac:dyDescent="0.35">
      <c r="A1568" t="str">
        <f t="shared" si="24"/>
        <v>GP411469B865</v>
      </c>
      <c r="B1568" s="7" t="s">
        <v>100</v>
      </c>
      <c r="C1568" s="7" t="s">
        <v>1039</v>
      </c>
      <c r="D1568" s="7" t="s">
        <v>7</v>
      </c>
      <c r="E1568" s="7" t="s">
        <v>1177</v>
      </c>
      <c r="F1568" s="7" t="s">
        <v>128</v>
      </c>
      <c r="G1568" s="7" t="s">
        <v>130</v>
      </c>
      <c r="H1568" s="7" t="s">
        <v>129</v>
      </c>
      <c r="I1568" s="30">
        <v>2</v>
      </c>
      <c r="J1568" s="7" t="s">
        <v>1177</v>
      </c>
      <c r="K1568" s="7" t="s">
        <v>1178</v>
      </c>
      <c r="L1568" s="7" t="s">
        <v>132</v>
      </c>
      <c r="M1568" s="7" t="s">
        <v>133</v>
      </c>
      <c r="N1568" s="30">
        <v>0</v>
      </c>
      <c r="O1568" s="30">
        <v>0</v>
      </c>
      <c r="P1568" s="30">
        <v>0</v>
      </c>
      <c r="Q1568" s="30">
        <v>0</v>
      </c>
      <c r="R1568" s="29">
        <v>0</v>
      </c>
      <c r="S1568" s="36">
        <v>0</v>
      </c>
      <c r="T1568" s="7" t="s">
        <v>131</v>
      </c>
      <c r="U1568" s="7" t="s">
        <v>1040</v>
      </c>
      <c r="V1568" s="7" t="s">
        <v>1040</v>
      </c>
      <c r="W1568" s="7" t="s">
        <v>1177</v>
      </c>
      <c r="X1568" s="30">
        <v>1</v>
      </c>
      <c r="Y1568" s="7" t="s">
        <v>1177</v>
      </c>
      <c r="Z1568" s="7" t="s">
        <v>1178</v>
      </c>
      <c r="AA1568" s="30">
        <v>0</v>
      </c>
      <c r="AB1568" s="36">
        <v>0</v>
      </c>
      <c r="AC1568" s="7" t="s">
        <v>1177</v>
      </c>
      <c r="AD1568" s="37">
        <v>0</v>
      </c>
      <c r="AE1568" s="7" t="s">
        <v>1177</v>
      </c>
      <c r="AF1568" s="7" t="s">
        <v>1177</v>
      </c>
      <c r="AG1568" s="7" t="s">
        <v>1177</v>
      </c>
      <c r="AH1568" s="38"/>
      <c r="AI1568" s="36">
        <v>0</v>
      </c>
      <c r="AJ1568" s="7" t="s">
        <v>1193</v>
      </c>
      <c r="AK1568" s="7" t="s">
        <v>1177</v>
      </c>
      <c r="AL1568" s="7" t="s">
        <v>1177</v>
      </c>
      <c r="AM1568" s="7" t="s">
        <v>1177</v>
      </c>
      <c r="AN1568" s="7" t="s">
        <v>3212</v>
      </c>
      <c r="AO1568" s="7" t="s">
        <v>1177</v>
      </c>
      <c r="AP1568" s="7" t="s">
        <v>1177</v>
      </c>
      <c r="AQ1568" s="7" t="s">
        <v>1177</v>
      </c>
      <c r="AR1568" s="29">
        <v>0</v>
      </c>
      <c r="AS1568" s="7" t="s">
        <v>1177</v>
      </c>
      <c r="AT1568" s="7" t="s">
        <v>1363</v>
      </c>
      <c r="AU1568" s="38">
        <v>46275</v>
      </c>
      <c r="AV1568" s="39">
        <v>0.62674768518518997</v>
      </c>
    </row>
    <row r="1569" spans="1:48" x14ac:dyDescent="0.35">
      <c r="A1569" t="str">
        <f t="shared" si="24"/>
        <v>GP411469B867</v>
      </c>
      <c r="B1569" s="7" t="s">
        <v>100</v>
      </c>
      <c r="C1569" s="7" t="s">
        <v>1059</v>
      </c>
      <c r="D1569" s="7" t="s">
        <v>25</v>
      </c>
      <c r="E1569" s="7" t="s">
        <v>1177</v>
      </c>
      <c r="F1569" s="7" t="s">
        <v>128</v>
      </c>
      <c r="G1569" s="7" t="s">
        <v>130</v>
      </c>
      <c r="H1569" s="7" t="s">
        <v>129</v>
      </c>
      <c r="I1569" s="30">
        <v>2</v>
      </c>
      <c r="J1569" s="7" t="s">
        <v>1177</v>
      </c>
      <c r="K1569" s="7" t="s">
        <v>1178</v>
      </c>
      <c r="L1569" s="7" t="s">
        <v>132</v>
      </c>
      <c r="M1569" s="7" t="s">
        <v>133</v>
      </c>
      <c r="N1569" s="30">
        <v>0</v>
      </c>
      <c r="O1569" s="30">
        <v>0</v>
      </c>
      <c r="P1569" s="30">
        <v>0</v>
      </c>
      <c r="Q1569" s="30">
        <v>0</v>
      </c>
      <c r="R1569" s="29">
        <v>0</v>
      </c>
      <c r="S1569" s="36">
        <v>0</v>
      </c>
      <c r="T1569" s="7" t="s">
        <v>131</v>
      </c>
      <c r="U1569" s="7" t="s">
        <v>1060</v>
      </c>
      <c r="V1569" s="7" t="s">
        <v>1060</v>
      </c>
      <c r="W1569" s="7" t="s">
        <v>1177</v>
      </c>
      <c r="X1569" s="30">
        <v>1</v>
      </c>
      <c r="Y1569" s="7" t="s">
        <v>1177</v>
      </c>
      <c r="Z1569" s="7" t="s">
        <v>1178</v>
      </c>
      <c r="AA1569" s="30">
        <v>0</v>
      </c>
      <c r="AB1569" s="36">
        <v>0</v>
      </c>
      <c r="AC1569" s="7" t="s">
        <v>1177</v>
      </c>
      <c r="AD1569" s="37">
        <v>0</v>
      </c>
      <c r="AE1569" s="7" t="s">
        <v>1177</v>
      </c>
      <c r="AF1569" s="7" t="s">
        <v>1177</v>
      </c>
      <c r="AG1569" s="7" t="s">
        <v>1177</v>
      </c>
      <c r="AH1569" s="38"/>
      <c r="AI1569" s="36">
        <v>0</v>
      </c>
      <c r="AJ1569" s="7" t="s">
        <v>1193</v>
      </c>
      <c r="AK1569" s="7" t="s">
        <v>1177</v>
      </c>
      <c r="AL1569" s="7" t="s">
        <v>1177</v>
      </c>
      <c r="AM1569" s="7" t="s">
        <v>1177</v>
      </c>
      <c r="AN1569" s="7" t="s">
        <v>3212</v>
      </c>
      <c r="AO1569" s="7" t="s">
        <v>1177</v>
      </c>
      <c r="AP1569" s="7" t="s">
        <v>1177</v>
      </c>
      <c r="AQ1569" s="7" t="s">
        <v>1177</v>
      </c>
      <c r="AR1569" s="29">
        <v>0</v>
      </c>
      <c r="AS1569" s="7" t="s">
        <v>1177</v>
      </c>
      <c r="AT1569" s="7" t="s">
        <v>1363</v>
      </c>
      <c r="AU1569" s="38">
        <v>46275</v>
      </c>
      <c r="AV1569" s="39">
        <v>0.62715277777778</v>
      </c>
    </row>
    <row r="1570" spans="1:48" x14ac:dyDescent="0.35">
      <c r="A1570" t="str">
        <f t="shared" si="24"/>
        <v>GP411896B856</v>
      </c>
      <c r="B1570" s="7" t="s">
        <v>931</v>
      </c>
      <c r="C1570" s="7" t="s">
        <v>852</v>
      </c>
      <c r="D1570" s="7" t="s">
        <v>21</v>
      </c>
      <c r="E1570" s="7" t="s">
        <v>1177</v>
      </c>
      <c r="F1570" s="7" t="s">
        <v>128</v>
      </c>
      <c r="G1570" s="7" t="s">
        <v>130</v>
      </c>
      <c r="H1570" s="7" t="s">
        <v>129</v>
      </c>
      <c r="I1570" s="30">
        <v>2</v>
      </c>
      <c r="J1570" s="7" t="s">
        <v>1177</v>
      </c>
      <c r="K1570" s="7" t="s">
        <v>1178</v>
      </c>
      <c r="L1570" s="7" t="s">
        <v>132</v>
      </c>
      <c r="M1570" s="7" t="s">
        <v>133</v>
      </c>
      <c r="N1570" s="30">
        <v>0</v>
      </c>
      <c r="O1570" s="30">
        <v>0</v>
      </c>
      <c r="P1570" s="30">
        <v>0</v>
      </c>
      <c r="Q1570" s="30">
        <v>0</v>
      </c>
      <c r="R1570" s="29">
        <v>0</v>
      </c>
      <c r="S1570" s="36">
        <v>0</v>
      </c>
      <c r="T1570" s="7" t="s">
        <v>131</v>
      </c>
      <c r="U1570" s="7" t="s">
        <v>853</v>
      </c>
      <c r="V1570" s="7" t="s">
        <v>853</v>
      </c>
      <c r="W1570" s="7" t="s">
        <v>1177</v>
      </c>
      <c r="X1570" s="30">
        <v>1</v>
      </c>
      <c r="Y1570" s="7" t="s">
        <v>1177</v>
      </c>
      <c r="Z1570" s="7" t="s">
        <v>1178</v>
      </c>
      <c r="AA1570" s="30">
        <v>0</v>
      </c>
      <c r="AB1570" s="36">
        <v>0</v>
      </c>
      <c r="AC1570" s="7" t="s">
        <v>1177</v>
      </c>
      <c r="AD1570" s="37">
        <v>0</v>
      </c>
      <c r="AE1570" s="7" t="s">
        <v>1177</v>
      </c>
      <c r="AF1570" s="7" t="s">
        <v>1177</v>
      </c>
      <c r="AG1570" s="7" t="s">
        <v>1177</v>
      </c>
      <c r="AH1570" s="38"/>
      <c r="AI1570" s="36">
        <v>0</v>
      </c>
      <c r="AJ1570" s="7" t="s">
        <v>1193</v>
      </c>
      <c r="AK1570" s="7" t="s">
        <v>1177</v>
      </c>
      <c r="AL1570" s="7" t="s">
        <v>1177</v>
      </c>
      <c r="AM1570" s="7" t="s">
        <v>1177</v>
      </c>
      <c r="AN1570" s="7" t="s">
        <v>3212</v>
      </c>
      <c r="AO1570" s="7" t="s">
        <v>1177</v>
      </c>
      <c r="AP1570" s="7" t="s">
        <v>1177</v>
      </c>
      <c r="AQ1570" s="7" t="s">
        <v>1177</v>
      </c>
      <c r="AR1570" s="29">
        <v>0</v>
      </c>
      <c r="AS1570" s="7" t="s">
        <v>1177</v>
      </c>
      <c r="AT1570" s="7" t="s">
        <v>1363</v>
      </c>
      <c r="AU1570" s="38">
        <v>46275</v>
      </c>
      <c r="AV1570" s="39">
        <v>0.62486111111110998</v>
      </c>
    </row>
    <row r="1571" spans="1:48" x14ac:dyDescent="0.35">
      <c r="A1571" t="str">
        <f t="shared" si="24"/>
        <v>GP411897B867</v>
      </c>
      <c r="B1571" s="7" t="s">
        <v>1072</v>
      </c>
      <c r="C1571" s="7" t="s">
        <v>1059</v>
      </c>
      <c r="D1571" s="7" t="s">
        <v>25</v>
      </c>
      <c r="E1571" s="7" t="s">
        <v>1177</v>
      </c>
      <c r="F1571" s="7" t="s">
        <v>128</v>
      </c>
      <c r="G1571" s="7" t="s">
        <v>130</v>
      </c>
      <c r="H1571" s="7" t="s">
        <v>129</v>
      </c>
      <c r="I1571" s="30">
        <v>2</v>
      </c>
      <c r="J1571" s="7" t="s">
        <v>1177</v>
      </c>
      <c r="K1571" s="7" t="s">
        <v>1178</v>
      </c>
      <c r="L1571" s="7" t="s">
        <v>132</v>
      </c>
      <c r="M1571" s="7" t="s">
        <v>133</v>
      </c>
      <c r="N1571" s="30">
        <v>0</v>
      </c>
      <c r="O1571" s="30">
        <v>0</v>
      </c>
      <c r="P1571" s="30">
        <v>0</v>
      </c>
      <c r="Q1571" s="30">
        <v>0</v>
      </c>
      <c r="R1571" s="29">
        <v>0</v>
      </c>
      <c r="S1571" s="36">
        <v>0</v>
      </c>
      <c r="T1571" s="7" t="s">
        <v>131</v>
      </c>
      <c r="U1571" s="7" t="s">
        <v>1060</v>
      </c>
      <c r="V1571" s="7" t="s">
        <v>1060</v>
      </c>
      <c r="W1571" s="7" t="s">
        <v>1177</v>
      </c>
      <c r="X1571" s="30">
        <v>1</v>
      </c>
      <c r="Y1571" s="7" t="s">
        <v>1177</v>
      </c>
      <c r="Z1571" s="7" t="s">
        <v>1178</v>
      </c>
      <c r="AA1571" s="30">
        <v>0</v>
      </c>
      <c r="AB1571" s="36">
        <v>0</v>
      </c>
      <c r="AC1571" s="7" t="s">
        <v>1177</v>
      </c>
      <c r="AD1571" s="37">
        <v>0</v>
      </c>
      <c r="AE1571" s="7" t="s">
        <v>1177</v>
      </c>
      <c r="AF1571" s="7" t="s">
        <v>1177</v>
      </c>
      <c r="AG1571" s="7" t="s">
        <v>1177</v>
      </c>
      <c r="AH1571" s="38"/>
      <c r="AI1571" s="36">
        <v>0</v>
      </c>
      <c r="AJ1571" s="7" t="s">
        <v>1193</v>
      </c>
      <c r="AK1571" s="7" t="s">
        <v>1177</v>
      </c>
      <c r="AL1571" s="7" t="s">
        <v>1177</v>
      </c>
      <c r="AM1571" s="7" t="s">
        <v>1177</v>
      </c>
      <c r="AN1571" s="7" t="s">
        <v>3212</v>
      </c>
      <c r="AO1571" s="7" t="s">
        <v>1177</v>
      </c>
      <c r="AP1571" s="7" t="s">
        <v>1177</v>
      </c>
      <c r="AQ1571" s="7" t="s">
        <v>1177</v>
      </c>
      <c r="AR1571" s="29">
        <v>0</v>
      </c>
      <c r="AS1571" s="7" t="s">
        <v>1177</v>
      </c>
      <c r="AT1571" s="7" t="s">
        <v>1363</v>
      </c>
      <c r="AU1571" s="38">
        <v>46275</v>
      </c>
      <c r="AV1571" s="39">
        <v>0.62716435185185004</v>
      </c>
    </row>
    <row r="1572" spans="1:48" x14ac:dyDescent="0.35">
      <c r="A1572" t="str">
        <f t="shared" si="24"/>
        <v>GP412186B867</v>
      </c>
      <c r="B1572" s="7" t="s">
        <v>1073</v>
      </c>
      <c r="C1572" s="7" t="s">
        <v>1059</v>
      </c>
      <c r="D1572" s="7" t="s">
        <v>25</v>
      </c>
      <c r="E1572" s="7" t="s">
        <v>1177</v>
      </c>
      <c r="F1572" s="7" t="s">
        <v>134</v>
      </c>
      <c r="G1572" s="7" t="s">
        <v>130</v>
      </c>
      <c r="H1572" s="7" t="s">
        <v>129</v>
      </c>
      <c r="I1572" s="30">
        <v>2</v>
      </c>
      <c r="J1572" s="7" t="s">
        <v>1177</v>
      </c>
      <c r="K1572" s="7" t="s">
        <v>1178</v>
      </c>
      <c r="L1572" s="7" t="s">
        <v>132</v>
      </c>
      <c r="M1572" s="7" t="s">
        <v>133</v>
      </c>
      <c r="N1572" s="30">
        <v>0</v>
      </c>
      <c r="O1572" s="30">
        <v>0</v>
      </c>
      <c r="P1572" s="30">
        <v>0</v>
      </c>
      <c r="Q1572" s="30">
        <v>0</v>
      </c>
      <c r="R1572" s="29">
        <v>0</v>
      </c>
      <c r="S1572" s="36">
        <v>0</v>
      </c>
      <c r="T1572" s="7" t="s">
        <v>131</v>
      </c>
      <c r="U1572" s="7" t="s">
        <v>1060</v>
      </c>
      <c r="V1572" s="7" t="s">
        <v>1060</v>
      </c>
      <c r="W1572" s="7" t="s">
        <v>1177</v>
      </c>
      <c r="X1572" s="30">
        <v>2</v>
      </c>
      <c r="Y1572" s="7" t="s">
        <v>1177</v>
      </c>
      <c r="Z1572" s="7" t="s">
        <v>1178</v>
      </c>
      <c r="AA1572" s="30">
        <v>0</v>
      </c>
      <c r="AB1572" s="36">
        <v>0</v>
      </c>
      <c r="AC1572" s="7" t="s">
        <v>1177</v>
      </c>
      <c r="AD1572" s="37">
        <v>0</v>
      </c>
      <c r="AE1572" s="7" t="s">
        <v>1177</v>
      </c>
      <c r="AF1572" s="7" t="s">
        <v>1177</v>
      </c>
      <c r="AG1572" s="7" t="s">
        <v>1177</v>
      </c>
      <c r="AH1572" s="38"/>
      <c r="AI1572" s="36">
        <v>0</v>
      </c>
      <c r="AJ1572" s="7" t="s">
        <v>1193</v>
      </c>
      <c r="AK1572" s="7" t="s">
        <v>1177</v>
      </c>
      <c r="AL1572" s="7" t="s">
        <v>1177</v>
      </c>
      <c r="AM1572" s="7" t="s">
        <v>1177</v>
      </c>
      <c r="AN1572" s="7" t="s">
        <v>3212</v>
      </c>
      <c r="AO1572" s="7" t="s">
        <v>1177</v>
      </c>
      <c r="AP1572" s="7" t="s">
        <v>1177</v>
      </c>
      <c r="AQ1572" s="7" t="s">
        <v>1177</v>
      </c>
      <c r="AR1572" s="29">
        <v>0</v>
      </c>
      <c r="AS1572" s="7" t="s">
        <v>1177</v>
      </c>
      <c r="AT1572" s="7" t="s">
        <v>1363</v>
      </c>
      <c r="AU1572" s="38">
        <v>46275</v>
      </c>
      <c r="AV1572" s="39">
        <v>0.62730324074073995</v>
      </c>
    </row>
    <row r="1573" spans="1:48" x14ac:dyDescent="0.35">
      <c r="A1573" t="str">
        <f t="shared" si="24"/>
        <v>GP413615B857</v>
      </c>
      <c r="B1573" s="7" t="s">
        <v>990</v>
      </c>
      <c r="C1573" s="7" t="s">
        <v>958</v>
      </c>
      <c r="D1573" s="7" t="s">
        <v>23</v>
      </c>
      <c r="E1573" s="7" t="s">
        <v>1177</v>
      </c>
      <c r="F1573" s="7" t="s">
        <v>128</v>
      </c>
      <c r="G1573" s="7" t="s">
        <v>130</v>
      </c>
      <c r="H1573" s="7" t="s">
        <v>129</v>
      </c>
      <c r="I1573" s="30">
        <v>2</v>
      </c>
      <c r="J1573" s="7" t="s">
        <v>1177</v>
      </c>
      <c r="K1573" s="7" t="s">
        <v>1178</v>
      </c>
      <c r="L1573" s="7" t="s">
        <v>132</v>
      </c>
      <c r="M1573" s="7" t="s">
        <v>133</v>
      </c>
      <c r="N1573" s="30">
        <v>0</v>
      </c>
      <c r="O1573" s="30">
        <v>0</v>
      </c>
      <c r="P1573" s="30">
        <v>0</v>
      </c>
      <c r="Q1573" s="30">
        <v>0</v>
      </c>
      <c r="R1573" s="29">
        <v>0</v>
      </c>
      <c r="S1573" s="36">
        <v>0</v>
      </c>
      <c r="T1573" s="7" t="s">
        <v>131</v>
      </c>
      <c r="U1573" s="7" t="s">
        <v>959</v>
      </c>
      <c r="V1573" s="7" t="s">
        <v>959</v>
      </c>
      <c r="W1573" s="7" t="s">
        <v>1177</v>
      </c>
      <c r="X1573" s="30">
        <v>1</v>
      </c>
      <c r="Y1573" s="7" t="s">
        <v>1177</v>
      </c>
      <c r="Z1573" s="7" t="s">
        <v>1178</v>
      </c>
      <c r="AA1573" s="30">
        <v>0</v>
      </c>
      <c r="AB1573" s="36">
        <v>0</v>
      </c>
      <c r="AC1573" s="7" t="s">
        <v>1177</v>
      </c>
      <c r="AD1573" s="37">
        <v>0</v>
      </c>
      <c r="AE1573" s="7" t="s">
        <v>1177</v>
      </c>
      <c r="AF1573" s="7" t="s">
        <v>1177</v>
      </c>
      <c r="AG1573" s="7" t="s">
        <v>1177</v>
      </c>
      <c r="AH1573" s="38"/>
      <c r="AI1573" s="36">
        <v>0</v>
      </c>
      <c r="AJ1573" s="7" t="s">
        <v>1193</v>
      </c>
      <c r="AK1573" s="7" t="s">
        <v>1177</v>
      </c>
      <c r="AL1573" s="7" t="s">
        <v>1177</v>
      </c>
      <c r="AM1573" s="7" t="s">
        <v>1177</v>
      </c>
      <c r="AN1573" s="7" t="s">
        <v>3212</v>
      </c>
      <c r="AO1573" s="7" t="s">
        <v>1177</v>
      </c>
      <c r="AP1573" s="7" t="s">
        <v>1177</v>
      </c>
      <c r="AQ1573" s="7" t="s">
        <v>1177</v>
      </c>
      <c r="AR1573" s="29">
        <v>0</v>
      </c>
      <c r="AS1573" s="7" t="s">
        <v>1177</v>
      </c>
      <c r="AT1573" s="7" t="s">
        <v>1363</v>
      </c>
      <c r="AU1573" s="38">
        <v>46275</v>
      </c>
      <c r="AV1573" s="39">
        <v>0.62515046296295995</v>
      </c>
    </row>
    <row r="1574" spans="1:48" x14ac:dyDescent="0.35">
      <c r="A1574" t="str">
        <f t="shared" si="24"/>
        <v>GP415875B825</v>
      </c>
      <c r="B1574" s="7" t="s">
        <v>335</v>
      </c>
      <c r="C1574" s="7" t="s">
        <v>511</v>
      </c>
      <c r="D1574" s="7" t="s">
        <v>16</v>
      </c>
      <c r="E1574" s="7" t="s">
        <v>1177</v>
      </c>
      <c r="F1574" s="7" t="s">
        <v>128</v>
      </c>
      <c r="G1574" s="7" t="s">
        <v>130</v>
      </c>
      <c r="H1574" s="7" t="s">
        <v>129</v>
      </c>
      <c r="I1574" s="30">
        <v>2</v>
      </c>
      <c r="J1574" s="7" t="s">
        <v>1177</v>
      </c>
      <c r="K1574" s="7" t="s">
        <v>1178</v>
      </c>
      <c r="L1574" s="7" t="s">
        <v>132</v>
      </c>
      <c r="M1574" s="7" t="s">
        <v>133</v>
      </c>
      <c r="N1574" s="30">
        <v>0</v>
      </c>
      <c r="O1574" s="30">
        <v>0</v>
      </c>
      <c r="P1574" s="30">
        <v>0</v>
      </c>
      <c r="Q1574" s="30">
        <v>0</v>
      </c>
      <c r="R1574" s="29">
        <v>0</v>
      </c>
      <c r="S1574" s="36">
        <v>0</v>
      </c>
      <c r="T1574" s="7" t="s">
        <v>131</v>
      </c>
      <c r="U1574" s="7" t="s">
        <v>512</v>
      </c>
      <c r="V1574" s="7" t="s">
        <v>512</v>
      </c>
      <c r="W1574" s="7" t="s">
        <v>1177</v>
      </c>
      <c r="X1574" s="30">
        <v>1</v>
      </c>
      <c r="Y1574" s="7" t="s">
        <v>1177</v>
      </c>
      <c r="Z1574" s="7" t="s">
        <v>1178</v>
      </c>
      <c r="AA1574" s="30">
        <v>0</v>
      </c>
      <c r="AB1574" s="36">
        <v>0</v>
      </c>
      <c r="AC1574" s="7" t="s">
        <v>1177</v>
      </c>
      <c r="AD1574" s="37">
        <v>0</v>
      </c>
      <c r="AE1574" s="7" t="s">
        <v>1177</v>
      </c>
      <c r="AF1574" s="7" t="s">
        <v>1177</v>
      </c>
      <c r="AG1574" s="7" t="s">
        <v>1177</v>
      </c>
      <c r="AH1574" s="38"/>
      <c r="AI1574" s="36">
        <v>0</v>
      </c>
      <c r="AJ1574" s="7" t="s">
        <v>1193</v>
      </c>
      <c r="AK1574" s="7" t="s">
        <v>1177</v>
      </c>
      <c r="AL1574" s="7" t="s">
        <v>1177</v>
      </c>
      <c r="AM1574" s="7" t="s">
        <v>1177</v>
      </c>
      <c r="AN1574" s="7" t="s">
        <v>3212</v>
      </c>
      <c r="AO1574" s="7" t="s">
        <v>1177</v>
      </c>
      <c r="AP1574" s="7" t="s">
        <v>1177</v>
      </c>
      <c r="AQ1574" s="7" t="s">
        <v>1177</v>
      </c>
      <c r="AR1574" s="29">
        <v>0</v>
      </c>
      <c r="AS1574" s="7" t="s">
        <v>1177</v>
      </c>
      <c r="AT1574" s="7" t="s">
        <v>1363</v>
      </c>
      <c r="AU1574" s="38">
        <v>46275</v>
      </c>
      <c r="AV1574" s="39">
        <v>0.60350694444443997</v>
      </c>
    </row>
    <row r="1575" spans="1:48" x14ac:dyDescent="0.35">
      <c r="A1575" t="str">
        <f t="shared" si="24"/>
        <v>GP418634B832</v>
      </c>
      <c r="B1575" s="7" t="s">
        <v>690</v>
      </c>
      <c r="C1575" s="7" t="s">
        <v>653</v>
      </c>
      <c r="D1575" s="7" t="s">
        <v>19</v>
      </c>
      <c r="E1575" s="7" t="s">
        <v>1177</v>
      </c>
      <c r="F1575" s="7" t="s">
        <v>128</v>
      </c>
      <c r="G1575" s="7" t="s">
        <v>130</v>
      </c>
      <c r="H1575" s="7" t="s">
        <v>129</v>
      </c>
      <c r="I1575" s="30">
        <v>2</v>
      </c>
      <c r="J1575" s="7" t="s">
        <v>1177</v>
      </c>
      <c r="K1575" s="7" t="s">
        <v>1178</v>
      </c>
      <c r="L1575" s="7" t="s">
        <v>132</v>
      </c>
      <c r="M1575" s="7" t="s">
        <v>133</v>
      </c>
      <c r="N1575" s="30">
        <v>0</v>
      </c>
      <c r="O1575" s="30">
        <v>0</v>
      </c>
      <c r="P1575" s="30">
        <v>0</v>
      </c>
      <c r="Q1575" s="30">
        <v>0</v>
      </c>
      <c r="R1575" s="29">
        <v>0</v>
      </c>
      <c r="S1575" s="36">
        <v>0</v>
      </c>
      <c r="T1575" s="7" t="s">
        <v>131</v>
      </c>
      <c r="U1575" s="7" t="s">
        <v>654</v>
      </c>
      <c r="V1575" s="7" t="s">
        <v>654</v>
      </c>
      <c r="W1575" s="7" t="s">
        <v>1177</v>
      </c>
      <c r="X1575" s="30">
        <v>1</v>
      </c>
      <c r="Y1575" s="7" t="s">
        <v>1177</v>
      </c>
      <c r="Z1575" s="7" t="s">
        <v>1178</v>
      </c>
      <c r="AA1575" s="30">
        <v>0</v>
      </c>
      <c r="AB1575" s="36">
        <v>0</v>
      </c>
      <c r="AC1575" s="7" t="s">
        <v>1177</v>
      </c>
      <c r="AD1575" s="37">
        <v>0</v>
      </c>
      <c r="AE1575" s="7" t="s">
        <v>1177</v>
      </c>
      <c r="AF1575" s="7" t="s">
        <v>1177</v>
      </c>
      <c r="AG1575" s="7" t="s">
        <v>1177</v>
      </c>
      <c r="AH1575" s="38"/>
      <c r="AI1575" s="36">
        <v>0</v>
      </c>
      <c r="AJ1575" s="7" t="s">
        <v>1193</v>
      </c>
      <c r="AK1575" s="7" t="s">
        <v>1177</v>
      </c>
      <c r="AL1575" s="7" t="s">
        <v>1177</v>
      </c>
      <c r="AM1575" s="7" t="s">
        <v>1177</v>
      </c>
      <c r="AN1575" s="7" t="s">
        <v>3212</v>
      </c>
      <c r="AO1575" s="7" t="s">
        <v>1177</v>
      </c>
      <c r="AP1575" s="7" t="s">
        <v>1177</v>
      </c>
      <c r="AQ1575" s="7" t="s">
        <v>1177</v>
      </c>
      <c r="AR1575" s="29">
        <v>0</v>
      </c>
      <c r="AS1575" s="7" t="s">
        <v>1177</v>
      </c>
      <c r="AT1575" s="7" t="s">
        <v>1363</v>
      </c>
      <c r="AU1575" s="38">
        <v>46275</v>
      </c>
      <c r="AV1575" s="39">
        <v>0.62340277777777997</v>
      </c>
    </row>
    <row r="1576" spans="1:48" x14ac:dyDescent="0.35">
      <c r="A1576" t="str">
        <f t="shared" si="24"/>
        <v>GP418635B832</v>
      </c>
      <c r="B1576" s="7" t="s">
        <v>691</v>
      </c>
      <c r="C1576" s="7" t="s">
        <v>653</v>
      </c>
      <c r="D1576" s="7" t="s">
        <v>19</v>
      </c>
      <c r="E1576" s="7" t="s">
        <v>1177</v>
      </c>
      <c r="F1576" s="7" t="s">
        <v>128</v>
      </c>
      <c r="G1576" s="7" t="s">
        <v>130</v>
      </c>
      <c r="H1576" s="7" t="s">
        <v>129</v>
      </c>
      <c r="I1576" s="30">
        <v>2</v>
      </c>
      <c r="J1576" s="7" t="s">
        <v>1177</v>
      </c>
      <c r="K1576" s="7" t="s">
        <v>1178</v>
      </c>
      <c r="L1576" s="7" t="s">
        <v>132</v>
      </c>
      <c r="M1576" s="7" t="s">
        <v>133</v>
      </c>
      <c r="N1576" s="30">
        <v>0</v>
      </c>
      <c r="O1576" s="30">
        <v>0</v>
      </c>
      <c r="P1576" s="30">
        <v>0</v>
      </c>
      <c r="Q1576" s="30">
        <v>0</v>
      </c>
      <c r="R1576" s="29">
        <v>0</v>
      </c>
      <c r="S1576" s="36">
        <v>0</v>
      </c>
      <c r="T1576" s="7" t="s">
        <v>131</v>
      </c>
      <c r="U1576" s="7" t="s">
        <v>654</v>
      </c>
      <c r="V1576" s="7" t="s">
        <v>654</v>
      </c>
      <c r="W1576" s="7" t="s">
        <v>1177</v>
      </c>
      <c r="X1576" s="30">
        <v>1</v>
      </c>
      <c r="Y1576" s="7" t="s">
        <v>1177</v>
      </c>
      <c r="Z1576" s="7" t="s">
        <v>1178</v>
      </c>
      <c r="AA1576" s="30">
        <v>0</v>
      </c>
      <c r="AB1576" s="36">
        <v>0</v>
      </c>
      <c r="AC1576" s="7" t="s">
        <v>1177</v>
      </c>
      <c r="AD1576" s="37">
        <v>0</v>
      </c>
      <c r="AE1576" s="7" t="s">
        <v>1177</v>
      </c>
      <c r="AF1576" s="7" t="s">
        <v>1177</v>
      </c>
      <c r="AG1576" s="7" t="s">
        <v>1177</v>
      </c>
      <c r="AH1576" s="38"/>
      <c r="AI1576" s="36">
        <v>0</v>
      </c>
      <c r="AJ1576" s="7" t="s">
        <v>1193</v>
      </c>
      <c r="AK1576" s="7" t="s">
        <v>1177</v>
      </c>
      <c r="AL1576" s="7" t="s">
        <v>1177</v>
      </c>
      <c r="AM1576" s="7" t="s">
        <v>1177</v>
      </c>
      <c r="AN1576" s="7" t="s">
        <v>3212</v>
      </c>
      <c r="AO1576" s="7" t="s">
        <v>1177</v>
      </c>
      <c r="AP1576" s="7" t="s">
        <v>1177</v>
      </c>
      <c r="AQ1576" s="7" t="s">
        <v>1177</v>
      </c>
      <c r="AR1576" s="29">
        <v>0</v>
      </c>
      <c r="AS1576" s="7" t="s">
        <v>1177</v>
      </c>
      <c r="AT1576" s="7" t="s">
        <v>1363</v>
      </c>
      <c r="AU1576" s="38">
        <v>46275</v>
      </c>
      <c r="AV1576" s="39">
        <v>0.62340277777777997</v>
      </c>
    </row>
    <row r="1577" spans="1:48" x14ac:dyDescent="0.35">
      <c r="A1577" t="str">
        <f t="shared" si="24"/>
        <v>GP418636B832</v>
      </c>
      <c r="B1577" s="7" t="s">
        <v>692</v>
      </c>
      <c r="C1577" s="7" t="s">
        <v>653</v>
      </c>
      <c r="D1577" s="7" t="s">
        <v>19</v>
      </c>
      <c r="E1577" s="7" t="s">
        <v>1177</v>
      </c>
      <c r="F1577" s="7" t="s">
        <v>128</v>
      </c>
      <c r="G1577" s="7" t="s">
        <v>130</v>
      </c>
      <c r="H1577" s="7" t="s">
        <v>129</v>
      </c>
      <c r="I1577" s="30">
        <v>2</v>
      </c>
      <c r="J1577" s="7" t="s">
        <v>1177</v>
      </c>
      <c r="K1577" s="7" t="s">
        <v>1178</v>
      </c>
      <c r="L1577" s="7" t="s">
        <v>132</v>
      </c>
      <c r="M1577" s="7" t="s">
        <v>133</v>
      </c>
      <c r="N1577" s="30">
        <v>0</v>
      </c>
      <c r="O1577" s="30">
        <v>0</v>
      </c>
      <c r="P1577" s="30">
        <v>0</v>
      </c>
      <c r="Q1577" s="30">
        <v>0</v>
      </c>
      <c r="R1577" s="29">
        <v>0</v>
      </c>
      <c r="S1577" s="36">
        <v>0</v>
      </c>
      <c r="T1577" s="7" t="s">
        <v>131</v>
      </c>
      <c r="U1577" s="7" t="s">
        <v>654</v>
      </c>
      <c r="V1577" s="7" t="s">
        <v>654</v>
      </c>
      <c r="W1577" s="7" t="s">
        <v>1177</v>
      </c>
      <c r="X1577" s="30">
        <v>1</v>
      </c>
      <c r="Y1577" s="7" t="s">
        <v>1177</v>
      </c>
      <c r="Z1577" s="7" t="s">
        <v>1178</v>
      </c>
      <c r="AA1577" s="30">
        <v>0</v>
      </c>
      <c r="AB1577" s="36">
        <v>0</v>
      </c>
      <c r="AC1577" s="7" t="s">
        <v>1177</v>
      </c>
      <c r="AD1577" s="37">
        <v>0</v>
      </c>
      <c r="AE1577" s="7" t="s">
        <v>1177</v>
      </c>
      <c r="AF1577" s="7" t="s">
        <v>1177</v>
      </c>
      <c r="AG1577" s="7" t="s">
        <v>1177</v>
      </c>
      <c r="AH1577" s="38"/>
      <c r="AI1577" s="36">
        <v>0</v>
      </c>
      <c r="AJ1577" s="7" t="s">
        <v>1193</v>
      </c>
      <c r="AK1577" s="7" t="s">
        <v>1177</v>
      </c>
      <c r="AL1577" s="7" t="s">
        <v>1177</v>
      </c>
      <c r="AM1577" s="7" t="s">
        <v>1177</v>
      </c>
      <c r="AN1577" s="7" t="s">
        <v>3212</v>
      </c>
      <c r="AO1577" s="7" t="s">
        <v>1177</v>
      </c>
      <c r="AP1577" s="7" t="s">
        <v>1177</v>
      </c>
      <c r="AQ1577" s="7" t="s">
        <v>1177</v>
      </c>
      <c r="AR1577" s="29">
        <v>0</v>
      </c>
      <c r="AS1577" s="7" t="s">
        <v>1177</v>
      </c>
      <c r="AT1577" s="7" t="s">
        <v>1363</v>
      </c>
      <c r="AU1577" s="38">
        <v>46275</v>
      </c>
      <c r="AV1577" s="39">
        <v>0.62340277777777997</v>
      </c>
    </row>
    <row r="1578" spans="1:48" x14ac:dyDescent="0.35">
      <c r="A1578" t="str">
        <f t="shared" si="24"/>
        <v>GP419420B857</v>
      </c>
      <c r="B1578" s="7" t="s">
        <v>991</v>
      </c>
      <c r="C1578" s="7" t="s">
        <v>958</v>
      </c>
      <c r="D1578" s="7" t="s">
        <v>23</v>
      </c>
      <c r="E1578" s="7" t="s">
        <v>1177</v>
      </c>
      <c r="F1578" s="7" t="s">
        <v>128</v>
      </c>
      <c r="G1578" s="7" t="s">
        <v>130</v>
      </c>
      <c r="H1578" s="7" t="s">
        <v>129</v>
      </c>
      <c r="I1578" s="30">
        <v>2</v>
      </c>
      <c r="J1578" s="7" t="s">
        <v>1177</v>
      </c>
      <c r="K1578" s="7" t="s">
        <v>1178</v>
      </c>
      <c r="L1578" s="7" t="s">
        <v>132</v>
      </c>
      <c r="M1578" s="7" t="s">
        <v>133</v>
      </c>
      <c r="N1578" s="30">
        <v>0</v>
      </c>
      <c r="O1578" s="30">
        <v>0</v>
      </c>
      <c r="P1578" s="30">
        <v>0</v>
      </c>
      <c r="Q1578" s="30">
        <v>0</v>
      </c>
      <c r="R1578" s="29">
        <v>0</v>
      </c>
      <c r="S1578" s="36">
        <v>0</v>
      </c>
      <c r="T1578" s="7" t="s">
        <v>131</v>
      </c>
      <c r="U1578" s="7" t="s">
        <v>959</v>
      </c>
      <c r="V1578" s="7" t="s">
        <v>959</v>
      </c>
      <c r="W1578" s="7" t="s">
        <v>1177</v>
      </c>
      <c r="X1578" s="30">
        <v>1</v>
      </c>
      <c r="Y1578" s="7" t="s">
        <v>1177</v>
      </c>
      <c r="Z1578" s="7" t="s">
        <v>1178</v>
      </c>
      <c r="AA1578" s="30">
        <v>0</v>
      </c>
      <c r="AB1578" s="36">
        <v>0</v>
      </c>
      <c r="AC1578" s="7" t="s">
        <v>1177</v>
      </c>
      <c r="AD1578" s="37">
        <v>0</v>
      </c>
      <c r="AE1578" s="7" t="s">
        <v>1177</v>
      </c>
      <c r="AF1578" s="7" t="s">
        <v>1177</v>
      </c>
      <c r="AG1578" s="7" t="s">
        <v>1177</v>
      </c>
      <c r="AH1578" s="38"/>
      <c r="AI1578" s="36">
        <v>0</v>
      </c>
      <c r="AJ1578" s="7" t="s">
        <v>1193</v>
      </c>
      <c r="AK1578" s="7" t="s">
        <v>1177</v>
      </c>
      <c r="AL1578" s="7" t="s">
        <v>1177</v>
      </c>
      <c r="AM1578" s="7" t="s">
        <v>1177</v>
      </c>
      <c r="AN1578" s="7" t="s">
        <v>3212</v>
      </c>
      <c r="AO1578" s="7" t="s">
        <v>1177</v>
      </c>
      <c r="AP1578" s="7" t="s">
        <v>1177</v>
      </c>
      <c r="AQ1578" s="7" t="s">
        <v>1177</v>
      </c>
      <c r="AR1578" s="29">
        <v>0</v>
      </c>
      <c r="AS1578" s="7" t="s">
        <v>1177</v>
      </c>
      <c r="AT1578" s="7" t="s">
        <v>1363</v>
      </c>
      <c r="AU1578" s="38">
        <v>46275</v>
      </c>
      <c r="AV1578" s="39">
        <v>0.62515046296295995</v>
      </c>
    </row>
    <row r="1579" spans="1:48" x14ac:dyDescent="0.35">
      <c r="A1579" t="str">
        <f t="shared" si="24"/>
        <v>GP422280B856</v>
      </c>
      <c r="B1579" s="7" t="s">
        <v>102</v>
      </c>
      <c r="C1579" s="7" t="s">
        <v>852</v>
      </c>
      <c r="D1579" s="7" t="s">
        <v>21</v>
      </c>
      <c r="E1579" s="7" t="s">
        <v>1177</v>
      </c>
      <c r="F1579" s="7" t="s">
        <v>128</v>
      </c>
      <c r="G1579" s="7" t="s">
        <v>130</v>
      </c>
      <c r="H1579" s="7" t="s">
        <v>129</v>
      </c>
      <c r="I1579" s="30">
        <v>2</v>
      </c>
      <c r="J1579" s="7" t="s">
        <v>1177</v>
      </c>
      <c r="K1579" s="7" t="s">
        <v>1178</v>
      </c>
      <c r="L1579" s="7" t="s">
        <v>132</v>
      </c>
      <c r="M1579" s="7" t="s">
        <v>133</v>
      </c>
      <c r="N1579" s="30">
        <v>0</v>
      </c>
      <c r="O1579" s="30">
        <v>0</v>
      </c>
      <c r="P1579" s="30">
        <v>0</v>
      </c>
      <c r="Q1579" s="30">
        <v>0</v>
      </c>
      <c r="R1579" s="29">
        <v>0</v>
      </c>
      <c r="S1579" s="36">
        <v>0</v>
      </c>
      <c r="T1579" s="7" t="s">
        <v>131</v>
      </c>
      <c r="U1579" s="7" t="s">
        <v>853</v>
      </c>
      <c r="V1579" s="7" t="s">
        <v>853</v>
      </c>
      <c r="W1579" s="7" t="s">
        <v>1177</v>
      </c>
      <c r="X1579" s="30">
        <v>1</v>
      </c>
      <c r="Y1579" s="7" t="s">
        <v>1177</v>
      </c>
      <c r="Z1579" s="7" t="s">
        <v>1178</v>
      </c>
      <c r="AA1579" s="30">
        <v>0</v>
      </c>
      <c r="AB1579" s="36">
        <v>0</v>
      </c>
      <c r="AC1579" s="7" t="s">
        <v>1177</v>
      </c>
      <c r="AD1579" s="37">
        <v>0</v>
      </c>
      <c r="AE1579" s="7" t="s">
        <v>1177</v>
      </c>
      <c r="AF1579" s="7" t="s">
        <v>1177</v>
      </c>
      <c r="AG1579" s="7" t="s">
        <v>1177</v>
      </c>
      <c r="AH1579" s="38"/>
      <c r="AI1579" s="36">
        <v>0</v>
      </c>
      <c r="AJ1579" s="7" t="s">
        <v>1193</v>
      </c>
      <c r="AK1579" s="7" t="s">
        <v>1177</v>
      </c>
      <c r="AL1579" s="7" t="s">
        <v>1177</v>
      </c>
      <c r="AM1579" s="7" t="s">
        <v>1177</v>
      </c>
      <c r="AN1579" s="7" t="s">
        <v>3212</v>
      </c>
      <c r="AO1579" s="7" t="s">
        <v>1177</v>
      </c>
      <c r="AP1579" s="7" t="s">
        <v>1177</v>
      </c>
      <c r="AQ1579" s="7" t="s">
        <v>1177</v>
      </c>
      <c r="AR1579" s="29">
        <v>0</v>
      </c>
      <c r="AS1579" s="7" t="s">
        <v>1177</v>
      </c>
      <c r="AT1579" s="7" t="s">
        <v>1363</v>
      </c>
      <c r="AU1579" s="38">
        <v>46275</v>
      </c>
      <c r="AV1579" s="39">
        <v>0.62488425925926006</v>
      </c>
    </row>
    <row r="1580" spans="1:48" x14ac:dyDescent="0.35">
      <c r="A1580" t="str">
        <f t="shared" si="24"/>
        <v>GP422280B857</v>
      </c>
      <c r="B1580" s="7" t="s">
        <v>102</v>
      </c>
      <c r="C1580" s="7" t="s">
        <v>958</v>
      </c>
      <c r="D1580" s="7" t="s">
        <v>23</v>
      </c>
      <c r="E1580" s="7" t="s">
        <v>1177</v>
      </c>
      <c r="F1580" s="7" t="s">
        <v>128</v>
      </c>
      <c r="G1580" s="7" t="s">
        <v>130</v>
      </c>
      <c r="H1580" s="7" t="s">
        <v>129</v>
      </c>
      <c r="I1580" s="30">
        <v>2</v>
      </c>
      <c r="J1580" s="7" t="s">
        <v>1177</v>
      </c>
      <c r="K1580" s="7" t="s">
        <v>1178</v>
      </c>
      <c r="L1580" s="7" t="s">
        <v>132</v>
      </c>
      <c r="M1580" s="7" t="s">
        <v>133</v>
      </c>
      <c r="N1580" s="30">
        <v>0</v>
      </c>
      <c r="O1580" s="30">
        <v>0</v>
      </c>
      <c r="P1580" s="30">
        <v>0</v>
      </c>
      <c r="Q1580" s="30">
        <v>0</v>
      </c>
      <c r="R1580" s="29">
        <v>0</v>
      </c>
      <c r="S1580" s="36">
        <v>0</v>
      </c>
      <c r="T1580" s="7" t="s">
        <v>131</v>
      </c>
      <c r="U1580" s="7" t="s">
        <v>959</v>
      </c>
      <c r="V1580" s="7" t="s">
        <v>959</v>
      </c>
      <c r="W1580" s="7" t="s">
        <v>1177</v>
      </c>
      <c r="X1580" s="30">
        <v>1</v>
      </c>
      <c r="Y1580" s="7" t="s">
        <v>1177</v>
      </c>
      <c r="Z1580" s="7" t="s">
        <v>1178</v>
      </c>
      <c r="AA1580" s="30">
        <v>0</v>
      </c>
      <c r="AB1580" s="36">
        <v>0</v>
      </c>
      <c r="AC1580" s="7" t="s">
        <v>1177</v>
      </c>
      <c r="AD1580" s="37">
        <v>0</v>
      </c>
      <c r="AE1580" s="7" t="s">
        <v>1177</v>
      </c>
      <c r="AF1580" s="7" t="s">
        <v>1177</v>
      </c>
      <c r="AG1580" s="7" t="s">
        <v>1177</v>
      </c>
      <c r="AH1580" s="38"/>
      <c r="AI1580" s="36">
        <v>0</v>
      </c>
      <c r="AJ1580" s="7" t="s">
        <v>1193</v>
      </c>
      <c r="AK1580" s="7" t="s">
        <v>1177</v>
      </c>
      <c r="AL1580" s="7" t="s">
        <v>1177</v>
      </c>
      <c r="AM1580" s="7" t="s">
        <v>1177</v>
      </c>
      <c r="AN1580" s="7" t="s">
        <v>3212</v>
      </c>
      <c r="AO1580" s="7" t="s">
        <v>1177</v>
      </c>
      <c r="AP1580" s="7" t="s">
        <v>1177</v>
      </c>
      <c r="AQ1580" s="7" t="s">
        <v>1177</v>
      </c>
      <c r="AR1580" s="29">
        <v>0</v>
      </c>
      <c r="AS1580" s="7" t="s">
        <v>1177</v>
      </c>
      <c r="AT1580" s="7" t="s">
        <v>1363</v>
      </c>
      <c r="AU1580" s="38">
        <v>46275</v>
      </c>
      <c r="AV1580" s="39">
        <v>0.62515046296295995</v>
      </c>
    </row>
    <row r="1581" spans="1:48" x14ac:dyDescent="0.35">
      <c r="A1581" t="str">
        <f t="shared" si="24"/>
        <v>GP422280B864</v>
      </c>
      <c r="B1581" s="7" t="s">
        <v>102</v>
      </c>
      <c r="C1581" s="7" t="s">
        <v>1010</v>
      </c>
      <c r="D1581" s="7" t="s">
        <v>10</v>
      </c>
      <c r="E1581" s="7" t="s">
        <v>1177</v>
      </c>
      <c r="F1581" s="7" t="s">
        <v>128</v>
      </c>
      <c r="G1581" s="7" t="s">
        <v>130</v>
      </c>
      <c r="H1581" s="7" t="s">
        <v>129</v>
      </c>
      <c r="I1581" s="30">
        <v>1</v>
      </c>
      <c r="J1581" s="7" t="s">
        <v>1177</v>
      </c>
      <c r="K1581" s="7" t="s">
        <v>1178</v>
      </c>
      <c r="L1581" s="7" t="s">
        <v>132</v>
      </c>
      <c r="M1581" s="7" t="s">
        <v>133</v>
      </c>
      <c r="N1581" s="30">
        <v>0</v>
      </c>
      <c r="O1581" s="30">
        <v>0</v>
      </c>
      <c r="P1581" s="30">
        <v>0</v>
      </c>
      <c r="Q1581" s="30">
        <v>0</v>
      </c>
      <c r="R1581" s="29">
        <v>0</v>
      </c>
      <c r="S1581" s="36">
        <v>0</v>
      </c>
      <c r="T1581" s="7" t="s">
        <v>131</v>
      </c>
      <c r="U1581" s="7" t="s">
        <v>1011</v>
      </c>
      <c r="V1581" s="7" t="s">
        <v>1011</v>
      </c>
      <c r="W1581" s="7" t="s">
        <v>1177</v>
      </c>
      <c r="X1581" s="30">
        <v>1</v>
      </c>
      <c r="Y1581" s="7" t="s">
        <v>1177</v>
      </c>
      <c r="Z1581" s="7" t="s">
        <v>1178</v>
      </c>
      <c r="AA1581" s="30">
        <v>0</v>
      </c>
      <c r="AB1581" s="36">
        <v>0</v>
      </c>
      <c r="AC1581" s="7" t="s">
        <v>1177</v>
      </c>
      <c r="AD1581" s="37">
        <v>0</v>
      </c>
      <c r="AE1581" s="7" t="s">
        <v>1177</v>
      </c>
      <c r="AF1581" s="7" t="s">
        <v>1177</v>
      </c>
      <c r="AG1581" s="7" t="s">
        <v>1177</v>
      </c>
      <c r="AH1581" s="38"/>
      <c r="AI1581" s="36">
        <v>0</v>
      </c>
      <c r="AJ1581" s="7" t="s">
        <v>1193</v>
      </c>
      <c r="AK1581" s="7" t="s">
        <v>1177</v>
      </c>
      <c r="AL1581" s="7" t="s">
        <v>1177</v>
      </c>
      <c r="AM1581" s="7" t="s">
        <v>1177</v>
      </c>
      <c r="AN1581" s="7" t="s">
        <v>3212</v>
      </c>
      <c r="AO1581" s="7" t="s">
        <v>1177</v>
      </c>
      <c r="AP1581" s="7" t="s">
        <v>1177</v>
      </c>
      <c r="AQ1581" s="7" t="s">
        <v>1177</v>
      </c>
      <c r="AR1581" s="29">
        <v>0</v>
      </c>
      <c r="AS1581" s="7" t="s">
        <v>1177</v>
      </c>
      <c r="AT1581" s="7" t="s">
        <v>1363</v>
      </c>
      <c r="AU1581" s="38">
        <v>46275</v>
      </c>
      <c r="AV1581" s="39">
        <v>0.62631944444443999</v>
      </c>
    </row>
    <row r="1582" spans="1:48" x14ac:dyDescent="0.35">
      <c r="A1582" t="str">
        <f t="shared" si="24"/>
        <v>GP422280B865</v>
      </c>
      <c r="B1582" s="7" t="s">
        <v>102</v>
      </c>
      <c r="C1582" s="7" t="s">
        <v>1039</v>
      </c>
      <c r="D1582" s="7" t="s">
        <v>7</v>
      </c>
      <c r="E1582" s="7" t="s">
        <v>1177</v>
      </c>
      <c r="F1582" s="7" t="s">
        <v>128</v>
      </c>
      <c r="G1582" s="7" t="s">
        <v>130</v>
      </c>
      <c r="H1582" s="7" t="s">
        <v>129</v>
      </c>
      <c r="I1582" s="30">
        <v>3</v>
      </c>
      <c r="J1582" s="7" t="s">
        <v>1177</v>
      </c>
      <c r="K1582" s="7" t="s">
        <v>1178</v>
      </c>
      <c r="L1582" s="7" t="s">
        <v>132</v>
      </c>
      <c r="M1582" s="7" t="s">
        <v>133</v>
      </c>
      <c r="N1582" s="30">
        <v>0</v>
      </c>
      <c r="O1582" s="30">
        <v>0</v>
      </c>
      <c r="P1582" s="30">
        <v>0</v>
      </c>
      <c r="Q1582" s="30">
        <v>0</v>
      </c>
      <c r="R1582" s="29">
        <v>0</v>
      </c>
      <c r="S1582" s="36">
        <v>0</v>
      </c>
      <c r="T1582" s="7" t="s">
        <v>131</v>
      </c>
      <c r="U1582" s="7" t="s">
        <v>1040</v>
      </c>
      <c r="V1582" s="7" t="s">
        <v>1040</v>
      </c>
      <c r="W1582" s="7" t="s">
        <v>1177</v>
      </c>
      <c r="X1582" s="30">
        <v>1</v>
      </c>
      <c r="Y1582" s="7" t="s">
        <v>1177</v>
      </c>
      <c r="Z1582" s="7" t="s">
        <v>1178</v>
      </c>
      <c r="AA1582" s="30">
        <v>0</v>
      </c>
      <c r="AB1582" s="36">
        <v>0</v>
      </c>
      <c r="AC1582" s="7" t="s">
        <v>1177</v>
      </c>
      <c r="AD1582" s="37">
        <v>0</v>
      </c>
      <c r="AE1582" s="7" t="s">
        <v>1177</v>
      </c>
      <c r="AF1582" s="7" t="s">
        <v>1177</v>
      </c>
      <c r="AG1582" s="7" t="s">
        <v>1177</v>
      </c>
      <c r="AH1582" s="38"/>
      <c r="AI1582" s="36">
        <v>0</v>
      </c>
      <c r="AJ1582" s="7" t="s">
        <v>1193</v>
      </c>
      <c r="AK1582" s="7" t="s">
        <v>1177</v>
      </c>
      <c r="AL1582" s="7" t="s">
        <v>1177</v>
      </c>
      <c r="AM1582" s="7" t="s">
        <v>1177</v>
      </c>
      <c r="AN1582" s="7" t="s">
        <v>3212</v>
      </c>
      <c r="AO1582" s="7" t="s">
        <v>1177</v>
      </c>
      <c r="AP1582" s="7" t="s">
        <v>1177</v>
      </c>
      <c r="AQ1582" s="7" t="s">
        <v>1177</v>
      </c>
      <c r="AR1582" s="29">
        <v>0</v>
      </c>
      <c r="AS1582" s="7" t="s">
        <v>1177</v>
      </c>
      <c r="AT1582" s="7" t="s">
        <v>1363</v>
      </c>
      <c r="AU1582" s="38">
        <v>46275</v>
      </c>
      <c r="AV1582" s="39">
        <v>0.62674768518518997</v>
      </c>
    </row>
    <row r="1583" spans="1:48" x14ac:dyDescent="0.35">
      <c r="A1583" t="str">
        <f t="shared" si="24"/>
        <v>GP422280B867</v>
      </c>
      <c r="B1583" s="7" t="s">
        <v>102</v>
      </c>
      <c r="C1583" s="7" t="s">
        <v>1059</v>
      </c>
      <c r="D1583" s="7" t="s">
        <v>25</v>
      </c>
      <c r="E1583" s="7" t="s">
        <v>1177</v>
      </c>
      <c r="F1583" s="7" t="s">
        <v>128</v>
      </c>
      <c r="G1583" s="7" t="s">
        <v>130</v>
      </c>
      <c r="H1583" s="7" t="s">
        <v>129</v>
      </c>
      <c r="I1583" s="30">
        <v>2</v>
      </c>
      <c r="J1583" s="7" t="s">
        <v>1177</v>
      </c>
      <c r="K1583" s="7" t="s">
        <v>1178</v>
      </c>
      <c r="L1583" s="7" t="s">
        <v>132</v>
      </c>
      <c r="M1583" s="7" t="s">
        <v>133</v>
      </c>
      <c r="N1583" s="30">
        <v>0</v>
      </c>
      <c r="O1583" s="30">
        <v>0</v>
      </c>
      <c r="P1583" s="30">
        <v>0</v>
      </c>
      <c r="Q1583" s="30">
        <v>0</v>
      </c>
      <c r="R1583" s="29">
        <v>0</v>
      </c>
      <c r="S1583" s="36">
        <v>0</v>
      </c>
      <c r="T1583" s="7" t="s">
        <v>131</v>
      </c>
      <c r="U1583" s="7" t="s">
        <v>1060</v>
      </c>
      <c r="V1583" s="7" t="s">
        <v>1060</v>
      </c>
      <c r="W1583" s="7" t="s">
        <v>1177</v>
      </c>
      <c r="X1583" s="30">
        <v>1</v>
      </c>
      <c r="Y1583" s="7" t="s">
        <v>1177</v>
      </c>
      <c r="Z1583" s="7" t="s">
        <v>1178</v>
      </c>
      <c r="AA1583" s="30">
        <v>0</v>
      </c>
      <c r="AB1583" s="36">
        <v>0</v>
      </c>
      <c r="AC1583" s="7" t="s">
        <v>1177</v>
      </c>
      <c r="AD1583" s="37">
        <v>0</v>
      </c>
      <c r="AE1583" s="7" t="s">
        <v>1177</v>
      </c>
      <c r="AF1583" s="7" t="s">
        <v>1177</v>
      </c>
      <c r="AG1583" s="7" t="s">
        <v>1177</v>
      </c>
      <c r="AH1583" s="38"/>
      <c r="AI1583" s="36">
        <v>0</v>
      </c>
      <c r="AJ1583" s="7" t="s">
        <v>1193</v>
      </c>
      <c r="AK1583" s="7" t="s">
        <v>1177</v>
      </c>
      <c r="AL1583" s="7" t="s">
        <v>1177</v>
      </c>
      <c r="AM1583" s="7" t="s">
        <v>1177</v>
      </c>
      <c r="AN1583" s="7" t="s">
        <v>3212</v>
      </c>
      <c r="AO1583" s="7" t="s">
        <v>1177</v>
      </c>
      <c r="AP1583" s="7" t="s">
        <v>1177</v>
      </c>
      <c r="AQ1583" s="7" t="s">
        <v>1177</v>
      </c>
      <c r="AR1583" s="29">
        <v>0</v>
      </c>
      <c r="AS1583" s="7" t="s">
        <v>1177</v>
      </c>
      <c r="AT1583" s="7" t="s">
        <v>1363</v>
      </c>
      <c r="AU1583" s="38">
        <v>46275</v>
      </c>
      <c r="AV1583" s="39">
        <v>0.62716435185185004</v>
      </c>
    </row>
    <row r="1584" spans="1:48" x14ac:dyDescent="0.35">
      <c r="A1584" t="str">
        <f t="shared" si="24"/>
        <v>GP425734B833</v>
      </c>
      <c r="B1584" s="7" t="s">
        <v>426</v>
      </c>
      <c r="C1584" s="7" t="s">
        <v>698</v>
      </c>
      <c r="D1584" s="7" t="s">
        <v>697</v>
      </c>
      <c r="E1584" s="7" t="s">
        <v>1177</v>
      </c>
      <c r="F1584" s="7" t="s">
        <v>134</v>
      </c>
      <c r="G1584" s="7" t="s">
        <v>130</v>
      </c>
      <c r="H1584" s="7" t="s">
        <v>129</v>
      </c>
      <c r="I1584" s="30">
        <v>2</v>
      </c>
      <c r="J1584" s="7" t="s">
        <v>1177</v>
      </c>
      <c r="K1584" s="7" t="s">
        <v>1178</v>
      </c>
      <c r="L1584" s="7" t="s">
        <v>132</v>
      </c>
      <c r="M1584" s="7" t="s">
        <v>133</v>
      </c>
      <c r="N1584" s="30">
        <v>0</v>
      </c>
      <c r="O1584" s="30">
        <v>0</v>
      </c>
      <c r="P1584" s="30">
        <v>0</v>
      </c>
      <c r="Q1584" s="30">
        <v>0</v>
      </c>
      <c r="R1584" s="29">
        <v>0</v>
      </c>
      <c r="S1584" s="36">
        <v>0</v>
      </c>
      <c r="T1584" s="7" t="s">
        <v>131</v>
      </c>
      <c r="U1584" s="7" t="s">
        <v>699</v>
      </c>
      <c r="V1584" s="7" t="s">
        <v>699</v>
      </c>
      <c r="W1584" s="7" t="s">
        <v>1177</v>
      </c>
      <c r="X1584" s="30">
        <v>2</v>
      </c>
      <c r="Y1584" s="7" t="s">
        <v>1177</v>
      </c>
      <c r="Z1584" s="7" t="s">
        <v>1178</v>
      </c>
      <c r="AA1584" s="30">
        <v>0</v>
      </c>
      <c r="AB1584" s="36">
        <v>0</v>
      </c>
      <c r="AC1584" s="7" t="s">
        <v>1177</v>
      </c>
      <c r="AD1584" s="37">
        <v>0</v>
      </c>
      <c r="AE1584" s="7" t="s">
        <v>1177</v>
      </c>
      <c r="AF1584" s="7" t="s">
        <v>1177</v>
      </c>
      <c r="AG1584" s="7" t="s">
        <v>1177</v>
      </c>
      <c r="AH1584" s="38"/>
      <c r="AI1584" s="36">
        <v>0</v>
      </c>
      <c r="AJ1584" s="7" t="s">
        <v>1193</v>
      </c>
      <c r="AK1584" s="7" t="s">
        <v>1177</v>
      </c>
      <c r="AL1584" s="7" t="s">
        <v>1177</v>
      </c>
      <c r="AM1584" s="7" t="s">
        <v>1177</v>
      </c>
      <c r="AN1584" s="7" t="s">
        <v>3212</v>
      </c>
      <c r="AO1584" s="7" t="s">
        <v>1177</v>
      </c>
      <c r="AP1584" s="7" t="s">
        <v>1177</v>
      </c>
      <c r="AQ1584" s="7" t="s">
        <v>1177</v>
      </c>
      <c r="AR1584" s="29">
        <v>0</v>
      </c>
      <c r="AS1584" s="7" t="s">
        <v>1177</v>
      </c>
      <c r="AT1584" s="7" t="s">
        <v>1363</v>
      </c>
      <c r="AU1584" s="38">
        <v>46275</v>
      </c>
      <c r="AV1584" s="39">
        <v>0.60396990740740997</v>
      </c>
    </row>
    <row r="1585" spans="1:48" x14ac:dyDescent="0.35">
      <c r="A1585" t="str">
        <f t="shared" si="24"/>
        <v>GP427122B856</v>
      </c>
      <c r="B1585" s="7" t="s">
        <v>932</v>
      </c>
      <c r="C1585" s="7" t="s">
        <v>852</v>
      </c>
      <c r="D1585" s="7" t="s">
        <v>21</v>
      </c>
      <c r="E1585" s="7" t="s">
        <v>1177</v>
      </c>
      <c r="F1585" s="7" t="s">
        <v>134</v>
      </c>
      <c r="G1585" s="7" t="s">
        <v>130</v>
      </c>
      <c r="H1585" s="7" t="s">
        <v>129</v>
      </c>
      <c r="I1585" s="30">
        <v>26</v>
      </c>
      <c r="J1585" s="7" t="s">
        <v>1177</v>
      </c>
      <c r="K1585" s="7" t="s">
        <v>1178</v>
      </c>
      <c r="L1585" s="7" t="s">
        <v>132</v>
      </c>
      <c r="M1585" s="7" t="s">
        <v>133</v>
      </c>
      <c r="N1585" s="30">
        <v>0</v>
      </c>
      <c r="O1585" s="30">
        <v>0</v>
      </c>
      <c r="P1585" s="30">
        <v>0</v>
      </c>
      <c r="Q1585" s="30">
        <v>0</v>
      </c>
      <c r="R1585" s="29">
        <v>0</v>
      </c>
      <c r="S1585" s="36">
        <v>0</v>
      </c>
      <c r="T1585" s="7" t="s">
        <v>131</v>
      </c>
      <c r="U1585" s="7" t="s">
        <v>853</v>
      </c>
      <c r="V1585" s="7" t="s">
        <v>853</v>
      </c>
      <c r="W1585" s="7" t="s">
        <v>1177</v>
      </c>
      <c r="X1585" s="30">
        <v>26</v>
      </c>
      <c r="Y1585" s="7" t="s">
        <v>1177</v>
      </c>
      <c r="Z1585" s="7" t="s">
        <v>1178</v>
      </c>
      <c r="AA1585" s="30">
        <v>0</v>
      </c>
      <c r="AB1585" s="36">
        <v>0</v>
      </c>
      <c r="AC1585" s="7" t="s">
        <v>1177</v>
      </c>
      <c r="AD1585" s="37">
        <v>0</v>
      </c>
      <c r="AE1585" s="7" t="s">
        <v>1177</v>
      </c>
      <c r="AF1585" s="7" t="s">
        <v>1177</v>
      </c>
      <c r="AG1585" s="7" t="s">
        <v>1177</v>
      </c>
      <c r="AH1585" s="38"/>
      <c r="AI1585" s="36">
        <v>0</v>
      </c>
      <c r="AJ1585" s="7" t="s">
        <v>1193</v>
      </c>
      <c r="AK1585" s="7" t="s">
        <v>1177</v>
      </c>
      <c r="AL1585" s="7" t="s">
        <v>1177</v>
      </c>
      <c r="AM1585" s="7" t="s">
        <v>1177</v>
      </c>
      <c r="AN1585" s="7" t="s">
        <v>3212</v>
      </c>
      <c r="AO1585" s="7" t="s">
        <v>1177</v>
      </c>
      <c r="AP1585" s="7" t="s">
        <v>1177</v>
      </c>
      <c r="AQ1585" s="7" t="s">
        <v>1177</v>
      </c>
      <c r="AR1585" s="29">
        <v>0</v>
      </c>
      <c r="AS1585" s="7" t="s">
        <v>1177</v>
      </c>
      <c r="AT1585" s="7" t="s">
        <v>1363</v>
      </c>
      <c r="AU1585" s="38">
        <v>46275</v>
      </c>
      <c r="AV1585" s="39">
        <v>0.62484953703704005</v>
      </c>
    </row>
    <row r="1586" spans="1:48" x14ac:dyDescent="0.35">
      <c r="A1586" t="str">
        <f t="shared" si="24"/>
        <v>GP427122B867</v>
      </c>
      <c r="B1586" s="7" t="s">
        <v>932</v>
      </c>
      <c r="C1586" s="7" t="s">
        <v>1059</v>
      </c>
      <c r="D1586" s="7" t="s">
        <v>25</v>
      </c>
      <c r="E1586" s="7" t="s">
        <v>1177</v>
      </c>
      <c r="F1586" s="7" t="s">
        <v>134</v>
      </c>
      <c r="G1586" s="7" t="s">
        <v>130</v>
      </c>
      <c r="H1586" s="7" t="s">
        <v>129</v>
      </c>
      <c r="I1586" s="30">
        <v>109</v>
      </c>
      <c r="J1586" s="7" t="s">
        <v>1177</v>
      </c>
      <c r="K1586" s="7" t="s">
        <v>1178</v>
      </c>
      <c r="L1586" s="7" t="s">
        <v>132</v>
      </c>
      <c r="M1586" s="7" t="s">
        <v>133</v>
      </c>
      <c r="N1586" s="30">
        <v>0</v>
      </c>
      <c r="O1586" s="30">
        <v>0</v>
      </c>
      <c r="P1586" s="30">
        <v>0</v>
      </c>
      <c r="Q1586" s="30">
        <v>0</v>
      </c>
      <c r="R1586" s="29">
        <v>0</v>
      </c>
      <c r="S1586" s="36">
        <v>0</v>
      </c>
      <c r="T1586" s="7" t="s">
        <v>131</v>
      </c>
      <c r="U1586" s="7" t="s">
        <v>1060</v>
      </c>
      <c r="V1586" s="7" t="s">
        <v>1060</v>
      </c>
      <c r="W1586" s="7" t="s">
        <v>1177</v>
      </c>
      <c r="X1586" s="30">
        <v>109</v>
      </c>
      <c r="Y1586" s="7" t="s">
        <v>1177</v>
      </c>
      <c r="Z1586" s="7" t="s">
        <v>1178</v>
      </c>
      <c r="AA1586" s="30">
        <v>0</v>
      </c>
      <c r="AB1586" s="36">
        <v>0</v>
      </c>
      <c r="AC1586" s="7" t="s">
        <v>1177</v>
      </c>
      <c r="AD1586" s="37">
        <v>0</v>
      </c>
      <c r="AE1586" s="7" t="s">
        <v>1177</v>
      </c>
      <c r="AF1586" s="7" t="s">
        <v>1177</v>
      </c>
      <c r="AG1586" s="7" t="s">
        <v>1177</v>
      </c>
      <c r="AH1586" s="38"/>
      <c r="AI1586" s="36">
        <v>0</v>
      </c>
      <c r="AJ1586" s="7" t="s">
        <v>1193</v>
      </c>
      <c r="AK1586" s="7" t="s">
        <v>1177</v>
      </c>
      <c r="AL1586" s="7" t="s">
        <v>1177</v>
      </c>
      <c r="AM1586" s="7" t="s">
        <v>1177</v>
      </c>
      <c r="AN1586" s="7" t="s">
        <v>3212</v>
      </c>
      <c r="AO1586" s="7" t="s">
        <v>1177</v>
      </c>
      <c r="AP1586" s="7" t="s">
        <v>1177</v>
      </c>
      <c r="AQ1586" s="7" t="s">
        <v>1177</v>
      </c>
      <c r="AR1586" s="29">
        <v>0</v>
      </c>
      <c r="AS1586" s="7" t="s">
        <v>1177</v>
      </c>
      <c r="AT1586" s="7" t="s">
        <v>1363</v>
      </c>
      <c r="AU1586" s="38">
        <v>46275</v>
      </c>
      <c r="AV1586" s="39">
        <v>0.62730324074073995</v>
      </c>
    </row>
    <row r="1587" spans="1:48" x14ac:dyDescent="0.35">
      <c r="A1587" t="str">
        <f t="shared" si="24"/>
        <v>GP427293B825</v>
      </c>
      <c r="B1587" s="7" t="s">
        <v>292</v>
      </c>
      <c r="C1587" s="7" t="s">
        <v>511</v>
      </c>
      <c r="D1587" s="7" t="s">
        <v>16</v>
      </c>
      <c r="E1587" s="7" t="s">
        <v>1177</v>
      </c>
      <c r="F1587" s="7" t="s">
        <v>134</v>
      </c>
      <c r="G1587" s="7" t="s">
        <v>130</v>
      </c>
      <c r="H1587" s="7" t="s">
        <v>129</v>
      </c>
      <c r="I1587" s="30">
        <v>2</v>
      </c>
      <c r="J1587" s="7" t="s">
        <v>1177</v>
      </c>
      <c r="K1587" s="7" t="s">
        <v>1178</v>
      </c>
      <c r="L1587" s="7" t="s">
        <v>132</v>
      </c>
      <c r="M1587" s="7" t="s">
        <v>133</v>
      </c>
      <c r="N1587" s="30">
        <v>0</v>
      </c>
      <c r="O1587" s="30">
        <v>0</v>
      </c>
      <c r="P1587" s="30">
        <v>0</v>
      </c>
      <c r="Q1587" s="30">
        <v>0</v>
      </c>
      <c r="R1587" s="29">
        <v>0</v>
      </c>
      <c r="S1587" s="36">
        <v>0</v>
      </c>
      <c r="T1587" s="7" t="s">
        <v>131</v>
      </c>
      <c r="U1587" s="7" t="s">
        <v>512</v>
      </c>
      <c r="V1587" s="7" t="s">
        <v>512</v>
      </c>
      <c r="W1587" s="7" t="s">
        <v>1177</v>
      </c>
      <c r="X1587" s="30">
        <v>2</v>
      </c>
      <c r="Y1587" s="7" t="s">
        <v>1177</v>
      </c>
      <c r="Z1587" s="7" t="s">
        <v>1178</v>
      </c>
      <c r="AA1587" s="30">
        <v>0</v>
      </c>
      <c r="AB1587" s="36">
        <v>0</v>
      </c>
      <c r="AC1587" s="7" t="s">
        <v>1177</v>
      </c>
      <c r="AD1587" s="37">
        <v>0</v>
      </c>
      <c r="AE1587" s="7" t="s">
        <v>1177</v>
      </c>
      <c r="AF1587" s="7" t="s">
        <v>1177</v>
      </c>
      <c r="AG1587" s="7" t="s">
        <v>1177</v>
      </c>
      <c r="AH1587" s="38"/>
      <c r="AI1587" s="36">
        <v>0</v>
      </c>
      <c r="AJ1587" s="7" t="s">
        <v>1193</v>
      </c>
      <c r="AK1587" s="7" t="s">
        <v>1177</v>
      </c>
      <c r="AL1587" s="7" t="s">
        <v>1177</v>
      </c>
      <c r="AM1587" s="7" t="s">
        <v>1177</v>
      </c>
      <c r="AN1587" s="7" t="s">
        <v>3212</v>
      </c>
      <c r="AO1587" s="7" t="s">
        <v>1177</v>
      </c>
      <c r="AP1587" s="7" t="s">
        <v>1177</v>
      </c>
      <c r="AQ1587" s="7" t="s">
        <v>1177</v>
      </c>
      <c r="AR1587" s="29">
        <v>0</v>
      </c>
      <c r="AS1587" s="7" t="s">
        <v>1177</v>
      </c>
      <c r="AT1587" s="7" t="s">
        <v>1363</v>
      </c>
      <c r="AU1587" s="38">
        <v>46275</v>
      </c>
      <c r="AV1587" s="39">
        <v>0.60350694444443997</v>
      </c>
    </row>
    <row r="1588" spans="1:48" x14ac:dyDescent="0.35">
      <c r="A1588" t="str">
        <f t="shared" si="24"/>
        <v>GP427293B832</v>
      </c>
      <c r="B1588" s="7" t="s">
        <v>292</v>
      </c>
      <c r="C1588" s="7" t="s">
        <v>653</v>
      </c>
      <c r="D1588" s="7" t="s">
        <v>19</v>
      </c>
      <c r="E1588" s="7" t="s">
        <v>1177</v>
      </c>
      <c r="F1588" s="7" t="s">
        <v>134</v>
      </c>
      <c r="G1588" s="7" t="s">
        <v>130</v>
      </c>
      <c r="H1588" s="7" t="s">
        <v>129</v>
      </c>
      <c r="I1588" s="30">
        <v>2</v>
      </c>
      <c r="J1588" s="7" t="s">
        <v>1177</v>
      </c>
      <c r="K1588" s="7" t="s">
        <v>1178</v>
      </c>
      <c r="L1588" s="7" t="s">
        <v>132</v>
      </c>
      <c r="M1588" s="7" t="s">
        <v>133</v>
      </c>
      <c r="N1588" s="30">
        <v>0</v>
      </c>
      <c r="O1588" s="30">
        <v>0</v>
      </c>
      <c r="P1588" s="30">
        <v>0</v>
      </c>
      <c r="Q1588" s="30">
        <v>0</v>
      </c>
      <c r="R1588" s="29">
        <v>0</v>
      </c>
      <c r="S1588" s="36">
        <v>0</v>
      </c>
      <c r="T1588" s="7" t="s">
        <v>131</v>
      </c>
      <c r="U1588" s="7" t="s">
        <v>654</v>
      </c>
      <c r="V1588" s="7" t="s">
        <v>654</v>
      </c>
      <c r="W1588" s="7" t="s">
        <v>1177</v>
      </c>
      <c r="X1588" s="30">
        <v>2</v>
      </c>
      <c r="Y1588" s="7" t="s">
        <v>1177</v>
      </c>
      <c r="Z1588" s="7" t="s">
        <v>1178</v>
      </c>
      <c r="AA1588" s="30">
        <v>0</v>
      </c>
      <c r="AB1588" s="36">
        <v>0</v>
      </c>
      <c r="AC1588" s="7" t="s">
        <v>1177</v>
      </c>
      <c r="AD1588" s="37">
        <v>0</v>
      </c>
      <c r="AE1588" s="7" t="s">
        <v>1177</v>
      </c>
      <c r="AF1588" s="7" t="s">
        <v>1177</v>
      </c>
      <c r="AG1588" s="7" t="s">
        <v>1177</v>
      </c>
      <c r="AH1588" s="38"/>
      <c r="AI1588" s="36">
        <v>0</v>
      </c>
      <c r="AJ1588" s="7" t="s">
        <v>1193</v>
      </c>
      <c r="AK1588" s="7" t="s">
        <v>1177</v>
      </c>
      <c r="AL1588" s="7" t="s">
        <v>1177</v>
      </c>
      <c r="AM1588" s="7" t="s">
        <v>1177</v>
      </c>
      <c r="AN1588" s="7" t="s">
        <v>3212</v>
      </c>
      <c r="AO1588" s="7" t="s">
        <v>1177</v>
      </c>
      <c r="AP1588" s="7" t="s">
        <v>1177</v>
      </c>
      <c r="AQ1588" s="7" t="s">
        <v>1177</v>
      </c>
      <c r="AR1588" s="29">
        <v>0</v>
      </c>
      <c r="AS1588" s="7" t="s">
        <v>1177</v>
      </c>
      <c r="AT1588" s="7" t="s">
        <v>1363</v>
      </c>
      <c r="AU1588" s="38">
        <v>46275</v>
      </c>
      <c r="AV1588" s="39">
        <v>0.60391203703703999</v>
      </c>
    </row>
    <row r="1589" spans="1:48" x14ac:dyDescent="0.35">
      <c r="A1589" t="str">
        <f t="shared" si="24"/>
        <v>GP427293B857</v>
      </c>
      <c r="B1589" s="7" t="s">
        <v>292</v>
      </c>
      <c r="C1589" s="7" t="s">
        <v>958</v>
      </c>
      <c r="D1589" s="7" t="s">
        <v>23</v>
      </c>
      <c r="E1589" s="7" t="s">
        <v>1177</v>
      </c>
      <c r="F1589" s="7" t="s">
        <v>134</v>
      </c>
      <c r="G1589" s="7" t="s">
        <v>130</v>
      </c>
      <c r="H1589" s="7" t="s">
        <v>129</v>
      </c>
      <c r="I1589" s="30">
        <v>2</v>
      </c>
      <c r="J1589" s="7" t="s">
        <v>1177</v>
      </c>
      <c r="K1589" s="7" t="s">
        <v>1178</v>
      </c>
      <c r="L1589" s="7" t="s">
        <v>132</v>
      </c>
      <c r="M1589" s="7" t="s">
        <v>133</v>
      </c>
      <c r="N1589" s="30">
        <v>0</v>
      </c>
      <c r="O1589" s="30">
        <v>0</v>
      </c>
      <c r="P1589" s="30">
        <v>0</v>
      </c>
      <c r="Q1589" s="30">
        <v>0</v>
      </c>
      <c r="R1589" s="29">
        <v>0</v>
      </c>
      <c r="S1589" s="36">
        <v>0</v>
      </c>
      <c r="T1589" s="7" t="s">
        <v>131</v>
      </c>
      <c r="U1589" s="7" t="s">
        <v>959</v>
      </c>
      <c r="V1589" s="7" t="s">
        <v>959</v>
      </c>
      <c r="W1589" s="7" t="s">
        <v>1177</v>
      </c>
      <c r="X1589" s="30">
        <v>2</v>
      </c>
      <c r="Y1589" s="7" t="s">
        <v>1177</v>
      </c>
      <c r="Z1589" s="7" t="s">
        <v>1178</v>
      </c>
      <c r="AA1589" s="30">
        <v>0</v>
      </c>
      <c r="AB1589" s="36">
        <v>0</v>
      </c>
      <c r="AC1589" s="7" t="s">
        <v>1177</v>
      </c>
      <c r="AD1589" s="37">
        <v>0</v>
      </c>
      <c r="AE1589" s="7" t="s">
        <v>1177</v>
      </c>
      <c r="AF1589" s="7" t="s">
        <v>1177</v>
      </c>
      <c r="AG1589" s="7" t="s">
        <v>1177</v>
      </c>
      <c r="AH1589" s="38"/>
      <c r="AI1589" s="36">
        <v>0</v>
      </c>
      <c r="AJ1589" s="7" t="s">
        <v>1193</v>
      </c>
      <c r="AK1589" s="7" t="s">
        <v>1177</v>
      </c>
      <c r="AL1589" s="7" t="s">
        <v>1177</v>
      </c>
      <c r="AM1589" s="7" t="s">
        <v>1177</v>
      </c>
      <c r="AN1589" s="7" t="s">
        <v>3212</v>
      </c>
      <c r="AO1589" s="7" t="s">
        <v>1177</v>
      </c>
      <c r="AP1589" s="7" t="s">
        <v>1177</v>
      </c>
      <c r="AQ1589" s="7" t="s">
        <v>1177</v>
      </c>
      <c r="AR1589" s="29">
        <v>0</v>
      </c>
      <c r="AS1589" s="7" t="s">
        <v>1177</v>
      </c>
      <c r="AT1589" s="7" t="s">
        <v>1363</v>
      </c>
      <c r="AU1589" s="38">
        <v>46275</v>
      </c>
      <c r="AV1589" s="39">
        <v>0.60528935185184995</v>
      </c>
    </row>
    <row r="1590" spans="1:48" x14ac:dyDescent="0.35">
      <c r="A1590" t="str">
        <f t="shared" si="24"/>
        <v>GP427293B867</v>
      </c>
      <c r="B1590" s="7" t="s">
        <v>292</v>
      </c>
      <c r="C1590" s="7" t="s">
        <v>1059</v>
      </c>
      <c r="D1590" s="7" t="s">
        <v>25</v>
      </c>
      <c r="E1590" s="7" t="s">
        <v>1177</v>
      </c>
      <c r="F1590" s="7" t="s">
        <v>134</v>
      </c>
      <c r="G1590" s="7" t="s">
        <v>130</v>
      </c>
      <c r="H1590" s="7" t="s">
        <v>129</v>
      </c>
      <c r="I1590" s="30">
        <v>2</v>
      </c>
      <c r="J1590" s="7" t="s">
        <v>1177</v>
      </c>
      <c r="K1590" s="7" t="s">
        <v>1178</v>
      </c>
      <c r="L1590" s="7" t="s">
        <v>132</v>
      </c>
      <c r="M1590" s="7" t="s">
        <v>133</v>
      </c>
      <c r="N1590" s="30">
        <v>0</v>
      </c>
      <c r="O1590" s="30">
        <v>0</v>
      </c>
      <c r="P1590" s="30">
        <v>0</v>
      </c>
      <c r="Q1590" s="30">
        <v>0</v>
      </c>
      <c r="R1590" s="29">
        <v>0</v>
      </c>
      <c r="S1590" s="36">
        <v>0</v>
      </c>
      <c r="T1590" s="7" t="s">
        <v>131</v>
      </c>
      <c r="U1590" s="7" t="s">
        <v>1060</v>
      </c>
      <c r="V1590" s="7" t="s">
        <v>1060</v>
      </c>
      <c r="W1590" s="7" t="s">
        <v>1177</v>
      </c>
      <c r="X1590" s="30">
        <v>2</v>
      </c>
      <c r="Y1590" s="7" t="s">
        <v>1177</v>
      </c>
      <c r="Z1590" s="7" t="s">
        <v>1178</v>
      </c>
      <c r="AA1590" s="30">
        <v>0</v>
      </c>
      <c r="AB1590" s="36">
        <v>0</v>
      </c>
      <c r="AC1590" s="7" t="s">
        <v>1177</v>
      </c>
      <c r="AD1590" s="37">
        <v>0</v>
      </c>
      <c r="AE1590" s="7" t="s">
        <v>1177</v>
      </c>
      <c r="AF1590" s="7" t="s">
        <v>1177</v>
      </c>
      <c r="AG1590" s="7" t="s">
        <v>1177</v>
      </c>
      <c r="AH1590" s="38"/>
      <c r="AI1590" s="36">
        <v>0</v>
      </c>
      <c r="AJ1590" s="7" t="s">
        <v>1193</v>
      </c>
      <c r="AK1590" s="7" t="s">
        <v>1177</v>
      </c>
      <c r="AL1590" s="7" t="s">
        <v>1177</v>
      </c>
      <c r="AM1590" s="7" t="s">
        <v>1177</v>
      </c>
      <c r="AN1590" s="7" t="s">
        <v>3212</v>
      </c>
      <c r="AO1590" s="7" t="s">
        <v>1177</v>
      </c>
      <c r="AP1590" s="7" t="s">
        <v>1177</v>
      </c>
      <c r="AQ1590" s="7" t="s">
        <v>1177</v>
      </c>
      <c r="AR1590" s="29">
        <v>0</v>
      </c>
      <c r="AS1590" s="7" t="s">
        <v>1177</v>
      </c>
      <c r="AT1590" s="7" t="s">
        <v>1363</v>
      </c>
      <c r="AU1590" s="38">
        <v>46275</v>
      </c>
      <c r="AV1590" s="39">
        <v>0.60565972222221998</v>
      </c>
    </row>
    <row r="1591" spans="1:48" x14ac:dyDescent="0.35">
      <c r="A1591" t="str">
        <f t="shared" si="24"/>
        <v>GP428970B856</v>
      </c>
      <c r="B1591" s="7" t="s">
        <v>933</v>
      </c>
      <c r="C1591" s="7" t="s">
        <v>852</v>
      </c>
      <c r="D1591" s="7" t="s">
        <v>21</v>
      </c>
      <c r="E1591" s="7" t="s">
        <v>1177</v>
      </c>
      <c r="F1591" s="7" t="s">
        <v>128</v>
      </c>
      <c r="G1591" s="7" t="s">
        <v>130</v>
      </c>
      <c r="H1591" s="7" t="s">
        <v>129</v>
      </c>
      <c r="I1591" s="30">
        <v>1</v>
      </c>
      <c r="J1591" s="7" t="s">
        <v>1177</v>
      </c>
      <c r="K1591" s="7" t="s">
        <v>1178</v>
      </c>
      <c r="L1591" s="7" t="s">
        <v>132</v>
      </c>
      <c r="M1591" s="7" t="s">
        <v>133</v>
      </c>
      <c r="N1591" s="30">
        <v>0</v>
      </c>
      <c r="O1591" s="30">
        <v>0</v>
      </c>
      <c r="P1591" s="30">
        <v>0</v>
      </c>
      <c r="Q1591" s="30">
        <v>0</v>
      </c>
      <c r="R1591" s="29">
        <v>0</v>
      </c>
      <c r="S1591" s="36">
        <v>0</v>
      </c>
      <c r="T1591" s="7" t="s">
        <v>131</v>
      </c>
      <c r="U1591" s="7" t="s">
        <v>853</v>
      </c>
      <c r="V1591" s="7" t="s">
        <v>853</v>
      </c>
      <c r="W1591" s="7" t="s">
        <v>1177</v>
      </c>
      <c r="X1591" s="30">
        <v>1</v>
      </c>
      <c r="Y1591" s="7" t="s">
        <v>1177</v>
      </c>
      <c r="Z1591" s="7" t="s">
        <v>1178</v>
      </c>
      <c r="AA1591" s="30">
        <v>0</v>
      </c>
      <c r="AB1591" s="36">
        <v>0</v>
      </c>
      <c r="AC1591" s="7" t="s">
        <v>1177</v>
      </c>
      <c r="AD1591" s="37">
        <v>0</v>
      </c>
      <c r="AE1591" s="7" t="s">
        <v>1177</v>
      </c>
      <c r="AF1591" s="7" t="s">
        <v>1177</v>
      </c>
      <c r="AG1591" s="7" t="s">
        <v>1177</v>
      </c>
      <c r="AH1591" s="38"/>
      <c r="AI1591" s="36">
        <v>0</v>
      </c>
      <c r="AJ1591" s="7" t="s">
        <v>1193</v>
      </c>
      <c r="AK1591" s="7" t="s">
        <v>1177</v>
      </c>
      <c r="AL1591" s="7" t="s">
        <v>1177</v>
      </c>
      <c r="AM1591" s="7" t="s">
        <v>1177</v>
      </c>
      <c r="AN1591" s="7" t="s">
        <v>3212</v>
      </c>
      <c r="AO1591" s="7" t="s">
        <v>1177</v>
      </c>
      <c r="AP1591" s="7" t="s">
        <v>1177</v>
      </c>
      <c r="AQ1591" s="7" t="s">
        <v>1177</v>
      </c>
      <c r="AR1591" s="29">
        <v>0</v>
      </c>
      <c r="AS1591" s="7" t="s">
        <v>1177</v>
      </c>
      <c r="AT1591" s="7" t="s">
        <v>1363</v>
      </c>
      <c r="AU1591" s="38">
        <v>46275</v>
      </c>
      <c r="AV1591" s="39">
        <v>0.62488425925926006</v>
      </c>
    </row>
    <row r="1592" spans="1:48" x14ac:dyDescent="0.35">
      <c r="A1592" t="str">
        <f t="shared" si="24"/>
        <v>GP429176B856</v>
      </c>
      <c r="B1592" s="7" t="s">
        <v>934</v>
      </c>
      <c r="C1592" s="7" t="s">
        <v>852</v>
      </c>
      <c r="D1592" s="7" t="s">
        <v>21</v>
      </c>
      <c r="E1592" s="7" t="s">
        <v>1177</v>
      </c>
      <c r="F1592" s="7" t="s">
        <v>134</v>
      </c>
      <c r="G1592" s="7" t="s">
        <v>130</v>
      </c>
      <c r="H1592" s="7" t="s">
        <v>129</v>
      </c>
      <c r="I1592" s="30">
        <v>2</v>
      </c>
      <c r="J1592" s="7" t="s">
        <v>1177</v>
      </c>
      <c r="K1592" s="7" t="s">
        <v>1178</v>
      </c>
      <c r="L1592" s="7" t="s">
        <v>132</v>
      </c>
      <c r="M1592" s="7" t="s">
        <v>133</v>
      </c>
      <c r="N1592" s="30">
        <v>0</v>
      </c>
      <c r="O1592" s="30">
        <v>0</v>
      </c>
      <c r="P1592" s="30">
        <v>0</v>
      </c>
      <c r="Q1592" s="30">
        <v>0</v>
      </c>
      <c r="R1592" s="29">
        <v>0</v>
      </c>
      <c r="S1592" s="36">
        <v>0</v>
      </c>
      <c r="T1592" s="7" t="s">
        <v>131</v>
      </c>
      <c r="U1592" s="7" t="s">
        <v>853</v>
      </c>
      <c r="V1592" s="7" t="s">
        <v>853</v>
      </c>
      <c r="W1592" s="7" t="s">
        <v>1177</v>
      </c>
      <c r="X1592" s="30">
        <v>2</v>
      </c>
      <c r="Y1592" s="7" t="s">
        <v>1177</v>
      </c>
      <c r="Z1592" s="7" t="s">
        <v>1178</v>
      </c>
      <c r="AA1592" s="30">
        <v>0</v>
      </c>
      <c r="AB1592" s="36">
        <v>0</v>
      </c>
      <c r="AC1592" s="7" t="s">
        <v>1177</v>
      </c>
      <c r="AD1592" s="37">
        <v>0</v>
      </c>
      <c r="AE1592" s="7" t="s">
        <v>1177</v>
      </c>
      <c r="AF1592" s="7" t="s">
        <v>1177</v>
      </c>
      <c r="AG1592" s="7" t="s">
        <v>1177</v>
      </c>
      <c r="AH1592" s="38"/>
      <c r="AI1592" s="36">
        <v>0</v>
      </c>
      <c r="AJ1592" s="7" t="s">
        <v>1193</v>
      </c>
      <c r="AK1592" s="7" t="s">
        <v>1177</v>
      </c>
      <c r="AL1592" s="7" t="s">
        <v>1177</v>
      </c>
      <c r="AM1592" s="7" t="s">
        <v>1177</v>
      </c>
      <c r="AN1592" s="7" t="s">
        <v>3212</v>
      </c>
      <c r="AO1592" s="7" t="s">
        <v>1177</v>
      </c>
      <c r="AP1592" s="7" t="s">
        <v>1177</v>
      </c>
      <c r="AQ1592" s="7" t="s">
        <v>1177</v>
      </c>
      <c r="AR1592" s="29">
        <v>0</v>
      </c>
      <c r="AS1592" s="7" t="s">
        <v>1177</v>
      </c>
      <c r="AT1592" s="7" t="s">
        <v>1363</v>
      </c>
      <c r="AU1592" s="38">
        <v>46275</v>
      </c>
      <c r="AV1592" s="39">
        <v>0.62484953703704005</v>
      </c>
    </row>
    <row r="1593" spans="1:48" x14ac:dyDescent="0.35">
      <c r="A1593" t="str">
        <f t="shared" si="24"/>
        <v>GP429272B856</v>
      </c>
      <c r="B1593" s="7" t="s">
        <v>935</v>
      </c>
      <c r="C1593" s="7" t="s">
        <v>852</v>
      </c>
      <c r="D1593" s="7" t="s">
        <v>21</v>
      </c>
      <c r="E1593" s="7" t="s">
        <v>1177</v>
      </c>
      <c r="F1593" s="7" t="s">
        <v>128</v>
      </c>
      <c r="G1593" s="7" t="s">
        <v>130</v>
      </c>
      <c r="H1593" s="7" t="s">
        <v>129</v>
      </c>
      <c r="I1593" s="30">
        <v>2</v>
      </c>
      <c r="J1593" s="7" t="s">
        <v>1177</v>
      </c>
      <c r="K1593" s="7" t="s">
        <v>1178</v>
      </c>
      <c r="L1593" s="7" t="s">
        <v>132</v>
      </c>
      <c r="M1593" s="7" t="s">
        <v>133</v>
      </c>
      <c r="N1593" s="30">
        <v>0</v>
      </c>
      <c r="O1593" s="30">
        <v>0</v>
      </c>
      <c r="P1593" s="30">
        <v>0</v>
      </c>
      <c r="Q1593" s="30">
        <v>0</v>
      </c>
      <c r="R1593" s="29">
        <v>0</v>
      </c>
      <c r="S1593" s="36">
        <v>0</v>
      </c>
      <c r="T1593" s="7" t="s">
        <v>131</v>
      </c>
      <c r="U1593" s="7" t="s">
        <v>853</v>
      </c>
      <c r="V1593" s="7" t="s">
        <v>853</v>
      </c>
      <c r="W1593" s="7" t="s">
        <v>1177</v>
      </c>
      <c r="X1593" s="30">
        <v>1</v>
      </c>
      <c r="Y1593" s="7" t="s">
        <v>1177</v>
      </c>
      <c r="Z1593" s="7" t="s">
        <v>1178</v>
      </c>
      <c r="AA1593" s="30">
        <v>0</v>
      </c>
      <c r="AB1593" s="36">
        <v>0</v>
      </c>
      <c r="AC1593" s="7" t="s">
        <v>1177</v>
      </c>
      <c r="AD1593" s="37">
        <v>0</v>
      </c>
      <c r="AE1593" s="7" t="s">
        <v>1177</v>
      </c>
      <c r="AF1593" s="7" t="s">
        <v>1177</v>
      </c>
      <c r="AG1593" s="7" t="s">
        <v>1177</v>
      </c>
      <c r="AH1593" s="38"/>
      <c r="AI1593" s="36">
        <v>0</v>
      </c>
      <c r="AJ1593" s="7" t="s">
        <v>1193</v>
      </c>
      <c r="AK1593" s="7" t="s">
        <v>1177</v>
      </c>
      <c r="AL1593" s="7" t="s">
        <v>1177</v>
      </c>
      <c r="AM1593" s="7" t="s">
        <v>1177</v>
      </c>
      <c r="AN1593" s="7" t="s">
        <v>3212</v>
      </c>
      <c r="AO1593" s="7" t="s">
        <v>1177</v>
      </c>
      <c r="AP1593" s="7" t="s">
        <v>1177</v>
      </c>
      <c r="AQ1593" s="7" t="s">
        <v>1177</v>
      </c>
      <c r="AR1593" s="29">
        <v>0</v>
      </c>
      <c r="AS1593" s="7" t="s">
        <v>1177</v>
      </c>
      <c r="AT1593" s="7" t="s">
        <v>1363</v>
      </c>
      <c r="AU1593" s="38">
        <v>46275</v>
      </c>
      <c r="AV1593" s="39">
        <v>0.62488425925926006</v>
      </c>
    </row>
    <row r="1594" spans="1:48" x14ac:dyDescent="0.35">
      <c r="A1594" t="str">
        <f t="shared" si="24"/>
        <v>GP429344B832</v>
      </c>
      <c r="B1594" s="7" t="s">
        <v>693</v>
      </c>
      <c r="C1594" s="7" t="s">
        <v>653</v>
      </c>
      <c r="D1594" s="7" t="s">
        <v>19</v>
      </c>
      <c r="E1594" s="7" t="s">
        <v>1177</v>
      </c>
      <c r="F1594" s="7" t="s">
        <v>128</v>
      </c>
      <c r="G1594" s="7" t="s">
        <v>130</v>
      </c>
      <c r="H1594" s="7" t="s">
        <v>129</v>
      </c>
      <c r="I1594" s="30">
        <v>2</v>
      </c>
      <c r="J1594" s="7" t="s">
        <v>1177</v>
      </c>
      <c r="K1594" s="7" t="s">
        <v>1178</v>
      </c>
      <c r="L1594" s="7" t="s">
        <v>132</v>
      </c>
      <c r="M1594" s="7" t="s">
        <v>133</v>
      </c>
      <c r="N1594" s="30">
        <v>0</v>
      </c>
      <c r="O1594" s="30">
        <v>0</v>
      </c>
      <c r="P1594" s="30">
        <v>0</v>
      </c>
      <c r="Q1594" s="30">
        <v>0</v>
      </c>
      <c r="R1594" s="29">
        <v>0</v>
      </c>
      <c r="S1594" s="36">
        <v>0</v>
      </c>
      <c r="T1594" s="7" t="s">
        <v>131</v>
      </c>
      <c r="U1594" s="7" t="s">
        <v>654</v>
      </c>
      <c r="V1594" s="7" t="s">
        <v>654</v>
      </c>
      <c r="W1594" s="7" t="s">
        <v>1177</v>
      </c>
      <c r="X1594" s="30">
        <v>1</v>
      </c>
      <c r="Y1594" s="7" t="s">
        <v>1177</v>
      </c>
      <c r="Z1594" s="7" t="s">
        <v>1178</v>
      </c>
      <c r="AA1594" s="30">
        <v>0</v>
      </c>
      <c r="AB1594" s="36">
        <v>0</v>
      </c>
      <c r="AC1594" s="7" t="s">
        <v>1177</v>
      </c>
      <c r="AD1594" s="37">
        <v>0</v>
      </c>
      <c r="AE1594" s="7" t="s">
        <v>1177</v>
      </c>
      <c r="AF1594" s="7" t="s">
        <v>1177</v>
      </c>
      <c r="AG1594" s="7" t="s">
        <v>1177</v>
      </c>
      <c r="AH1594" s="38"/>
      <c r="AI1594" s="36">
        <v>0</v>
      </c>
      <c r="AJ1594" s="7" t="s">
        <v>1193</v>
      </c>
      <c r="AK1594" s="7" t="s">
        <v>1177</v>
      </c>
      <c r="AL1594" s="7" t="s">
        <v>1177</v>
      </c>
      <c r="AM1594" s="7" t="s">
        <v>1177</v>
      </c>
      <c r="AN1594" s="7" t="s">
        <v>3212</v>
      </c>
      <c r="AO1594" s="7" t="s">
        <v>1177</v>
      </c>
      <c r="AP1594" s="7" t="s">
        <v>1177</v>
      </c>
      <c r="AQ1594" s="7" t="s">
        <v>1177</v>
      </c>
      <c r="AR1594" s="29">
        <v>0</v>
      </c>
      <c r="AS1594" s="7" t="s">
        <v>1177</v>
      </c>
      <c r="AT1594" s="7" t="s">
        <v>1363</v>
      </c>
      <c r="AU1594" s="38">
        <v>46275</v>
      </c>
      <c r="AV1594" s="39">
        <v>0.62332175925926003</v>
      </c>
    </row>
    <row r="1595" spans="1:48" x14ac:dyDescent="0.35">
      <c r="A1595" t="str">
        <f t="shared" si="24"/>
        <v>GP430403B856</v>
      </c>
      <c r="B1595" s="7" t="s">
        <v>936</v>
      </c>
      <c r="C1595" s="7" t="s">
        <v>852</v>
      </c>
      <c r="D1595" s="7" t="s">
        <v>21</v>
      </c>
      <c r="E1595" s="7" t="s">
        <v>1177</v>
      </c>
      <c r="F1595" s="7" t="s">
        <v>128</v>
      </c>
      <c r="G1595" s="7" t="s">
        <v>130</v>
      </c>
      <c r="H1595" s="7" t="s">
        <v>129</v>
      </c>
      <c r="I1595" s="30">
        <v>1</v>
      </c>
      <c r="J1595" s="7" t="s">
        <v>1177</v>
      </c>
      <c r="K1595" s="7" t="s">
        <v>1178</v>
      </c>
      <c r="L1595" s="7" t="s">
        <v>132</v>
      </c>
      <c r="M1595" s="7" t="s">
        <v>133</v>
      </c>
      <c r="N1595" s="30">
        <v>0</v>
      </c>
      <c r="O1595" s="30">
        <v>0</v>
      </c>
      <c r="P1595" s="30">
        <v>0</v>
      </c>
      <c r="Q1595" s="30">
        <v>0</v>
      </c>
      <c r="R1595" s="29">
        <v>0</v>
      </c>
      <c r="S1595" s="36">
        <v>0</v>
      </c>
      <c r="T1595" s="7" t="s">
        <v>131</v>
      </c>
      <c r="U1595" s="7" t="s">
        <v>853</v>
      </c>
      <c r="V1595" s="7" t="s">
        <v>853</v>
      </c>
      <c r="W1595" s="7" t="s">
        <v>1177</v>
      </c>
      <c r="X1595" s="30">
        <v>1</v>
      </c>
      <c r="Y1595" s="7" t="s">
        <v>1177</v>
      </c>
      <c r="Z1595" s="7" t="s">
        <v>1178</v>
      </c>
      <c r="AA1595" s="30">
        <v>0</v>
      </c>
      <c r="AB1595" s="36">
        <v>0</v>
      </c>
      <c r="AC1595" s="7" t="s">
        <v>1177</v>
      </c>
      <c r="AD1595" s="37">
        <v>0</v>
      </c>
      <c r="AE1595" s="7" t="s">
        <v>1177</v>
      </c>
      <c r="AF1595" s="7" t="s">
        <v>1177</v>
      </c>
      <c r="AG1595" s="7" t="s">
        <v>1177</v>
      </c>
      <c r="AH1595" s="38"/>
      <c r="AI1595" s="36">
        <v>0</v>
      </c>
      <c r="AJ1595" s="7" t="s">
        <v>1193</v>
      </c>
      <c r="AK1595" s="7" t="s">
        <v>1177</v>
      </c>
      <c r="AL1595" s="7" t="s">
        <v>1177</v>
      </c>
      <c r="AM1595" s="7" t="s">
        <v>1177</v>
      </c>
      <c r="AN1595" s="7" t="s">
        <v>3212</v>
      </c>
      <c r="AO1595" s="7" t="s">
        <v>1177</v>
      </c>
      <c r="AP1595" s="7" t="s">
        <v>1177</v>
      </c>
      <c r="AQ1595" s="7" t="s">
        <v>1177</v>
      </c>
      <c r="AR1595" s="29">
        <v>0</v>
      </c>
      <c r="AS1595" s="7" t="s">
        <v>1177</v>
      </c>
      <c r="AT1595" s="7" t="s">
        <v>1363</v>
      </c>
      <c r="AU1595" s="38">
        <v>46275</v>
      </c>
      <c r="AV1595" s="39">
        <v>0.62488425925926006</v>
      </c>
    </row>
    <row r="1596" spans="1:48" x14ac:dyDescent="0.35">
      <c r="A1596" t="str">
        <f t="shared" si="24"/>
        <v>GP430419B857</v>
      </c>
      <c r="B1596" s="7" t="s">
        <v>992</v>
      </c>
      <c r="C1596" s="7" t="s">
        <v>958</v>
      </c>
      <c r="D1596" s="7" t="s">
        <v>23</v>
      </c>
      <c r="E1596" s="7" t="s">
        <v>1177</v>
      </c>
      <c r="F1596" s="7" t="s">
        <v>134</v>
      </c>
      <c r="G1596" s="7" t="s">
        <v>130</v>
      </c>
      <c r="H1596" s="7" t="s">
        <v>129</v>
      </c>
      <c r="I1596" s="30">
        <v>2</v>
      </c>
      <c r="J1596" s="7" t="s">
        <v>1177</v>
      </c>
      <c r="K1596" s="7" t="s">
        <v>1178</v>
      </c>
      <c r="L1596" s="7" t="s">
        <v>132</v>
      </c>
      <c r="M1596" s="7" t="s">
        <v>133</v>
      </c>
      <c r="N1596" s="30">
        <v>0</v>
      </c>
      <c r="O1596" s="30">
        <v>0</v>
      </c>
      <c r="P1596" s="30">
        <v>0</v>
      </c>
      <c r="Q1596" s="30">
        <v>0</v>
      </c>
      <c r="R1596" s="29">
        <v>0</v>
      </c>
      <c r="S1596" s="36">
        <v>0</v>
      </c>
      <c r="T1596" s="7" t="s">
        <v>131</v>
      </c>
      <c r="U1596" s="7" t="s">
        <v>959</v>
      </c>
      <c r="V1596" s="7" t="s">
        <v>959</v>
      </c>
      <c r="W1596" s="7" t="s">
        <v>1177</v>
      </c>
      <c r="X1596" s="30">
        <v>2</v>
      </c>
      <c r="Y1596" s="7" t="s">
        <v>1177</v>
      </c>
      <c r="Z1596" s="7" t="s">
        <v>1178</v>
      </c>
      <c r="AA1596" s="30">
        <v>0</v>
      </c>
      <c r="AB1596" s="36">
        <v>0</v>
      </c>
      <c r="AC1596" s="7" t="s">
        <v>1177</v>
      </c>
      <c r="AD1596" s="37">
        <v>0</v>
      </c>
      <c r="AE1596" s="7" t="s">
        <v>1177</v>
      </c>
      <c r="AF1596" s="7" t="s">
        <v>1177</v>
      </c>
      <c r="AG1596" s="7" t="s">
        <v>1177</v>
      </c>
      <c r="AH1596" s="38"/>
      <c r="AI1596" s="36">
        <v>0</v>
      </c>
      <c r="AJ1596" s="7" t="s">
        <v>1193</v>
      </c>
      <c r="AK1596" s="7" t="s">
        <v>1177</v>
      </c>
      <c r="AL1596" s="7" t="s">
        <v>1177</v>
      </c>
      <c r="AM1596" s="7" t="s">
        <v>1177</v>
      </c>
      <c r="AN1596" s="7" t="s">
        <v>3212</v>
      </c>
      <c r="AO1596" s="7" t="s">
        <v>1177</v>
      </c>
      <c r="AP1596" s="7" t="s">
        <v>1177</v>
      </c>
      <c r="AQ1596" s="7" t="s">
        <v>1177</v>
      </c>
      <c r="AR1596" s="29">
        <v>0</v>
      </c>
      <c r="AS1596" s="7" t="s">
        <v>1177</v>
      </c>
      <c r="AT1596" s="7" t="s">
        <v>1363</v>
      </c>
      <c r="AU1596" s="38">
        <v>46275</v>
      </c>
      <c r="AV1596" s="39">
        <v>0.62506944444444001</v>
      </c>
    </row>
    <row r="1597" spans="1:48" x14ac:dyDescent="0.35">
      <c r="A1597" t="str">
        <f t="shared" si="24"/>
        <v>GP430419B867</v>
      </c>
      <c r="B1597" s="7" t="s">
        <v>992</v>
      </c>
      <c r="C1597" s="7" t="s">
        <v>1059</v>
      </c>
      <c r="D1597" s="7" t="s">
        <v>25</v>
      </c>
      <c r="E1597" s="7" t="s">
        <v>1177</v>
      </c>
      <c r="F1597" s="7" t="s">
        <v>134</v>
      </c>
      <c r="G1597" s="7" t="s">
        <v>130</v>
      </c>
      <c r="H1597" s="7" t="s">
        <v>129</v>
      </c>
      <c r="I1597" s="30">
        <v>2</v>
      </c>
      <c r="J1597" s="7" t="s">
        <v>1177</v>
      </c>
      <c r="K1597" s="7" t="s">
        <v>1178</v>
      </c>
      <c r="L1597" s="7" t="s">
        <v>132</v>
      </c>
      <c r="M1597" s="7" t="s">
        <v>133</v>
      </c>
      <c r="N1597" s="30">
        <v>0</v>
      </c>
      <c r="O1597" s="30">
        <v>0</v>
      </c>
      <c r="P1597" s="30">
        <v>0</v>
      </c>
      <c r="Q1597" s="30">
        <v>0</v>
      </c>
      <c r="R1597" s="29">
        <v>0</v>
      </c>
      <c r="S1597" s="36">
        <v>0</v>
      </c>
      <c r="T1597" s="7" t="s">
        <v>131</v>
      </c>
      <c r="U1597" s="7" t="s">
        <v>1060</v>
      </c>
      <c r="V1597" s="7" t="s">
        <v>1060</v>
      </c>
      <c r="W1597" s="7" t="s">
        <v>1177</v>
      </c>
      <c r="X1597" s="30">
        <v>2</v>
      </c>
      <c r="Y1597" s="7" t="s">
        <v>1177</v>
      </c>
      <c r="Z1597" s="7" t="s">
        <v>1178</v>
      </c>
      <c r="AA1597" s="30">
        <v>0</v>
      </c>
      <c r="AB1597" s="36">
        <v>0</v>
      </c>
      <c r="AC1597" s="7" t="s">
        <v>1177</v>
      </c>
      <c r="AD1597" s="37">
        <v>0</v>
      </c>
      <c r="AE1597" s="7" t="s">
        <v>1177</v>
      </c>
      <c r="AF1597" s="7" t="s">
        <v>1177</v>
      </c>
      <c r="AG1597" s="7" t="s">
        <v>1177</v>
      </c>
      <c r="AH1597" s="38"/>
      <c r="AI1597" s="36">
        <v>0</v>
      </c>
      <c r="AJ1597" s="7" t="s">
        <v>1193</v>
      </c>
      <c r="AK1597" s="7" t="s">
        <v>1177</v>
      </c>
      <c r="AL1597" s="7" t="s">
        <v>1177</v>
      </c>
      <c r="AM1597" s="7" t="s">
        <v>1177</v>
      </c>
      <c r="AN1597" s="7" t="s">
        <v>3212</v>
      </c>
      <c r="AO1597" s="7" t="s">
        <v>1177</v>
      </c>
      <c r="AP1597" s="7" t="s">
        <v>1177</v>
      </c>
      <c r="AQ1597" s="7" t="s">
        <v>1177</v>
      </c>
      <c r="AR1597" s="29">
        <v>0</v>
      </c>
      <c r="AS1597" s="7" t="s">
        <v>1177</v>
      </c>
      <c r="AT1597" s="7" t="s">
        <v>1363</v>
      </c>
      <c r="AU1597" s="38">
        <v>46275</v>
      </c>
      <c r="AV1597" s="39">
        <v>0.62730324074073995</v>
      </c>
    </row>
    <row r="1598" spans="1:48" x14ac:dyDescent="0.35">
      <c r="A1598" t="str">
        <f t="shared" si="24"/>
        <v>GP432763B838</v>
      </c>
      <c r="B1598" s="7" t="s">
        <v>773</v>
      </c>
      <c r="C1598" s="7" t="s">
        <v>744</v>
      </c>
      <c r="D1598" s="7" t="s">
        <v>48</v>
      </c>
      <c r="E1598" s="7" t="s">
        <v>1177</v>
      </c>
      <c r="F1598" s="7" t="s">
        <v>128</v>
      </c>
      <c r="G1598" s="7" t="s">
        <v>130</v>
      </c>
      <c r="H1598" s="7" t="s">
        <v>129</v>
      </c>
      <c r="I1598" s="30">
        <v>2</v>
      </c>
      <c r="J1598" s="7" t="s">
        <v>1177</v>
      </c>
      <c r="K1598" s="7" t="s">
        <v>1178</v>
      </c>
      <c r="L1598" s="7" t="s">
        <v>132</v>
      </c>
      <c r="M1598" s="7" t="s">
        <v>133</v>
      </c>
      <c r="N1598" s="30">
        <v>0</v>
      </c>
      <c r="O1598" s="30">
        <v>0</v>
      </c>
      <c r="P1598" s="30">
        <v>0</v>
      </c>
      <c r="Q1598" s="30">
        <v>0</v>
      </c>
      <c r="R1598" s="29">
        <v>0</v>
      </c>
      <c r="S1598" s="36">
        <v>0</v>
      </c>
      <c r="T1598" s="7" t="s">
        <v>131</v>
      </c>
      <c r="U1598" s="7" t="s">
        <v>745</v>
      </c>
      <c r="V1598" s="7" t="s">
        <v>745</v>
      </c>
      <c r="W1598" s="7" t="s">
        <v>1177</v>
      </c>
      <c r="X1598" s="30">
        <v>1</v>
      </c>
      <c r="Y1598" s="7" t="s">
        <v>1177</v>
      </c>
      <c r="Z1598" s="7" t="s">
        <v>1178</v>
      </c>
      <c r="AA1598" s="30">
        <v>0</v>
      </c>
      <c r="AB1598" s="36">
        <v>0</v>
      </c>
      <c r="AC1598" s="7" t="s">
        <v>1177</v>
      </c>
      <c r="AD1598" s="37">
        <v>0</v>
      </c>
      <c r="AE1598" s="7" t="s">
        <v>1177</v>
      </c>
      <c r="AF1598" s="7" t="s">
        <v>1177</v>
      </c>
      <c r="AG1598" s="7" t="s">
        <v>1177</v>
      </c>
      <c r="AH1598" s="38"/>
      <c r="AI1598" s="36">
        <v>0</v>
      </c>
      <c r="AJ1598" s="7" t="s">
        <v>1193</v>
      </c>
      <c r="AK1598" s="7" t="s">
        <v>1177</v>
      </c>
      <c r="AL1598" s="7" t="s">
        <v>1177</v>
      </c>
      <c r="AM1598" s="7" t="s">
        <v>1177</v>
      </c>
      <c r="AN1598" s="7" t="s">
        <v>3212</v>
      </c>
      <c r="AO1598" s="7" t="s">
        <v>1177</v>
      </c>
      <c r="AP1598" s="7" t="s">
        <v>1177</v>
      </c>
      <c r="AQ1598" s="7" t="s">
        <v>1177</v>
      </c>
      <c r="AR1598" s="29">
        <v>0</v>
      </c>
      <c r="AS1598" s="7" t="s">
        <v>1177</v>
      </c>
      <c r="AT1598" s="7" t="s">
        <v>1363</v>
      </c>
      <c r="AU1598" s="38">
        <v>46275</v>
      </c>
      <c r="AV1598" s="39">
        <v>0.62398148148148003</v>
      </c>
    </row>
    <row r="1599" spans="1:48" x14ac:dyDescent="0.35">
      <c r="A1599" t="str">
        <f t="shared" si="24"/>
        <v>GP432763B856</v>
      </c>
      <c r="B1599" s="7" t="s">
        <v>773</v>
      </c>
      <c r="C1599" s="7" t="s">
        <v>852</v>
      </c>
      <c r="D1599" s="7" t="s">
        <v>21</v>
      </c>
      <c r="E1599" s="7" t="s">
        <v>1177</v>
      </c>
      <c r="F1599" s="7" t="s">
        <v>128</v>
      </c>
      <c r="G1599" s="7" t="s">
        <v>130</v>
      </c>
      <c r="H1599" s="7" t="s">
        <v>129</v>
      </c>
      <c r="I1599" s="30">
        <v>3</v>
      </c>
      <c r="J1599" s="7" t="s">
        <v>1177</v>
      </c>
      <c r="K1599" s="7" t="s">
        <v>1178</v>
      </c>
      <c r="L1599" s="7" t="s">
        <v>132</v>
      </c>
      <c r="M1599" s="7" t="s">
        <v>133</v>
      </c>
      <c r="N1599" s="30">
        <v>0</v>
      </c>
      <c r="O1599" s="30">
        <v>0</v>
      </c>
      <c r="P1599" s="30">
        <v>0</v>
      </c>
      <c r="Q1599" s="30">
        <v>0</v>
      </c>
      <c r="R1599" s="29">
        <v>0</v>
      </c>
      <c r="S1599" s="36">
        <v>0</v>
      </c>
      <c r="T1599" s="7" t="s">
        <v>131</v>
      </c>
      <c r="U1599" s="7" t="s">
        <v>853</v>
      </c>
      <c r="V1599" s="7" t="s">
        <v>853</v>
      </c>
      <c r="W1599" s="7" t="s">
        <v>1177</v>
      </c>
      <c r="X1599" s="30">
        <v>1</v>
      </c>
      <c r="Y1599" s="7" t="s">
        <v>1177</v>
      </c>
      <c r="Z1599" s="7" t="s">
        <v>1178</v>
      </c>
      <c r="AA1599" s="30">
        <v>0</v>
      </c>
      <c r="AB1599" s="36">
        <v>0</v>
      </c>
      <c r="AC1599" s="7" t="s">
        <v>1177</v>
      </c>
      <c r="AD1599" s="37">
        <v>0</v>
      </c>
      <c r="AE1599" s="7" t="s">
        <v>1177</v>
      </c>
      <c r="AF1599" s="7" t="s">
        <v>1177</v>
      </c>
      <c r="AG1599" s="7" t="s">
        <v>1177</v>
      </c>
      <c r="AH1599" s="38"/>
      <c r="AI1599" s="36">
        <v>0</v>
      </c>
      <c r="AJ1599" s="7" t="s">
        <v>1193</v>
      </c>
      <c r="AK1599" s="7" t="s">
        <v>1177</v>
      </c>
      <c r="AL1599" s="7" t="s">
        <v>1177</v>
      </c>
      <c r="AM1599" s="7" t="s">
        <v>1177</v>
      </c>
      <c r="AN1599" s="7" t="s">
        <v>3212</v>
      </c>
      <c r="AO1599" s="7" t="s">
        <v>1177</v>
      </c>
      <c r="AP1599" s="7" t="s">
        <v>1177</v>
      </c>
      <c r="AQ1599" s="7" t="s">
        <v>1177</v>
      </c>
      <c r="AR1599" s="29">
        <v>0</v>
      </c>
      <c r="AS1599" s="7" t="s">
        <v>1177</v>
      </c>
      <c r="AT1599" s="7" t="s">
        <v>1363</v>
      </c>
      <c r="AU1599" s="38">
        <v>46275</v>
      </c>
      <c r="AV1599" s="39">
        <v>0.62488425925926006</v>
      </c>
    </row>
    <row r="1600" spans="1:48" x14ac:dyDescent="0.35">
      <c r="A1600" t="str">
        <f t="shared" si="24"/>
        <v>GP432763B857</v>
      </c>
      <c r="B1600" s="7" t="s">
        <v>773</v>
      </c>
      <c r="C1600" s="7" t="s">
        <v>958</v>
      </c>
      <c r="D1600" s="7" t="s">
        <v>23</v>
      </c>
      <c r="E1600" s="7" t="s">
        <v>1177</v>
      </c>
      <c r="F1600" s="7" t="s">
        <v>128</v>
      </c>
      <c r="G1600" s="7" t="s">
        <v>130</v>
      </c>
      <c r="H1600" s="7" t="s">
        <v>129</v>
      </c>
      <c r="I1600" s="30">
        <v>2</v>
      </c>
      <c r="J1600" s="7" t="s">
        <v>1177</v>
      </c>
      <c r="K1600" s="7" t="s">
        <v>1178</v>
      </c>
      <c r="L1600" s="7" t="s">
        <v>132</v>
      </c>
      <c r="M1600" s="7" t="s">
        <v>133</v>
      </c>
      <c r="N1600" s="30">
        <v>0</v>
      </c>
      <c r="O1600" s="30">
        <v>0</v>
      </c>
      <c r="P1600" s="30">
        <v>0</v>
      </c>
      <c r="Q1600" s="30">
        <v>0</v>
      </c>
      <c r="R1600" s="29">
        <v>0</v>
      </c>
      <c r="S1600" s="36">
        <v>0</v>
      </c>
      <c r="T1600" s="7" t="s">
        <v>131</v>
      </c>
      <c r="U1600" s="7" t="s">
        <v>959</v>
      </c>
      <c r="V1600" s="7" t="s">
        <v>959</v>
      </c>
      <c r="W1600" s="7" t="s">
        <v>1177</v>
      </c>
      <c r="X1600" s="30">
        <v>1</v>
      </c>
      <c r="Y1600" s="7" t="s">
        <v>1177</v>
      </c>
      <c r="Z1600" s="7" t="s">
        <v>1178</v>
      </c>
      <c r="AA1600" s="30">
        <v>0</v>
      </c>
      <c r="AB1600" s="36">
        <v>0</v>
      </c>
      <c r="AC1600" s="7" t="s">
        <v>1177</v>
      </c>
      <c r="AD1600" s="37">
        <v>0</v>
      </c>
      <c r="AE1600" s="7" t="s">
        <v>1177</v>
      </c>
      <c r="AF1600" s="7" t="s">
        <v>1177</v>
      </c>
      <c r="AG1600" s="7" t="s">
        <v>1177</v>
      </c>
      <c r="AH1600" s="38"/>
      <c r="AI1600" s="36">
        <v>0</v>
      </c>
      <c r="AJ1600" s="7" t="s">
        <v>1193</v>
      </c>
      <c r="AK1600" s="7" t="s">
        <v>1177</v>
      </c>
      <c r="AL1600" s="7" t="s">
        <v>1177</v>
      </c>
      <c r="AM1600" s="7" t="s">
        <v>1177</v>
      </c>
      <c r="AN1600" s="7" t="s">
        <v>3212</v>
      </c>
      <c r="AO1600" s="7" t="s">
        <v>1177</v>
      </c>
      <c r="AP1600" s="7" t="s">
        <v>1177</v>
      </c>
      <c r="AQ1600" s="7" t="s">
        <v>1177</v>
      </c>
      <c r="AR1600" s="29">
        <v>0</v>
      </c>
      <c r="AS1600" s="7" t="s">
        <v>1177</v>
      </c>
      <c r="AT1600" s="7" t="s">
        <v>1363</v>
      </c>
      <c r="AU1600" s="38">
        <v>46275</v>
      </c>
      <c r="AV1600" s="39">
        <v>0.62513888888889002</v>
      </c>
    </row>
    <row r="1601" spans="1:48" x14ac:dyDescent="0.35">
      <c r="A1601" t="str">
        <f t="shared" si="24"/>
        <v>GP432763B867</v>
      </c>
      <c r="B1601" s="7" t="s">
        <v>773</v>
      </c>
      <c r="C1601" s="7" t="s">
        <v>1059</v>
      </c>
      <c r="D1601" s="7" t="s">
        <v>25</v>
      </c>
      <c r="E1601" s="7" t="s">
        <v>1177</v>
      </c>
      <c r="F1601" s="7" t="s">
        <v>128</v>
      </c>
      <c r="G1601" s="7" t="s">
        <v>130</v>
      </c>
      <c r="H1601" s="7" t="s">
        <v>129</v>
      </c>
      <c r="I1601" s="30">
        <v>2</v>
      </c>
      <c r="J1601" s="7" t="s">
        <v>1177</v>
      </c>
      <c r="K1601" s="7" t="s">
        <v>1178</v>
      </c>
      <c r="L1601" s="7" t="s">
        <v>132</v>
      </c>
      <c r="M1601" s="7" t="s">
        <v>133</v>
      </c>
      <c r="N1601" s="30">
        <v>0</v>
      </c>
      <c r="O1601" s="30">
        <v>0</v>
      </c>
      <c r="P1601" s="30">
        <v>0</v>
      </c>
      <c r="Q1601" s="30">
        <v>0</v>
      </c>
      <c r="R1601" s="29">
        <v>0</v>
      </c>
      <c r="S1601" s="36">
        <v>0</v>
      </c>
      <c r="T1601" s="7" t="s">
        <v>131</v>
      </c>
      <c r="U1601" s="7" t="s">
        <v>1060</v>
      </c>
      <c r="V1601" s="7" t="s">
        <v>1060</v>
      </c>
      <c r="W1601" s="7" t="s">
        <v>1177</v>
      </c>
      <c r="X1601" s="30">
        <v>1</v>
      </c>
      <c r="Y1601" s="7" t="s">
        <v>1177</v>
      </c>
      <c r="Z1601" s="7" t="s">
        <v>1178</v>
      </c>
      <c r="AA1601" s="30">
        <v>0</v>
      </c>
      <c r="AB1601" s="36">
        <v>0</v>
      </c>
      <c r="AC1601" s="7" t="s">
        <v>1177</v>
      </c>
      <c r="AD1601" s="37">
        <v>0</v>
      </c>
      <c r="AE1601" s="7" t="s">
        <v>1177</v>
      </c>
      <c r="AF1601" s="7" t="s">
        <v>1177</v>
      </c>
      <c r="AG1601" s="7" t="s">
        <v>1177</v>
      </c>
      <c r="AH1601" s="38"/>
      <c r="AI1601" s="36">
        <v>0</v>
      </c>
      <c r="AJ1601" s="7" t="s">
        <v>1193</v>
      </c>
      <c r="AK1601" s="7" t="s">
        <v>1177</v>
      </c>
      <c r="AL1601" s="7" t="s">
        <v>1177</v>
      </c>
      <c r="AM1601" s="7" t="s">
        <v>1177</v>
      </c>
      <c r="AN1601" s="7" t="s">
        <v>3212</v>
      </c>
      <c r="AO1601" s="7" t="s">
        <v>1177</v>
      </c>
      <c r="AP1601" s="7" t="s">
        <v>1177</v>
      </c>
      <c r="AQ1601" s="7" t="s">
        <v>1177</v>
      </c>
      <c r="AR1601" s="29">
        <v>0</v>
      </c>
      <c r="AS1601" s="7" t="s">
        <v>1177</v>
      </c>
      <c r="AT1601" s="7" t="s">
        <v>1363</v>
      </c>
      <c r="AU1601" s="38">
        <v>46275</v>
      </c>
      <c r="AV1601" s="39">
        <v>0.62716435185185004</v>
      </c>
    </row>
    <row r="1602" spans="1:48" x14ac:dyDescent="0.35">
      <c r="A1602" t="str">
        <f t="shared" si="24"/>
        <v>GP435399B825</v>
      </c>
      <c r="B1602" s="7" t="s">
        <v>615</v>
      </c>
      <c r="C1602" s="7" t="s">
        <v>511</v>
      </c>
      <c r="D1602" s="7" t="s">
        <v>16</v>
      </c>
      <c r="E1602" s="7" t="s">
        <v>1177</v>
      </c>
      <c r="F1602" s="7" t="s">
        <v>128</v>
      </c>
      <c r="G1602" s="7" t="s">
        <v>130</v>
      </c>
      <c r="H1602" s="7" t="s">
        <v>129</v>
      </c>
      <c r="I1602" s="30">
        <v>2</v>
      </c>
      <c r="J1602" s="7" t="s">
        <v>1177</v>
      </c>
      <c r="K1602" s="7" t="s">
        <v>1178</v>
      </c>
      <c r="L1602" s="7" t="s">
        <v>132</v>
      </c>
      <c r="M1602" s="7" t="s">
        <v>133</v>
      </c>
      <c r="N1602" s="30">
        <v>0</v>
      </c>
      <c r="O1602" s="30">
        <v>0</v>
      </c>
      <c r="P1602" s="30">
        <v>0</v>
      </c>
      <c r="Q1602" s="30">
        <v>0</v>
      </c>
      <c r="R1602" s="29">
        <v>0</v>
      </c>
      <c r="S1602" s="36">
        <v>0</v>
      </c>
      <c r="T1602" s="7" t="s">
        <v>131</v>
      </c>
      <c r="U1602" s="7" t="s">
        <v>512</v>
      </c>
      <c r="V1602" s="7" t="s">
        <v>512</v>
      </c>
      <c r="W1602" s="7" t="s">
        <v>1177</v>
      </c>
      <c r="X1602" s="30">
        <v>1</v>
      </c>
      <c r="Y1602" s="7" t="s">
        <v>1177</v>
      </c>
      <c r="Z1602" s="7" t="s">
        <v>1178</v>
      </c>
      <c r="AA1602" s="30">
        <v>0</v>
      </c>
      <c r="AB1602" s="36">
        <v>0</v>
      </c>
      <c r="AC1602" s="7" t="s">
        <v>1177</v>
      </c>
      <c r="AD1602" s="37">
        <v>0</v>
      </c>
      <c r="AE1602" s="7" t="s">
        <v>1177</v>
      </c>
      <c r="AF1602" s="7" t="s">
        <v>1177</v>
      </c>
      <c r="AG1602" s="7" t="s">
        <v>1177</v>
      </c>
      <c r="AH1602" s="38"/>
      <c r="AI1602" s="36">
        <v>0</v>
      </c>
      <c r="AJ1602" s="7" t="s">
        <v>1193</v>
      </c>
      <c r="AK1602" s="7" t="s">
        <v>1177</v>
      </c>
      <c r="AL1602" s="7" t="s">
        <v>1177</v>
      </c>
      <c r="AM1602" s="7" t="s">
        <v>1177</v>
      </c>
      <c r="AN1602" s="7" t="s">
        <v>3212</v>
      </c>
      <c r="AO1602" s="7" t="s">
        <v>1177</v>
      </c>
      <c r="AP1602" s="7" t="s">
        <v>1177</v>
      </c>
      <c r="AQ1602" s="7" t="s">
        <v>1177</v>
      </c>
      <c r="AR1602" s="29">
        <v>0</v>
      </c>
      <c r="AS1602" s="7" t="s">
        <v>1177</v>
      </c>
      <c r="AT1602" s="7" t="s">
        <v>1363</v>
      </c>
      <c r="AU1602" s="38">
        <v>46275</v>
      </c>
      <c r="AV1602" s="39">
        <v>0.62305555555556003</v>
      </c>
    </row>
    <row r="1603" spans="1:48" x14ac:dyDescent="0.35">
      <c r="A1603" t="str">
        <f t="shared" ref="A1603:A1666" si="25">_xlfn.CONCAT(B1603,D1603)</f>
        <v>GP435490B857</v>
      </c>
      <c r="B1603" s="7" t="s">
        <v>994</v>
      </c>
      <c r="C1603" s="7" t="s">
        <v>958</v>
      </c>
      <c r="D1603" s="7" t="s">
        <v>23</v>
      </c>
      <c r="E1603" s="7" t="s">
        <v>1177</v>
      </c>
      <c r="F1603" s="7" t="s">
        <v>128</v>
      </c>
      <c r="G1603" s="7" t="s">
        <v>130</v>
      </c>
      <c r="H1603" s="7" t="s">
        <v>129</v>
      </c>
      <c r="I1603" s="30">
        <v>1</v>
      </c>
      <c r="J1603" s="7" t="s">
        <v>1177</v>
      </c>
      <c r="K1603" s="7" t="s">
        <v>1178</v>
      </c>
      <c r="L1603" s="7" t="s">
        <v>132</v>
      </c>
      <c r="M1603" s="7" t="s">
        <v>133</v>
      </c>
      <c r="N1603" s="30">
        <v>0</v>
      </c>
      <c r="O1603" s="30">
        <v>0</v>
      </c>
      <c r="P1603" s="30">
        <v>0</v>
      </c>
      <c r="Q1603" s="30">
        <v>0</v>
      </c>
      <c r="R1603" s="29">
        <v>0</v>
      </c>
      <c r="S1603" s="36">
        <v>0</v>
      </c>
      <c r="T1603" s="7" t="s">
        <v>131</v>
      </c>
      <c r="U1603" s="7" t="s">
        <v>959</v>
      </c>
      <c r="V1603" s="7" t="s">
        <v>959</v>
      </c>
      <c r="W1603" s="7" t="s">
        <v>1177</v>
      </c>
      <c r="X1603" s="30">
        <v>1</v>
      </c>
      <c r="Y1603" s="7" t="s">
        <v>1177</v>
      </c>
      <c r="Z1603" s="7" t="s">
        <v>1178</v>
      </c>
      <c r="AA1603" s="30">
        <v>0</v>
      </c>
      <c r="AB1603" s="36">
        <v>0</v>
      </c>
      <c r="AC1603" s="7" t="s">
        <v>1177</v>
      </c>
      <c r="AD1603" s="37">
        <v>0</v>
      </c>
      <c r="AE1603" s="7" t="s">
        <v>1177</v>
      </c>
      <c r="AF1603" s="7" t="s">
        <v>1177</v>
      </c>
      <c r="AG1603" s="7" t="s">
        <v>1177</v>
      </c>
      <c r="AH1603" s="38"/>
      <c r="AI1603" s="36">
        <v>0</v>
      </c>
      <c r="AJ1603" s="7" t="s">
        <v>1193</v>
      </c>
      <c r="AK1603" s="7" t="s">
        <v>1177</v>
      </c>
      <c r="AL1603" s="7" t="s">
        <v>1177</v>
      </c>
      <c r="AM1603" s="7" t="s">
        <v>1177</v>
      </c>
      <c r="AN1603" s="7" t="s">
        <v>3212</v>
      </c>
      <c r="AO1603" s="7" t="s">
        <v>1177</v>
      </c>
      <c r="AP1603" s="7" t="s">
        <v>1177</v>
      </c>
      <c r="AQ1603" s="7" t="s">
        <v>1177</v>
      </c>
      <c r="AR1603" s="29">
        <v>0</v>
      </c>
      <c r="AS1603" s="7" t="s">
        <v>1177</v>
      </c>
      <c r="AT1603" s="7" t="s">
        <v>1363</v>
      </c>
      <c r="AU1603" s="38">
        <v>46275</v>
      </c>
      <c r="AV1603" s="39">
        <v>0.62513888888889002</v>
      </c>
    </row>
    <row r="1604" spans="1:48" x14ac:dyDescent="0.35">
      <c r="A1604" t="str">
        <f t="shared" si="25"/>
        <v>GP435490B867</v>
      </c>
      <c r="B1604" s="7" t="s">
        <v>994</v>
      </c>
      <c r="C1604" s="7" t="s">
        <v>1059</v>
      </c>
      <c r="D1604" s="7" t="s">
        <v>25</v>
      </c>
      <c r="E1604" s="7" t="s">
        <v>1177</v>
      </c>
      <c r="F1604" s="7" t="s">
        <v>128</v>
      </c>
      <c r="G1604" s="7" t="s">
        <v>130</v>
      </c>
      <c r="H1604" s="7" t="s">
        <v>129</v>
      </c>
      <c r="I1604" s="30">
        <v>2</v>
      </c>
      <c r="J1604" s="7" t="s">
        <v>1177</v>
      </c>
      <c r="K1604" s="7" t="s">
        <v>1178</v>
      </c>
      <c r="L1604" s="7" t="s">
        <v>132</v>
      </c>
      <c r="M1604" s="7" t="s">
        <v>133</v>
      </c>
      <c r="N1604" s="30">
        <v>0</v>
      </c>
      <c r="O1604" s="30">
        <v>0</v>
      </c>
      <c r="P1604" s="30">
        <v>0</v>
      </c>
      <c r="Q1604" s="30">
        <v>0</v>
      </c>
      <c r="R1604" s="29">
        <v>0</v>
      </c>
      <c r="S1604" s="36">
        <v>0</v>
      </c>
      <c r="T1604" s="7" t="s">
        <v>131</v>
      </c>
      <c r="U1604" s="7" t="s">
        <v>1060</v>
      </c>
      <c r="V1604" s="7" t="s">
        <v>1060</v>
      </c>
      <c r="W1604" s="7" t="s">
        <v>1177</v>
      </c>
      <c r="X1604" s="30">
        <v>1</v>
      </c>
      <c r="Y1604" s="7" t="s">
        <v>1177</v>
      </c>
      <c r="Z1604" s="7" t="s">
        <v>1178</v>
      </c>
      <c r="AA1604" s="30">
        <v>0</v>
      </c>
      <c r="AB1604" s="36">
        <v>0</v>
      </c>
      <c r="AC1604" s="7" t="s">
        <v>1177</v>
      </c>
      <c r="AD1604" s="37">
        <v>0</v>
      </c>
      <c r="AE1604" s="7" t="s">
        <v>1177</v>
      </c>
      <c r="AF1604" s="7" t="s">
        <v>1177</v>
      </c>
      <c r="AG1604" s="7" t="s">
        <v>1177</v>
      </c>
      <c r="AH1604" s="38"/>
      <c r="AI1604" s="36">
        <v>0</v>
      </c>
      <c r="AJ1604" s="7" t="s">
        <v>1193</v>
      </c>
      <c r="AK1604" s="7" t="s">
        <v>1177</v>
      </c>
      <c r="AL1604" s="7" t="s">
        <v>1177</v>
      </c>
      <c r="AM1604" s="7" t="s">
        <v>1177</v>
      </c>
      <c r="AN1604" s="7" t="s">
        <v>3212</v>
      </c>
      <c r="AO1604" s="7" t="s">
        <v>1177</v>
      </c>
      <c r="AP1604" s="7" t="s">
        <v>1177</v>
      </c>
      <c r="AQ1604" s="7" t="s">
        <v>1177</v>
      </c>
      <c r="AR1604" s="29">
        <v>0</v>
      </c>
      <c r="AS1604" s="7" t="s">
        <v>1177</v>
      </c>
      <c r="AT1604" s="7" t="s">
        <v>1363</v>
      </c>
      <c r="AU1604" s="38">
        <v>46275</v>
      </c>
      <c r="AV1604" s="39">
        <v>0.62716435185185004</v>
      </c>
    </row>
    <row r="1605" spans="1:48" x14ac:dyDescent="0.35">
      <c r="A1605" t="str">
        <f t="shared" si="25"/>
        <v>GP437954B856</v>
      </c>
      <c r="B1605" s="7" t="s">
        <v>832</v>
      </c>
      <c r="C1605" s="7" t="s">
        <v>852</v>
      </c>
      <c r="D1605" s="7" t="s">
        <v>21</v>
      </c>
      <c r="E1605" s="7" t="s">
        <v>1177</v>
      </c>
      <c r="F1605" s="7" t="s">
        <v>128</v>
      </c>
      <c r="G1605" s="7" t="s">
        <v>130</v>
      </c>
      <c r="H1605" s="7" t="s">
        <v>129</v>
      </c>
      <c r="I1605" s="30">
        <v>2</v>
      </c>
      <c r="J1605" s="7" t="s">
        <v>1177</v>
      </c>
      <c r="K1605" s="7" t="s">
        <v>1178</v>
      </c>
      <c r="L1605" s="7" t="s">
        <v>132</v>
      </c>
      <c r="M1605" s="7" t="s">
        <v>133</v>
      </c>
      <c r="N1605" s="30">
        <v>0</v>
      </c>
      <c r="O1605" s="30">
        <v>0</v>
      </c>
      <c r="P1605" s="30">
        <v>0</v>
      </c>
      <c r="Q1605" s="30">
        <v>0</v>
      </c>
      <c r="R1605" s="29">
        <v>0</v>
      </c>
      <c r="S1605" s="36">
        <v>0</v>
      </c>
      <c r="T1605" s="7" t="s">
        <v>131</v>
      </c>
      <c r="U1605" s="7" t="s">
        <v>853</v>
      </c>
      <c r="V1605" s="7" t="s">
        <v>853</v>
      </c>
      <c r="W1605" s="7" t="s">
        <v>1177</v>
      </c>
      <c r="X1605" s="30">
        <v>1</v>
      </c>
      <c r="Y1605" s="7" t="s">
        <v>1177</v>
      </c>
      <c r="Z1605" s="7" t="s">
        <v>1178</v>
      </c>
      <c r="AA1605" s="30">
        <v>0</v>
      </c>
      <c r="AB1605" s="36">
        <v>0</v>
      </c>
      <c r="AC1605" s="7" t="s">
        <v>1177</v>
      </c>
      <c r="AD1605" s="37">
        <v>0</v>
      </c>
      <c r="AE1605" s="7" t="s">
        <v>1177</v>
      </c>
      <c r="AF1605" s="7" t="s">
        <v>1177</v>
      </c>
      <c r="AG1605" s="7" t="s">
        <v>1177</v>
      </c>
      <c r="AH1605" s="38"/>
      <c r="AI1605" s="36">
        <v>0</v>
      </c>
      <c r="AJ1605" s="7" t="s">
        <v>1193</v>
      </c>
      <c r="AK1605" s="7" t="s">
        <v>1177</v>
      </c>
      <c r="AL1605" s="7" t="s">
        <v>1177</v>
      </c>
      <c r="AM1605" s="7" t="s">
        <v>1177</v>
      </c>
      <c r="AN1605" s="7" t="s">
        <v>3212</v>
      </c>
      <c r="AO1605" s="7" t="s">
        <v>1177</v>
      </c>
      <c r="AP1605" s="7" t="s">
        <v>1177</v>
      </c>
      <c r="AQ1605" s="7" t="s">
        <v>1177</v>
      </c>
      <c r="AR1605" s="29">
        <v>0</v>
      </c>
      <c r="AS1605" s="7" t="s">
        <v>1177</v>
      </c>
      <c r="AT1605" s="7" t="s">
        <v>1363</v>
      </c>
      <c r="AU1605" s="38">
        <v>46275</v>
      </c>
      <c r="AV1605" s="39">
        <v>0.62487268518519001</v>
      </c>
    </row>
    <row r="1606" spans="1:48" x14ac:dyDescent="0.35">
      <c r="A1606" t="str">
        <f t="shared" si="25"/>
        <v>GP437954B857</v>
      </c>
      <c r="B1606" s="7" t="s">
        <v>832</v>
      </c>
      <c r="C1606" s="7" t="s">
        <v>958</v>
      </c>
      <c r="D1606" s="7" t="s">
        <v>23</v>
      </c>
      <c r="E1606" s="7" t="s">
        <v>1177</v>
      </c>
      <c r="F1606" s="7" t="s">
        <v>128</v>
      </c>
      <c r="G1606" s="7" t="s">
        <v>130</v>
      </c>
      <c r="H1606" s="7" t="s">
        <v>129</v>
      </c>
      <c r="I1606" s="30">
        <v>1</v>
      </c>
      <c r="J1606" s="7" t="s">
        <v>1177</v>
      </c>
      <c r="K1606" s="7" t="s">
        <v>1178</v>
      </c>
      <c r="L1606" s="7" t="s">
        <v>132</v>
      </c>
      <c r="M1606" s="7" t="s">
        <v>133</v>
      </c>
      <c r="N1606" s="30">
        <v>0</v>
      </c>
      <c r="O1606" s="30">
        <v>0</v>
      </c>
      <c r="P1606" s="30">
        <v>0</v>
      </c>
      <c r="Q1606" s="30">
        <v>0</v>
      </c>
      <c r="R1606" s="29">
        <v>0</v>
      </c>
      <c r="S1606" s="36">
        <v>0</v>
      </c>
      <c r="T1606" s="7" t="s">
        <v>131</v>
      </c>
      <c r="U1606" s="7" t="s">
        <v>959</v>
      </c>
      <c r="V1606" s="7" t="s">
        <v>959</v>
      </c>
      <c r="W1606" s="7" t="s">
        <v>1177</v>
      </c>
      <c r="X1606" s="30">
        <v>1</v>
      </c>
      <c r="Y1606" s="7" t="s">
        <v>1177</v>
      </c>
      <c r="Z1606" s="7" t="s">
        <v>1178</v>
      </c>
      <c r="AA1606" s="30">
        <v>0</v>
      </c>
      <c r="AB1606" s="36">
        <v>0</v>
      </c>
      <c r="AC1606" s="7" t="s">
        <v>1177</v>
      </c>
      <c r="AD1606" s="37">
        <v>0</v>
      </c>
      <c r="AE1606" s="7" t="s">
        <v>1177</v>
      </c>
      <c r="AF1606" s="7" t="s">
        <v>1177</v>
      </c>
      <c r="AG1606" s="7" t="s">
        <v>1177</v>
      </c>
      <c r="AH1606" s="38"/>
      <c r="AI1606" s="36">
        <v>0</v>
      </c>
      <c r="AJ1606" s="7" t="s">
        <v>1193</v>
      </c>
      <c r="AK1606" s="7" t="s">
        <v>1177</v>
      </c>
      <c r="AL1606" s="7" t="s">
        <v>1177</v>
      </c>
      <c r="AM1606" s="7" t="s">
        <v>1177</v>
      </c>
      <c r="AN1606" s="7" t="s">
        <v>3212</v>
      </c>
      <c r="AO1606" s="7" t="s">
        <v>1177</v>
      </c>
      <c r="AP1606" s="7" t="s">
        <v>1177</v>
      </c>
      <c r="AQ1606" s="7" t="s">
        <v>1177</v>
      </c>
      <c r="AR1606" s="29">
        <v>0</v>
      </c>
      <c r="AS1606" s="7" t="s">
        <v>1177</v>
      </c>
      <c r="AT1606" s="7" t="s">
        <v>1363</v>
      </c>
      <c r="AU1606" s="38">
        <v>46275</v>
      </c>
      <c r="AV1606" s="39">
        <v>0.62513888888889002</v>
      </c>
    </row>
    <row r="1607" spans="1:48" x14ac:dyDescent="0.35">
      <c r="A1607" t="str">
        <f t="shared" si="25"/>
        <v>GP439917B856</v>
      </c>
      <c r="B1607" s="7" t="s">
        <v>937</v>
      </c>
      <c r="C1607" s="7" t="s">
        <v>852</v>
      </c>
      <c r="D1607" s="7" t="s">
        <v>21</v>
      </c>
      <c r="E1607" s="7" t="s">
        <v>1177</v>
      </c>
      <c r="F1607" s="7" t="s">
        <v>128</v>
      </c>
      <c r="G1607" s="7" t="s">
        <v>130</v>
      </c>
      <c r="H1607" s="7" t="s">
        <v>129</v>
      </c>
      <c r="I1607" s="30">
        <v>1</v>
      </c>
      <c r="J1607" s="7" t="s">
        <v>1177</v>
      </c>
      <c r="K1607" s="7" t="s">
        <v>1178</v>
      </c>
      <c r="L1607" s="7" t="s">
        <v>132</v>
      </c>
      <c r="M1607" s="7" t="s">
        <v>133</v>
      </c>
      <c r="N1607" s="30">
        <v>0</v>
      </c>
      <c r="O1607" s="30">
        <v>0</v>
      </c>
      <c r="P1607" s="30">
        <v>0</v>
      </c>
      <c r="Q1607" s="30">
        <v>0</v>
      </c>
      <c r="R1607" s="29">
        <v>0</v>
      </c>
      <c r="S1607" s="36">
        <v>0</v>
      </c>
      <c r="T1607" s="7" t="s">
        <v>131</v>
      </c>
      <c r="U1607" s="7" t="s">
        <v>853</v>
      </c>
      <c r="V1607" s="7" t="s">
        <v>853</v>
      </c>
      <c r="W1607" s="7" t="s">
        <v>1177</v>
      </c>
      <c r="X1607" s="30">
        <v>1</v>
      </c>
      <c r="Y1607" s="7" t="s">
        <v>1177</v>
      </c>
      <c r="Z1607" s="7" t="s">
        <v>1178</v>
      </c>
      <c r="AA1607" s="30">
        <v>0</v>
      </c>
      <c r="AB1607" s="36">
        <v>0</v>
      </c>
      <c r="AC1607" s="7" t="s">
        <v>1177</v>
      </c>
      <c r="AD1607" s="37">
        <v>0</v>
      </c>
      <c r="AE1607" s="7" t="s">
        <v>1177</v>
      </c>
      <c r="AF1607" s="7" t="s">
        <v>1177</v>
      </c>
      <c r="AG1607" s="7" t="s">
        <v>1177</v>
      </c>
      <c r="AH1607" s="38"/>
      <c r="AI1607" s="36">
        <v>0</v>
      </c>
      <c r="AJ1607" s="7" t="s">
        <v>1193</v>
      </c>
      <c r="AK1607" s="7" t="s">
        <v>1177</v>
      </c>
      <c r="AL1607" s="7" t="s">
        <v>1177</v>
      </c>
      <c r="AM1607" s="7" t="s">
        <v>1177</v>
      </c>
      <c r="AN1607" s="7" t="s">
        <v>3212</v>
      </c>
      <c r="AO1607" s="7" t="s">
        <v>1177</v>
      </c>
      <c r="AP1607" s="7" t="s">
        <v>1177</v>
      </c>
      <c r="AQ1607" s="7" t="s">
        <v>1177</v>
      </c>
      <c r="AR1607" s="29">
        <v>0</v>
      </c>
      <c r="AS1607" s="7" t="s">
        <v>1177</v>
      </c>
      <c r="AT1607" s="7" t="s">
        <v>1363</v>
      </c>
      <c r="AU1607" s="38">
        <v>46275</v>
      </c>
      <c r="AV1607" s="39">
        <v>0.62487268518519001</v>
      </c>
    </row>
    <row r="1608" spans="1:48" x14ac:dyDescent="0.35">
      <c r="A1608" t="str">
        <f t="shared" si="25"/>
        <v>GP439917B865</v>
      </c>
      <c r="B1608" s="7" t="s">
        <v>937</v>
      </c>
      <c r="C1608" s="7" t="s">
        <v>1039</v>
      </c>
      <c r="D1608" s="7" t="s">
        <v>7</v>
      </c>
      <c r="E1608" s="7" t="s">
        <v>1177</v>
      </c>
      <c r="F1608" s="7" t="s">
        <v>128</v>
      </c>
      <c r="G1608" s="7" t="s">
        <v>130</v>
      </c>
      <c r="H1608" s="7" t="s">
        <v>129</v>
      </c>
      <c r="I1608" s="30">
        <v>2</v>
      </c>
      <c r="J1608" s="7" t="s">
        <v>1177</v>
      </c>
      <c r="K1608" s="7" t="s">
        <v>1178</v>
      </c>
      <c r="L1608" s="7" t="s">
        <v>132</v>
      </c>
      <c r="M1608" s="7" t="s">
        <v>133</v>
      </c>
      <c r="N1608" s="30">
        <v>0</v>
      </c>
      <c r="O1608" s="30">
        <v>0</v>
      </c>
      <c r="P1608" s="30">
        <v>0</v>
      </c>
      <c r="Q1608" s="30">
        <v>0</v>
      </c>
      <c r="R1608" s="29">
        <v>0</v>
      </c>
      <c r="S1608" s="36">
        <v>0</v>
      </c>
      <c r="T1608" s="7" t="s">
        <v>131</v>
      </c>
      <c r="U1608" s="7" t="s">
        <v>1040</v>
      </c>
      <c r="V1608" s="7" t="s">
        <v>1040</v>
      </c>
      <c r="W1608" s="7" t="s">
        <v>1177</v>
      </c>
      <c r="X1608" s="30">
        <v>1</v>
      </c>
      <c r="Y1608" s="7" t="s">
        <v>1177</v>
      </c>
      <c r="Z1608" s="7" t="s">
        <v>1178</v>
      </c>
      <c r="AA1608" s="30">
        <v>0</v>
      </c>
      <c r="AB1608" s="36">
        <v>0</v>
      </c>
      <c r="AC1608" s="7" t="s">
        <v>1177</v>
      </c>
      <c r="AD1608" s="37">
        <v>0</v>
      </c>
      <c r="AE1608" s="7" t="s">
        <v>1177</v>
      </c>
      <c r="AF1608" s="7" t="s">
        <v>1177</v>
      </c>
      <c r="AG1608" s="7" t="s">
        <v>1177</v>
      </c>
      <c r="AH1608" s="38"/>
      <c r="AI1608" s="36">
        <v>0</v>
      </c>
      <c r="AJ1608" s="7" t="s">
        <v>1193</v>
      </c>
      <c r="AK1608" s="7" t="s">
        <v>1177</v>
      </c>
      <c r="AL1608" s="7" t="s">
        <v>1177</v>
      </c>
      <c r="AM1608" s="7" t="s">
        <v>1177</v>
      </c>
      <c r="AN1608" s="7" t="s">
        <v>3212</v>
      </c>
      <c r="AO1608" s="7" t="s">
        <v>1177</v>
      </c>
      <c r="AP1608" s="7" t="s">
        <v>1177</v>
      </c>
      <c r="AQ1608" s="7" t="s">
        <v>1177</v>
      </c>
      <c r="AR1608" s="29">
        <v>0</v>
      </c>
      <c r="AS1608" s="7" t="s">
        <v>1177</v>
      </c>
      <c r="AT1608" s="7" t="s">
        <v>1363</v>
      </c>
      <c r="AU1608" s="38">
        <v>46275</v>
      </c>
      <c r="AV1608" s="39">
        <v>0.62674768518518997</v>
      </c>
    </row>
    <row r="1609" spans="1:48" x14ac:dyDescent="0.35">
      <c r="A1609" t="str">
        <f t="shared" si="25"/>
        <v>GP439917B867</v>
      </c>
      <c r="B1609" s="7" t="s">
        <v>937</v>
      </c>
      <c r="C1609" s="7" t="s">
        <v>1059</v>
      </c>
      <c r="D1609" s="7" t="s">
        <v>25</v>
      </c>
      <c r="E1609" s="7" t="s">
        <v>1177</v>
      </c>
      <c r="F1609" s="7" t="s">
        <v>128</v>
      </c>
      <c r="G1609" s="7" t="s">
        <v>130</v>
      </c>
      <c r="H1609" s="7" t="s">
        <v>129</v>
      </c>
      <c r="I1609" s="30">
        <v>2</v>
      </c>
      <c r="J1609" s="7" t="s">
        <v>1177</v>
      </c>
      <c r="K1609" s="7" t="s">
        <v>1178</v>
      </c>
      <c r="L1609" s="7" t="s">
        <v>132</v>
      </c>
      <c r="M1609" s="7" t="s">
        <v>133</v>
      </c>
      <c r="N1609" s="30">
        <v>0</v>
      </c>
      <c r="O1609" s="30">
        <v>0</v>
      </c>
      <c r="P1609" s="30">
        <v>0</v>
      </c>
      <c r="Q1609" s="30">
        <v>0</v>
      </c>
      <c r="R1609" s="29">
        <v>0</v>
      </c>
      <c r="S1609" s="36">
        <v>0</v>
      </c>
      <c r="T1609" s="7" t="s">
        <v>131</v>
      </c>
      <c r="U1609" s="7" t="s">
        <v>1060</v>
      </c>
      <c r="V1609" s="7" t="s">
        <v>1060</v>
      </c>
      <c r="W1609" s="7" t="s">
        <v>1177</v>
      </c>
      <c r="X1609" s="30">
        <v>1</v>
      </c>
      <c r="Y1609" s="7" t="s">
        <v>1177</v>
      </c>
      <c r="Z1609" s="7" t="s">
        <v>1178</v>
      </c>
      <c r="AA1609" s="30">
        <v>0</v>
      </c>
      <c r="AB1609" s="36">
        <v>0</v>
      </c>
      <c r="AC1609" s="7" t="s">
        <v>1177</v>
      </c>
      <c r="AD1609" s="37">
        <v>0</v>
      </c>
      <c r="AE1609" s="7" t="s">
        <v>1177</v>
      </c>
      <c r="AF1609" s="7" t="s">
        <v>1177</v>
      </c>
      <c r="AG1609" s="7" t="s">
        <v>1177</v>
      </c>
      <c r="AH1609" s="38"/>
      <c r="AI1609" s="36">
        <v>0</v>
      </c>
      <c r="AJ1609" s="7" t="s">
        <v>1193</v>
      </c>
      <c r="AK1609" s="7" t="s">
        <v>1177</v>
      </c>
      <c r="AL1609" s="7" t="s">
        <v>1177</v>
      </c>
      <c r="AM1609" s="7" t="s">
        <v>1177</v>
      </c>
      <c r="AN1609" s="7" t="s">
        <v>3212</v>
      </c>
      <c r="AO1609" s="7" t="s">
        <v>1177</v>
      </c>
      <c r="AP1609" s="7" t="s">
        <v>1177</v>
      </c>
      <c r="AQ1609" s="7" t="s">
        <v>1177</v>
      </c>
      <c r="AR1609" s="29">
        <v>0</v>
      </c>
      <c r="AS1609" s="7" t="s">
        <v>1177</v>
      </c>
      <c r="AT1609" s="7" t="s">
        <v>1363</v>
      </c>
      <c r="AU1609" s="38">
        <v>46275</v>
      </c>
      <c r="AV1609" s="39">
        <v>0.62716435185185004</v>
      </c>
    </row>
    <row r="1610" spans="1:48" x14ac:dyDescent="0.35">
      <c r="A1610" t="str">
        <f t="shared" si="25"/>
        <v>GP440023B856</v>
      </c>
      <c r="B1610" s="7" t="s">
        <v>938</v>
      </c>
      <c r="C1610" s="7" t="s">
        <v>852</v>
      </c>
      <c r="D1610" s="7" t="s">
        <v>21</v>
      </c>
      <c r="E1610" s="7" t="s">
        <v>1177</v>
      </c>
      <c r="F1610" s="7" t="s">
        <v>128</v>
      </c>
      <c r="G1610" s="7" t="s">
        <v>130</v>
      </c>
      <c r="H1610" s="7" t="s">
        <v>129</v>
      </c>
      <c r="I1610" s="30">
        <v>1</v>
      </c>
      <c r="J1610" s="7" t="s">
        <v>1177</v>
      </c>
      <c r="K1610" s="7" t="s">
        <v>1178</v>
      </c>
      <c r="L1610" s="7" t="s">
        <v>132</v>
      </c>
      <c r="M1610" s="7" t="s">
        <v>133</v>
      </c>
      <c r="N1610" s="30">
        <v>0</v>
      </c>
      <c r="O1610" s="30">
        <v>0</v>
      </c>
      <c r="P1610" s="30">
        <v>0</v>
      </c>
      <c r="Q1610" s="30">
        <v>0</v>
      </c>
      <c r="R1610" s="29">
        <v>0</v>
      </c>
      <c r="S1610" s="36">
        <v>0</v>
      </c>
      <c r="T1610" s="7" t="s">
        <v>131</v>
      </c>
      <c r="U1610" s="7" t="s">
        <v>853</v>
      </c>
      <c r="V1610" s="7" t="s">
        <v>853</v>
      </c>
      <c r="W1610" s="7" t="s">
        <v>1177</v>
      </c>
      <c r="X1610" s="30">
        <v>1</v>
      </c>
      <c r="Y1610" s="7" t="s">
        <v>1177</v>
      </c>
      <c r="Z1610" s="7" t="s">
        <v>1178</v>
      </c>
      <c r="AA1610" s="30">
        <v>0</v>
      </c>
      <c r="AB1610" s="36">
        <v>0</v>
      </c>
      <c r="AC1610" s="7" t="s">
        <v>1177</v>
      </c>
      <c r="AD1610" s="37">
        <v>0</v>
      </c>
      <c r="AE1610" s="7" t="s">
        <v>1177</v>
      </c>
      <c r="AF1610" s="7" t="s">
        <v>1177</v>
      </c>
      <c r="AG1610" s="7" t="s">
        <v>1177</v>
      </c>
      <c r="AH1610" s="38"/>
      <c r="AI1610" s="36">
        <v>0</v>
      </c>
      <c r="AJ1610" s="7" t="s">
        <v>1193</v>
      </c>
      <c r="AK1610" s="7" t="s">
        <v>1177</v>
      </c>
      <c r="AL1610" s="7" t="s">
        <v>1177</v>
      </c>
      <c r="AM1610" s="7" t="s">
        <v>1177</v>
      </c>
      <c r="AN1610" s="7" t="s">
        <v>3212</v>
      </c>
      <c r="AO1610" s="7" t="s">
        <v>1177</v>
      </c>
      <c r="AP1610" s="7" t="s">
        <v>1177</v>
      </c>
      <c r="AQ1610" s="7" t="s">
        <v>1177</v>
      </c>
      <c r="AR1610" s="29">
        <v>0</v>
      </c>
      <c r="AS1610" s="7" t="s">
        <v>1177</v>
      </c>
      <c r="AT1610" s="7" t="s">
        <v>1363</v>
      </c>
      <c r="AU1610" s="38">
        <v>46275</v>
      </c>
      <c r="AV1610" s="39">
        <v>0.62489583333332999</v>
      </c>
    </row>
    <row r="1611" spans="1:48" x14ac:dyDescent="0.35">
      <c r="A1611" t="str">
        <f t="shared" si="25"/>
        <v>GP440027B856</v>
      </c>
      <c r="B1611" s="7" t="s">
        <v>939</v>
      </c>
      <c r="C1611" s="7" t="s">
        <v>852</v>
      </c>
      <c r="D1611" s="7" t="s">
        <v>21</v>
      </c>
      <c r="E1611" s="7" t="s">
        <v>1177</v>
      </c>
      <c r="F1611" s="7" t="s">
        <v>128</v>
      </c>
      <c r="G1611" s="7" t="s">
        <v>130</v>
      </c>
      <c r="H1611" s="7" t="s">
        <v>129</v>
      </c>
      <c r="I1611" s="30">
        <v>1</v>
      </c>
      <c r="J1611" s="7" t="s">
        <v>1177</v>
      </c>
      <c r="K1611" s="7" t="s">
        <v>1178</v>
      </c>
      <c r="L1611" s="7" t="s">
        <v>132</v>
      </c>
      <c r="M1611" s="7" t="s">
        <v>133</v>
      </c>
      <c r="N1611" s="30">
        <v>0</v>
      </c>
      <c r="O1611" s="30">
        <v>0</v>
      </c>
      <c r="P1611" s="30">
        <v>0</v>
      </c>
      <c r="Q1611" s="30">
        <v>0</v>
      </c>
      <c r="R1611" s="29">
        <v>0</v>
      </c>
      <c r="S1611" s="36">
        <v>0</v>
      </c>
      <c r="T1611" s="7" t="s">
        <v>131</v>
      </c>
      <c r="U1611" s="7" t="s">
        <v>853</v>
      </c>
      <c r="V1611" s="7" t="s">
        <v>853</v>
      </c>
      <c r="W1611" s="7" t="s">
        <v>1177</v>
      </c>
      <c r="X1611" s="30">
        <v>1</v>
      </c>
      <c r="Y1611" s="7" t="s">
        <v>1177</v>
      </c>
      <c r="Z1611" s="7" t="s">
        <v>1178</v>
      </c>
      <c r="AA1611" s="30">
        <v>0</v>
      </c>
      <c r="AB1611" s="36">
        <v>0</v>
      </c>
      <c r="AC1611" s="7" t="s">
        <v>1177</v>
      </c>
      <c r="AD1611" s="37">
        <v>0</v>
      </c>
      <c r="AE1611" s="7" t="s">
        <v>1177</v>
      </c>
      <c r="AF1611" s="7" t="s">
        <v>1177</v>
      </c>
      <c r="AG1611" s="7" t="s">
        <v>1177</v>
      </c>
      <c r="AH1611" s="38"/>
      <c r="AI1611" s="36">
        <v>0</v>
      </c>
      <c r="AJ1611" s="7" t="s">
        <v>1193</v>
      </c>
      <c r="AK1611" s="7" t="s">
        <v>1177</v>
      </c>
      <c r="AL1611" s="7" t="s">
        <v>1177</v>
      </c>
      <c r="AM1611" s="7" t="s">
        <v>1177</v>
      </c>
      <c r="AN1611" s="7" t="s">
        <v>3212</v>
      </c>
      <c r="AO1611" s="7" t="s">
        <v>1177</v>
      </c>
      <c r="AP1611" s="7" t="s">
        <v>1177</v>
      </c>
      <c r="AQ1611" s="7" t="s">
        <v>1177</v>
      </c>
      <c r="AR1611" s="29">
        <v>0</v>
      </c>
      <c r="AS1611" s="7" t="s">
        <v>1177</v>
      </c>
      <c r="AT1611" s="7" t="s">
        <v>1363</v>
      </c>
      <c r="AU1611" s="38">
        <v>46275</v>
      </c>
      <c r="AV1611" s="39">
        <v>0.62489583333332999</v>
      </c>
    </row>
    <row r="1612" spans="1:48" x14ac:dyDescent="0.35">
      <c r="A1612" t="str">
        <f t="shared" si="25"/>
        <v>GP440217B864</v>
      </c>
      <c r="B1612" s="7" t="s">
        <v>834</v>
      </c>
      <c r="C1612" s="7" t="s">
        <v>1010</v>
      </c>
      <c r="D1612" s="7" t="s">
        <v>10</v>
      </c>
      <c r="E1612" s="7" t="s">
        <v>1177</v>
      </c>
      <c r="F1612" s="7" t="s">
        <v>134</v>
      </c>
      <c r="G1612" s="7" t="s">
        <v>130</v>
      </c>
      <c r="H1612" s="7" t="s">
        <v>129</v>
      </c>
      <c r="I1612" s="30">
        <v>2</v>
      </c>
      <c r="J1612" s="7" t="s">
        <v>1177</v>
      </c>
      <c r="K1612" s="7" t="s">
        <v>1178</v>
      </c>
      <c r="L1612" s="7" t="s">
        <v>132</v>
      </c>
      <c r="M1612" s="7" t="s">
        <v>133</v>
      </c>
      <c r="N1612" s="30">
        <v>0</v>
      </c>
      <c r="O1612" s="30">
        <v>0</v>
      </c>
      <c r="P1612" s="30">
        <v>0</v>
      </c>
      <c r="Q1612" s="30">
        <v>0</v>
      </c>
      <c r="R1612" s="29">
        <v>0</v>
      </c>
      <c r="S1612" s="36">
        <v>0</v>
      </c>
      <c r="T1612" s="7" t="s">
        <v>131</v>
      </c>
      <c r="U1612" s="7" t="s">
        <v>1011</v>
      </c>
      <c r="V1612" s="7" t="s">
        <v>1011</v>
      </c>
      <c r="W1612" s="7" t="s">
        <v>1177</v>
      </c>
      <c r="X1612" s="30">
        <v>2</v>
      </c>
      <c r="Y1612" s="7" t="s">
        <v>1177</v>
      </c>
      <c r="Z1612" s="7" t="s">
        <v>1178</v>
      </c>
      <c r="AA1612" s="30">
        <v>0</v>
      </c>
      <c r="AB1612" s="36">
        <v>0</v>
      </c>
      <c r="AC1612" s="7" t="s">
        <v>1177</v>
      </c>
      <c r="AD1612" s="37">
        <v>0</v>
      </c>
      <c r="AE1612" s="7" t="s">
        <v>1177</v>
      </c>
      <c r="AF1612" s="7" t="s">
        <v>1177</v>
      </c>
      <c r="AG1612" s="7" t="s">
        <v>1177</v>
      </c>
      <c r="AH1612" s="38"/>
      <c r="AI1612" s="36">
        <v>0</v>
      </c>
      <c r="AJ1612" s="7" t="s">
        <v>1193</v>
      </c>
      <c r="AK1612" s="7" t="s">
        <v>1177</v>
      </c>
      <c r="AL1612" s="7" t="s">
        <v>1177</v>
      </c>
      <c r="AM1612" s="7" t="s">
        <v>1177</v>
      </c>
      <c r="AN1612" s="7" t="s">
        <v>3212</v>
      </c>
      <c r="AO1612" s="7" t="s">
        <v>1177</v>
      </c>
      <c r="AP1612" s="7" t="s">
        <v>1177</v>
      </c>
      <c r="AQ1612" s="7" t="s">
        <v>1177</v>
      </c>
      <c r="AR1612" s="29">
        <v>0</v>
      </c>
      <c r="AS1612" s="7" t="s">
        <v>1177</v>
      </c>
      <c r="AT1612" s="7" t="s">
        <v>1363</v>
      </c>
      <c r="AU1612" s="38">
        <v>46275</v>
      </c>
      <c r="AV1612" s="39">
        <v>0.62653935185184995</v>
      </c>
    </row>
    <row r="1613" spans="1:48" x14ac:dyDescent="0.35">
      <c r="A1613" t="str">
        <f t="shared" si="25"/>
        <v>GP440217B865</v>
      </c>
      <c r="B1613" s="7" t="s">
        <v>834</v>
      </c>
      <c r="C1613" s="7" t="s">
        <v>1039</v>
      </c>
      <c r="D1613" s="7" t="s">
        <v>7</v>
      </c>
      <c r="E1613" s="7" t="s">
        <v>1177</v>
      </c>
      <c r="F1613" s="7" t="s">
        <v>134</v>
      </c>
      <c r="G1613" s="7" t="s">
        <v>130</v>
      </c>
      <c r="H1613" s="7" t="s">
        <v>129</v>
      </c>
      <c r="I1613" s="30">
        <v>2</v>
      </c>
      <c r="J1613" s="7" t="s">
        <v>1177</v>
      </c>
      <c r="K1613" s="7" t="s">
        <v>1178</v>
      </c>
      <c r="L1613" s="7" t="s">
        <v>132</v>
      </c>
      <c r="M1613" s="7" t="s">
        <v>133</v>
      </c>
      <c r="N1613" s="30">
        <v>0</v>
      </c>
      <c r="O1613" s="30">
        <v>0</v>
      </c>
      <c r="P1613" s="30">
        <v>0</v>
      </c>
      <c r="Q1613" s="30">
        <v>0</v>
      </c>
      <c r="R1613" s="29">
        <v>0</v>
      </c>
      <c r="S1613" s="36">
        <v>0</v>
      </c>
      <c r="T1613" s="7" t="s">
        <v>131</v>
      </c>
      <c r="U1613" s="7" t="s">
        <v>1040</v>
      </c>
      <c r="V1613" s="7" t="s">
        <v>1040</v>
      </c>
      <c r="W1613" s="7" t="s">
        <v>1177</v>
      </c>
      <c r="X1613" s="30">
        <v>2</v>
      </c>
      <c r="Y1613" s="7" t="s">
        <v>1177</v>
      </c>
      <c r="Z1613" s="7" t="s">
        <v>1178</v>
      </c>
      <c r="AA1613" s="30">
        <v>0</v>
      </c>
      <c r="AB1613" s="36">
        <v>0</v>
      </c>
      <c r="AC1613" s="7" t="s">
        <v>1177</v>
      </c>
      <c r="AD1613" s="37">
        <v>0</v>
      </c>
      <c r="AE1613" s="7" t="s">
        <v>1177</v>
      </c>
      <c r="AF1613" s="7" t="s">
        <v>1177</v>
      </c>
      <c r="AG1613" s="7" t="s">
        <v>1177</v>
      </c>
      <c r="AH1613" s="38"/>
      <c r="AI1613" s="36">
        <v>0</v>
      </c>
      <c r="AJ1613" s="7" t="s">
        <v>1193</v>
      </c>
      <c r="AK1613" s="7" t="s">
        <v>1177</v>
      </c>
      <c r="AL1613" s="7" t="s">
        <v>1177</v>
      </c>
      <c r="AM1613" s="7" t="s">
        <v>1177</v>
      </c>
      <c r="AN1613" s="7" t="s">
        <v>3212</v>
      </c>
      <c r="AO1613" s="7" t="s">
        <v>1177</v>
      </c>
      <c r="AP1613" s="7" t="s">
        <v>1177</v>
      </c>
      <c r="AQ1613" s="7" t="s">
        <v>1177</v>
      </c>
      <c r="AR1613" s="29">
        <v>0</v>
      </c>
      <c r="AS1613" s="7" t="s">
        <v>1177</v>
      </c>
      <c r="AT1613" s="7" t="s">
        <v>1363</v>
      </c>
      <c r="AU1613" s="38">
        <v>46275</v>
      </c>
      <c r="AV1613" s="39">
        <v>0.62665509259259</v>
      </c>
    </row>
    <row r="1614" spans="1:48" x14ac:dyDescent="0.35">
      <c r="A1614" t="str">
        <f t="shared" si="25"/>
        <v>GP440217B867</v>
      </c>
      <c r="B1614" s="7" t="s">
        <v>834</v>
      </c>
      <c r="C1614" s="7" t="s">
        <v>1059</v>
      </c>
      <c r="D1614" s="7" t="s">
        <v>25</v>
      </c>
      <c r="E1614" s="7" t="s">
        <v>1177</v>
      </c>
      <c r="F1614" s="7" t="s">
        <v>134</v>
      </c>
      <c r="G1614" s="7" t="s">
        <v>130</v>
      </c>
      <c r="H1614" s="7" t="s">
        <v>129</v>
      </c>
      <c r="I1614" s="30">
        <v>2</v>
      </c>
      <c r="J1614" s="7" t="s">
        <v>1177</v>
      </c>
      <c r="K1614" s="7" t="s">
        <v>1178</v>
      </c>
      <c r="L1614" s="7" t="s">
        <v>132</v>
      </c>
      <c r="M1614" s="7" t="s">
        <v>133</v>
      </c>
      <c r="N1614" s="30">
        <v>0</v>
      </c>
      <c r="O1614" s="30">
        <v>0</v>
      </c>
      <c r="P1614" s="30">
        <v>0</v>
      </c>
      <c r="Q1614" s="30">
        <v>0</v>
      </c>
      <c r="R1614" s="29">
        <v>0</v>
      </c>
      <c r="S1614" s="36">
        <v>0</v>
      </c>
      <c r="T1614" s="7" t="s">
        <v>131</v>
      </c>
      <c r="U1614" s="7" t="s">
        <v>1060</v>
      </c>
      <c r="V1614" s="7" t="s">
        <v>1060</v>
      </c>
      <c r="W1614" s="7" t="s">
        <v>1177</v>
      </c>
      <c r="X1614" s="30">
        <v>2</v>
      </c>
      <c r="Y1614" s="7" t="s">
        <v>1177</v>
      </c>
      <c r="Z1614" s="7" t="s">
        <v>1178</v>
      </c>
      <c r="AA1614" s="30">
        <v>0</v>
      </c>
      <c r="AB1614" s="36">
        <v>0</v>
      </c>
      <c r="AC1614" s="7" t="s">
        <v>1177</v>
      </c>
      <c r="AD1614" s="37">
        <v>0</v>
      </c>
      <c r="AE1614" s="7" t="s">
        <v>1177</v>
      </c>
      <c r="AF1614" s="7" t="s">
        <v>1177</v>
      </c>
      <c r="AG1614" s="7" t="s">
        <v>1177</v>
      </c>
      <c r="AH1614" s="38"/>
      <c r="AI1614" s="36">
        <v>0</v>
      </c>
      <c r="AJ1614" s="7" t="s">
        <v>1193</v>
      </c>
      <c r="AK1614" s="7" t="s">
        <v>1177</v>
      </c>
      <c r="AL1614" s="7" t="s">
        <v>1177</v>
      </c>
      <c r="AM1614" s="7" t="s">
        <v>1177</v>
      </c>
      <c r="AN1614" s="7" t="s">
        <v>3212</v>
      </c>
      <c r="AO1614" s="7" t="s">
        <v>1177</v>
      </c>
      <c r="AP1614" s="7" t="s">
        <v>1177</v>
      </c>
      <c r="AQ1614" s="7" t="s">
        <v>1177</v>
      </c>
      <c r="AR1614" s="29">
        <v>0</v>
      </c>
      <c r="AS1614" s="7" t="s">
        <v>1177</v>
      </c>
      <c r="AT1614" s="7" t="s">
        <v>1363</v>
      </c>
      <c r="AU1614" s="38">
        <v>46275</v>
      </c>
      <c r="AV1614" s="39">
        <v>0.62730324074073995</v>
      </c>
    </row>
    <row r="1615" spans="1:48" x14ac:dyDescent="0.35">
      <c r="A1615" t="str">
        <f t="shared" si="25"/>
        <v>GP444427B825</v>
      </c>
      <c r="B1615" s="7" t="s">
        <v>616</v>
      </c>
      <c r="C1615" s="7" t="s">
        <v>511</v>
      </c>
      <c r="D1615" s="7" t="s">
        <v>16</v>
      </c>
      <c r="E1615" s="7" t="s">
        <v>1177</v>
      </c>
      <c r="F1615" s="7" t="s">
        <v>128</v>
      </c>
      <c r="G1615" s="7" t="s">
        <v>130</v>
      </c>
      <c r="H1615" s="7" t="s">
        <v>129</v>
      </c>
      <c r="I1615" s="30">
        <v>2</v>
      </c>
      <c r="J1615" s="7" t="s">
        <v>1177</v>
      </c>
      <c r="K1615" s="7" t="s">
        <v>1178</v>
      </c>
      <c r="L1615" s="7" t="s">
        <v>132</v>
      </c>
      <c r="M1615" s="7" t="s">
        <v>133</v>
      </c>
      <c r="N1615" s="30">
        <v>0</v>
      </c>
      <c r="O1615" s="30">
        <v>0</v>
      </c>
      <c r="P1615" s="30">
        <v>0</v>
      </c>
      <c r="Q1615" s="30">
        <v>0</v>
      </c>
      <c r="R1615" s="29">
        <v>0</v>
      </c>
      <c r="S1615" s="36">
        <v>0</v>
      </c>
      <c r="T1615" s="7" t="s">
        <v>131</v>
      </c>
      <c r="U1615" s="7" t="s">
        <v>512</v>
      </c>
      <c r="V1615" s="7" t="s">
        <v>512</v>
      </c>
      <c r="W1615" s="7" t="s">
        <v>1177</v>
      </c>
      <c r="X1615" s="30">
        <v>1</v>
      </c>
      <c r="Y1615" s="7" t="s">
        <v>1177</v>
      </c>
      <c r="Z1615" s="7" t="s">
        <v>1178</v>
      </c>
      <c r="AA1615" s="30">
        <v>0</v>
      </c>
      <c r="AB1615" s="36">
        <v>0</v>
      </c>
      <c r="AC1615" s="7" t="s">
        <v>1177</v>
      </c>
      <c r="AD1615" s="37">
        <v>0</v>
      </c>
      <c r="AE1615" s="7" t="s">
        <v>1177</v>
      </c>
      <c r="AF1615" s="7" t="s">
        <v>1177</v>
      </c>
      <c r="AG1615" s="7" t="s">
        <v>1177</v>
      </c>
      <c r="AH1615" s="38"/>
      <c r="AI1615" s="36">
        <v>0</v>
      </c>
      <c r="AJ1615" s="7" t="s">
        <v>1193</v>
      </c>
      <c r="AK1615" s="7" t="s">
        <v>1177</v>
      </c>
      <c r="AL1615" s="7" t="s">
        <v>1177</v>
      </c>
      <c r="AM1615" s="7" t="s">
        <v>1177</v>
      </c>
      <c r="AN1615" s="7" t="s">
        <v>3212</v>
      </c>
      <c r="AO1615" s="7" t="s">
        <v>1177</v>
      </c>
      <c r="AP1615" s="7" t="s">
        <v>1177</v>
      </c>
      <c r="AQ1615" s="7" t="s">
        <v>1177</v>
      </c>
      <c r="AR1615" s="29">
        <v>0</v>
      </c>
      <c r="AS1615" s="7" t="s">
        <v>1177</v>
      </c>
      <c r="AT1615" s="7" t="s">
        <v>1363</v>
      </c>
      <c r="AU1615" s="38">
        <v>46275</v>
      </c>
      <c r="AV1615" s="39">
        <v>0.62305555555556003</v>
      </c>
    </row>
    <row r="1616" spans="1:48" x14ac:dyDescent="0.35">
      <c r="A1616" t="str">
        <f t="shared" si="25"/>
        <v>GP444427B838</v>
      </c>
      <c r="B1616" s="7" t="s">
        <v>616</v>
      </c>
      <c r="C1616" s="7" t="s">
        <v>744</v>
      </c>
      <c r="D1616" s="7" t="s">
        <v>48</v>
      </c>
      <c r="E1616" s="7" t="s">
        <v>1177</v>
      </c>
      <c r="F1616" s="7" t="s">
        <v>128</v>
      </c>
      <c r="G1616" s="7" t="s">
        <v>130</v>
      </c>
      <c r="H1616" s="7" t="s">
        <v>129</v>
      </c>
      <c r="I1616" s="30">
        <v>2</v>
      </c>
      <c r="J1616" s="7" t="s">
        <v>1177</v>
      </c>
      <c r="K1616" s="7" t="s">
        <v>1178</v>
      </c>
      <c r="L1616" s="7" t="s">
        <v>132</v>
      </c>
      <c r="M1616" s="7" t="s">
        <v>133</v>
      </c>
      <c r="N1616" s="30">
        <v>0</v>
      </c>
      <c r="O1616" s="30">
        <v>0</v>
      </c>
      <c r="P1616" s="30">
        <v>0</v>
      </c>
      <c r="Q1616" s="30">
        <v>0</v>
      </c>
      <c r="R1616" s="29">
        <v>0</v>
      </c>
      <c r="S1616" s="36">
        <v>0</v>
      </c>
      <c r="T1616" s="7" t="s">
        <v>131</v>
      </c>
      <c r="U1616" s="7" t="s">
        <v>745</v>
      </c>
      <c r="V1616" s="7" t="s">
        <v>745</v>
      </c>
      <c r="W1616" s="7" t="s">
        <v>1177</v>
      </c>
      <c r="X1616" s="30">
        <v>1</v>
      </c>
      <c r="Y1616" s="7" t="s">
        <v>1177</v>
      </c>
      <c r="Z1616" s="7" t="s">
        <v>1178</v>
      </c>
      <c r="AA1616" s="30">
        <v>0</v>
      </c>
      <c r="AB1616" s="36">
        <v>0</v>
      </c>
      <c r="AC1616" s="7" t="s">
        <v>1177</v>
      </c>
      <c r="AD1616" s="37">
        <v>0</v>
      </c>
      <c r="AE1616" s="7" t="s">
        <v>1177</v>
      </c>
      <c r="AF1616" s="7" t="s">
        <v>1177</v>
      </c>
      <c r="AG1616" s="7" t="s">
        <v>1177</v>
      </c>
      <c r="AH1616" s="38"/>
      <c r="AI1616" s="36">
        <v>0</v>
      </c>
      <c r="AJ1616" s="7" t="s">
        <v>1193</v>
      </c>
      <c r="AK1616" s="7" t="s">
        <v>1177</v>
      </c>
      <c r="AL1616" s="7" t="s">
        <v>1177</v>
      </c>
      <c r="AM1616" s="7" t="s">
        <v>1177</v>
      </c>
      <c r="AN1616" s="7" t="s">
        <v>3212</v>
      </c>
      <c r="AO1616" s="7" t="s">
        <v>1177</v>
      </c>
      <c r="AP1616" s="7" t="s">
        <v>1177</v>
      </c>
      <c r="AQ1616" s="7" t="s">
        <v>1177</v>
      </c>
      <c r="AR1616" s="29">
        <v>0</v>
      </c>
      <c r="AS1616" s="7" t="s">
        <v>1177</v>
      </c>
      <c r="AT1616" s="7" t="s">
        <v>1363</v>
      </c>
      <c r="AU1616" s="38">
        <v>46275</v>
      </c>
      <c r="AV1616" s="39">
        <v>0.62398148148148003</v>
      </c>
    </row>
    <row r="1617" spans="1:48" x14ac:dyDescent="0.35">
      <c r="A1617" t="str">
        <f t="shared" si="25"/>
        <v>GP444427B856</v>
      </c>
      <c r="B1617" s="7" t="s">
        <v>616</v>
      </c>
      <c r="C1617" s="7" t="s">
        <v>852</v>
      </c>
      <c r="D1617" s="7" t="s">
        <v>21</v>
      </c>
      <c r="E1617" s="7" t="s">
        <v>1177</v>
      </c>
      <c r="F1617" s="7" t="s">
        <v>128</v>
      </c>
      <c r="G1617" s="7" t="s">
        <v>130</v>
      </c>
      <c r="H1617" s="7" t="s">
        <v>129</v>
      </c>
      <c r="I1617" s="30">
        <v>1</v>
      </c>
      <c r="J1617" s="7" t="s">
        <v>1177</v>
      </c>
      <c r="K1617" s="7" t="s">
        <v>1178</v>
      </c>
      <c r="L1617" s="7" t="s">
        <v>132</v>
      </c>
      <c r="M1617" s="7" t="s">
        <v>133</v>
      </c>
      <c r="N1617" s="30">
        <v>0</v>
      </c>
      <c r="O1617" s="30">
        <v>0</v>
      </c>
      <c r="P1617" s="30">
        <v>0</v>
      </c>
      <c r="Q1617" s="30">
        <v>0</v>
      </c>
      <c r="R1617" s="29">
        <v>0</v>
      </c>
      <c r="S1617" s="36">
        <v>0</v>
      </c>
      <c r="T1617" s="7" t="s">
        <v>131</v>
      </c>
      <c r="U1617" s="7" t="s">
        <v>853</v>
      </c>
      <c r="V1617" s="7" t="s">
        <v>853</v>
      </c>
      <c r="W1617" s="7" t="s">
        <v>1177</v>
      </c>
      <c r="X1617" s="30">
        <v>1</v>
      </c>
      <c r="Y1617" s="7" t="s">
        <v>1177</v>
      </c>
      <c r="Z1617" s="7" t="s">
        <v>1178</v>
      </c>
      <c r="AA1617" s="30">
        <v>0</v>
      </c>
      <c r="AB1617" s="36">
        <v>0</v>
      </c>
      <c r="AC1617" s="7" t="s">
        <v>1177</v>
      </c>
      <c r="AD1617" s="37">
        <v>0</v>
      </c>
      <c r="AE1617" s="7" t="s">
        <v>1177</v>
      </c>
      <c r="AF1617" s="7" t="s">
        <v>1177</v>
      </c>
      <c r="AG1617" s="7" t="s">
        <v>1177</v>
      </c>
      <c r="AH1617" s="38"/>
      <c r="AI1617" s="36">
        <v>0</v>
      </c>
      <c r="AJ1617" s="7" t="s">
        <v>1193</v>
      </c>
      <c r="AK1617" s="7" t="s">
        <v>1177</v>
      </c>
      <c r="AL1617" s="7" t="s">
        <v>1177</v>
      </c>
      <c r="AM1617" s="7" t="s">
        <v>1177</v>
      </c>
      <c r="AN1617" s="7" t="s">
        <v>3212</v>
      </c>
      <c r="AO1617" s="7" t="s">
        <v>1177</v>
      </c>
      <c r="AP1617" s="7" t="s">
        <v>1177</v>
      </c>
      <c r="AQ1617" s="7" t="s">
        <v>1177</v>
      </c>
      <c r="AR1617" s="29">
        <v>0</v>
      </c>
      <c r="AS1617" s="7" t="s">
        <v>1177</v>
      </c>
      <c r="AT1617" s="7" t="s">
        <v>1363</v>
      </c>
      <c r="AU1617" s="38">
        <v>46275</v>
      </c>
      <c r="AV1617" s="39">
        <v>0.62489583333332999</v>
      </c>
    </row>
    <row r="1618" spans="1:48" x14ac:dyDescent="0.35">
      <c r="A1618" t="str">
        <f t="shared" si="25"/>
        <v>GP444427B857</v>
      </c>
      <c r="B1618" s="7" t="s">
        <v>616</v>
      </c>
      <c r="C1618" s="7" t="s">
        <v>958</v>
      </c>
      <c r="D1618" s="7" t="s">
        <v>23</v>
      </c>
      <c r="E1618" s="7" t="s">
        <v>1177</v>
      </c>
      <c r="F1618" s="7" t="s">
        <v>128</v>
      </c>
      <c r="G1618" s="7" t="s">
        <v>130</v>
      </c>
      <c r="H1618" s="7" t="s">
        <v>129</v>
      </c>
      <c r="I1618" s="30">
        <v>2</v>
      </c>
      <c r="J1618" s="7" t="s">
        <v>1177</v>
      </c>
      <c r="K1618" s="7" t="s">
        <v>1178</v>
      </c>
      <c r="L1618" s="7" t="s">
        <v>132</v>
      </c>
      <c r="M1618" s="7" t="s">
        <v>133</v>
      </c>
      <c r="N1618" s="30">
        <v>0</v>
      </c>
      <c r="O1618" s="30">
        <v>0</v>
      </c>
      <c r="P1618" s="30">
        <v>0</v>
      </c>
      <c r="Q1618" s="30">
        <v>0</v>
      </c>
      <c r="R1618" s="29">
        <v>0</v>
      </c>
      <c r="S1618" s="36">
        <v>0</v>
      </c>
      <c r="T1618" s="7" t="s">
        <v>131</v>
      </c>
      <c r="U1618" s="7" t="s">
        <v>959</v>
      </c>
      <c r="V1618" s="7" t="s">
        <v>959</v>
      </c>
      <c r="W1618" s="7" t="s">
        <v>1177</v>
      </c>
      <c r="X1618" s="30">
        <v>1</v>
      </c>
      <c r="Y1618" s="7" t="s">
        <v>1177</v>
      </c>
      <c r="Z1618" s="7" t="s">
        <v>1178</v>
      </c>
      <c r="AA1618" s="30">
        <v>0</v>
      </c>
      <c r="AB1618" s="36">
        <v>0</v>
      </c>
      <c r="AC1618" s="7" t="s">
        <v>1177</v>
      </c>
      <c r="AD1618" s="37">
        <v>0</v>
      </c>
      <c r="AE1618" s="7" t="s">
        <v>1177</v>
      </c>
      <c r="AF1618" s="7" t="s">
        <v>1177</v>
      </c>
      <c r="AG1618" s="7" t="s">
        <v>1177</v>
      </c>
      <c r="AH1618" s="38"/>
      <c r="AI1618" s="36">
        <v>0</v>
      </c>
      <c r="AJ1618" s="7" t="s">
        <v>1193</v>
      </c>
      <c r="AK1618" s="7" t="s">
        <v>1177</v>
      </c>
      <c r="AL1618" s="7" t="s">
        <v>1177</v>
      </c>
      <c r="AM1618" s="7" t="s">
        <v>1177</v>
      </c>
      <c r="AN1618" s="7" t="s">
        <v>3212</v>
      </c>
      <c r="AO1618" s="7" t="s">
        <v>1177</v>
      </c>
      <c r="AP1618" s="7" t="s">
        <v>1177</v>
      </c>
      <c r="AQ1618" s="7" t="s">
        <v>1177</v>
      </c>
      <c r="AR1618" s="29">
        <v>0</v>
      </c>
      <c r="AS1618" s="7" t="s">
        <v>1177</v>
      </c>
      <c r="AT1618" s="7" t="s">
        <v>1363</v>
      </c>
      <c r="AU1618" s="38">
        <v>46275</v>
      </c>
      <c r="AV1618" s="39">
        <v>0.62513888888889002</v>
      </c>
    </row>
    <row r="1619" spans="1:48" x14ac:dyDescent="0.35">
      <c r="A1619" t="str">
        <f t="shared" si="25"/>
        <v>GP444427B867</v>
      </c>
      <c r="B1619" s="7" t="s">
        <v>616</v>
      </c>
      <c r="C1619" s="7" t="s">
        <v>1059</v>
      </c>
      <c r="D1619" s="7" t="s">
        <v>25</v>
      </c>
      <c r="E1619" s="7" t="s">
        <v>1177</v>
      </c>
      <c r="F1619" s="7" t="s">
        <v>128</v>
      </c>
      <c r="G1619" s="7" t="s">
        <v>130</v>
      </c>
      <c r="H1619" s="7" t="s">
        <v>129</v>
      </c>
      <c r="I1619" s="30">
        <v>1</v>
      </c>
      <c r="J1619" s="7" t="s">
        <v>1177</v>
      </c>
      <c r="K1619" s="7" t="s">
        <v>1178</v>
      </c>
      <c r="L1619" s="7" t="s">
        <v>132</v>
      </c>
      <c r="M1619" s="7" t="s">
        <v>133</v>
      </c>
      <c r="N1619" s="30">
        <v>0</v>
      </c>
      <c r="O1619" s="30">
        <v>0</v>
      </c>
      <c r="P1619" s="30">
        <v>0</v>
      </c>
      <c r="Q1619" s="30">
        <v>0</v>
      </c>
      <c r="R1619" s="29">
        <v>0</v>
      </c>
      <c r="S1619" s="36">
        <v>0</v>
      </c>
      <c r="T1619" s="7" t="s">
        <v>131</v>
      </c>
      <c r="U1619" s="7" t="s">
        <v>1060</v>
      </c>
      <c r="V1619" s="7" t="s">
        <v>1060</v>
      </c>
      <c r="W1619" s="7" t="s">
        <v>1177</v>
      </c>
      <c r="X1619" s="30">
        <v>1</v>
      </c>
      <c r="Y1619" s="7" t="s">
        <v>1177</v>
      </c>
      <c r="Z1619" s="7" t="s">
        <v>1178</v>
      </c>
      <c r="AA1619" s="30">
        <v>0</v>
      </c>
      <c r="AB1619" s="36">
        <v>0</v>
      </c>
      <c r="AC1619" s="7" t="s">
        <v>1177</v>
      </c>
      <c r="AD1619" s="37">
        <v>0</v>
      </c>
      <c r="AE1619" s="7" t="s">
        <v>1177</v>
      </c>
      <c r="AF1619" s="7" t="s">
        <v>1177</v>
      </c>
      <c r="AG1619" s="7" t="s">
        <v>1177</v>
      </c>
      <c r="AH1619" s="38"/>
      <c r="AI1619" s="36">
        <v>0</v>
      </c>
      <c r="AJ1619" s="7" t="s">
        <v>1193</v>
      </c>
      <c r="AK1619" s="7" t="s">
        <v>1177</v>
      </c>
      <c r="AL1619" s="7" t="s">
        <v>1177</v>
      </c>
      <c r="AM1619" s="7" t="s">
        <v>1177</v>
      </c>
      <c r="AN1619" s="7" t="s">
        <v>3212</v>
      </c>
      <c r="AO1619" s="7" t="s">
        <v>1177</v>
      </c>
      <c r="AP1619" s="7" t="s">
        <v>1177</v>
      </c>
      <c r="AQ1619" s="7" t="s">
        <v>1177</v>
      </c>
      <c r="AR1619" s="29">
        <v>0</v>
      </c>
      <c r="AS1619" s="7" t="s">
        <v>1177</v>
      </c>
      <c r="AT1619" s="7" t="s">
        <v>1363</v>
      </c>
      <c r="AU1619" s="38">
        <v>46275</v>
      </c>
      <c r="AV1619" s="39">
        <v>0.62712962962963004</v>
      </c>
    </row>
    <row r="1620" spans="1:48" x14ac:dyDescent="0.35">
      <c r="A1620" t="str">
        <f t="shared" si="25"/>
        <v>GP445556B856</v>
      </c>
      <c r="B1620" s="7" t="s">
        <v>940</v>
      </c>
      <c r="C1620" s="7" t="s">
        <v>852</v>
      </c>
      <c r="D1620" s="7" t="s">
        <v>21</v>
      </c>
      <c r="E1620" s="7" t="s">
        <v>1177</v>
      </c>
      <c r="F1620" s="7" t="s">
        <v>128</v>
      </c>
      <c r="G1620" s="7" t="s">
        <v>130</v>
      </c>
      <c r="H1620" s="7" t="s">
        <v>129</v>
      </c>
      <c r="I1620" s="30">
        <v>2</v>
      </c>
      <c r="J1620" s="7" t="s">
        <v>1177</v>
      </c>
      <c r="K1620" s="7" t="s">
        <v>1178</v>
      </c>
      <c r="L1620" s="7" t="s">
        <v>132</v>
      </c>
      <c r="M1620" s="7" t="s">
        <v>133</v>
      </c>
      <c r="N1620" s="30">
        <v>0</v>
      </c>
      <c r="O1620" s="30">
        <v>0</v>
      </c>
      <c r="P1620" s="30">
        <v>0</v>
      </c>
      <c r="Q1620" s="30">
        <v>0</v>
      </c>
      <c r="R1620" s="29">
        <v>0</v>
      </c>
      <c r="S1620" s="36">
        <v>0</v>
      </c>
      <c r="T1620" s="7" t="s">
        <v>131</v>
      </c>
      <c r="U1620" s="7" t="s">
        <v>853</v>
      </c>
      <c r="V1620" s="7" t="s">
        <v>853</v>
      </c>
      <c r="W1620" s="7" t="s">
        <v>1177</v>
      </c>
      <c r="X1620" s="30">
        <v>1</v>
      </c>
      <c r="Y1620" s="7" t="s">
        <v>1177</v>
      </c>
      <c r="Z1620" s="7" t="s">
        <v>1178</v>
      </c>
      <c r="AA1620" s="30">
        <v>0</v>
      </c>
      <c r="AB1620" s="36">
        <v>0</v>
      </c>
      <c r="AC1620" s="7" t="s">
        <v>1177</v>
      </c>
      <c r="AD1620" s="37">
        <v>0</v>
      </c>
      <c r="AE1620" s="7" t="s">
        <v>1177</v>
      </c>
      <c r="AF1620" s="7" t="s">
        <v>1177</v>
      </c>
      <c r="AG1620" s="7" t="s">
        <v>1177</v>
      </c>
      <c r="AH1620" s="38"/>
      <c r="AI1620" s="36">
        <v>0</v>
      </c>
      <c r="AJ1620" s="7" t="s">
        <v>1193</v>
      </c>
      <c r="AK1620" s="7" t="s">
        <v>1177</v>
      </c>
      <c r="AL1620" s="7" t="s">
        <v>1177</v>
      </c>
      <c r="AM1620" s="7" t="s">
        <v>1177</v>
      </c>
      <c r="AN1620" s="7" t="s">
        <v>3212</v>
      </c>
      <c r="AO1620" s="7" t="s">
        <v>1177</v>
      </c>
      <c r="AP1620" s="7" t="s">
        <v>1177</v>
      </c>
      <c r="AQ1620" s="7" t="s">
        <v>1177</v>
      </c>
      <c r="AR1620" s="29">
        <v>0</v>
      </c>
      <c r="AS1620" s="7" t="s">
        <v>1177</v>
      </c>
      <c r="AT1620" s="7" t="s">
        <v>1363</v>
      </c>
      <c r="AU1620" s="38">
        <v>46275</v>
      </c>
      <c r="AV1620" s="39">
        <v>0.62489583333332999</v>
      </c>
    </row>
    <row r="1621" spans="1:48" x14ac:dyDescent="0.35">
      <c r="A1621" t="str">
        <f t="shared" si="25"/>
        <v>GP448053B833</v>
      </c>
      <c r="B1621" s="7" t="s">
        <v>722</v>
      </c>
      <c r="C1621" s="7" t="s">
        <v>698</v>
      </c>
      <c r="D1621" s="7" t="s">
        <v>697</v>
      </c>
      <c r="E1621" s="7" t="s">
        <v>1177</v>
      </c>
      <c r="F1621" s="7" t="s">
        <v>128</v>
      </c>
      <c r="G1621" s="7" t="s">
        <v>130</v>
      </c>
      <c r="H1621" s="7" t="s">
        <v>129</v>
      </c>
      <c r="I1621" s="30">
        <v>3</v>
      </c>
      <c r="J1621" s="7" t="s">
        <v>1177</v>
      </c>
      <c r="K1621" s="7" t="s">
        <v>1178</v>
      </c>
      <c r="L1621" s="7" t="s">
        <v>132</v>
      </c>
      <c r="M1621" s="7" t="s">
        <v>133</v>
      </c>
      <c r="N1621" s="30">
        <v>0</v>
      </c>
      <c r="O1621" s="30">
        <v>0</v>
      </c>
      <c r="P1621" s="30">
        <v>0</v>
      </c>
      <c r="Q1621" s="30">
        <v>0</v>
      </c>
      <c r="R1621" s="29">
        <v>0</v>
      </c>
      <c r="S1621" s="36">
        <v>0</v>
      </c>
      <c r="T1621" s="7" t="s">
        <v>131</v>
      </c>
      <c r="U1621" s="7" t="s">
        <v>699</v>
      </c>
      <c r="V1621" s="7" t="s">
        <v>699</v>
      </c>
      <c r="W1621" s="7" t="s">
        <v>1177</v>
      </c>
      <c r="X1621" s="30">
        <v>1</v>
      </c>
      <c r="Y1621" s="7" t="s">
        <v>1177</v>
      </c>
      <c r="Z1621" s="7" t="s">
        <v>1178</v>
      </c>
      <c r="AA1621" s="30">
        <v>0</v>
      </c>
      <c r="AB1621" s="36">
        <v>0</v>
      </c>
      <c r="AC1621" s="7" t="s">
        <v>1177</v>
      </c>
      <c r="AD1621" s="37">
        <v>0</v>
      </c>
      <c r="AE1621" s="7" t="s">
        <v>1177</v>
      </c>
      <c r="AF1621" s="7" t="s">
        <v>1177</v>
      </c>
      <c r="AG1621" s="7" t="s">
        <v>1177</v>
      </c>
      <c r="AH1621" s="38"/>
      <c r="AI1621" s="36">
        <v>0</v>
      </c>
      <c r="AJ1621" s="7" t="s">
        <v>1193</v>
      </c>
      <c r="AK1621" s="7" t="s">
        <v>1177</v>
      </c>
      <c r="AL1621" s="7" t="s">
        <v>1177</v>
      </c>
      <c r="AM1621" s="7" t="s">
        <v>1177</v>
      </c>
      <c r="AN1621" s="7" t="s">
        <v>3212</v>
      </c>
      <c r="AO1621" s="7" t="s">
        <v>1177</v>
      </c>
      <c r="AP1621" s="7" t="s">
        <v>1177</v>
      </c>
      <c r="AQ1621" s="7" t="s">
        <v>1177</v>
      </c>
      <c r="AR1621" s="29">
        <v>0</v>
      </c>
      <c r="AS1621" s="7" t="s">
        <v>1177</v>
      </c>
      <c r="AT1621" s="7" t="s">
        <v>1363</v>
      </c>
      <c r="AU1621" s="38">
        <v>46275</v>
      </c>
      <c r="AV1621" s="39">
        <v>0.62353009259258996</v>
      </c>
    </row>
    <row r="1622" spans="1:48" x14ac:dyDescent="0.35">
      <c r="A1622" t="str">
        <f t="shared" si="25"/>
        <v>GP450718B867</v>
      </c>
      <c r="B1622" s="7" t="s">
        <v>1074</v>
      </c>
      <c r="C1622" s="7" t="s">
        <v>1059</v>
      </c>
      <c r="D1622" s="7" t="s">
        <v>25</v>
      </c>
      <c r="E1622" s="7" t="s">
        <v>1177</v>
      </c>
      <c r="F1622" s="7" t="s">
        <v>134</v>
      </c>
      <c r="G1622" s="7" t="s">
        <v>130</v>
      </c>
      <c r="H1622" s="7" t="s">
        <v>129</v>
      </c>
      <c r="I1622" s="30">
        <v>5</v>
      </c>
      <c r="J1622" s="7" t="s">
        <v>1177</v>
      </c>
      <c r="K1622" s="7" t="s">
        <v>1178</v>
      </c>
      <c r="L1622" s="7" t="s">
        <v>132</v>
      </c>
      <c r="M1622" s="7" t="s">
        <v>133</v>
      </c>
      <c r="N1622" s="30">
        <v>0</v>
      </c>
      <c r="O1622" s="30">
        <v>0</v>
      </c>
      <c r="P1622" s="30">
        <v>0</v>
      </c>
      <c r="Q1622" s="30">
        <v>0</v>
      </c>
      <c r="R1622" s="29">
        <v>0</v>
      </c>
      <c r="S1622" s="36">
        <v>0</v>
      </c>
      <c r="T1622" s="7" t="s">
        <v>131</v>
      </c>
      <c r="U1622" s="7" t="s">
        <v>1060</v>
      </c>
      <c r="V1622" s="7" t="s">
        <v>1060</v>
      </c>
      <c r="W1622" s="7" t="s">
        <v>1177</v>
      </c>
      <c r="X1622" s="30">
        <v>5</v>
      </c>
      <c r="Y1622" s="7" t="s">
        <v>1177</v>
      </c>
      <c r="Z1622" s="7" t="s">
        <v>1178</v>
      </c>
      <c r="AA1622" s="30">
        <v>0</v>
      </c>
      <c r="AB1622" s="36">
        <v>0</v>
      </c>
      <c r="AC1622" s="7" t="s">
        <v>1177</v>
      </c>
      <c r="AD1622" s="37">
        <v>0</v>
      </c>
      <c r="AE1622" s="7" t="s">
        <v>1177</v>
      </c>
      <c r="AF1622" s="7" t="s">
        <v>1177</v>
      </c>
      <c r="AG1622" s="7" t="s">
        <v>1177</v>
      </c>
      <c r="AH1622" s="38"/>
      <c r="AI1622" s="36">
        <v>0</v>
      </c>
      <c r="AJ1622" s="7" t="s">
        <v>1193</v>
      </c>
      <c r="AK1622" s="7" t="s">
        <v>1177</v>
      </c>
      <c r="AL1622" s="7" t="s">
        <v>1177</v>
      </c>
      <c r="AM1622" s="7" t="s">
        <v>1177</v>
      </c>
      <c r="AN1622" s="7" t="s">
        <v>3212</v>
      </c>
      <c r="AO1622" s="7" t="s">
        <v>1177</v>
      </c>
      <c r="AP1622" s="7" t="s">
        <v>1177</v>
      </c>
      <c r="AQ1622" s="7" t="s">
        <v>1177</v>
      </c>
      <c r="AR1622" s="29">
        <v>0</v>
      </c>
      <c r="AS1622" s="7" t="s">
        <v>1177</v>
      </c>
      <c r="AT1622" s="7" t="s">
        <v>1363</v>
      </c>
      <c r="AU1622" s="38">
        <v>46275</v>
      </c>
      <c r="AV1622" s="39">
        <v>0.62730324074073995</v>
      </c>
    </row>
    <row r="1623" spans="1:48" x14ac:dyDescent="0.35">
      <c r="A1623" t="str">
        <f t="shared" si="25"/>
        <v>GP452019B856</v>
      </c>
      <c r="B1623" s="7" t="s">
        <v>941</v>
      </c>
      <c r="C1623" s="7" t="s">
        <v>852</v>
      </c>
      <c r="D1623" s="7" t="s">
        <v>21</v>
      </c>
      <c r="E1623" s="7" t="s">
        <v>1177</v>
      </c>
      <c r="F1623" s="7" t="s">
        <v>128</v>
      </c>
      <c r="G1623" s="7" t="s">
        <v>130</v>
      </c>
      <c r="H1623" s="7" t="s">
        <v>129</v>
      </c>
      <c r="I1623" s="30">
        <v>1</v>
      </c>
      <c r="J1623" s="7" t="s">
        <v>1177</v>
      </c>
      <c r="K1623" s="7" t="s">
        <v>1178</v>
      </c>
      <c r="L1623" s="7" t="s">
        <v>132</v>
      </c>
      <c r="M1623" s="7" t="s">
        <v>133</v>
      </c>
      <c r="N1623" s="30">
        <v>0</v>
      </c>
      <c r="O1623" s="30">
        <v>0</v>
      </c>
      <c r="P1623" s="30">
        <v>0</v>
      </c>
      <c r="Q1623" s="30">
        <v>0</v>
      </c>
      <c r="R1623" s="29">
        <v>0</v>
      </c>
      <c r="S1623" s="36">
        <v>0</v>
      </c>
      <c r="T1623" s="7" t="s">
        <v>131</v>
      </c>
      <c r="U1623" s="7" t="s">
        <v>853</v>
      </c>
      <c r="V1623" s="7" t="s">
        <v>853</v>
      </c>
      <c r="W1623" s="7" t="s">
        <v>1177</v>
      </c>
      <c r="X1623" s="30">
        <v>1</v>
      </c>
      <c r="Y1623" s="7" t="s">
        <v>1177</v>
      </c>
      <c r="Z1623" s="7" t="s">
        <v>1178</v>
      </c>
      <c r="AA1623" s="30">
        <v>0</v>
      </c>
      <c r="AB1623" s="36">
        <v>0</v>
      </c>
      <c r="AC1623" s="7" t="s">
        <v>1177</v>
      </c>
      <c r="AD1623" s="37">
        <v>0</v>
      </c>
      <c r="AE1623" s="7" t="s">
        <v>1177</v>
      </c>
      <c r="AF1623" s="7" t="s">
        <v>1177</v>
      </c>
      <c r="AG1623" s="7" t="s">
        <v>1177</v>
      </c>
      <c r="AH1623" s="38"/>
      <c r="AI1623" s="36">
        <v>0</v>
      </c>
      <c r="AJ1623" s="7" t="s">
        <v>1193</v>
      </c>
      <c r="AK1623" s="7" t="s">
        <v>1177</v>
      </c>
      <c r="AL1623" s="7" t="s">
        <v>1177</v>
      </c>
      <c r="AM1623" s="7" t="s">
        <v>1177</v>
      </c>
      <c r="AN1623" s="7" t="s">
        <v>3212</v>
      </c>
      <c r="AO1623" s="7" t="s">
        <v>1177</v>
      </c>
      <c r="AP1623" s="7" t="s">
        <v>1177</v>
      </c>
      <c r="AQ1623" s="7" t="s">
        <v>1177</v>
      </c>
      <c r="AR1623" s="29">
        <v>0</v>
      </c>
      <c r="AS1623" s="7" t="s">
        <v>1177</v>
      </c>
      <c r="AT1623" s="7" t="s">
        <v>1363</v>
      </c>
      <c r="AU1623" s="38">
        <v>46275</v>
      </c>
      <c r="AV1623" s="39">
        <v>0.62489583333332999</v>
      </c>
    </row>
    <row r="1624" spans="1:48" x14ac:dyDescent="0.35">
      <c r="A1624" t="str">
        <f t="shared" si="25"/>
        <v>GP452232B856</v>
      </c>
      <c r="B1624" s="7" t="s">
        <v>942</v>
      </c>
      <c r="C1624" s="7" t="s">
        <v>852</v>
      </c>
      <c r="D1624" s="7" t="s">
        <v>21</v>
      </c>
      <c r="E1624" s="7" t="s">
        <v>1177</v>
      </c>
      <c r="F1624" s="7" t="s">
        <v>128</v>
      </c>
      <c r="G1624" s="7" t="s">
        <v>130</v>
      </c>
      <c r="H1624" s="7" t="s">
        <v>129</v>
      </c>
      <c r="I1624" s="30">
        <v>1</v>
      </c>
      <c r="J1624" s="7" t="s">
        <v>1177</v>
      </c>
      <c r="K1624" s="7" t="s">
        <v>1178</v>
      </c>
      <c r="L1624" s="7" t="s">
        <v>132</v>
      </c>
      <c r="M1624" s="7" t="s">
        <v>133</v>
      </c>
      <c r="N1624" s="30">
        <v>0</v>
      </c>
      <c r="O1624" s="30">
        <v>0</v>
      </c>
      <c r="P1624" s="30">
        <v>0</v>
      </c>
      <c r="Q1624" s="30">
        <v>0</v>
      </c>
      <c r="R1624" s="29">
        <v>0</v>
      </c>
      <c r="S1624" s="36">
        <v>0</v>
      </c>
      <c r="T1624" s="7" t="s">
        <v>131</v>
      </c>
      <c r="U1624" s="7" t="s">
        <v>853</v>
      </c>
      <c r="V1624" s="7" t="s">
        <v>853</v>
      </c>
      <c r="W1624" s="7" t="s">
        <v>1177</v>
      </c>
      <c r="X1624" s="30">
        <v>1</v>
      </c>
      <c r="Y1624" s="7" t="s">
        <v>1177</v>
      </c>
      <c r="Z1624" s="7" t="s">
        <v>1178</v>
      </c>
      <c r="AA1624" s="30">
        <v>0</v>
      </c>
      <c r="AB1624" s="36">
        <v>0</v>
      </c>
      <c r="AC1624" s="7" t="s">
        <v>1177</v>
      </c>
      <c r="AD1624" s="37">
        <v>0</v>
      </c>
      <c r="AE1624" s="7" t="s">
        <v>1177</v>
      </c>
      <c r="AF1624" s="7" t="s">
        <v>1177</v>
      </c>
      <c r="AG1624" s="7" t="s">
        <v>1177</v>
      </c>
      <c r="AH1624" s="38"/>
      <c r="AI1624" s="36">
        <v>0</v>
      </c>
      <c r="AJ1624" s="7" t="s">
        <v>1193</v>
      </c>
      <c r="AK1624" s="7" t="s">
        <v>1177</v>
      </c>
      <c r="AL1624" s="7" t="s">
        <v>1177</v>
      </c>
      <c r="AM1624" s="7" t="s">
        <v>1177</v>
      </c>
      <c r="AN1624" s="7" t="s">
        <v>3212</v>
      </c>
      <c r="AO1624" s="7" t="s">
        <v>1177</v>
      </c>
      <c r="AP1624" s="7" t="s">
        <v>1177</v>
      </c>
      <c r="AQ1624" s="7" t="s">
        <v>1177</v>
      </c>
      <c r="AR1624" s="29">
        <v>0</v>
      </c>
      <c r="AS1624" s="7" t="s">
        <v>1177</v>
      </c>
      <c r="AT1624" s="7" t="s">
        <v>1363</v>
      </c>
      <c r="AU1624" s="38">
        <v>46275</v>
      </c>
      <c r="AV1624" s="39">
        <v>0.62489583333332999</v>
      </c>
    </row>
    <row r="1625" spans="1:48" x14ac:dyDescent="0.35">
      <c r="A1625" t="str">
        <f t="shared" si="25"/>
        <v>GP452405B865</v>
      </c>
      <c r="B1625" s="7" t="s">
        <v>1049</v>
      </c>
      <c r="C1625" s="7" t="s">
        <v>1039</v>
      </c>
      <c r="D1625" s="7" t="s">
        <v>7</v>
      </c>
      <c r="E1625" s="7" t="s">
        <v>1177</v>
      </c>
      <c r="F1625" s="7" t="s">
        <v>128</v>
      </c>
      <c r="G1625" s="7" t="s">
        <v>130</v>
      </c>
      <c r="H1625" s="7" t="s">
        <v>129</v>
      </c>
      <c r="I1625" s="30">
        <v>1</v>
      </c>
      <c r="J1625" s="7" t="s">
        <v>1177</v>
      </c>
      <c r="K1625" s="7" t="s">
        <v>1178</v>
      </c>
      <c r="L1625" s="7" t="s">
        <v>132</v>
      </c>
      <c r="M1625" s="7" t="s">
        <v>133</v>
      </c>
      <c r="N1625" s="30">
        <v>0</v>
      </c>
      <c r="O1625" s="30">
        <v>0</v>
      </c>
      <c r="P1625" s="30">
        <v>0</v>
      </c>
      <c r="Q1625" s="30">
        <v>0</v>
      </c>
      <c r="R1625" s="29">
        <v>0</v>
      </c>
      <c r="S1625" s="36">
        <v>0</v>
      </c>
      <c r="T1625" s="7" t="s">
        <v>131</v>
      </c>
      <c r="U1625" s="7" t="s">
        <v>1040</v>
      </c>
      <c r="V1625" s="7" t="s">
        <v>1040</v>
      </c>
      <c r="W1625" s="7" t="s">
        <v>1177</v>
      </c>
      <c r="X1625" s="30">
        <v>1</v>
      </c>
      <c r="Y1625" s="7" t="s">
        <v>1177</v>
      </c>
      <c r="Z1625" s="7" t="s">
        <v>1178</v>
      </c>
      <c r="AA1625" s="30">
        <v>0</v>
      </c>
      <c r="AB1625" s="36">
        <v>0</v>
      </c>
      <c r="AC1625" s="7" t="s">
        <v>1177</v>
      </c>
      <c r="AD1625" s="37">
        <v>0</v>
      </c>
      <c r="AE1625" s="7" t="s">
        <v>1177</v>
      </c>
      <c r="AF1625" s="7" t="s">
        <v>1177</v>
      </c>
      <c r="AG1625" s="7" t="s">
        <v>1177</v>
      </c>
      <c r="AH1625" s="38"/>
      <c r="AI1625" s="36">
        <v>0</v>
      </c>
      <c r="AJ1625" s="7" t="s">
        <v>1193</v>
      </c>
      <c r="AK1625" s="7" t="s">
        <v>1177</v>
      </c>
      <c r="AL1625" s="7" t="s">
        <v>1177</v>
      </c>
      <c r="AM1625" s="7" t="s">
        <v>1177</v>
      </c>
      <c r="AN1625" s="7" t="s">
        <v>3212</v>
      </c>
      <c r="AO1625" s="7" t="s">
        <v>1177</v>
      </c>
      <c r="AP1625" s="7" t="s">
        <v>1177</v>
      </c>
      <c r="AQ1625" s="7" t="s">
        <v>1177</v>
      </c>
      <c r="AR1625" s="29">
        <v>0</v>
      </c>
      <c r="AS1625" s="7" t="s">
        <v>1177</v>
      </c>
      <c r="AT1625" s="7" t="s">
        <v>1363</v>
      </c>
      <c r="AU1625" s="38">
        <v>46275</v>
      </c>
      <c r="AV1625" s="39">
        <v>0.62674768518518997</v>
      </c>
    </row>
    <row r="1626" spans="1:48" x14ac:dyDescent="0.35">
      <c r="A1626" t="str">
        <f t="shared" si="25"/>
        <v>GP452740B825</v>
      </c>
      <c r="B1626" s="7" t="s">
        <v>617</v>
      </c>
      <c r="C1626" s="7" t="s">
        <v>511</v>
      </c>
      <c r="D1626" s="7" t="s">
        <v>16</v>
      </c>
      <c r="E1626" s="7" t="s">
        <v>1177</v>
      </c>
      <c r="F1626" s="7" t="s">
        <v>128</v>
      </c>
      <c r="G1626" s="7" t="s">
        <v>130</v>
      </c>
      <c r="H1626" s="7" t="s">
        <v>129</v>
      </c>
      <c r="I1626" s="30">
        <v>2</v>
      </c>
      <c r="J1626" s="7" t="s">
        <v>1177</v>
      </c>
      <c r="K1626" s="7" t="s">
        <v>1178</v>
      </c>
      <c r="L1626" s="7" t="s">
        <v>132</v>
      </c>
      <c r="M1626" s="7" t="s">
        <v>133</v>
      </c>
      <c r="N1626" s="30">
        <v>0</v>
      </c>
      <c r="O1626" s="30">
        <v>0</v>
      </c>
      <c r="P1626" s="30">
        <v>0</v>
      </c>
      <c r="Q1626" s="30">
        <v>0</v>
      </c>
      <c r="R1626" s="29">
        <v>0</v>
      </c>
      <c r="S1626" s="36">
        <v>0</v>
      </c>
      <c r="T1626" s="7" t="s">
        <v>131</v>
      </c>
      <c r="U1626" s="7" t="s">
        <v>512</v>
      </c>
      <c r="V1626" s="7" t="s">
        <v>512</v>
      </c>
      <c r="W1626" s="7" t="s">
        <v>1177</v>
      </c>
      <c r="X1626" s="30">
        <v>1</v>
      </c>
      <c r="Y1626" s="7" t="s">
        <v>1177</v>
      </c>
      <c r="Z1626" s="7" t="s">
        <v>1178</v>
      </c>
      <c r="AA1626" s="30">
        <v>0</v>
      </c>
      <c r="AB1626" s="36">
        <v>0</v>
      </c>
      <c r="AC1626" s="7" t="s">
        <v>1177</v>
      </c>
      <c r="AD1626" s="37">
        <v>0</v>
      </c>
      <c r="AE1626" s="7" t="s">
        <v>1177</v>
      </c>
      <c r="AF1626" s="7" t="s">
        <v>1177</v>
      </c>
      <c r="AG1626" s="7" t="s">
        <v>1177</v>
      </c>
      <c r="AH1626" s="38"/>
      <c r="AI1626" s="36">
        <v>0</v>
      </c>
      <c r="AJ1626" s="7" t="s">
        <v>1193</v>
      </c>
      <c r="AK1626" s="7" t="s">
        <v>1177</v>
      </c>
      <c r="AL1626" s="7" t="s">
        <v>1177</v>
      </c>
      <c r="AM1626" s="7" t="s">
        <v>1177</v>
      </c>
      <c r="AN1626" s="7" t="s">
        <v>3212</v>
      </c>
      <c r="AO1626" s="7" t="s">
        <v>1177</v>
      </c>
      <c r="AP1626" s="7" t="s">
        <v>1177</v>
      </c>
      <c r="AQ1626" s="7" t="s">
        <v>1177</v>
      </c>
      <c r="AR1626" s="29">
        <v>0</v>
      </c>
      <c r="AS1626" s="7" t="s">
        <v>1177</v>
      </c>
      <c r="AT1626" s="7" t="s">
        <v>1363</v>
      </c>
      <c r="AU1626" s="38">
        <v>46275</v>
      </c>
      <c r="AV1626" s="39">
        <v>0.60350694444443997</v>
      </c>
    </row>
    <row r="1627" spans="1:48" x14ac:dyDescent="0.35">
      <c r="A1627" t="str">
        <f t="shared" si="25"/>
        <v>GP454170B825</v>
      </c>
      <c r="B1627" s="7" t="s">
        <v>192</v>
      </c>
      <c r="C1627" s="7" t="s">
        <v>511</v>
      </c>
      <c r="D1627" s="7" t="s">
        <v>16</v>
      </c>
      <c r="E1627" s="7" t="s">
        <v>1177</v>
      </c>
      <c r="F1627" s="7" t="s">
        <v>128</v>
      </c>
      <c r="G1627" s="7" t="s">
        <v>130</v>
      </c>
      <c r="H1627" s="7" t="s">
        <v>129</v>
      </c>
      <c r="I1627" s="30">
        <v>2</v>
      </c>
      <c r="J1627" s="7" t="s">
        <v>1177</v>
      </c>
      <c r="K1627" s="7" t="s">
        <v>1178</v>
      </c>
      <c r="L1627" s="7" t="s">
        <v>132</v>
      </c>
      <c r="M1627" s="7" t="s">
        <v>133</v>
      </c>
      <c r="N1627" s="30">
        <v>0</v>
      </c>
      <c r="O1627" s="30">
        <v>0</v>
      </c>
      <c r="P1627" s="30">
        <v>0</v>
      </c>
      <c r="Q1627" s="30">
        <v>0</v>
      </c>
      <c r="R1627" s="29">
        <v>0</v>
      </c>
      <c r="S1627" s="36">
        <v>0</v>
      </c>
      <c r="T1627" s="7" t="s">
        <v>131</v>
      </c>
      <c r="U1627" s="7" t="s">
        <v>512</v>
      </c>
      <c r="V1627" s="7" t="s">
        <v>512</v>
      </c>
      <c r="W1627" s="7" t="s">
        <v>1177</v>
      </c>
      <c r="X1627" s="30">
        <v>1</v>
      </c>
      <c r="Y1627" s="7" t="s">
        <v>1177</v>
      </c>
      <c r="Z1627" s="7" t="s">
        <v>1178</v>
      </c>
      <c r="AA1627" s="30">
        <v>0</v>
      </c>
      <c r="AB1627" s="36">
        <v>0</v>
      </c>
      <c r="AC1627" s="7" t="s">
        <v>1177</v>
      </c>
      <c r="AD1627" s="37">
        <v>0</v>
      </c>
      <c r="AE1627" s="7" t="s">
        <v>1177</v>
      </c>
      <c r="AF1627" s="7" t="s">
        <v>1177</v>
      </c>
      <c r="AG1627" s="7" t="s">
        <v>1177</v>
      </c>
      <c r="AH1627" s="38"/>
      <c r="AI1627" s="36">
        <v>0</v>
      </c>
      <c r="AJ1627" s="7" t="s">
        <v>1193</v>
      </c>
      <c r="AK1627" s="7" t="s">
        <v>1177</v>
      </c>
      <c r="AL1627" s="7" t="s">
        <v>1177</v>
      </c>
      <c r="AM1627" s="7" t="s">
        <v>1177</v>
      </c>
      <c r="AN1627" s="7" t="s">
        <v>3212</v>
      </c>
      <c r="AO1627" s="7" t="s">
        <v>1177</v>
      </c>
      <c r="AP1627" s="7" t="s">
        <v>1177</v>
      </c>
      <c r="AQ1627" s="7" t="s">
        <v>1177</v>
      </c>
      <c r="AR1627" s="29">
        <v>0</v>
      </c>
      <c r="AS1627" s="7" t="s">
        <v>1177</v>
      </c>
      <c r="AT1627" s="7" t="s">
        <v>1363</v>
      </c>
      <c r="AU1627" s="38">
        <v>46275</v>
      </c>
      <c r="AV1627" s="39">
        <v>0.60350694444443997</v>
      </c>
    </row>
    <row r="1628" spans="1:48" x14ac:dyDescent="0.35">
      <c r="A1628" t="str">
        <f t="shared" si="25"/>
        <v>GP454170B838</v>
      </c>
      <c r="B1628" s="7" t="s">
        <v>192</v>
      </c>
      <c r="C1628" s="7" t="s">
        <v>744</v>
      </c>
      <c r="D1628" s="7" t="s">
        <v>48</v>
      </c>
      <c r="E1628" s="7" t="s">
        <v>1177</v>
      </c>
      <c r="F1628" s="7" t="s">
        <v>128</v>
      </c>
      <c r="G1628" s="7" t="s">
        <v>130</v>
      </c>
      <c r="H1628" s="7" t="s">
        <v>129</v>
      </c>
      <c r="I1628" s="30">
        <v>1</v>
      </c>
      <c r="J1628" s="7" t="s">
        <v>1177</v>
      </c>
      <c r="K1628" s="7" t="s">
        <v>1178</v>
      </c>
      <c r="L1628" s="7" t="s">
        <v>132</v>
      </c>
      <c r="M1628" s="7" t="s">
        <v>133</v>
      </c>
      <c r="N1628" s="30">
        <v>0</v>
      </c>
      <c r="O1628" s="30">
        <v>0</v>
      </c>
      <c r="P1628" s="30">
        <v>0</v>
      </c>
      <c r="Q1628" s="30">
        <v>0</v>
      </c>
      <c r="R1628" s="29">
        <v>0</v>
      </c>
      <c r="S1628" s="36">
        <v>0</v>
      </c>
      <c r="T1628" s="7" t="s">
        <v>131</v>
      </c>
      <c r="U1628" s="7" t="s">
        <v>745</v>
      </c>
      <c r="V1628" s="7" t="s">
        <v>745</v>
      </c>
      <c r="W1628" s="7" t="s">
        <v>1177</v>
      </c>
      <c r="X1628" s="30">
        <v>1</v>
      </c>
      <c r="Y1628" s="7" t="s">
        <v>1177</v>
      </c>
      <c r="Z1628" s="7" t="s">
        <v>1178</v>
      </c>
      <c r="AA1628" s="30">
        <v>0</v>
      </c>
      <c r="AB1628" s="36">
        <v>0</v>
      </c>
      <c r="AC1628" s="7" t="s">
        <v>1177</v>
      </c>
      <c r="AD1628" s="37">
        <v>0</v>
      </c>
      <c r="AE1628" s="7" t="s">
        <v>1177</v>
      </c>
      <c r="AF1628" s="7" t="s">
        <v>1177</v>
      </c>
      <c r="AG1628" s="7" t="s">
        <v>1177</v>
      </c>
      <c r="AH1628" s="38"/>
      <c r="AI1628" s="36">
        <v>0</v>
      </c>
      <c r="AJ1628" s="7" t="s">
        <v>1193</v>
      </c>
      <c r="AK1628" s="7" t="s">
        <v>1177</v>
      </c>
      <c r="AL1628" s="7" t="s">
        <v>1177</v>
      </c>
      <c r="AM1628" s="7" t="s">
        <v>1177</v>
      </c>
      <c r="AN1628" s="7" t="s">
        <v>3212</v>
      </c>
      <c r="AO1628" s="7" t="s">
        <v>1177</v>
      </c>
      <c r="AP1628" s="7" t="s">
        <v>1177</v>
      </c>
      <c r="AQ1628" s="7" t="s">
        <v>1177</v>
      </c>
      <c r="AR1628" s="29">
        <v>0</v>
      </c>
      <c r="AS1628" s="7" t="s">
        <v>1177</v>
      </c>
      <c r="AT1628" s="7" t="s">
        <v>1363</v>
      </c>
      <c r="AU1628" s="38">
        <v>46275</v>
      </c>
      <c r="AV1628" s="39">
        <v>0.60453703703703998</v>
      </c>
    </row>
    <row r="1629" spans="1:48" x14ac:dyDescent="0.35">
      <c r="A1629" t="str">
        <f t="shared" si="25"/>
        <v>GP454170B864</v>
      </c>
      <c r="B1629" s="7" t="s">
        <v>192</v>
      </c>
      <c r="C1629" s="7" t="s">
        <v>1010</v>
      </c>
      <c r="D1629" s="7" t="s">
        <v>10</v>
      </c>
      <c r="E1629" s="7" t="s">
        <v>1177</v>
      </c>
      <c r="F1629" s="7" t="s">
        <v>128</v>
      </c>
      <c r="G1629" s="7" t="s">
        <v>130</v>
      </c>
      <c r="H1629" s="7" t="s">
        <v>129</v>
      </c>
      <c r="I1629" s="30">
        <v>2</v>
      </c>
      <c r="J1629" s="7" t="s">
        <v>1177</v>
      </c>
      <c r="K1629" s="7" t="s">
        <v>1178</v>
      </c>
      <c r="L1629" s="7" t="s">
        <v>132</v>
      </c>
      <c r="M1629" s="7" t="s">
        <v>133</v>
      </c>
      <c r="N1629" s="30">
        <v>0</v>
      </c>
      <c r="O1629" s="30">
        <v>0</v>
      </c>
      <c r="P1629" s="30">
        <v>0</v>
      </c>
      <c r="Q1629" s="30">
        <v>0</v>
      </c>
      <c r="R1629" s="29">
        <v>0</v>
      </c>
      <c r="S1629" s="36">
        <v>0</v>
      </c>
      <c r="T1629" s="7" t="s">
        <v>131</v>
      </c>
      <c r="U1629" s="7" t="s">
        <v>1011</v>
      </c>
      <c r="V1629" s="7" t="s">
        <v>1011</v>
      </c>
      <c r="W1629" s="7" t="s">
        <v>1177</v>
      </c>
      <c r="X1629" s="30">
        <v>1</v>
      </c>
      <c r="Y1629" s="7" t="s">
        <v>1177</v>
      </c>
      <c r="Z1629" s="7" t="s">
        <v>1178</v>
      </c>
      <c r="AA1629" s="30">
        <v>0</v>
      </c>
      <c r="AB1629" s="36">
        <v>0</v>
      </c>
      <c r="AC1629" s="7" t="s">
        <v>1177</v>
      </c>
      <c r="AD1629" s="37">
        <v>0</v>
      </c>
      <c r="AE1629" s="7" t="s">
        <v>1177</v>
      </c>
      <c r="AF1629" s="7" t="s">
        <v>1177</v>
      </c>
      <c r="AG1629" s="7" t="s">
        <v>1177</v>
      </c>
      <c r="AH1629" s="38"/>
      <c r="AI1629" s="36">
        <v>0</v>
      </c>
      <c r="AJ1629" s="7" t="s">
        <v>1193</v>
      </c>
      <c r="AK1629" s="7" t="s">
        <v>1177</v>
      </c>
      <c r="AL1629" s="7" t="s">
        <v>1177</v>
      </c>
      <c r="AM1629" s="7" t="s">
        <v>1177</v>
      </c>
      <c r="AN1629" s="7" t="s">
        <v>3212</v>
      </c>
      <c r="AO1629" s="7" t="s">
        <v>1177</v>
      </c>
      <c r="AP1629" s="7" t="s">
        <v>1177</v>
      </c>
      <c r="AQ1629" s="7" t="s">
        <v>1177</v>
      </c>
      <c r="AR1629" s="29">
        <v>0</v>
      </c>
      <c r="AS1629" s="7" t="s">
        <v>1177</v>
      </c>
      <c r="AT1629" s="7" t="s">
        <v>1363</v>
      </c>
      <c r="AU1629" s="38">
        <v>46275</v>
      </c>
      <c r="AV1629" s="39">
        <v>0.60542824074073998</v>
      </c>
    </row>
    <row r="1630" spans="1:48" x14ac:dyDescent="0.35">
      <c r="A1630" t="str">
        <f t="shared" si="25"/>
        <v>GP454559B864</v>
      </c>
      <c r="B1630" s="7" t="s">
        <v>1030</v>
      </c>
      <c r="C1630" s="7" t="s">
        <v>1010</v>
      </c>
      <c r="D1630" s="7" t="s">
        <v>10</v>
      </c>
      <c r="E1630" s="7" t="s">
        <v>1177</v>
      </c>
      <c r="F1630" s="7" t="s">
        <v>128</v>
      </c>
      <c r="G1630" s="7" t="s">
        <v>130</v>
      </c>
      <c r="H1630" s="7" t="s">
        <v>129</v>
      </c>
      <c r="I1630" s="30">
        <v>1</v>
      </c>
      <c r="J1630" s="7" t="s">
        <v>1177</v>
      </c>
      <c r="K1630" s="7" t="s">
        <v>1178</v>
      </c>
      <c r="L1630" s="7" t="s">
        <v>132</v>
      </c>
      <c r="M1630" s="7" t="s">
        <v>133</v>
      </c>
      <c r="N1630" s="30">
        <v>0</v>
      </c>
      <c r="O1630" s="30">
        <v>0</v>
      </c>
      <c r="P1630" s="30">
        <v>0</v>
      </c>
      <c r="Q1630" s="30">
        <v>0</v>
      </c>
      <c r="R1630" s="29">
        <v>0</v>
      </c>
      <c r="S1630" s="36">
        <v>0</v>
      </c>
      <c r="T1630" s="7" t="s">
        <v>131</v>
      </c>
      <c r="U1630" s="7" t="s">
        <v>1011</v>
      </c>
      <c r="V1630" s="7" t="s">
        <v>1011</v>
      </c>
      <c r="W1630" s="7" t="s">
        <v>1177</v>
      </c>
      <c r="X1630" s="30">
        <v>1</v>
      </c>
      <c r="Y1630" s="7" t="s">
        <v>1177</v>
      </c>
      <c r="Z1630" s="7" t="s">
        <v>1178</v>
      </c>
      <c r="AA1630" s="30">
        <v>0</v>
      </c>
      <c r="AB1630" s="36">
        <v>0</v>
      </c>
      <c r="AC1630" s="7" t="s">
        <v>1177</v>
      </c>
      <c r="AD1630" s="37">
        <v>0</v>
      </c>
      <c r="AE1630" s="7" t="s">
        <v>1177</v>
      </c>
      <c r="AF1630" s="7" t="s">
        <v>1177</v>
      </c>
      <c r="AG1630" s="7" t="s">
        <v>1177</v>
      </c>
      <c r="AH1630" s="38"/>
      <c r="AI1630" s="36">
        <v>0</v>
      </c>
      <c r="AJ1630" s="7" t="s">
        <v>1193</v>
      </c>
      <c r="AK1630" s="7" t="s">
        <v>1177</v>
      </c>
      <c r="AL1630" s="7" t="s">
        <v>1177</v>
      </c>
      <c r="AM1630" s="7" t="s">
        <v>1177</v>
      </c>
      <c r="AN1630" s="7" t="s">
        <v>3212</v>
      </c>
      <c r="AO1630" s="7" t="s">
        <v>1177</v>
      </c>
      <c r="AP1630" s="7" t="s">
        <v>1177</v>
      </c>
      <c r="AQ1630" s="7" t="s">
        <v>1177</v>
      </c>
      <c r="AR1630" s="29">
        <v>0</v>
      </c>
      <c r="AS1630" s="7" t="s">
        <v>1177</v>
      </c>
      <c r="AT1630" s="7" t="s">
        <v>1363</v>
      </c>
      <c r="AU1630" s="38">
        <v>46275</v>
      </c>
      <c r="AV1630" s="39">
        <v>0.62631944444443999</v>
      </c>
    </row>
    <row r="1631" spans="1:48" x14ac:dyDescent="0.35">
      <c r="A1631" t="str">
        <f t="shared" si="25"/>
        <v>GP454559B865</v>
      </c>
      <c r="B1631" s="7" t="s">
        <v>1030</v>
      </c>
      <c r="C1631" s="7" t="s">
        <v>1039</v>
      </c>
      <c r="D1631" s="7" t="s">
        <v>7</v>
      </c>
      <c r="E1631" s="7" t="s">
        <v>1177</v>
      </c>
      <c r="F1631" s="7" t="s">
        <v>128</v>
      </c>
      <c r="G1631" s="7" t="s">
        <v>130</v>
      </c>
      <c r="H1631" s="7" t="s">
        <v>129</v>
      </c>
      <c r="I1631" s="30">
        <v>1</v>
      </c>
      <c r="J1631" s="7" t="s">
        <v>1177</v>
      </c>
      <c r="K1631" s="7" t="s">
        <v>1178</v>
      </c>
      <c r="L1631" s="7" t="s">
        <v>132</v>
      </c>
      <c r="M1631" s="7" t="s">
        <v>133</v>
      </c>
      <c r="N1631" s="30">
        <v>0</v>
      </c>
      <c r="O1631" s="30">
        <v>0</v>
      </c>
      <c r="P1631" s="30">
        <v>0</v>
      </c>
      <c r="Q1631" s="30">
        <v>0</v>
      </c>
      <c r="R1631" s="29">
        <v>0</v>
      </c>
      <c r="S1631" s="36">
        <v>0</v>
      </c>
      <c r="T1631" s="7" t="s">
        <v>131</v>
      </c>
      <c r="U1631" s="7" t="s">
        <v>1040</v>
      </c>
      <c r="V1631" s="7" t="s">
        <v>1040</v>
      </c>
      <c r="W1631" s="7" t="s">
        <v>1177</v>
      </c>
      <c r="X1631" s="30">
        <v>1</v>
      </c>
      <c r="Y1631" s="7" t="s">
        <v>1177</v>
      </c>
      <c r="Z1631" s="7" t="s">
        <v>1178</v>
      </c>
      <c r="AA1631" s="30">
        <v>0</v>
      </c>
      <c r="AB1631" s="36">
        <v>0</v>
      </c>
      <c r="AC1631" s="7" t="s">
        <v>1177</v>
      </c>
      <c r="AD1631" s="37">
        <v>0</v>
      </c>
      <c r="AE1631" s="7" t="s">
        <v>1177</v>
      </c>
      <c r="AF1631" s="7" t="s">
        <v>1177</v>
      </c>
      <c r="AG1631" s="7" t="s">
        <v>1177</v>
      </c>
      <c r="AH1631" s="38"/>
      <c r="AI1631" s="36">
        <v>0</v>
      </c>
      <c r="AJ1631" s="7" t="s">
        <v>1193</v>
      </c>
      <c r="AK1631" s="7" t="s">
        <v>1177</v>
      </c>
      <c r="AL1631" s="7" t="s">
        <v>1177</v>
      </c>
      <c r="AM1631" s="7" t="s">
        <v>1177</v>
      </c>
      <c r="AN1631" s="7" t="s">
        <v>3212</v>
      </c>
      <c r="AO1631" s="7" t="s">
        <v>1177</v>
      </c>
      <c r="AP1631" s="7" t="s">
        <v>1177</v>
      </c>
      <c r="AQ1631" s="7" t="s">
        <v>1177</v>
      </c>
      <c r="AR1631" s="29">
        <v>0</v>
      </c>
      <c r="AS1631" s="7" t="s">
        <v>1177</v>
      </c>
      <c r="AT1631" s="7" t="s">
        <v>1363</v>
      </c>
      <c r="AU1631" s="38">
        <v>46275</v>
      </c>
      <c r="AV1631" s="39">
        <v>0.62674768518518997</v>
      </c>
    </row>
    <row r="1632" spans="1:48" x14ac:dyDescent="0.35">
      <c r="A1632" t="str">
        <f t="shared" si="25"/>
        <v>GP455375B856</v>
      </c>
      <c r="B1632" s="7" t="s">
        <v>943</v>
      </c>
      <c r="C1632" s="7" t="s">
        <v>852</v>
      </c>
      <c r="D1632" s="7" t="s">
        <v>21</v>
      </c>
      <c r="E1632" s="7" t="s">
        <v>1177</v>
      </c>
      <c r="F1632" s="7" t="s">
        <v>128</v>
      </c>
      <c r="G1632" s="7" t="s">
        <v>130</v>
      </c>
      <c r="H1632" s="7" t="s">
        <v>129</v>
      </c>
      <c r="I1632" s="30">
        <v>2</v>
      </c>
      <c r="J1632" s="7" t="s">
        <v>1177</v>
      </c>
      <c r="K1632" s="7" t="s">
        <v>1178</v>
      </c>
      <c r="L1632" s="7" t="s">
        <v>132</v>
      </c>
      <c r="M1632" s="7" t="s">
        <v>133</v>
      </c>
      <c r="N1632" s="30">
        <v>0</v>
      </c>
      <c r="O1632" s="30">
        <v>0</v>
      </c>
      <c r="P1632" s="30">
        <v>0</v>
      </c>
      <c r="Q1632" s="30">
        <v>0</v>
      </c>
      <c r="R1632" s="29">
        <v>0</v>
      </c>
      <c r="S1632" s="36">
        <v>0</v>
      </c>
      <c r="T1632" s="7" t="s">
        <v>131</v>
      </c>
      <c r="U1632" s="7" t="s">
        <v>853</v>
      </c>
      <c r="V1632" s="7" t="s">
        <v>853</v>
      </c>
      <c r="W1632" s="7" t="s">
        <v>1177</v>
      </c>
      <c r="X1632" s="30">
        <v>1</v>
      </c>
      <c r="Y1632" s="7" t="s">
        <v>1177</v>
      </c>
      <c r="Z1632" s="7" t="s">
        <v>1178</v>
      </c>
      <c r="AA1632" s="30">
        <v>0</v>
      </c>
      <c r="AB1632" s="36">
        <v>0</v>
      </c>
      <c r="AC1632" s="7" t="s">
        <v>1177</v>
      </c>
      <c r="AD1632" s="37">
        <v>0</v>
      </c>
      <c r="AE1632" s="7" t="s">
        <v>1177</v>
      </c>
      <c r="AF1632" s="7" t="s">
        <v>1177</v>
      </c>
      <c r="AG1632" s="7" t="s">
        <v>1177</v>
      </c>
      <c r="AH1632" s="38"/>
      <c r="AI1632" s="36">
        <v>0</v>
      </c>
      <c r="AJ1632" s="7" t="s">
        <v>1193</v>
      </c>
      <c r="AK1632" s="7" t="s">
        <v>1177</v>
      </c>
      <c r="AL1632" s="7" t="s">
        <v>1177</v>
      </c>
      <c r="AM1632" s="7" t="s">
        <v>1177</v>
      </c>
      <c r="AN1632" s="7" t="s">
        <v>3212</v>
      </c>
      <c r="AO1632" s="7" t="s">
        <v>1177</v>
      </c>
      <c r="AP1632" s="7" t="s">
        <v>1177</v>
      </c>
      <c r="AQ1632" s="7" t="s">
        <v>1177</v>
      </c>
      <c r="AR1632" s="29">
        <v>0</v>
      </c>
      <c r="AS1632" s="7" t="s">
        <v>1177</v>
      </c>
      <c r="AT1632" s="7" t="s">
        <v>1363</v>
      </c>
      <c r="AU1632" s="38">
        <v>46275</v>
      </c>
      <c r="AV1632" s="39">
        <v>0.62489583333332999</v>
      </c>
    </row>
    <row r="1633" spans="1:48" x14ac:dyDescent="0.35">
      <c r="A1633" t="str">
        <f t="shared" si="25"/>
        <v>GP456194B867</v>
      </c>
      <c r="B1633" s="7" t="s">
        <v>293</v>
      </c>
      <c r="C1633" s="7" t="s">
        <v>1059</v>
      </c>
      <c r="D1633" s="7" t="s">
        <v>25</v>
      </c>
      <c r="E1633" s="7" t="s">
        <v>1177</v>
      </c>
      <c r="F1633" s="7" t="s">
        <v>134</v>
      </c>
      <c r="G1633" s="7" t="s">
        <v>130</v>
      </c>
      <c r="H1633" s="7" t="s">
        <v>129</v>
      </c>
      <c r="I1633" s="30">
        <v>2</v>
      </c>
      <c r="J1633" s="7" t="s">
        <v>1177</v>
      </c>
      <c r="K1633" s="7" t="s">
        <v>1178</v>
      </c>
      <c r="L1633" s="7" t="s">
        <v>132</v>
      </c>
      <c r="M1633" s="7" t="s">
        <v>133</v>
      </c>
      <c r="N1633" s="30">
        <v>0</v>
      </c>
      <c r="O1633" s="30">
        <v>0</v>
      </c>
      <c r="P1633" s="30">
        <v>0</v>
      </c>
      <c r="Q1633" s="30">
        <v>0</v>
      </c>
      <c r="R1633" s="29">
        <v>0</v>
      </c>
      <c r="S1633" s="36">
        <v>0</v>
      </c>
      <c r="T1633" s="7" t="s">
        <v>131</v>
      </c>
      <c r="U1633" s="7" t="s">
        <v>1060</v>
      </c>
      <c r="V1633" s="7" t="s">
        <v>1060</v>
      </c>
      <c r="W1633" s="7" t="s">
        <v>1177</v>
      </c>
      <c r="X1633" s="30">
        <v>2</v>
      </c>
      <c r="Y1633" s="7" t="s">
        <v>1177</v>
      </c>
      <c r="Z1633" s="7" t="s">
        <v>1178</v>
      </c>
      <c r="AA1633" s="30">
        <v>0</v>
      </c>
      <c r="AB1633" s="36">
        <v>0</v>
      </c>
      <c r="AC1633" s="7" t="s">
        <v>1177</v>
      </c>
      <c r="AD1633" s="37">
        <v>0</v>
      </c>
      <c r="AE1633" s="7" t="s">
        <v>1177</v>
      </c>
      <c r="AF1633" s="7" t="s">
        <v>1177</v>
      </c>
      <c r="AG1633" s="7" t="s">
        <v>1177</v>
      </c>
      <c r="AH1633" s="38"/>
      <c r="AI1633" s="36">
        <v>0</v>
      </c>
      <c r="AJ1633" s="7" t="s">
        <v>1193</v>
      </c>
      <c r="AK1633" s="7" t="s">
        <v>1177</v>
      </c>
      <c r="AL1633" s="7" t="s">
        <v>1177</v>
      </c>
      <c r="AM1633" s="7" t="s">
        <v>1177</v>
      </c>
      <c r="AN1633" s="7" t="s">
        <v>3212</v>
      </c>
      <c r="AO1633" s="7" t="s">
        <v>1177</v>
      </c>
      <c r="AP1633" s="7" t="s">
        <v>1177</v>
      </c>
      <c r="AQ1633" s="7" t="s">
        <v>1177</v>
      </c>
      <c r="AR1633" s="29">
        <v>0</v>
      </c>
      <c r="AS1633" s="7" t="s">
        <v>1177</v>
      </c>
      <c r="AT1633" s="7" t="s">
        <v>1363</v>
      </c>
      <c r="AU1633" s="38">
        <v>46275</v>
      </c>
      <c r="AV1633" s="39">
        <v>0.60565972222221998</v>
      </c>
    </row>
    <row r="1634" spans="1:48" x14ac:dyDescent="0.35">
      <c r="A1634" t="str">
        <f t="shared" si="25"/>
        <v>GP457905B833</v>
      </c>
      <c r="B1634" s="7" t="s">
        <v>723</v>
      </c>
      <c r="C1634" s="7" t="s">
        <v>698</v>
      </c>
      <c r="D1634" s="7" t="s">
        <v>697</v>
      </c>
      <c r="E1634" s="7" t="s">
        <v>1177</v>
      </c>
      <c r="F1634" s="7" t="s">
        <v>128</v>
      </c>
      <c r="G1634" s="7" t="s">
        <v>130</v>
      </c>
      <c r="H1634" s="7" t="s">
        <v>129</v>
      </c>
      <c r="I1634" s="30">
        <v>2</v>
      </c>
      <c r="J1634" s="7" t="s">
        <v>1177</v>
      </c>
      <c r="K1634" s="7" t="s">
        <v>1178</v>
      </c>
      <c r="L1634" s="7" t="s">
        <v>132</v>
      </c>
      <c r="M1634" s="7" t="s">
        <v>133</v>
      </c>
      <c r="N1634" s="30">
        <v>0</v>
      </c>
      <c r="O1634" s="30">
        <v>0</v>
      </c>
      <c r="P1634" s="30">
        <v>0</v>
      </c>
      <c r="Q1634" s="30">
        <v>0</v>
      </c>
      <c r="R1634" s="29">
        <v>0</v>
      </c>
      <c r="S1634" s="36">
        <v>0</v>
      </c>
      <c r="T1634" s="7" t="s">
        <v>131</v>
      </c>
      <c r="U1634" s="7" t="s">
        <v>699</v>
      </c>
      <c r="V1634" s="7" t="s">
        <v>699</v>
      </c>
      <c r="W1634" s="7" t="s">
        <v>1177</v>
      </c>
      <c r="X1634" s="30">
        <v>1</v>
      </c>
      <c r="Y1634" s="7" t="s">
        <v>1177</v>
      </c>
      <c r="Z1634" s="7" t="s">
        <v>1178</v>
      </c>
      <c r="AA1634" s="30">
        <v>0</v>
      </c>
      <c r="AB1634" s="36">
        <v>0</v>
      </c>
      <c r="AC1634" s="7" t="s">
        <v>1177</v>
      </c>
      <c r="AD1634" s="37">
        <v>0</v>
      </c>
      <c r="AE1634" s="7" t="s">
        <v>1177</v>
      </c>
      <c r="AF1634" s="7" t="s">
        <v>1177</v>
      </c>
      <c r="AG1634" s="7" t="s">
        <v>1177</v>
      </c>
      <c r="AH1634" s="38"/>
      <c r="AI1634" s="36">
        <v>0</v>
      </c>
      <c r="AJ1634" s="7" t="s">
        <v>1193</v>
      </c>
      <c r="AK1634" s="7" t="s">
        <v>1177</v>
      </c>
      <c r="AL1634" s="7" t="s">
        <v>1177</v>
      </c>
      <c r="AM1634" s="7" t="s">
        <v>1177</v>
      </c>
      <c r="AN1634" s="7" t="s">
        <v>3212</v>
      </c>
      <c r="AO1634" s="7" t="s">
        <v>1177</v>
      </c>
      <c r="AP1634" s="7" t="s">
        <v>1177</v>
      </c>
      <c r="AQ1634" s="7" t="s">
        <v>1177</v>
      </c>
      <c r="AR1634" s="29">
        <v>0</v>
      </c>
      <c r="AS1634" s="7" t="s">
        <v>1177</v>
      </c>
      <c r="AT1634" s="7" t="s">
        <v>1363</v>
      </c>
      <c r="AU1634" s="38">
        <v>46275</v>
      </c>
      <c r="AV1634" s="39">
        <v>0.62353009259258996</v>
      </c>
    </row>
    <row r="1635" spans="1:48" x14ac:dyDescent="0.35">
      <c r="A1635" t="str">
        <f t="shared" si="25"/>
        <v>GP458620B856</v>
      </c>
      <c r="B1635" s="7" t="s">
        <v>944</v>
      </c>
      <c r="C1635" s="7" t="s">
        <v>852</v>
      </c>
      <c r="D1635" s="7" t="s">
        <v>21</v>
      </c>
      <c r="E1635" s="7" t="s">
        <v>1177</v>
      </c>
      <c r="F1635" s="7" t="s">
        <v>128</v>
      </c>
      <c r="G1635" s="7" t="s">
        <v>130</v>
      </c>
      <c r="H1635" s="7" t="s">
        <v>129</v>
      </c>
      <c r="I1635" s="30">
        <v>2</v>
      </c>
      <c r="J1635" s="7" t="s">
        <v>1177</v>
      </c>
      <c r="K1635" s="7" t="s">
        <v>1178</v>
      </c>
      <c r="L1635" s="7" t="s">
        <v>132</v>
      </c>
      <c r="M1635" s="7" t="s">
        <v>133</v>
      </c>
      <c r="N1635" s="30">
        <v>0</v>
      </c>
      <c r="O1635" s="30">
        <v>0</v>
      </c>
      <c r="P1635" s="30">
        <v>0</v>
      </c>
      <c r="Q1635" s="30">
        <v>0</v>
      </c>
      <c r="R1635" s="29">
        <v>0</v>
      </c>
      <c r="S1635" s="36">
        <v>0</v>
      </c>
      <c r="T1635" s="7" t="s">
        <v>131</v>
      </c>
      <c r="U1635" s="7" t="s">
        <v>853</v>
      </c>
      <c r="V1635" s="7" t="s">
        <v>853</v>
      </c>
      <c r="W1635" s="7" t="s">
        <v>1177</v>
      </c>
      <c r="X1635" s="30">
        <v>1</v>
      </c>
      <c r="Y1635" s="7" t="s">
        <v>1177</v>
      </c>
      <c r="Z1635" s="7" t="s">
        <v>1178</v>
      </c>
      <c r="AA1635" s="30">
        <v>0</v>
      </c>
      <c r="AB1635" s="36">
        <v>0</v>
      </c>
      <c r="AC1635" s="7" t="s">
        <v>1177</v>
      </c>
      <c r="AD1635" s="37">
        <v>0</v>
      </c>
      <c r="AE1635" s="7" t="s">
        <v>1177</v>
      </c>
      <c r="AF1635" s="7" t="s">
        <v>1177</v>
      </c>
      <c r="AG1635" s="7" t="s">
        <v>1177</v>
      </c>
      <c r="AH1635" s="38"/>
      <c r="AI1635" s="36">
        <v>0</v>
      </c>
      <c r="AJ1635" s="7" t="s">
        <v>1193</v>
      </c>
      <c r="AK1635" s="7" t="s">
        <v>1177</v>
      </c>
      <c r="AL1635" s="7" t="s">
        <v>1177</v>
      </c>
      <c r="AM1635" s="7" t="s">
        <v>1177</v>
      </c>
      <c r="AN1635" s="7" t="s">
        <v>3212</v>
      </c>
      <c r="AO1635" s="7" t="s">
        <v>1177</v>
      </c>
      <c r="AP1635" s="7" t="s">
        <v>1177</v>
      </c>
      <c r="AQ1635" s="7" t="s">
        <v>1177</v>
      </c>
      <c r="AR1635" s="29">
        <v>0</v>
      </c>
      <c r="AS1635" s="7" t="s">
        <v>1177</v>
      </c>
      <c r="AT1635" s="7" t="s">
        <v>1363</v>
      </c>
      <c r="AU1635" s="38">
        <v>46275</v>
      </c>
      <c r="AV1635" s="39">
        <v>0.62488425925926006</v>
      </c>
    </row>
    <row r="1636" spans="1:48" x14ac:dyDescent="0.35">
      <c r="A1636" t="str">
        <f t="shared" si="25"/>
        <v>GP459180B857</v>
      </c>
      <c r="B1636" s="7" t="s">
        <v>995</v>
      </c>
      <c r="C1636" s="7" t="s">
        <v>958</v>
      </c>
      <c r="D1636" s="7" t="s">
        <v>23</v>
      </c>
      <c r="E1636" s="7" t="s">
        <v>1177</v>
      </c>
      <c r="F1636" s="7" t="s">
        <v>128</v>
      </c>
      <c r="G1636" s="7" t="s">
        <v>130</v>
      </c>
      <c r="H1636" s="7" t="s">
        <v>129</v>
      </c>
      <c r="I1636" s="30">
        <v>1</v>
      </c>
      <c r="J1636" s="7" t="s">
        <v>1177</v>
      </c>
      <c r="K1636" s="7" t="s">
        <v>1178</v>
      </c>
      <c r="L1636" s="7" t="s">
        <v>132</v>
      </c>
      <c r="M1636" s="7" t="s">
        <v>133</v>
      </c>
      <c r="N1636" s="30">
        <v>0</v>
      </c>
      <c r="O1636" s="30">
        <v>0</v>
      </c>
      <c r="P1636" s="30">
        <v>0</v>
      </c>
      <c r="Q1636" s="30">
        <v>0</v>
      </c>
      <c r="R1636" s="29">
        <v>0</v>
      </c>
      <c r="S1636" s="36">
        <v>0</v>
      </c>
      <c r="T1636" s="7" t="s">
        <v>131</v>
      </c>
      <c r="U1636" s="7" t="s">
        <v>959</v>
      </c>
      <c r="V1636" s="7" t="s">
        <v>959</v>
      </c>
      <c r="W1636" s="7" t="s">
        <v>1177</v>
      </c>
      <c r="X1636" s="30">
        <v>1</v>
      </c>
      <c r="Y1636" s="7" t="s">
        <v>1177</v>
      </c>
      <c r="Z1636" s="7" t="s">
        <v>1178</v>
      </c>
      <c r="AA1636" s="30">
        <v>0</v>
      </c>
      <c r="AB1636" s="36">
        <v>0</v>
      </c>
      <c r="AC1636" s="7" t="s">
        <v>1177</v>
      </c>
      <c r="AD1636" s="37">
        <v>0</v>
      </c>
      <c r="AE1636" s="7" t="s">
        <v>1177</v>
      </c>
      <c r="AF1636" s="7" t="s">
        <v>1177</v>
      </c>
      <c r="AG1636" s="7" t="s">
        <v>1177</v>
      </c>
      <c r="AH1636" s="38"/>
      <c r="AI1636" s="36">
        <v>0</v>
      </c>
      <c r="AJ1636" s="7" t="s">
        <v>1193</v>
      </c>
      <c r="AK1636" s="7" t="s">
        <v>1177</v>
      </c>
      <c r="AL1636" s="7" t="s">
        <v>1177</v>
      </c>
      <c r="AM1636" s="7" t="s">
        <v>1177</v>
      </c>
      <c r="AN1636" s="7" t="s">
        <v>3212</v>
      </c>
      <c r="AO1636" s="7" t="s">
        <v>1177</v>
      </c>
      <c r="AP1636" s="7" t="s">
        <v>1177</v>
      </c>
      <c r="AQ1636" s="7" t="s">
        <v>1177</v>
      </c>
      <c r="AR1636" s="29">
        <v>0</v>
      </c>
      <c r="AS1636" s="7" t="s">
        <v>1177</v>
      </c>
      <c r="AT1636" s="7" t="s">
        <v>1363</v>
      </c>
      <c r="AU1636" s="38">
        <v>46275</v>
      </c>
      <c r="AV1636" s="39">
        <v>0.62513888888889002</v>
      </c>
    </row>
    <row r="1637" spans="1:48" x14ac:dyDescent="0.35">
      <c r="A1637" t="str">
        <f t="shared" si="25"/>
        <v>GP463390B825</v>
      </c>
      <c r="B1637" s="7" t="s">
        <v>294</v>
      </c>
      <c r="C1637" s="7" t="s">
        <v>511</v>
      </c>
      <c r="D1637" s="7" t="s">
        <v>16</v>
      </c>
      <c r="E1637" s="7" t="s">
        <v>1177</v>
      </c>
      <c r="F1637" s="7" t="s">
        <v>128</v>
      </c>
      <c r="G1637" s="7" t="s">
        <v>130</v>
      </c>
      <c r="H1637" s="7" t="s">
        <v>129</v>
      </c>
      <c r="I1637" s="30">
        <v>2</v>
      </c>
      <c r="J1637" s="7" t="s">
        <v>1177</v>
      </c>
      <c r="K1637" s="7" t="s">
        <v>1178</v>
      </c>
      <c r="L1637" s="7" t="s">
        <v>132</v>
      </c>
      <c r="M1637" s="7" t="s">
        <v>133</v>
      </c>
      <c r="N1637" s="30">
        <v>0</v>
      </c>
      <c r="O1637" s="30">
        <v>0</v>
      </c>
      <c r="P1637" s="30">
        <v>0</v>
      </c>
      <c r="Q1637" s="30">
        <v>0</v>
      </c>
      <c r="R1637" s="29">
        <v>0</v>
      </c>
      <c r="S1637" s="36">
        <v>0</v>
      </c>
      <c r="T1637" s="7" t="s">
        <v>131</v>
      </c>
      <c r="U1637" s="7" t="s">
        <v>512</v>
      </c>
      <c r="V1637" s="7" t="s">
        <v>512</v>
      </c>
      <c r="W1637" s="7" t="s">
        <v>1177</v>
      </c>
      <c r="X1637" s="30">
        <v>1</v>
      </c>
      <c r="Y1637" s="7" t="s">
        <v>1177</v>
      </c>
      <c r="Z1637" s="7" t="s">
        <v>1178</v>
      </c>
      <c r="AA1637" s="30">
        <v>0</v>
      </c>
      <c r="AB1637" s="36">
        <v>0</v>
      </c>
      <c r="AC1637" s="7" t="s">
        <v>1177</v>
      </c>
      <c r="AD1637" s="37">
        <v>0</v>
      </c>
      <c r="AE1637" s="7" t="s">
        <v>1177</v>
      </c>
      <c r="AF1637" s="7" t="s">
        <v>1177</v>
      </c>
      <c r="AG1637" s="7" t="s">
        <v>1177</v>
      </c>
      <c r="AH1637" s="38"/>
      <c r="AI1637" s="36">
        <v>0</v>
      </c>
      <c r="AJ1637" s="7" t="s">
        <v>1193</v>
      </c>
      <c r="AK1637" s="7" t="s">
        <v>1177</v>
      </c>
      <c r="AL1637" s="7" t="s">
        <v>1177</v>
      </c>
      <c r="AM1637" s="7" t="s">
        <v>1177</v>
      </c>
      <c r="AN1637" s="7" t="s">
        <v>3212</v>
      </c>
      <c r="AO1637" s="7" t="s">
        <v>1177</v>
      </c>
      <c r="AP1637" s="7" t="s">
        <v>1177</v>
      </c>
      <c r="AQ1637" s="7" t="s">
        <v>1177</v>
      </c>
      <c r="AR1637" s="29">
        <v>0</v>
      </c>
      <c r="AS1637" s="7" t="s">
        <v>1177</v>
      </c>
      <c r="AT1637" s="7" t="s">
        <v>1363</v>
      </c>
      <c r="AU1637" s="38">
        <v>46275</v>
      </c>
      <c r="AV1637" s="39">
        <v>0.60350694444443997</v>
      </c>
    </row>
    <row r="1638" spans="1:48" x14ac:dyDescent="0.35">
      <c r="A1638" t="str">
        <f t="shared" si="25"/>
        <v>GP463390B832</v>
      </c>
      <c r="B1638" s="7" t="s">
        <v>294</v>
      </c>
      <c r="C1638" s="7" t="s">
        <v>653</v>
      </c>
      <c r="D1638" s="7" t="s">
        <v>19</v>
      </c>
      <c r="E1638" s="7" t="s">
        <v>1177</v>
      </c>
      <c r="F1638" s="7" t="s">
        <v>128</v>
      </c>
      <c r="G1638" s="7" t="s">
        <v>130</v>
      </c>
      <c r="H1638" s="7" t="s">
        <v>129</v>
      </c>
      <c r="I1638" s="30">
        <v>2</v>
      </c>
      <c r="J1638" s="7" t="s">
        <v>1177</v>
      </c>
      <c r="K1638" s="7" t="s">
        <v>1178</v>
      </c>
      <c r="L1638" s="7" t="s">
        <v>132</v>
      </c>
      <c r="M1638" s="7" t="s">
        <v>133</v>
      </c>
      <c r="N1638" s="30">
        <v>0</v>
      </c>
      <c r="O1638" s="30">
        <v>0</v>
      </c>
      <c r="P1638" s="30">
        <v>0</v>
      </c>
      <c r="Q1638" s="30">
        <v>0</v>
      </c>
      <c r="R1638" s="29">
        <v>0</v>
      </c>
      <c r="S1638" s="36">
        <v>0</v>
      </c>
      <c r="T1638" s="7" t="s">
        <v>131</v>
      </c>
      <c r="U1638" s="7" t="s">
        <v>654</v>
      </c>
      <c r="V1638" s="7" t="s">
        <v>654</v>
      </c>
      <c r="W1638" s="7" t="s">
        <v>1177</v>
      </c>
      <c r="X1638" s="30">
        <v>1</v>
      </c>
      <c r="Y1638" s="7" t="s">
        <v>1177</v>
      </c>
      <c r="Z1638" s="7" t="s">
        <v>1178</v>
      </c>
      <c r="AA1638" s="30">
        <v>0</v>
      </c>
      <c r="AB1638" s="36">
        <v>0</v>
      </c>
      <c r="AC1638" s="7" t="s">
        <v>1177</v>
      </c>
      <c r="AD1638" s="37">
        <v>0</v>
      </c>
      <c r="AE1638" s="7" t="s">
        <v>1177</v>
      </c>
      <c r="AF1638" s="7" t="s">
        <v>1177</v>
      </c>
      <c r="AG1638" s="7" t="s">
        <v>1177</v>
      </c>
      <c r="AH1638" s="38"/>
      <c r="AI1638" s="36">
        <v>0</v>
      </c>
      <c r="AJ1638" s="7" t="s">
        <v>1193</v>
      </c>
      <c r="AK1638" s="7" t="s">
        <v>1177</v>
      </c>
      <c r="AL1638" s="7" t="s">
        <v>1177</v>
      </c>
      <c r="AM1638" s="7" t="s">
        <v>1177</v>
      </c>
      <c r="AN1638" s="7" t="s">
        <v>3212</v>
      </c>
      <c r="AO1638" s="7" t="s">
        <v>1177</v>
      </c>
      <c r="AP1638" s="7" t="s">
        <v>1177</v>
      </c>
      <c r="AQ1638" s="7" t="s">
        <v>1177</v>
      </c>
      <c r="AR1638" s="29">
        <v>0</v>
      </c>
      <c r="AS1638" s="7" t="s">
        <v>1177</v>
      </c>
      <c r="AT1638" s="7" t="s">
        <v>1363</v>
      </c>
      <c r="AU1638" s="38">
        <v>46275</v>
      </c>
      <c r="AV1638" s="39">
        <v>0.60383101851851995</v>
      </c>
    </row>
    <row r="1639" spans="1:48" x14ac:dyDescent="0.35">
      <c r="A1639" t="str">
        <f t="shared" si="25"/>
        <v>GP463390B833</v>
      </c>
      <c r="B1639" s="7" t="s">
        <v>294</v>
      </c>
      <c r="C1639" s="7" t="s">
        <v>698</v>
      </c>
      <c r="D1639" s="7" t="s">
        <v>697</v>
      </c>
      <c r="E1639" s="7" t="s">
        <v>1177</v>
      </c>
      <c r="F1639" s="7" t="s">
        <v>128</v>
      </c>
      <c r="G1639" s="7" t="s">
        <v>130</v>
      </c>
      <c r="H1639" s="7" t="s">
        <v>129</v>
      </c>
      <c r="I1639" s="30">
        <v>2</v>
      </c>
      <c r="J1639" s="7" t="s">
        <v>1177</v>
      </c>
      <c r="K1639" s="7" t="s">
        <v>1178</v>
      </c>
      <c r="L1639" s="7" t="s">
        <v>132</v>
      </c>
      <c r="M1639" s="7" t="s">
        <v>133</v>
      </c>
      <c r="N1639" s="30">
        <v>0</v>
      </c>
      <c r="O1639" s="30">
        <v>0</v>
      </c>
      <c r="P1639" s="30">
        <v>0</v>
      </c>
      <c r="Q1639" s="30">
        <v>0</v>
      </c>
      <c r="R1639" s="29">
        <v>0</v>
      </c>
      <c r="S1639" s="36">
        <v>0</v>
      </c>
      <c r="T1639" s="7" t="s">
        <v>131</v>
      </c>
      <c r="U1639" s="7" t="s">
        <v>699</v>
      </c>
      <c r="V1639" s="7" t="s">
        <v>699</v>
      </c>
      <c r="W1639" s="7" t="s">
        <v>1177</v>
      </c>
      <c r="X1639" s="30">
        <v>1</v>
      </c>
      <c r="Y1639" s="7" t="s">
        <v>1177</v>
      </c>
      <c r="Z1639" s="7" t="s">
        <v>1178</v>
      </c>
      <c r="AA1639" s="30">
        <v>0</v>
      </c>
      <c r="AB1639" s="36">
        <v>0</v>
      </c>
      <c r="AC1639" s="7" t="s">
        <v>1177</v>
      </c>
      <c r="AD1639" s="37">
        <v>0</v>
      </c>
      <c r="AE1639" s="7" t="s">
        <v>1177</v>
      </c>
      <c r="AF1639" s="7" t="s">
        <v>1177</v>
      </c>
      <c r="AG1639" s="7" t="s">
        <v>1177</v>
      </c>
      <c r="AH1639" s="38"/>
      <c r="AI1639" s="36">
        <v>0</v>
      </c>
      <c r="AJ1639" s="7" t="s">
        <v>1193</v>
      </c>
      <c r="AK1639" s="7" t="s">
        <v>1177</v>
      </c>
      <c r="AL1639" s="7" t="s">
        <v>1177</v>
      </c>
      <c r="AM1639" s="7" t="s">
        <v>1177</v>
      </c>
      <c r="AN1639" s="7" t="s">
        <v>3212</v>
      </c>
      <c r="AO1639" s="7" t="s">
        <v>1177</v>
      </c>
      <c r="AP1639" s="7" t="s">
        <v>1177</v>
      </c>
      <c r="AQ1639" s="7" t="s">
        <v>1177</v>
      </c>
      <c r="AR1639" s="29">
        <v>0</v>
      </c>
      <c r="AS1639" s="7" t="s">
        <v>1177</v>
      </c>
      <c r="AT1639" s="7" t="s">
        <v>1363</v>
      </c>
      <c r="AU1639" s="38">
        <v>46275</v>
      </c>
      <c r="AV1639" s="39">
        <v>0.60396990740740997</v>
      </c>
    </row>
    <row r="1640" spans="1:48" x14ac:dyDescent="0.35">
      <c r="A1640" t="str">
        <f t="shared" si="25"/>
        <v>GP463523B864</v>
      </c>
      <c r="B1640" s="7" t="s">
        <v>427</v>
      </c>
      <c r="C1640" s="7" t="s">
        <v>1010</v>
      </c>
      <c r="D1640" s="7" t="s">
        <v>10</v>
      </c>
      <c r="E1640" s="7" t="s">
        <v>1177</v>
      </c>
      <c r="F1640" s="7" t="s">
        <v>128</v>
      </c>
      <c r="G1640" s="7" t="s">
        <v>130</v>
      </c>
      <c r="H1640" s="7" t="s">
        <v>129</v>
      </c>
      <c r="I1640" s="30">
        <v>2</v>
      </c>
      <c r="J1640" s="7" t="s">
        <v>1177</v>
      </c>
      <c r="K1640" s="7" t="s">
        <v>1178</v>
      </c>
      <c r="L1640" s="7" t="s">
        <v>132</v>
      </c>
      <c r="M1640" s="7" t="s">
        <v>133</v>
      </c>
      <c r="N1640" s="30">
        <v>0</v>
      </c>
      <c r="O1640" s="30">
        <v>0</v>
      </c>
      <c r="P1640" s="30">
        <v>0</v>
      </c>
      <c r="Q1640" s="30">
        <v>0</v>
      </c>
      <c r="R1640" s="29">
        <v>0</v>
      </c>
      <c r="S1640" s="36">
        <v>0</v>
      </c>
      <c r="T1640" s="7" t="s">
        <v>131</v>
      </c>
      <c r="U1640" s="7" t="s">
        <v>1011</v>
      </c>
      <c r="V1640" s="7" t="s">
        <v>1011</v>
      </c>
      <c r="W1640" s="7" t="s">
        <v>1177</v>
      </c>
      <c r="X1640" s="30">
        <v>1</v>
      </c>
      <c r="Y1640" s="7" t="s">
        <v>1177</v>
      </c>
      <c r="Z1640" s="7" t="s">
        <v>1178</v>
      </c>
      <c r="AA1640" s="30">
        <v>0</v>
      </c>
      <c r="AB1640" s="36">
        <v>0</v>
      </c>
      <c r="AC1640" s="7" t="s">
        <v>1177</v>
      </c>
      <c r="AD1640" s="37">
        <v>0</v>
      </c>
      <c r="AE1640" s="7" t="s">
        <v>1177</v>
      </c>
      <c r="AF1640" s="7" t="s">
        <v>1177</v>
      </c>
      <c r="AG1640" s="7" t="s">
        <v>1177</v>
      </c>
      <c r="AH1640" s="38"/>
      <c r="AI1640" s="36">
        <v>0</v>
      </c>
      <c r="AJ1640" s="7" t="s">
        <v>1193</v>
      </c>
      <c r="AK1640" s="7" t="s">
        <v>1177</v>
      </c>
      <c r="AL1640" s="7" t="s">
        <v>1177</v>
      </c>
      <c r="AM1640" s="7" t="s">
        <v>1177</v>
      </c>
      <c r="AN1640" s="7" t="s">
        <v>3212</v>
      </c>
      <c r="AO1640" s="7" t="s">
        <v>1177</v>
      </c>
      <c r="AP1640" s="7" t="s">
        <v>1177</v>
      </c>
      <c r="AQ1640" s="7" t="s">
        <v>1177</v>
      </c>
      <c r="AR1640" s="29">
        <v>0</v>
      </c>
      <c r="AS1640" s="7" t="s">
        <v>1177</v>
      </c>
      <c r="AT1640" s="7" t="s">
        <v>1363</v>
      </c>
      <c r="AU1640" s="38">
        <v>46275</v>
      </c>
      <c r="AV1640" s="39">
        <v>0.62631944444443999</v>
      </c>
    </row>
    <row r="1641" spans="1:48" x14ac:dyDescent="0.35">
      <c r="A1641" t="str">
        <f t="shared" si="25"/>
        <v>GP463523B865</v>
      </c>
      <c r="B1641" s="7" t="s">
        <v>427</v>
      </c>
      <c r="C1641" s="7" t="s">
        <v>1039</v>
      </c>
      <c r="D1641" s="7" t="s">
        <v>7</v>
      </c>
      <c r="E1641" s="7" t="s">
        <v>1177</v>
      </c>
      <c r="F1641" s="7" t="s">
        <v>128</v>
      </c>
      <c r="G1641" s="7" t="s">
        <v>130</v>
      </c>
      <c r="H1641" s="7" t="s">
        <v>129</v>
      </c>
      <c r="I1641" s="30">
        <v>2</v>
      </c>
      <c r="J1641" s="7" t="s">
        <v>1177</v>
      </c>
      <c r="K1641" s="7" t="s">
        <v>1178</v>
      </c>
      <c r="L1641" s="7" t="s">
        <v>132</v>
      </c>
      <c r="M1641" s="7" t="s">
        <v>133</v>
      </c>
      <c r="N1641" s="30">
        <v>0</v>
      </c>
      <c r="O1641" s="30">
        <v>0</v>
      </c>
      <c r="P1641" s="30">
        <v>0</v>
      </c>
      <c r="Q1641" s="30">
        <v>0</v>
      </c>
      <c r="R1641" s="29">
        <v>0</v>
      </c>
      <c r="S1641" s="36">
        <v>0</v>
      </c>
      <c r="T1641" s="7" t="s">
        <v>131</v>
      </c>
      <c r="U1641" s="7" t="s">
        <v>1040</v>
      </c>
      <c r="V1641" s="7" t="s">
        <v>1040</v>
      </c>
      <c r="W1641" s="7" t="s">
        <v>1177</v>
      </c>
      <c r="X1641" s="30">
        <v>1</v>
      </c>
      <c r="Y1641" s="7" t="s">
        <v>1177</v>
      </c>
      <c r="Z1641" s="7" t="s">
        <v>1178</v>
      </c>
      <c r="AA1641" s="30">
        <v>0</v>
      </c>
      <c r="AB1641" s="36">
        <v>0</v>
      </c>
      <c r="AC1641" s="7" t="s">
        <v>1177</v>
      </c>
      <c r="AD1641" s="37">
        <v>0</v>
      </c>
      <c r="AE1641" s="7" t="s">
        <v>1177</v>
      </c>
      <c r="AF1641" s="7" t="s">
        <v>1177</v>
      </c>
      <c r="AG1641" s="7" t="s">
        <v>1177</v>
      </c>
      <c r="AH1641" s="38"/>
      <c r="AI1641" s="36">
        <v>0</v>
      </c>
      <c r="AJ1641" s="7" t="s">
        <v>1193</v>
      </c>
      <c r="AK1641" s="7" t="s">
        <v>1177</v>
      </c>
      <c r="AL1641" s="7" t="s">
        <v>1177</v>
      </c>
      <c r="AM1641" s="7" t="s">
        <v>1177</v>
      </c>
      <c r="AN1641" s="7" t="s">
        <v>3212</v>
      </c>
      <c r="AO1641" s="7" t="s">
        <v>1177</v>
      </c>
      <c r="AP1641" s="7" t="s">
        <v>1177</v>
      </c>
      <c r="AQ1641" s="7" t="s">
        <v>1177</v>
      </c>
      <c r="AR1641" s="29">
        <v>0</v>
      </c>
      <c r="AS1641" s="7" t="s">
        <v>1177</v>
      </c>
      <c r="AT1641" s="7" t="s">
        <v>1363</v>
      </c>
      <c r="AU1641" s="38">
        <v>46275</v>
      </c>
      <c r="AV1641" s="39">
        <v>0.62674768518518997</v>
      </c>
    </row>
    <row r="1642" spans="1:48" x14ac:dyDescent="0.35">
      <c r="A1642" t="str">
        <f t="shared" si="25"/>
        <v>GP463528B857</v>
      </c>
      <c r="B1642" s="7" t="s">
        <v>428</v>
      </c>
      <c r="C1642" s="7" t="s">
        <v>958</v>
      </c>
      <c r="D1642" s="7" t="s">
        <v>23</v>
      </c>
      <c r="E1642" s="7" t="s">
        <v>1177</v>
      </c>
      <c r="F1642" s="7" t="s">
        <v>128</v>
      </c>
      <c r="G1642" s="7" t="s">
        <v>130</v>
      </c>
      <c r="H1642" s="7" t="s">
        <v>129</v>
      </c>
      <c r="I1642" s="30">
        <v>1</v>
      </c>
      <c r="J1642" s="7" t="s">
        <v>1177</v>
      </c>
      <c r="K1642" s="7" t="s">
        <v>1178</v>
      </c>
      <c r="L1642" s="7" t="s">
        <v>132</v>
      </c>
      <c r="M1642" s="7" t="s">
        <v>133</v>
      </c>
      <c r="N1642" s="30">
        <v>0</v>
      </c>
      <c r="O1642" s="30">
        <v>0</v>
      </c>
      <c r="P1642" s="30">
        <v>0</v>
      </c>
      <c r="Q1642" s="30">
        <v>0</v>
      </c>
      <c r="R1642" s="29">
        <v>0</v>
      </c>
      <c r="S1642" s="36">
        <v>0</v>
      </c>
      <c r="T1642" s="7" t="s">
        <v>131</v>
      </c>
      <c r="U1642" s="7" t="s">
        <v>959</v>
      </c>
      <c r="V1642" s="7" t="s">
        <v>959</v>
      </c>
      <c r="W1642" s="7" t="s">
        <v>1177</v>
      </c>
      <c r="X1642" s="30">
        <v>1</v>
      </c>
      <c r="Y1642" s="7" t="s">
        <v>1177</v>
      </c>
      <c r="Z1642" s="7" t="s">
        <v>1178</v>
      </c>
      <c r="AA1642" s="30">
        <v>0</v>
      </c>
      <c r="AB1642" s="36">
        <v>0</v>
      </c>
      <c r="AC1642" s="7" t="s">
        <v>1177</v>
      </c>
      <c r="AD1642" s="37">
        <v>0</v>
      </c>
      <c r="AE1642" s="7" t="s">
        <v>1177</v>
      </c>
      <c r="AF1642" s="7" t="s">
        <v>1177</v>
      </c>
      <c r="AG1642" s="7" t="s">
        <v>1177</v>
      </c>
      <c r="AH1642" s="38"/>
      <c r="AI1642" s="36">
        <v>0</v>
      </c>
      <c r="AJ1642" s="7" t="s">
        <v>1193</v>
      </c>
      <c r="AK1642" s="7" t="s">
        <v>1177</v>
      </c>
      <c r="AL1642" s="7" t="s">
        <v>1177</v>
      </c>
      <c r="AM1642" s="7" t="s">
        <v>1177</v>
      </c>
      <c r="AN1642" s="7" t="s">
        <v>3212</v>
      </c>
      <c r="AO1642" s="7" t="s">
        <v>1177</v>
      </c>
      <c r="AP1642" s="7" t="s">
        <v>1177</v>
      </c>
      <c r="AQ1642" s="7" t="s">
        <v>1177</v>
      </c>
      <c r="AR1642" s="29">
        <v>0</v>
      </c>
      <c r="AS1642" s="7" t="s">
        <v>1177</v>
      </c>
      <c r="AT1642" s="7" t="s">
        <v>1363</v>
      </c>
      <c r="AU1642" s="38">
        <v>46275</v>
      </c>
      <c r="AV1642" s="39">
        <v>0.62513888888889002</v>
      </c>
    </row>
    <row r="1643" spans="1:48" x14ac:dyDescent="0.35">
      <c r="A1643" t="str">
        <f t="shared" si="25"/>
        <v>GP463530B856</v>
      </c>
      <c r="B1643" s="7" t="s">
        <v>838</v>
      </c>
      <c r="C1643" s="7" t="s">
        <v>852</v>
      </c>
      <c r="D1643" s="7" t="s">
        <v>21</v>
      </c>
      <c r="E1643" s="7" t="s">
        <v>1177</v>
      </c>
      <c r="F1643" s="7" t="s">
        <v>128</v>
      </c>
      <c r="G1643" s="7" t="s">
        <v>130</v>
      </c>
      <c r="H1643" s="7" t="s">
        <v>129</v>
      </c>
      <c r="I1643" s="30">
        <v>2</v>
      </c>
      <c r="J1643" s="7" t="s">
        <v>1177</v>
      </c>
      <c r="K1643" s="7" t="s">
        <v>1178</v>
      </c>
      <c r="L1643" s="7" t="s">
        <v>132</v>
      </c>
      <c r="M1643" s="7" t="s">
        <v>133</v>
      </c>
      <c r="N1643" s="30">
        <v>0</v>
      </c>
      <c r="O1643" s="30">
        <v>0</v>
      </c>
      <c r="P1643" s="30">
        <v>0</v>
      </c>
      <c r="Q1643" s="30">
        <v>0</v>
      </c>
      <c r="R1643" s="29">
        <v>0</v>
      </c>
      <c r="S1643" s="36">
        <v>0</v>
      </c>
      <c r="T1643" s="7" t="s">
        <v>131</v>
      </c>
      <c r="U1643" s="7" t="s">
        <v>853</v>
      </c>
      <c r="V1643" s="7" t="s">
        <v>853</v>
      </c>
      <c r="W1643" s="7" t="s">
        <v>1177</v>
      </c>
      <c r="X1643" s="30">
        <v>1</v>
      </c>
      <c r="Y1643" s="7" t="s">
        <v>1177</v>
      </c>
      <c r="Z1643" s="7" t="s">
        <v>1178</v>
      </c>
      <c r="AA1643" s="30">
        <v>0</v>
      </c>
      <c r="AB1643" s="36">
        <v>0</v>
      </c>
      <c r="AC1643" s="7" t="s">
        <v>1177</v>
      </c>
      <c r="AD1643" s="37">
        <v>0</v>
      </c>
      <c r="AE1643" s="7" t="s">
        <v>1177</v>
      </c>
      <c r="AF1643" s="7" t="s">
        <v>1177</v>
      </c>
      <c r="AG1643" s="7" t="s">
        <v>1177</v>
      </c>
      <c r="AH1643" s="38"/>
      <c r="AI1643" s="36">
        <v>0</v>
      </c>
      <c r="AJ1643" s="7" t="s">
        <v>1193</v>
      </c>
      <c r="AK1643" s="7" t="s">
        <v>1177</v>
      </c>
      <c r="AL1643" s="7" t="s">
        <v>1177</v>
      </c>
      <c r="AM1643" s="7" t="s">
        <v>1177</v>
      </c>
      <c r="AN1643" s="7" t="s">
        <v>3212</v>
      </c>
      <c r="AO1643" s="7" t="s">
        <v>1177</v>
      </c>
      <c r="AP1643" s="7" t="s">
        <v>1177</v>
      </c>
      <c r="AQ1643" s="7" t="s">
        <v>1177</v>
      </c>
      <c r="AR1643" s="29">
        <v>0</v>
      </c>
      <c r="AS1643" s="7" t="s">
        <v>1177</v>
      </c>
      <c r="AT1643" s="7" t="s">
        <v>1363</v>
      </c>
      <c r="AU1643" s="38">
        <v>46275</v>
      </c>
      <c r="AV1643" s="39">
        <v>0.62488425925926006</v>
      </c>
    </row>
    <row r="1644" spans="1:48" x14ac:dyDescent="0.35">
      <c r="A1644" t="str">
        <f t="shared" si="25"/>
        <v>GP464294B832</v>
      </c>
      <c r="B1644" s="7" t="s">
        <v>694</v>
      </c>
      <c r="C1644" s="7" t="s">
        <v>653</v>
      </c>
      <c r="D1644" s="7" t="s">
        <v>19</v>
      </c>
      <c r="E1644" s="7" t="s">
        <v>1177</v>
      </c>
      <c r="F1644" s="7" t="s">
        <v>128</v>
      </c>
      <c r="G1644" s="7" t="s">
        <v>130</v>
      </c>
      <c r="H1644" s="7" t="s">
        <v>129</v>
      </c>
      <c r="I1644" s="30">
        <v>4</v>
      </c>
      <c r="J1644" s="7" t="s">
        <v>1177</v>
      </c>
      <c r="K1644" s="7" t="s">
        <v>1178</v>
      </c>
      <c r="L1644" s="7" t="s">
        <v>132</v>
      </c>
      <c r="M1644" s="7" t="s">
        <v>133</v>
      </c>
      <c r="N1644" s="30">
        <v>0</v>
      </c>
      <c r="O1644" s="30">
        <v>0</v>
      </c>
      <c r="P1644" s="30">
        <v>0</v>
      </c>
      <c r="Q1644" s="30">
        <v>0</v>
      </c>
      <c r="R1644" s="29">
        <v>0</v>
      </c>
      <c r="S1644" s="36">
        <v>0</v>
      </c>
      <c r="T1644" s="7" t="s">
        <v>131</v>
      </c>
      <c r="U1644" s="7" t="s">
        <v>654</v>
      </c>
      <c r="V1644" s="7" t="s">
        <v>654</v>
      </c>
      <c r="W1644" s="7" t="s">
        <v>1177</v>
      </c>
      <c r="X1644" s="30">
        <v>1</v>
      </c>
      <c r="Y1644" s="7" t="s">
        <v>1177</v>
      </c>
      <c r="Z1644" s="7" t="s">
        <v>1178</v>
      </c>
      <c r="AA1644" s="30">
        <v>0</v>
      </c>
      <c r="AB1644" s="36">
        <v>0</v>
      </c>
      <c r="AC1644" s="7" t="s">
        <v>1177</v>
      </c>
      <c r="AD1644" s="37">
        <v>0</v>
      </c>
      <c r="AE1644" s="7" t="s">
        <v>1177</v>
      </c>
      <c r="AF1644" s="7" t="s">
        <v>1177</v>
      </c>
      <c r="AG1644" s="7" t="s">
        <v>1177</v>
      </c>
      <c r="AH1644" s="38"/>
      <c r="AI1644" s="36">
        <v>0</v>
      </c>
      <c r="AJ1644" s="7" t="s">
        <v>1193</v>
      </c>
      <c r="AK1644" s="7" t="s">
        <v>1177</v>
      </c>
      <c r="AL1644" s="7" t="s">
        <v>1177</v>
      </c>
      <c r="AM1644" s="7" t="s">
        <v>1177</v>
      </c>
      <c r="AN1644" s="7" t="s">
        <v>3212</v>
      </c>
      <c r="AO1644" s="7" t="s">
        <v>1177</v>
      </c>
      <c r="AP1644" s="7" t="s">
        <v>1177</v>
      </c>
      <c r="AQ1644" s="7" t="s">
        <v>1177</v>
      </c>
      <c r="AR1644" s="29">
        <v>0</v>
      </c>
      <c r="AS1644" s="7" t="s">
        <v>1177</v>
      </c>
      <c r="AT1644" s="7" t="s">
        <v>1363</v>
      </c>
      <c r="AU1644" s="38">
        <v>46275</v>
      </c>
      <c r="AV1644" s="39">
        <v>0.62331018518518999</v>
      </c>
    </row>
    <row r="1645" spans="1:48" x14ac:dyDescent="0.35">
      <c r="A1645" t="str">
        <f t="shared" si="25"/>
        <v>GP464294B833</v>
      </c>
      <c r="B1645" s="7" t="s">
        <v>694</v>
      </c>
      <c r="C1645" s="7" t="s">
        <v>698</v>
      </c>
      <c r="D1645" s="7" t="s">
        <v>697</v>
      </c>
      <c r="E1645" s="7" t="s">
        <v>1177</v>
      </c>
      <c r="F1645" s="7" t="s">
        <v>128</v>
      </c>
      <c r="G1645" s="7" t="s">
        <v>130</v>
      </c>
      <c r="H1645" s="7" t="s">
        <v>129</v>
      </c>
      <c r="I1645" s="30">
        <v>4</v>
      </c>
      <c r="J1645" s="7" t="s">
        <v>1177</v>
      </c>
      <c r="K1645" s="7" t="s">
        <v>1178</v>
      </c>
      <c r="L1645" s="7" t="s">
        <v>132</v>
      </c>
      <c r="M1645" s="7" t="s">
        <v>133</v>
      </c>
      <c r="N1645" s="30">
        <v>0</v>
      </c>
      <c r="O1645" s="30">
        <v>0</v>
      </c>
      <c r="P1645" s="30">
        <v>0</v>
      </c>
      <c r="Q1645" s="30">
        <v>0</v>
      </c>
      <c r="R1645" s="29">
        <v>0</v>
      </c>
      <c r="S1645" s="36">
        <v>0</v>
      </c>
      <c r="T1645" s="7" t="s">
        <v>131</v>
      </c>
      <c r="U1645" s="7" t="s">
        <v>699</v>
      </c>
      <c r="V1645" s="7" t="s">
        <v>699</v>
      </c>
      <c r="W1645" s="7" t="s">
        <v>1177</v>
      </c>
      <c r="X1645" s="30">
        <v>1</v>
      </c>
      <c r="Y1645" s="7" t="s">
        <v>1177</v>
      </c>
      <c r="Z1645" s="7" t="s">
        <v>1178</v>
      </c>
      <c r="AA1645" s="30">
        <v>0</v>
      </c>
      <c r="AB1645" s="36">
        <v>0</v>
      </c>
      <c r="AC1645" s="7" t="s">
        <v>1177</v>
      </c>
      <c r="AD1645" s="37">
        <v>0</v>
      </c>
      <c r="AE1645" s="7" t="s">
        <v>1177</v>
      </c>
      <c r="AF1645" s="7" t="s">
        <v>1177</v>
      </c>
      <c r="AG1645" s="7" t="s">
        <v>1177</v>
      </c>
      <c r="AH1645" s="38"/>
      <c r="AI1645" s="36">
        <v>0</v>
      </c>
      <c r="AJ1645" s="7" t="s">
        <v>1193</v>
      </c>
      <c r="AK1645" s="7" t="s">
        <v>1177</v>
      </c>
      <c r="AL1645" s="7" t="s">
        <v>1177</v>
      </c>
      <c r="AM1645" s="7" t="s">
        <v>1177</v>
      </c>
      <c r="AN1645" s="7" t="s">
        <v>3212</v>
      </c>
      <c r="AO1645" s="7" t="s">
        <v>1177</v>
      </c>
      <c r="AP1645" s="7" t="s">
        <v>1177</v>
      </c>
      <c r="AQ1645" s="7" t="s">
        <v>1177</v>
      </c>
      <c r="AR1645" s="29">
        <v>0</v>
      </c>
      <c r="AS1645" s="7" t="s">
        <v>1177</v>
      </c>
      <c r="AT1645" s="7" t="s">
        <v>1363</v>
      </c>
      <c r="AU1645" s="38">
        <v>46275</v>
      </c>
      <c r="AV1645" s="39">
        <v>0.62353009259258996</v>
      </c>
    </row>
    <row r="1646" spans="1:48" x14ac:dyDescent="0.35">
      <c r="A1646" t="str">
        <f t="shared" si="25"/>
        <v>GP464550B856</v>
      </c>
      <c r="B1646" s="7" t="s">
        <v>945</v>
      </c>
      <c r="C1646" s="7" t="s">
        <v>852</v>
      </c>
      <c r="D1646" s="7" t="s">
        <v>21</v>
      </c>
      <c r="E1646" s="7" t="s">
        <v>1177</v>
      </c>
      <c r="F1646" s="7" t="s">
        <v>128</v>
      </c>
      <c r="G1646" s="7" t="s">
        <v>130</v>
      </c>
      <c r="H1646" s="7" t="s">
        <v>129</v>
      </c>
      <c r="I1646" s="30">
        <v>2</v>
      </c>
      <c r="J1646" s="7" t="s">
        <v>1177</v>
      </c>
      <c r="K1646" s="7" t="s">
        <v>1178</v>
      </c>
      <c r="L1646" s="7" t="s">
        <v>132</v>
      </c>
      <c r="M1646" s="7" t="s">
        <v>133</v>
      </c>
      <c r="N1646" s="30">
        <v>0</v>
      </c>
      <c r="O1646" s="30">
        <v>0</v>
      </c>
      <c r="P1646" s="30">
        <v>0</v>
      </c>
      <c r="Q1646" s="30">
        <v>0</v>
      </c>
      <c r="R1646" s="29">
        <v>0</v>
      </c>
      <c r="S1646" s="36">
        <v>0</v>
      </c>
      <c r="T1646" s="7" t="s">
        <v>131</v>
      </c>
      <c r="U1646" s="7" t="s">
        <v>853</v>
      </c>
      <c r="V1646" s="7" t="s">
        <v>853</v>
      </c>
      <c r="W1646" s="7" t="s">
        <v>1177</v>
      </c>
      <c r="X1646" s="30">
        <v>1</v>
      </c>
      <c r="Y1646" s="7" t="s">
        <v>1177</v>
      </c>
      <c r="Z1646" s="7" t="s">
        <v>1178</v>
      </c>
      <c r="AA1646" s="30">
        <v>0</v>
      </c>
      <c r="AB1646" s="36">
        <v>0</v>
      </c>
      <c r="AC1646" s="7" t="s">
        <v>1177</v>
      </c>
      <c r="AD1646" s="37">
        <v>0</v>
      </c>
      <c r="AE1646" s="7" t="s">
        <v>1177</v>
      </c>
      <c r="AF1646" s="7" t="s">
        <v>1177</v>
      </c>
      <c r="AG1646" s="7" t="s">
        <v>1177</v>
      </c>
      <c r="AH1646" s="38"/>
      <c r="AI1646" s="36">
        <v>0</v>
      </c>
      <c r="AJ1646" s="7" t="s">
        <v>1193</v>
      </c>
      <c r="AK1646" s="7" t="s">
        <v>1177</v>
      </c>
      <c r="AL1646" s="7" t="s">
        <v>1177</v>
      </c>
      <c r="AM1646" s="7" t="s">
        <v>1177</v>
      </c>
      <c r="AN1646" s="7" t="s">
        <v>3212</v>
      </c>
      <c r="AO1646" s="7" t="s">
        <v>1177</v>
      </c>
      <c r="AP1646" s="7" t="s">
        <v>1177</v>
      </c>
      <c r="AQ1646" s="7" t="s">
        <v>1177</v>
      </c>
      <c r="AR1646" s="29">
        <v>0</v>
      </c>
      <c r="AS1646" s="7" t="s">
        <v>1177</v>
      </c>
      <c r="AT1646" s="7" t="s">
        <v>1363</v>
      </c>
      <c r="AU1646" s="38">
        <v>46275</v>
      </c>
      <c r="AV1646" s="39">
        <v>0.62488425925926006</v>
      </c>
    </row>
    <row r="1647" spans="1:48" x14ac:dyDescent="0.35">
      <c r="A1647" t="str">
        <f t="shared" si="25"/>
        <v>GP465459B857</v>
      </c>
      <c r="B1647" s="7" t="s">
        <v>839</v>
      </c>
      <c r="C1647" s="7" t="s">
        <v>958</v>
      </c>
      <c r="D1647" s="7" t="s">
        <v>23</v>
      </c>
      <c r="E1647" s="7" t="s">
        <v>1177</v>
      </c>
      <c r="F1647" s="7" t="s">
        <v>128</v>
      </c>
      <c r="G1647" s="7" t="s">
        <v>130</v>
      </c>
      <c r="H1647" s="7" t="s">
        <v>129</v>
      </c>
      <c r="I1647" s="30">
        <v>2</v>
      </c>
      <c r="J1647" s="7" t="s">
        <v>1177</v>
      </c>
      <c r="K1647" s="7" t="s">
        <v>1178</v>
      </c>
      <c r="L1647" s="7" t="s">
        <v>132</v>
      </c>
      <c r="M1647" s="7" t="s">
        <v>133</v>
      </c>
      <c r="N1647" s="30">
        <v>0</v>
      </c>
      <c r="O1647" s="30">
        <v>0</v>
      </c>
      <c r="P1647" s="30">
        <v>0</v>
      </c>
      <c r="Q1647" s="30">
        <v>0</v>
      </c>
      <c r="R1647" s="29">
        <v>0</v>
      </c>
      <c r="S1647" s="36">
        <v>0</v>
      </c>
      <c r="T1647" s="7" t="s">
        <v>131</v>
      </c>
      <c r="U1647" s="7" t="s">
        <v>959</v>
      </c>
      <c r="V1647" s="7" t="s">
        <v>959</v>
      </c>
      <c r="W1647" s="7" t="s">
        <v>1177</v>
      </c>
      <c r="X1647" s="30">
        <v>1</v>
      </c>
      <c r="Y1647" s="7" t="s">
        <v>1177</v>
      </c>
      <c r="Z1647" s="7" t="s">
        <v>1178</v>
      </c>
      <c r="AA1647" s="30">
        <v>0</v>
      </c>
      <c r="AB1647" s="36">
        <v>0</v>
      </c>
      <c r="AC1647" s="7" t="s">
        <v>1177</v>
      </c>
      <c r="AD1647" s="37">
        <v>0</v>
      </c>
      <c r="AE1647" s="7" t="s">
        <v>1177</v>
      </c>
      <c r="AF1647" s="7" t="s">
        <v>1177</v>
      </c>
      <c r="AG1647" s="7" t="s">
        <v>1177</v>
      </c>
      <c r="AH1647" s="38"/>
      <c r="AI1647" s="36">
        <v>0</v>
      </c>
      <c r="AJ1647" s="7" t="s">
        <v>1193</v>
      </c>
      <c r="AK1647" s="7" t="s">
        <v>1177</v>
      </c>
      <c r="AL1647" s="7" t="s">
        <v>1177</v>
      </c>
      <c r="AM1647" s="7" t="s">
        <v>1177</v>
      </c>
      <c r="AN1647" s="7" t="s">
        <v>3212</v>
      </c>
      <c r="AO1647" s="7" t="s">
        <v>1177</v>
      </c>
      <c r="AP1647" s="7" t="s">
        <v>1177</v>
      </c>
      <c r="AQ1647" s="7" t="s">
        <v>1177</v>
      </c>
      <c r="AR1647" s="29">
        <v>0</v>
      </c>
      <c r="AS1647" s="7" t="s">
        <v>1177</v>
      </c>
      <c r="AT1647" s="7" t="s">
        <v>1363</v>
      </c>
      <c r="AU1647" s="38">
        <v>46275</v>
      </c>
      <c r="AV1647" s="39">
        <v>0.62513888888889002</v>
      </c>
    </row>
    <row r="1648" spans="1:48" x14ac:dyDescent="0.35">
      <c r="A1648" t="str">
        <f t="shared" si="25"/>
        <v>GP465459B867</v>
      </c>
      <c r="B1648" s="7" t="s">
        <v>839</v>
      </c>
      <c r="C1648" s="7" t="s">
        <v>1059</v>
      </c>
      <c r="D1648" s="7" t="s">
        <v>25</v>
      </c>
      <c r="E1648" s="7" t="s">
        <v>1177</v>
      </c>
      <c r="F1648" s="7" t="s">
        <v>128</v>
      </c>
      <c r="G1648" s="7" t="s">
        <v>130</v>
      </c>
      <c r="H1648" s="7" t="s">
        <v>129</v>
      </c>
      <c r="I1648" s="30">
        <v>2</v>
      </c>
      <c r="J1648" s="7" t="s">
        <v>1177</v>
      </c>
      <c r="K1648" s="7" t="s">
        <v>1178</v>
      </c>
      <c r="L1648" s="7" t="s">
        <v>132</v>
      </c>
      <c r="M1648" s="7" t="s">
        <v>133</v>
      </c>
      <c r="N1648" s="30">
        <v>0</v>
      </c>
      <c r="O1648" s="30">
        <v>0</v>
      </c>
      <c r="P1648" s="30">
        <v>0</v>
      </c>
      <c r="Q1648" s="30">
        <v>0</v>
      </c>
      <c r="R1648" s="29">
        <v>0</v>
      </c>
      <c r="S1648" s="36">
        <v>0</v>
      </c>
      <c r="T1648" s="7" t="s">
        <v>131</v>
      </c>
      <c r="U1648" s="7" t="s">
        <v>1060</v>
      </c>
      <c r="V1648" s="7" t="s">
        <v>1060</v>
      </c>
      <c r="W1648" s="7" t="s">
        <v>1177</v>
      </c>
      <c r="X1648" s="30">
        <v>1</v>
      </c>
      <c r="Y1648" s="7" t="s">
        <v>1177</v>
      </c>
      <c r="Z1648" s="7" t="s">
        <v>1178</v>
      </c>
      <c r="AA1648" s="30">
        <v>0</v>
      </c>
      <c r="AB1648" s="36">
        <v>0</v>
      </c>
      <c r="AC1648" s="7" t="s">
        <v>1177</v>
      </c>
      <c r="AD1648" s="37">
        <v>0</v>
      </c>
      <c r="AE1648" s="7" t="s">
        <v>1177</v>
      </c>
      <c r="AF1648" s="7" t="s">
        <v>1177</v>
      </c>
      <c r="AG1648" s="7" t="s">
        <v>1177</v>
      </c>
      <c r="AH1648" s="38"/>
      <c r="AI1648" s="36">
        <v>0</v>
      </c>
      <c r="AJ1648" s="7" t="s">
        <v>1193</v>
      </c>
      <c r="AK1648" s="7" t="s">
        <v>1177</v>
      </c>
      <c r="AL1648" s="7" t="s">
        <v>1177</v>
      </c>
      <c r="AM1648" s="7" t="s">
        <v>1177</v>
      </c>
      <c r="AN1648" s="7" t="s">
        <v>3212</v>
      </c>
      <c r="AO1648" s="7" t="s">
        <v>1177</v>
      </c>
      <c r="AP1648" s="7" t="s">
        <v>1177</v>
      </c>
      <c r="AQ1648" s="7" t="s">
        <v>1177</v>
      </c>
      <c r="AR1648" s="29">
        <v>0</v>
      </c>
      <c r="AS1648" s="7" t="s">
        <v>1177</v>
      </c>
      <c r="AT1648" s="7" t="s">
        <v>1363</v>
      </c>
      <c r="AU1648" s="38">
        <v>46275</v>
      </c>
      <c r="AV1648" s="39">
        <v>0.62712962962963004</v>
      </c>
    </row>
    <row r="1649" spans="1:48" x14ac:dyDescent="0.35">
      <c r="A1649" t="str">
        <f t="shared" si="25"/>
        <v>GP466248B856</v>
      </c>
      <c r="B1649" s="7" t="s">
        <v>946</v>
      </c>
      <c r="C1649" s="7" t="s">
        <v>852</v>
      </c>
      <c r="D1649" s="7" t="s">
        <v>21</v>
      </c>
      <c r="E1649" s="7" t="s">
        <v>1177</v>
      </c>
      <c r="F1649" s="7" t="s">
        <v>128</v>
      </c>
      <c r="G1649" s="7" t="s">
        <v>130</v>
      </c>
      <c r="H1649" s="7" t="s">
        <v>129</v>
      </c>
      <c r="I1649" s="30">
        <v>2</v>
      </c>
      <c r="J1649" s="7" t="s">
        <v>1177</v>
      </c>
      <c r="K1649" s="7" t="s">
        <v>1178</v>
      </c>
      <c r="L1649" s="7" t="s">
        <v>132</v>
      </c>
      <c r="M1649" s="7" t="s">
        <v>133</v>
      </c>
      <c r="N1649" s="30">
        <v>0</v>
      </c>
      <c r="O1649" s="30">
        <v>0</v>
      </c>
      <c r="P1649" s="30">
        <v>0</v>
      </c>
      <c r="Q1649" s="30">
        <v>0</v>
      </c>
      <c r="R1649" s="29">
        <v>0</v>
      </c>
      <c r="S1649" s="36">
        <v>0</v>
      </c>
      <c r="T1649" s="7" t="s">
        <v>131</v>
      </c>
      <c r="U1649" s="7" t="s">
        <v>853</v>
      </c>
      <c r="V1649" s="7" t="s">
        <v>853</v>
      </c>
      <c r="W1649" s="7" t="s">
        <v>1177</v>
      </c>
      <c r="X1649" s="30">
        <v>1</v>
      </c>
      <c r="Y1649" s="7" t="s">
        <v>1177</v>
      </c>
      <c r="Z1649" s="7" t="s">
        <v>1178</v>
      </c>
      <c r="AA1649" s="30">
        <v>0</v>
      </c>
      <c r="AB1649" s="36">
        <v>0</v>
      </c>
      <c r="AC1649" s="7" t="s">
        <v>1177</v>
      </c>
      <c r="AD1649" s="37">
        <v>0</v>
      </c>
      <c r="AE1649" s="7" t="s">
        <v>1177</v>
      </c>
      <c r="AF1649" s="7" t="s">
        <v>1177</v>
      </c>
      <c r="AG1649" s="7" t="s">
        <v>1177</v>
      </c>
      <c r="AH1649" s="38"/>
      <c r="AI1649" s="36">
        <v>0</v>
      </c>
      <c r="AJ1649" s="7" t="s">
        <v>1193</v>
      </c>
      <c r="AK1649" s="7" t="s">
        <v>1177</v>
      </c>
      <c r="AL1649" s="7" t="s">
        <v>1177</v>
      </c>
      <c r="AM1649" s="7" t="s">
        <v>1177</v>
      </c>
      <c r="AN1649" s="7" t="s">
        <v>3212</v>
      </c>
      <c r="AO1649" s="7" t="s">
        <v>1177</v>
      </c>
      <c r="AP1649" s="7" t="s">
        <v>1177</v>
      </c>
      <c r="AQ1649" s="7" t="s">
        <v>1177</v>
      </c>
      <c r="AR1649" s="29">
        <v>0</v>
      </c>
      <c r="AS1649" s="7" t="s">
        <v>1177</v>
      </c>
      <c r="AT1649" s="7" t="s">
        <v>1363</v>
      </c>
      <c r="AU1649" s="38">
        <v>46275</v>
      </c>
      <c r="AV1649" s="39">
        <v>0.62486111111110998</v>
      </c>
    </row>
    <row r="1650" spans="1:48" x14ac:dyDescent="0.35">
      <c r="A1650" t="str">
        <f t="shared" si="25"/>
        <v>GP466248B865</v>
      </c>
      <c r="B1650" s="7" t="s">
        <v>946</v>
      </c>
      <c r="C1650" s="7" t="s">
        <v>1039</v>
      </c>
      <c r="D1650" s="7" t="s">
        <v>7</v>
      </c>
      <c r="E1650" s="7" t="s">
        <v>1177</v>
      </c>
      <c r="F1650" s="7" t="s">
        <v>128</v>
      </c>
      <c r="G1650" s="7" t="s">
        <v>130</v>
      </c>
      <c r="H1650" s="7" t="s">
        <v>129</v>
      </c>
      <c r="I1650" s="30">
        <v>2</v>
      </c>
      <c r="J1650" s="7" t="s">
        <v>1177</v>
      </c>
      <c r="K1650" s="7" t="s">
        <v>1178</v>
      </c>
      <c r="L1650" s="7" t="s">
        <v>132</v>
      </c>
      <c r="M1650" s="7" t="s">
        <v>133</v>
      </c>
      <c r="N1650" s="30">
        <v>0</v>
      </c>
      <c r="O1650" s="30">
        <v>0</v>
      </c>
      <c r="P1650" s="30">
        <v>0</v>
      </c>
      <c r="Q1650" s="30">
        <v>0</v>
      </c>
      <c r="R1650" s="29">
        <v>0</v>
      </c>
      <c r="S1650" s="36">
        <v>0</v>
      </c>
      <c r="T1650" s="7" t="s">
        <v>131</v>
      </c>
      <c r="U1650" s="7" t="s">
        <v>1040</v>
      </c>
      <c r="V1650" s="7" t="s">
        <v>1040</v>
      </c>
      <c r="W1650" s="7" t="s">
        <v>1177</v>
      </c>
      <c r="X1650" s="30">
        <v>1</v>
      </c>
      <c r="Y1650" s="7" t="s">
        <v>1177</v>
      </c>
      <c r="Z1650" s="7" t="s">
        <v>1178</v>
      </c>
      <c r="AA1650" s="30">
        <v>0</v>
      </c>
      <c r="AB1650" s="36">
        <v>0</v>
      </c>
      <c r="AC1650" s="7" t="s">
        <v>1177</v>
      </c>
      <c r="AD1650" s="37">
        <v>0</v>
      </c>
      <c r="AE1650" s="7" t="s">
        <v>1177</v>
      </c>
      <c r="AF1650" s="7" t="s">
        <v>1177</v>
      </c>
      <c r="AG1650" s="7" t="s">
        <v>1177</v>
      </c>
      <c r="AH1650" s="38"/>
      <c r="AI1650" s="36">
        <v>0</v>
      </c>
      <c r="AJ1650" s="7" t="s">
        <v>1193</v>
      </c>
      <c r="AK1650" s="7" t="s">
        <v>1177</v>
      </c>
      <c r="AL1650" s="7" t="s">
        <v>1177</v>
      </c>
      <c r="AM1650" s="7" t="s">
        <v>1177</v>
      </c>
      <c r="AN1650" s="7" t="s">
        <v>3212</v>
      </c>
      <c r="AO1650" s="7" t="s">
        <v>1177</v>
      </c>
      <c r="AP1650" s="7" t="s">
        <v>1177</v>
      </c>
      <c r="AQ1650" s="7" t="s">
        <v>1177</v>
      </c>
      <c r="AR1650" s="29">
        <v>0</v>
      </c>
      <c r="AS1650" s="7" t="s">
        <v>1177</v>
      </c>
      <c r="AT1650" s="7" t="s">
        <v>1363</v>
      </c>
      <c r="AU1650" s="38">
        <v>46275</v>
      </c>
      <c r="AV1650" s="39">
        <v>0.62674768518518997</v>
      </c>
    </row>
    <row r="1651" spans="1:48" x14ac:dyDescent="0.35">
      <c r="A1651" t="str">
        <f t="shared" si="25"/>
        <v>GP466869B825</v>
      </c>
      <c r="B1651" s="7" t="s">
        <v>429</v>
      </c>
      <c r="C1651" s="7" t="s">
        <v>511</v>
      </c>
      <c r="D1651" s="7" t="s">
        <v>16</v>
      </c>
      <c r="E1651" s="7" t="s">
        <v>1177</v>
      </c>
      <c r="F1651" s="7" t="s">
        <v>128</v>
      </c>
      <c r="G1651" s="7" t="s">
        <v>130</v>
      </c>
      <c r="H1651" s="7" t="s">
        <v>129</v>
      </c>
      <c r="I1651" s="30">
        <v>10</v>
      </c>
      <c r="J1651" s="7" t="s">
        <v>1177</v>
      </c>
      <c r="K1651" s="7" t="s">
        <v>1178</v>
      </c>
      <c r="L1651" s="7" t="s">
        <v>132</v>
      </c>
      <c r="M1651" s="7" t="s">
        <v>133</v>
      </c>
      <c r="N1651" s="30">
        <v>0</v>
      </c>
      <c r="O1651" s="30">
        <v>0</v>
      </c>
      <c r="P1651" s="30">
        <v>0</v>
      </c>
      <c r="Q1651" s="30">
        <v>0</v>
      </c>
      <c r="R1651" s="29">
        <v>0</v>
      </c>
      <c r="S1651" s="36">
        <v>0</v>
      </c>
      <c r="T1651" s="7" t="s">
        <v>131</v>
      </c>
      <c r="U1651" s="7" t="s">
        <v>512</v>
      </c>
      <c r="V1651" s="7" t="s">
        <v>512</v>
      </c>
      <c r="W1651" s="7" t="s">
        <v>1177</v>
      </c>
      <c r="X1651" s="30">
        <v>3</v>
      </c>
      <c r="Y1651" s="7" t="s">
        <v>1177</v>
      </c>
      <c r="Z1651" s="7" t="s">
        <v>1178</v>
      </c>
      <c r="AA1651" s="30">
        <v>0</v>
      </c>
      <c r="AB1651" s="36">
        <v>0</v>
      </c>
      <c r="AC1651" s="7" t="s">
        <v>1177</v>
      </c>
      <c r="AD1651" s="37">
        <v>0</v>
      </c>
      <c r="AE1651" s="7" t="s">
        <v>1177</v>
      </c>
      <c r="AF1651" s="7" t="s">
        <v>1177</v>
      </c>
      <c r="AG1651" s="7" t="s">
        <v>1177</v>
      </c>
      <c r="AH1651" s="38"/>
      <c r="AI1651" s="36">
        <v>0</v>
      </c>
      <c r="AJ1651" s="7" t="s">
        <v>1193</v>
      </c>
      <c r="AK1651" s="7" t="s">
        <v>1177</v>
      </c>
      <c r="AL1651" s="7" t="s">
        <v>1177</v>
      </c>
      <c r="AM1651" s="7" t="s">
        <v>1177</v>
      </c>
      <c r="AN1651" s="7" t="s">
        <v>3212</v>
      </c>
      <c r="AO1651" s="7" t="s">
        <v>1177</v>
      </c>
      <c r="AP1651" s="7" t="s">
        <v>1177</v>
      </c>
      <c r="AQ1651" s="7" t="s">
        <v>1177</v>
      </c>
      <c r="AR1651" s="29">
        <v>0</v>
      </c>
      <c r="AS1651" s="7" t="s">
        <v>1177</v>
      </c>
      <c r="AT1651" s="7" t="s">
        <v>1363</v>
      </c>
      <c r="AU1651" s="38">
        <v>46275</v>
      </c>
      <c r="AV1651" s="39">
        <v>0.60350694444443997</v>
      </c>
    </row>
    <row r="1652" spans="1:48" x14ac:dyDescent="0.35">
      <c r="A1652" t="str">
        <f t="shared" si="25"/>
        <v>GP467178B825</v>
      </c>
      <c r="B1652" s="7" t="s">
        <v>619</v>
      </c>
      <c r="C1652" s="7" t="s">
        <v>511</v>
      </c>
      <c r="D1652" s="7" t="s">
        <v>16</v>
      </c>
      <c r="E1652" s="7" t="s">
        <v>1177</v>
      </c>
      <c r="F1652" s="7" t="s">
        <v>128</v>
      </c>
      <c r="G1652" s="7" t="s">
        <v>130</v>
      </c>
      <c r="H1652" s="7" t="s">
        <v>129</v>
      </c>
      <c r="I1652" s="30">
        <v>2</v>
      </c>
      <c r="J1652" s="7" t="s">
        <v>1177</v>
      </c>
      <c r="K1652" s="7" t="s">
        <v>1178</v>
      </c>
      <c r="L1652" s="7" t="s">
        <v>132</v>
      </c>
      <c r="M1652" s="7" t="s">
        <v>133</v>
      </c>
      <c r="N1652" s="30">
        <v>0</v>
      </c>
      <c r="O1652" s="30">
        <v>0</v>
      </c>
      <c r="P1652" s="30">
        <v>0</v>
      </c>
      <c r="Q1652" s="30">
        <v>0</v>
      </c>
      <c r="R1652" s="29">
        <v>0</v>
      </c>
      <c r="S1652" s="36">
        <v>0</v>
      </c>
      <c r="T1652" s="7" t="s">
        <v>131</v>
      </c>
      <c r="U1652" s="7" t="s">
        <v>512</v>
      </c>
      <c r="V1652" s="7" t="s">
        <v>512</v>
      </c>
      <c r="W1652" s="7" t="s">
        <v>1177</v>
      </c>
      <c r="X1652" s="30">
        <v>1</v>
      </c>
      <c r="Y1652" s="7" t="s">
        <v>1177</v>
      </c>
      <c r="Z1652" s="7" t="s">
        <v>1178</v>
      </c>
      <c r="AA1652" s="30">
        <v>0</v>
      </c>
      <c r="AB1652" s="36">
        <v>0</v>
      </c>
      <c r="AC1652" s="7" t="s">
        <v>1177</v>
      </c>
      <c r="AD1652" s="37">
        <v>0</v>
      </c>
      <c r="AE1652" s="7" t="s">
        <v>1177</v>
      </c>
      <c r="AF1652" s="7" t="s">
        <v>1177</v>
      </c>
      <c r="AG1652" s="7" t="s">
        <v>1177</v>
      </c>
      <c r="AH1652" s="38"/>
      <c r="AI1652" s="36">
        <v>0</v>
      </c>
      <c r="AJ1652" s="7" t="s">
        <v>1193</v>
      </c>
      <c r="AK1652" s="7" t="s">
        <v>1177</v>
      </c>
      <c r="AL1652" s="7" t="s">
        <v>1177</v>
      </c>
      <c r="AM1652" s="7" t="s">
        <v>1177</v>
      </c>
      <c r="AN1652" s="7" t="s">
        <v>3212</v>
      </c>
      <c r="AO1652" s="7" t="s">
        <v>1177</v>
      </c>
      <c r="AP1652" s="7" t="s">
        <v>1177</v>
      </c>
      <c r="AQ1652" s="7" t="s">
        <v>1177</v>
      </c>
      <c r="AR1652" s="29">
        <v>0</v>
      </c>
      <c r="AS1652" s="7" t="s">
        <v>1177</v>
      </c>
      <c r="AT1652" s="7" t="s">
        <v>1363</v>
      </c>
      <c r="AU1652" s="38">
        <v>46275</v>
      </c>
      <c r="AV1652" s="39">
        <v>0.62305555555556003</v>
      </c>
    </row>
    <row r="1653" spans="1:48" x14ac:dyDescent="0.35">
      <c r="A1653" t="str">
        <f t="shared" si="25"/>
        <v>GP467178B832</v>
      </c>
      <c r="B1653" s="7" t="s">
        <v>619</v>
      </c>
      <c r="C1653" s="7" t="s">
        <v>653</v>
      </c>
      <c r="D1653" s="7" t="s">
        <v>19</v>
      </c>
      <c r="E1653" s="7" t="s">
        <v>1177</v>
      </c>
      <c r="F1653" s="7" t="s">
        <v>128</v>
      </c>
      <c r="G1653" s="7" t="s">
        <v>130</v>
      </c>
      <c r="H1653" s="7" t="s">
        <v>129</v>
      </c>
      <c r="I1653" s="30">
        <v>2</v>
      </c>
      <c r="J1653" s="7" t="s">
        <v>1177</v>
      </c>
      <c r="K1653" s="7" t="s">
        <v>1178</v>
      </c>
      <c r="L1653" s="7" t="s">
        <v>132</v>
      </c>
      <c r="M1653" s="7" t="s">
        <v>133</v>
      </c>
      <c r="N1653" s="30">
        <v>0</v>
      </c>
      <c r="O1653" s="30">
        <v>0</v>
      </c>
      <c r="P1653" s="30">
        <v>0</v>
      </c>
      <c r="Q1653" s="30">
        <v>0</v>
      </c>
      <c r="R1653" s="29">
        <v>0</v>
      </c>
      <c r="S1653" s="36">
        <v>0</v>
      </c>
      <c r="T1653" s="7" t="s">
        <v>131</v>
      </c>
      <c r="U1653" s="7" t="s">
        <v>654</v>
      </c>
      <c r="V1653" s="7" t="s">
        <v>654</v>
      </c>
      <c r="W1653" s="7" t="s">
        <v>1177</v>
      </c>
      <c r="X1653" s="30">
        <v>1</v>
      </c>
      <c r="Y1653" s="7" t="s">
        <v>1177</v>
      </c>
      <c r="Z1653" s="7" t="s">
        <v>1178</v>
      </c>
      <c r="AA1653" s="30">
        <v>0</v>
      </c>
      <c r="AB1653" s="36">
        <v>0</v>
      </c>
      <c r="AC1653" s="7" t="s">
        <v>1177</v>
      </c>
      <c r="AD1653" s="37">
        <v>0</v>
      </c>
      <c r="AE1653" s="7" t="s">
        <v>1177</v>
      </c>
      <c r="AF1653" s="7" t="s">
        <v>1177</v>
      </c>
      <c r="AG1653" s="7" t="s">
        <v>1177</v>
      </c>
      <c r="AH1653" s="38"/>
      <c r="AI1653" s="36">
        <v>0</v>
      </c>
      <c r="AJ1653" s="7" t="s">
        <v>1193</v>
      </c>
      <c r="AK1653" s="7" t="s">
        <v>1177</v>
      </c>
      <c r="AL1653" s="7" t="s">
        <v>1177</v>
      </c>
      <c r="AM1653" s="7" t="s">
        <v>1177</v>
      </c>
      <c r="AN1653" s="7" t="s">
        <v>3212</v>
      </c>
      <c r="AO1653" s="7" t="s">
        <v>1177</v>
      </c>
      <c r="AP1653" s="7" t="s">
        <v>1177</v>
      </c>
      <c r="AQ1653" s="7" t="s">
        <v>1177</v>
      </c>
      <c r="AR1653" s="29">
        <v>0</v>
      </c>
      <c r="AS1653" s="7" t="s">
        <v>1177</v>
      </c>
      <c r="AT1653" s="7" t="s">
        <v>1363</v>
      </c>
      <c r="AU1653" s="38">
        <v>46275</v>
      </c>
      <c r="AV1653" s="39">
        <v>0.62332175925926003</v>
      </c>
    </row>
    <row r="1654" spans="1:48" x14ac:dyDescent="0.35">
      <c r="A1654" t="str">
        <f t="shared" si="25"/>
        <v>GP467358B856</v>
      </c>
      <c r="B1654" s="7" t="s">
        <v>840</v>
      </c>
      <c r="C1654" s="7" t="s">
        <v>852</v>
      </c>
      <c r="D1654" s="7" t="s">
        <v>21</v>
      </c>
      <c r="E1654" s="7" t="s">
        <v>1177</v>
      </c>
      <c r="F1654" s="7" t="s">
        <v>128</v>
      </c>
      <c r="G1654" s="7" t="s">
        <v>130</v>
      </c>
      <c r="H1654" s="7" t="s">
        <v>129</v>
      </c>
      <c r="I1654" s="30">
        <v>2</v>
      </c>
      <c r="J1654" s="7" t="s">
        <v>1177</v>
      </c>
      <c r="K1654" s="7" t="s">
        <v>1178</v>
      </c>
      <c r="L1654" s="7" t="s">
        <v>132</v>
      </c>
      <c r="M1654" s="7" t="s">
        <v>133</v>
      </c>
      <c r="N1654" s="30">
        <v>0</v>
      </c>
      <c r="O1654" s="30">
        <v>0</v>
      </c>
      <c r="P1654" s="30">
        <v>0</v>
      </c>
      <c r="Q1654" s="30">
        <v>0</v>
      </c>
      <c r="R1654" s="29">
        <v>0</v>
      </c>
      <c r="S1654" s="36">
        <v>0</v>
      </c>
      <c r="T1654" s="7" t="s">
        <v>131</v>
      </c>
      <c r="U1654" s="7" t="s">
        <v>853</v>
      </c>
      <c r="V1654" s="7" t="s">
        <v>853</v>
      </c>
      <c r="W1654" s="7" t="s">
        <v>1177</v>
      </c>
      <c r="X1654" s="30">
        <v>1</v>
      </c>
      <c r="Y1654" s="7" t="s">
        <v>1177</v>
      </c>
      <c r="Z1654" s="7" t="s">
        <v>1178</v>
      </c>
      <c r="AA1654" s="30">
        <v>0</v>
      </c>
      <c r="AB1654" s="36">
        <v>0</v>
      </c>
      <c r="AC1654" s="7" t="s">
        <v>1177</v>
      </c>
      <c r="AD1654" s="37">
        <v>0</v>
      </c>
      <c r="AE1654" s="7" t="s">
        <v>1177</v>
      </c>
      <c r="AF1654" s="7" t="s">
        <v>1177</v>
      </c>
      <c r="AG1654" s="7" t="s">
        <v>1177</v>
      </c>
      <c r="AH1654" s="38"/>
      <c r="AI1654" s="36">
        <v>0</v>
      </c>
      <c r="AJ1654" s="7" t="s">
        <v>1193</v>
      </c>
      <c r="AK1654" s="7" t="s">
        <v>1177</v>
      </c>
      <c r="AL1654" s="7" t="s">
        <v>1177</v>
      </c>
      <c r="AM1654" s="7" t="s">
        <v>1177</v>
      </c>
      <c r="AN1654" s="7" t="s">
        <v>3212</v>
      </c>
      <c r="AO1654" s="7" t="s">
        <v>1177</v>
      </c>
      <c r="AP1654" s="7" t="s">
        <v>1177</v>
      </c>
      <c r="AQ1654" s="7" t="s">
        <v>1177</v>
      </c>
      <c r="AR1654" s="29">
        <v>0</v>
      </c>
      <c r="AS1654" s="7" t="s">
        <v>1177</v>
      </c>
      <c r="AT1654" s="7" t="s">
        <v>1363</v>
      </c>
      <c r="AU1654" s="38">
        <v>46275</v>
      </c>
      <c r="AV1654" s="39">
        <v>0.62486111111110998</v>
      </c>
    </row>
    <row r="1655" spans="1:48" x14ac:dyDescent="0.35">
      <c r="A1655" t="str">
        <f t="shared" si="25"/>
        <v>GP467359B856</v>
      </c>
      <c r="B1655" s="7" t="s">
        <v>841</v>
      </c>
      <c r="C1655" s="7" t="s">
        <v>852</v>
      </c>
      <c r="D1655" s="7" t="s">
        <v>21</v>
      </c>
      <c r="E1655" s="7" t="s">
        <v>1177</v>
      </c>
      <c r="F1655" s="7" t="s">
        <v>128</v>
      </c>
      <c r="G1655" s="7" t="s">
        <v>130</v>
      </c>
      <c r="H1655" s="7" t="s">
        <v>129</v>
      </c>
      <c r="I1655" s="30">
        <v>2</v>
      </c>
      <c r="J1655" s="7" t="s">
        <v>1177</v>
      </c>
      <c r="K1655" s="7" t="s">
        <v>1178</v>
      </c>
      <c r="L1655" s="7" t="s">
        <v>132</v>
      </c>
      <c r="M1655" s="7" t="s">
        <v>133</v>
      </c>
      <c r="N1655" s="30">
        <v>0</v>
      </c>
      <c r="O1655" s="30">
        <v>0</v>
      </c>
      <c r="P1655" s="30">
        <v>0</v>
      </c>
      <c r="Q1655" s="30">
        <v>0</v>
      </c>
      <c r="R1655" s="29">
        <v>0</v>
      </c>
      <c r="S1655" s="36">
        <v>0</v>
      </c>
      <c r="T1655" s="7" t="s">
        <v>131</v>
      </c>
      <c r="U1655" s="7" t="s">
        <v>853</v>
      </c>
      <c r="V1655" s="7" t="s">
        <v>853</v>
      </c>
      <c r="W1655" s="7" t="s">
        <v>1177</v>
      </c>
      <c r="X1655" s="30">
        <v>1</v>
      </c>
      <c r="Y1655" s="7" t="s">
        <v>1177</v>
      </c>
      <c r="Z1655" s="7" t="s">
        <v>1178</v>
      </c>
      <c r="AA1655" s="30">
        <v>0</v>
      </c>
      <c r="AB1655" s="36">
        <v>0</v>
      </c>
      <c r="AC1655" s="7" t="s">
        <v>1177</v>
      </c>
      <c r="AD1655" s="37">
        <v>0</v>
      </c>
      <c r="AE1655" s="7" t="s">
        <v>1177</v>
      </c>
      <c r="AF1655" s="7" t="s">
        <v>1177</v>
      </c>
      <c r="AG1655" s="7" t="s">
        <v>1177</v>
      </c>
      <c r="AH1655" s="38"/>
      <c r="AI1655" s="36">
        <v>0</v>
      </c>
      <c r="AJ1655" s="7" t="s">
        <v>1193</v>
      </c>
      <c r="AK1655" s="7" t="s">
        <v>1177</v>
      </c>
      <c r="AL1655" s="7" t="s">
        <v>1177</v>
      </c>
      <c r="AM1655" s="7" t="s">
        <v>1177</v>
      </c>
      <c r="AN1655" s="7" t="s">
        <v>3212</v>
      </c>
      <c r="AO1655" s="7" t="s">
        <v>1177</v>
      </c>
      <c r="AP1655" s="7" t="s">
        <v>1177</v>
      </c>
      <c r="AQ1655" s="7" t="s">
        <v>1177</v>
      </c>
      <c r="AR1655" s="29">
        <v>0</v>
      </c>
      <c r="AS1655" s="7" t="s">
        <v>1177</v>
      </c>
      <c r="AT1655" s="7" t="s">
        <v>1363</v>
      </c>
      <c r="AU1655" s="38">
        <v>46275</v>
      </c>
      <c r="AV1655" s="39">
        <v>0.62486111111110998</v>
      </c>
    </row>
    <row r="1656" spans="1:48" x14ac:dyDescent="0.35">
      <c r="A1656" t="str">
        <f t="shared" si="25"/>
        <v>GP467359B864</v>
      </c>
      <c r="B1656" s="7" t="s">
        <v>841</v>
      </c>
      <c r="C1656" s="7" t="s">
        <v>1010</v>
      </c>
      <c r="D1656" s="7" t="s">
        <v>10</v>
      </c>
      <c r="E1656" s="7" t="s">
        <v>1177</v>
      </c>
      <c r="F1656" s="7" t="s">
        <v>128</v>
      </c>
      <c r="G1656" s="7" t="s">
        <v>130</v>
      </c>
      <c r="H1656" s="7" t="s">
        <v>129</v>
      </c>
      <c r="I1656" s="30">
        <v>4</v>
      </c>
      <c r="J1656" s="7" t="s">
        <v>1177</v>
      </c>
      <c r="K1656" s="7" t="s">
        <v>1178</v>
      </c>
      <c r="L1656" s="7" t="s">
        <v>132</v>
      </c>
      <c r="M1656" s="7" t="s">
        <v>133</v>
      </c>
      <c r="N1656" s="30">
        <v>0</v>
      </c>
      <c r="O1656" s="30">
        <v>0</v>
      </c>
      <c r="P1656" s="30">
        <v>0</v>
      </c>
      <c r="Q1656" s="30">
        <v>0</v>
      </c>
      <c r="R1656" s="29">
        <v>0</v>
      </c>
      <c r="S1656" s="36">
        <v>0</v>
      </c>
      <c r="T1656" s="7" t="s">
        <v>131</v>
      </c>
      <c r="U1656" s="7" t="s">
        <v>1011</v>
      </c>
      <c r="V1656" s="7" t="s">
        <v>1011</v>
      </c>
      <c r="W1656" s="7" t="s">
        <v>1177</v>
      </c>
      <c r="X1656" s="30">
        <v>1</v>
      </c>
      <c r="Y1656" s="7" t="s">
        <v>1177</v>
      </c>
      <c r="Z1656" s="7" t="s">
        <v>1178</v>
      </c>
      <c r="AA1656" s="30">
        <v>0</v>
      </c>
      <c r="AB1656" s="36">
        <v>0</v>
      </c>
      <c r="AC1656" s="7" t="s">
        <v>1177</v>
      </c>
      <c r="AD1656" s="37">
        <v>0</v>
      </c>
      <c r="AE1656" s="7" t="s">
        <v>1177</v>
      </c>
      <c r="AF1656" s="7" t="s">
        <v>1177</v>
      </c>
      <c r="AG1656" s="7" t="s">
        <v>1177</v>
      </c>
      <c r="AH1656" s="38"/>
      <c r="AI1656" s="36">
        <v>0</v>
      </c>
      <c r="AJ1656" s="7" t="s">
        <v>1193</v>
      </c>
      <c r="AK1656" s="7" t="s">
        <v>1177</v>
      </c>
      <c r="AL1656" s="7" t="s">
        <v>1177</v>
      </c>
      <c r="AM1656" s="7" t="s">
        <v>1177</v>
      </c>
      <c r="AN1656" s="7" t="s">
        <v>3212</v>
      </c>
      <c r="AO1656" s="7" t="s">
        <v>1177</v>
      </c>
      <c r="AP1656" s="7" t="s">
        <v>1177</v>
      </c>
      <c r="AQ1656" s="7" t="s">
        <v>1177</v>
      </c>
      <c r="AR1656" s="29">
        <v>0</v>
      </c>
      <c r="AS1656" s="7" t="s">
        <v>1177</v>
      </c>
      <c r="AT1656" s="7" t="s">
        <v>1363</v>
      </c>
      <c r="AU1656" s="38">
        <v>46275</v>
      </c>
      <c r="AV1656" s="39">
        <v>0.62631944444443999</v>
      </c>
    </row>
    <row r="1657" spans="1:48" x14ac:dyDescent="0.35">
      <c r="A1657" t="str">
        <f t="shared" si="25"/>
        <v>GP467359B865</v>
      </c>
      <c r="B1657" s="7" t="s">
        <v>841</v>
      </c>
      <c r="C1657" s="7" t="s">
        <v>1039</v>
      </c>
      <c r="D1657" s="7" t="s">
        <v>7</v>
      </c>
      <c r="E1657" s="7" t="s">
        <v>1177</v>
      </c>
      <c r="F1657" s="7" t="s">
        <v>128</v>
      </c>
      <c r="G1657" s="7" t="s">
        <v>130</v>
      </c>
      <c r="H1657" s="7" t="s">
        <v>129</v>
      </c>
      <c r="I1657" s="30">
        <v>4</v>
      </c>
      <c r="J1657" s="7" t="s">
        <v>1177</v>
      </c>
      <c r="K1657" s="7" t="s">
        <v>1178</v>
      </c>
      <c r="L1657" s="7" t="s">
        <v>132</v>
      </c>
      <c r="M1657" s="7" t="s">
        <v>133</v>
      </c>
      <c r="N1657" s="30">
        <v>0</v>
      </c>
      <c r="O1657" s="30">
        <v>0</v>
      </c>
      <c r="P1657" s="30">
        <v>0</v>
      </c>
      <c r="Q1657" s="30">
        <v>0</v>
      </c>
      <c r="R1657" s="29">
        <v>0</v>
      </c>
      <c r="S1657" s="36">
        <v>0</v>
      </c>
      <c r="T1657" s="7" t="s">
        <v>131</v>
      </c>
      <c r="U1657" s="7" t="s">
        <v>1040</v>
      </c>
      <c r="V1657" s="7" t="s">
        <v>1040</v>
      </c>
      <c r="W1657" s="7" t="s">
        <v>1177</v>
      </c>
      <c r="X1657" s="30">
        <v>1</v>
      </c>
      <c r="Y1657" s="7" t="s">
        <v>1177</v>
      </c>
      <c r="Z1657" s="7" t="s">
        <v>1178</v>
      </c>
      <c r="AA1657" s="30">
        <v>0</v>
      </c>
      <c r="AB1657" s="36">
        <v>0</v>
      </c>
      <c r="AC1657" s="7" t="s">
        <v>1177</v>
      </c>
      <c r="AD1657" s="37">
        <v>0</v>
      </c>
      <c r="AE1657" s="7" t="s">
        <v>1177</v>
      </c>
      <c r="AF1657" s="7" t="s">
        <v>1177</v>
      </c>
      <c r="AG1657" s="7" t="s">
        <v>1177</v>
      </c>
      <c r="AH1657" s="38"/>
      <c r="AI1657" s="36">
        <v>0</v>
      </c>
      <c r="AJ1657" s="7" t="s">
        <v>1193</v>
      </c>
      <c r="AK1657" s="7" t="s">
        <v>1177</v>
      </c>
      <c r="AL1657" s="7" t="s">
        <v>1177</v>
      </c>
      <c r="AM1657" s="7" t="s">
        <v>1177</v>
      </c>
      <c r="AN1657" s="7" t="s">
        <v>3212</v>
      </c>
      <c r="AO1657" s="7" t="s">
        <v>1177</v>
      </c>
      <c r="AP1657" s="7" t="s">
        <v>1177</v>
      </c>
      <c r="AQ1657" s="7" t="s">
        <v>1177</v>
      </c>
      <c r="AR1657" s="29">
        <v>0</v>
      </c>
      <c r="AS1657" s="7" t="s">
        <v>1177</v>
      </c>
      <c r="AT1657" s="7" t="s">
        <v>1363</v>
      </c>
      <c r="AU1657" s="38">
        <v>46275</v>
      </c>
      <c r="AV1657" s="39">
        <v>0.62674768518518997</v>
      </c>
    </row>
    <row r="1658" spans="1:48" x14ac:dyDescent="0.35">
      <c r="A1658" t="str">
        <f t="shared" si="25"/>
        <v>GP467359B867</v>
      </c>
      <c r="B1658" s="7" t="s">
        <v>841</v>
      </c>
      <c r="C1658" s="7" t="s">
        <v>1059</v>
      </c>
      <c r="D1658" s="7" t="s">
        <v>25</v>
      </c>
      <c r="E1658" s="7" t="s">
        <v>1177</v>
      </c>
      <c r="F1658" s="7" t="s">
        <v>128</v>
      </c>
      <c r="G1658" s="7" t="s">
        <v>130</v>
      </c>
      <c r="H1658" s="7" t="s">
        <v>129</v>
      </c>
      <c r="I1658" s="30">
        <v>2</v>
      </c>
      <c r="J1658" s="7" t="s">
        <v>1177</v>
      </c>
      <c r="K1658" s="7" t="s">
        <v>1178</v>
      </c>
      <c r="L1658" s="7" t="s">
        <v>132</v>
      </c>
      <c r="M1658" s="7" t="s">
        <v>133</v>
      </c>
      <c r="N1658" s="30">
        <v>0</v>
      </c>
      <c r="O1658" s="30">
        <v>0</v>
      </c>
      <c r="P1658" s="30">
        <v>0</v>
      </c>
      <c r="Q1658" s="30">
        <v>0</v>
      </c>
      <c r="R1658" s="29">
        <v>0</v>
      </c>
      <c r="S1658" s="36">
        <v>0</v>
      </c>
      <c r="T1658" s="7" t="s">
        <v>131</v>
      </c>
      <c r="U1658" s="7" t="s">
        <v>1060</v>
      </c>
      <c r="V1658" s="7" t="s">
        <v>1060</v>
      </c>
      <c r="W1658" s="7" t="s">
        <v>1177</v>
      </c>
      <c r="X1658" s="30">
        <v>1</v>
      </c>
      <c r="Y1658" s="7" t="s">
        <v>1177</v>
      </c>
      <c r="Z1658" s="7" t="s">
        <v>1178</v>
      </c>
      <c r="AA1658" s="30">
        <v>0</v>
      </c>
      <c r="AB1658" s="36">
        <v>0</v>
      </c>
      <c r="AC1658" s="7" t="s">
        <v>1177</v>
      </c>
      <c r="AD1658" s="37">
        <v>0</v>
      </c>
      <c r="AE1658" s="7" t="s">
        <v>1177</v>
      </c>
      <c r="AF1658" s="7" t="s">
        <v>1177</v>
      </c>
      <c r="AG1658" s="7" t="s">
        <v>1177</v>
      </c>
      <c r="AH1658" s="38"/>
      <c r="AI1658" s="36">
        <v>0</v>
      </c>
      <c r="AJ1658" s="7" t="s">
        <v>1193</v>
      </c>
      <c r="AK1658" s="7" t="s">
        <v>1177</v>
      </c>
      <c r="AL1658" s="7" t="s">
        <v>1177</v>
      </c>
      <c r="AM1658" s="7" t="s">
        <v>1177</v>
      </c>
      <c r="AN1658" s="7" t="s">
        <v>3212</v>
      </c>
      <c r="AO1658" s="7" t="s">
        <v>1177</v>
      </c>
      <c r="AP1658" s="7" t="s">
        <v>1177</v>
      </c>
      <c r="AQ1658" s="7" t="s">
        <v>1177</v>
      </c>
      <c r="AR1658" s="29">
        <v>0</v>
      </c>
      <c r="AS1658" s="7" t="s">
        <v>1177</v>
      </c>
      <c r="AT1658" s="7" t="s">
        <v>1363</v>
      </c>
      <c r="AU1658" s="38">
        <v>46275</v>
      </c>
      <c r="AV1658" s="39">
        <v>0.62712962962963004</v>
      </c>
    </row>
    <row r="1659" spans="1:48" x14ac:dyDescent="0.35">
      <c r="A1659" t="str">
        <f t="shared" si="25"/>
        <v>GP467360B825</v>
      </c>
      <c r="B1659" s="7" t="s">
        <v>507</v>
      </c>
      <c r="C1659" s="7" t="s">
        <v>511</v>
      </c>
      <c r="D1659" s="7" t="s">
        <v>16</v>
      </c>
      <c r="E1659" s="7" t="s">
        <v>1177</v>
      </c>
      <c r="F1659" s="7" t="s">
        <v>128</v>
      </c>
      <c r="G1659" s="7" t="s">
        <v>130</v>
      </c>
      <c r="H1659" s="7" t="s">
        <v>129</v>
      </c>
      <c r="I1659" s="30">
        <v>15</v>
      </c>
      <c r="J1659" s="7" t="s">
        <v>1177</v>
      </c>
      <c r="K1659" s="7" t="s">
        <v>1178</v>
      </c>
      <c r="L1659" s="7" t="s">
        <v>132</v>
      </c>
      <c r="M1659" s="7" t="s">
        <v>133</v>
      </c>
      <c r="N1659" s="30">
        <v>0</v>
      </c>
      <c r="O1659" s="30">
        <v>0</v>
      </c>
      <c r="P1659" s="30">
        <v>0</v>
      </c>
      <c r="Q1659" s="30">
        <v>0</v>
      </c>
      <c r="R1659" s="29">
        <v>0</v>
      </c>
      <c r="S1659" s="36">
        <v>0</v>
      </c>
      <c r="T1659" s="7" t="s">
        <v>131</v>
      </c>
      <c r="U1659" s="7" t="s">
        <v>512</v>
      </c>
      <c r="V1659" s="7" t="s">
        <v>512</v>
      </c>
      <c r="W1659" s="7" t="s">
        <v>1177</v>
      </c>
      <c r="X1659" s="30">
        <v>4</v>
      </c>
      <c r="Y1659" s="7" t="s">
        <v>1177</v>
      </c>
      <c r="Z1659" s="7" t="s">
        <v>1178</v>
      </c>
      <c r="AA1659" s="30">
        <v>0</v>
      </c>
      <c r="AB1659" s="36">
        <v>0</v>
      </c>
      <c r="AC1659" s="7" t="s">
        <v>1177</v>
      </c>
      <c r="AD1659" s="37">
        <v>0</v>
      </c>
      <c r="AE1659" s="7" t="s">
        <v>1177</v>
      </c>
      <c r="AF1659" s="7" t="s">
        <v>1177</v>
      </c>
      <c r="AG1659" s="7" t="s">
        <v>1177</v>
      </c>
      <c r="AH1659" s="38"/>
      <c r="AI1659" s="36">
        <v>0</v>
      </c>
      <c r="AJ1659" s="7" t="s">
        <v>1193</v>
      </c>
      <c r="AK1659" s="7" t="s">
        <v>1177</v>
      </c>
      <c r="AL1659" s="7" t="s">
        <v>1177</v>
      </c>
      <c r="AM1659" s="7" t="s">
        <v>1177</v>
      </c>
      <c r="AN1659" s="7" t="s">
        <v>3212</v>
      </c>
      <c r="AO1659" s="7" t="s">
        <v>1177</v>
      </c>
      <c r="AP1659" s="7" t="s">
        <v>1177</v>
      </c>
      <c r="AQ1659" s="7" t="s">
        <v>1177</v>
      </c>
      <c r="AR1659" s="29">
        <v>0</v>
      </c>
      <c r="AS1659" s="7" t="s">
        <v>1177</v>
      </c>
      <c r="AT1659" s="7" t="s">
        <v>1363</v>
      </c>
      <c r="AU1659" s="38">
        <v>46275</v>
      </c>
      <c r="AV1659" s="39">
        <v>0.60350694444443997</v>
      </c>
    </row>
    <row r="1660" spans="1:48" x14ac:dyDescent="0.35">
      <c r="A1660" t="str">
        <f t="shared" si="25"/>
        <v>GP467360B856</v>
      </c>
      <c r="B1660" s="7" t="s">
        <v>507</v>
      </c>
      <c r="C1660" s="7" t="s">
        <v>852</v>
      </c>
      <c r="D1660" s="7" t="s">
        <v>21</v>
      </c>
      <c r="E1660" s="7" t="s">
        <v>1177</v>
      </c>
      <c r="F1660" s="7" t="s">
        <v>128</v>
      </c>
      <c r="G1660" s="7" t="s">
        <v>130</v>
      </c>
      <c r="H1660" s="7" t="s">
        <v>129</v>
      </c>
      <c r="I1660" s="30">
        <v>3</v>
      </c>
      <c r="J1660" s="7" t="s">
        <v>1177</v>
      </c>
      <c r="K1660" s="7" t="s">
        <v>1178</v>
      </c>
      <c r="L1660" s="7" t="s">
        <v>132</v>
      </c>
      <c r="M1660" s="7" t="s">
        <v>133</v>
      </c>
      <c r="N1660" s="30">
        <v>0</v>
      </c>
      <c r="O1660" s="30">
        <v>0</v>
      </c>
      <c r="P1660" s="30">
        <v>0</v>
      </c>
      <c r="Q1660" s="30">
        <v>0</v>
      </c>
      <c r="R1660" s="29">
        <v>0</v>
      </c>
      <c r="S1660" s="36">
        <v>0</v>
      </c>
      <c r="T1660" s="7" t="s">
        <v>131</v>
      </c>
      <c r="U1660" s="7" t="s">
        <v>853</v>
      </c>
      <c r="V1660" s="7" t="s">
        <v>853</v>
      </c>
      <c r="W1660" s="7" t="s">
        <v>1177</v>
      </c>
      <c r="X1660" s="30">
        <v>1</v>
      </c>
      <c r="Y1660" s="7" t="s">
        <v>1177</v>
      </c>
      <c r="Z1660" s="7" t="s">
        <v>1178</v>
      </c>
      <c r="AA1660" s="30">
        <v>0</v>
      </c>
      <c r="AB1660" s="36">
        <v>0</v>
      </c>
      <c r="AC1660" s="7" t="s">
        <v>1177</v>
      </c>
      <c r="AD1660" s="37">
        <v>0</v>
      </c>
      <c r="AE1660" s="7" t="s">
        <v>1177</v>
      </c>
      <c r="AF1660" s="7" t="s">
        <v>1177</v>
      </c>
      <c r="AG1660" s="7" t="s">
        <v>1177</v>
      </c>
      <c r="AH1660" s="38"/>
      <c r="AI1660" s="36">
        <v>0</v>
      </c>
      <c r="AJ1660" s="7" t="s">
        <v>1193</v>
      </c>
      <c r="AK1660" s="7" t="s">
        <v>1177</v>
      </c>
      <c r="AL1660" s="7" t="s">
        <v>1177</v>
      </c>
      <c r="AM1660" s="7" t="s">
        <v>1177</v>
      </c>
      <c r="AN1660" s="7" t="s">
        <v>3212</v>
      </c>
      <c r="AO1660" s="7" t="s">
        <v>1177</v>
      </c>
      <c r="AP1660" s="7" t="s">
        <v>1177</v>
      </c>
      <c r="AQ1660" s="7" t="s">
        <v>1177</v>
      </c>
      <c r="AR1660" s="29">
        <v>0</v>
      </c>
      <c r="AS1660" s="7" t="s">
        <v>1177</v>
      </c>
      <c r="AT1660" s="7" t="s">
        <v>1363</v>
      </c>
      <c r="AU1660" s="38">
        <v>46275</v>
      </c>
      <c r="AV1660" s="39">
        <v>0.60523148148147998</v>
      </c>
    </row>
    <row r="1661" spans="1:48" x14ac:dyDescent="0.35">
      <c r="A1661" t="str">
        <f t="shared" si="25"/>
        <v>GP467360B857</v>
      </c>
      <c r="B1661" s="7" t="s">
        <v>507</v>
      </c>
      <c r="C1661" s="7" t="s">
        <v>958</v>
      </c>
      <c r="D1661" s="7" t="s">
        <v>23</v>
      </c>
      <c r="E1661" s="7" t="s">
        <v>1177</v>
      </c>
      <c r="F1661" s="7" t="s">
        <v>128</v>
      </c>
      <c r="G1661" s="7" t="s">
        <v>130</v>
      </c>
      <c r="H1661" s="7" t="s">
        <v>129</v>
      </c>
      <c r="I1661" s="30">
        <v>2</v>
      </c>
      <c r="J1661" s="7" t="s">
        <v>1177</v>
      </c>
      <c r="K1661" s="7" t="s">
        <v>1178</v>
      </c>
      <c r="L1661" s="7" t="s">
        <v>132</v>
      </c>
      <c r="M1661" s="7" t="s">
        <v>133</v>
      </c>
      <c r="N1661" s="30">
        <v>0</v>
      </c>
      <c r="O1661" s="30">
        <v>0</v>
      </c>
      <c r="P1661" s="30">
        <v>0</v>
      </c>
      <c r="Q1661" s="30">
        <v>0</v>
      </c>
      <c r="R1661" s="29">
        <v>0</v>
      </c>
      <c r="S1661" s="36">
        <v>0</v>
      </c>
      <c r="T1661" s="7" t="s">
        <v>131</v>
      </c>
      <c r="U1661" s="7" t="s">
        <v>959</v>
      </c>
      <c r="V1661" s="7" t="s">
        <v>959</v>
      </c>
      <c r="W1661" s="7" t="s">
        <v>1177</v>
      </c>
      <c r="X1661" s="30">
        <v>1</v>
      </c>
      <c r="Y1661" s="7" t="s">
        <v>1177</v>
      </c>
      <c r="Z1661" s="7" t="s">
        <v>1178</v>
      </c>
      <c r="AA1661" s="30">
        <v>0</v>
      </c>
      <c r="AB1661" s="36">
        <v>0</v>
      </c>
      <c r="AC1661" s="7" t="s">
        <v>1177</v>
      </c>
      <c r="AD1661" s="37">
        <v>0</v>
      </c>
      <c r="AE1661" s="7" t="s">
        <v>1177</v>
      </c>
      <c r="AF1661" s="7" t="s">
        <v>1177</v>
      </c>
      <c r="AG1661" s="7" t="s">
        <v>1177</v>
      </c>
      <c r="AH1661" s="38"/>
      <c r="AI1661" s="36">
        <v>0</v>
      </c>
      <c r="AJ1661" s="7" t="s">
        <v>1193</v>
      </c>
      <c r="AK1661" s="7" t="s">
        <v>1177</v>
      </c>
      <c r="AL1661" s="7" t="s">
        <v>1177</v>
      </c>
      <c r="AM1661" s="7" t="s">
        <v>1177</v>
      </c>
      <c r="AN1661" s="7" t="s">
        <v>3212</v>
      </c>
      <c r="AO1661" s="7" t="s">
        <v>1177</v>
      </c>
      <c r="AP1661" s="7" t="s">
        <v>1177</v>
      </c>
      <c r="AQ1661" s="7" t="s">
        <v>1177</v>
      </c>
      <c r="AR1661" s="29">
        <v>0</v>
      </c>
      <c r="AS1661" s="7" t="s">
        <v>1177</v>
      </c>
      <c r="AT1661" s="7" t="s">
        <v>1363</v>
      </c>
      <c r="AU1661" s="38">
        <v>46275</v>
      </c>
      <c r="AV1661" s="39">
        <v>0.60524305555556002</v>
      </c>
    </row>
    <row r="1662" spans="1:48" x14ac:dyDescent="0.35">
      <c r="A1662" t="str">
        <f t="shared" si="25"/>
        <v>GP467713B867</v>
      </c>
      <c r="B1662" s="7" t="s">
        <v>1058</v>
      </c>
      <c r="C1662" s="7" t="s">
        <v>1059</v>
      </c>
      <c r="D1662" s="7" t="s">
        <v>25</v>
      </c>
      <c r="E1662" s="7" t="s">
        <v>1177</v>
      </c>
      <c r="F1662" s="7" t="s">
        <v>128</v>
      </c>
      <c r="G1662" s="7" t="s">
        <v>130</v>
      </c>
      <c r="H1662" s="7" t="s">
        <v>129</v>
      </c>
      <c r="I1662" s="30">
        <v>2</v>
      </c>
      <c r="J1662" s="7" t="s">
        <v>1177</v>
      </c>
      <c r="K1662" s="7" t="s">
        <v>1178</v>
      </c>
      <c r="L1662" s="7" t="s">
        <v>132</v>
      </c>
      <c r="M1662" s="7" t="s">
        <v>133</v>
      </c>
      <c r="N1662" s="30">
        <v>0</v>
      </c>
      <c r="O1662" s="30">
        <v>0</v>
      </c>
      <c r="P1662" s="30">
        <v>0</v>
      </c>
      <c r="Q1662" s="30">
        <v>0</v>
      </c>
      <c r="R1662" s="29">
        <v>0</v>
      </c>
      <c r="S1662" s="36">
        <v>0</v>
      </c>
      <c r="T1662" s="7" t="s">
        <v>131</v>
      </c>
      <c r="U1662" s="7" t="s">
        <v>1060</v>
      </c>
      <c r="V1662" s="7" t="s">
        <v>1060</v>
      </c>
      <c r="W1662" s="7" t="s">
        <v>1177</v>
      </c>
      <c r="X1662" s="30">
        <v>1</v>
      </c>
      <c r="Y1662" s="7" t="s">
        <v>1177</v>
      </c>
      <c r="Z1662" s="7" t="s">
        <v>1178</v>
      </c>
      <c r="AA1662" s="30">
        <v>0</v>
      </c>
      <c r="AB1662" s="36">
        <v>0</v>
      </c>
      <c r="AC1662" s="7" t="s">
        <v>1177</v>
      </c>
      <c r="AD1662" s="37">
        <v>0</v>
      </c>
      <c r="AE1662" s="7" t="s">
        <v>1177</v>
      </c>
      <c r="AF1662" s="7" t="s">
        <v>1177</v>
      </c>
      <c r="AG1662" s="7" t="s">
        <v>1177</v>
      </c>
      <c r="AH1662" s="38"/>
      <c r="AI1662" s="36">
        <v>0</v>
      </c>
      <c r="AJ1662" s="7" t="s">
        <v>1193</v>
      </c>
      <c r="AK1662" s="7" t="s">
        <v>1177</v>
      </c>
      <c r="AL1662" s="7" t="s">
        <v>1177</v>
      </c>
      <c r="AM1662" s="7" t="s">
        <v>1177</v>
      </c>
      <c r="AN1662" s="7" t="s">
        <v>3212</v>
      </c>
      <c r="AO1662" s="7" t="s">
        <v>1177</v>
      </c>
      <c r="AP1662" s="7" t="s">
        <v>1177</v>
      </c>
      <c r="AQ1662" s="7" t="s">
        <v>1177</v>
      </c>
      <c r="AR1662" s="29">
        <v>0</v>
      </c>
      <c r="AS1662" s="7" t="s">
        <v>1177</v>
      </c>
      <c r="AT1662" s="7" t="s">
        <v>1363</v>
      </c>
      <c r="AU1662" s="38">
        <v>46275</v>
      </c>
      <c r="AV1662" s="39">
        <v>0.62712962962963004</v>
      </c>
    </row>
    <row r="1663" spans="1:48" x14ac:dyDescent="0.35">
      <c r="A1663" t="str">
        <f t="shared" si="25"/>
        <v>GP467716B825</v>
      </c>
      <c r="B1663" s="7" t="s">
        <v>106</v>
      </c>
      <c r="C1663" s="7" t="s">
        <v>511</v>
      </c>
      <c r="D1663" s="7" t="s">
        <v>16</v>
      </c>
      <c r="E1663" s="7" t="s">
        <v>1177</v>
      </c>
      <c r="F1663" s="7" t="s">
        <v>128</v>
      </c>
      <c r="G1663" s="7" t="s">
        <v>130</v>
      </c>
      <c r="H1663" s="7" t="s">
        <v>129</v>
      </c>
      <c r="I1663" s="30">
        <v>9</v>
      </c>
      <c r="J1663" s="7" t="s">
        <v>1177</v>
      </c>
      <c r="K1663" s="7" t="s">
        <v>1178</v>
      </c>
      <c r="L1663" s="7" t="s">
        <v>132</v>
      </c>
      <c r="M1663" s="7" t="s">
        <v>133</v>
      </c>
      <c r="N1663" s="30">
        <v>0</v>
      </c>
      <c r="O1663" s="30">
        <v>0</v>
      </c>
      <c r="P1663" s="30">
        <v>0</v>
      </c>
      <c r="Q1663" s="30">
        <v>0</v>
      </c>
      <c r="R1663" s="29">
        <v>0</v>
      </c>
      <c r="S1663" s="36">
        <v>0</v>
      </c>
      <c r="T1663" s="7" t="s">
        <v>131</v>
      </c>
      <c r="U1663" s="7" t="s">
        <v>512</v>
      </c>
      <c r="V1663" s="7" t="s">
        <v>512</v>
      </c>
      <c r="W1663" s="7" t="s">
        <v>1177</v>
      </c>
      <c r="X1663" s="30">
        <v>2</v>
      </c>
      <c r="Y1663" s="7" t="s">
        <v>1177</v>
      </c>
      <c r="Z1663" s="7" t="s">
        <v>1178</v>
      </c>
      <c r="AA1663" s="30">
        <v>0</v>
      </c>
      <c r="AB1663" s="36">
        <v>0</v>
      </c>
      <c r="AC1663" s="7" t="s">
        <v>1177</v>
      </c>
      <c r="AD1663" s="37">
        <v>0</v>
      </c>
      <c r="AE1663" s="7" t="s">
        <v>1177</v>
      </c>
      <c r="AF1663" s="7" t="s">
        <v>1177</v>
      </c>
      <c r="AG1663" s="7" t="s">
        <v>1177</v>
      </c>
      <c r="AH1663" s="38"/>
      <c r="AI1663" s="36">
        <v>0</v>
      </c>
      <c r="AJ1663" s="7" t="s">
        <v>1193</v>
      </c>
      <c r="AK1663" s="7" t="s">
        <v>1177</v>
      </c>
      <c r="AL1663" s="7" t="s">
        <v>1177</v>
      </c>
      <c r="AM1663" s="7" t="s">
        <v>1177</v>
      </c>
      <c r="AN1663" s="7" t="s">
        <v>3212</v>
      </c>
      <c r="AO1663" s="7" t="s">
        <v>1177</v>
      </c>
      <c r="AP1663" s="7" t="s">
        <v>1177</v>
      </c>
      <c r="AQ1663" s="7" t="s">
        <v>1177</v>
      </c>
      <c r="AR1663" s="29">
        <v>0</v>
      </c>
      <c r="AS1663" s="7" t="s">
        <v>1177</v>
      </c>
      <c r="AT1663" s="7" t="s">
        <v>1363</v>
      </c>
      <c r="AU1663" s="38">
        <v>46275</v>
      </c>
      <c r="AV1663" s="39">
        <v>0.60350694444443997</v>
      </c>
    </row>
    <row r="1664" spans="1:48" x14ac:dyDescent="0.35">
      <c r="A1664" t="str">
        <f t="shared" si="25"/>
        <v>GP467716B832</v>
      </c>
      <c r="B1664" s="7" t="s">
        <v>106</v>
      </c>
      <c r="C1664" s="7" t="s">
        <v>653</v>
      </c>
      <c r="D1664" s="7" t="s">
        <v>19</v>
      </c>
      <c r="E1664" s="7" t="s">
        <v>1177</v>
      </c>
      <c r="F1664" s="7" t="s">
        <v>128</v>
      </c>
      <c r="G1664" s="7" t="s">
        <v>130</v>
      </c>
      <c r="H1664" s="7" t="s">
        <v>129</v>
      </c>
      <c r="I1664" s="30">
        <v>2</v>
      </c>
      <c r="J1664" s="7" t="s">
        <v>1177</v>
      </c>
      <c r="K1664" s="7" t="s">
        <v>1178</v>
      </c>
      <c r="L1664" s="7" t="s">
        <v>132</v>
      </c>
      <c r="M1664" s="7" t="s">
        <v>133</v>
      </c>
      <c r="N1664" s="30">
        <v>0</v>
      </c>
      <c r="O1664" s="30">
        <v>0</v>
      </c>
      <c r="P1664" s="30">
        <v>0</v>
      </c>
      <c r="Q1664" s="30">
        <v>0</v>
      </c>
      <c r="R1664" s="29">
        <v>0</v>
      </c>
      <c r="S1664" s="36">
        <v>0</v>
      </c>
      <c r="T1664" s="7" t="s">
        <v>131</v>
      </c>
      <c r="U1664" s="7" t="s">
        <v>654</v>
      </c>
      <c r="V1664" s="7" t="s">
        <v>654</v>
      </c>
      <c r="W1664" s="7" t="s">
        <v>1177</v>
      </c>
      <c r="X1664" s="30">
        <v>1</v>
      </c>
      <c r="Y1664" s="7" t="s">
        <v>1177</v>
      </c>
      <c r="Z1664" s="7" t="s">
        <v>1178</v>
      </c>
      <c r="AA1664" s="30">
        <v>0</v>
      </c>
      <c r="AB1664" s="36">
        <v>0</v>
      </c>
      <c r="AC1664" s="7" t="s">
        <v>1177</v>
      </c>
      <c r="AD1664" s="37">
        <v>0</v>
      </c>
      <c r="AE1664" s="7" t="s">
        <v>1177</v>
      </c>
      <c r="AF1664" s="7" t="s">
        <v>1177</v>
      </c>
      <c r="AG1664" s="7" t="s">
        <v>1177</v>
      </c>
      <c r="AH1664" s="38"/>
      <c r="AI1664" s="36">
        <v>0</v>
      </c>
      <c r="AJ1664" s="7" t="s">
        <v>1193</v>
      </c>
      <c r="AK1664" s="7" t="s">
        <v>1177</v>
      </c>
      <c r="AL1664" s="7" t="s">
        <v>1177</v>
      </c>
      <c r="AM1664" s="7" t="s">
        <v>1177</v>
      </c>
      <c r="AN1664" s="7" t="s">
        <v>3212</v>
      </c>
      <c r="AO1664" s="7" t="s">
        <v>1177</v>
      </c>
      <c r="AP1664" s="7" t="s">
        <v>1177</v>
      </c>
      <c r="AQ1664" s="7" t="s">
        <v>1177</v>
      </c>
      <c r="AR1664" s="29">
        <v>0</v>
      </c>
      <c r="AS1664" s="7" t="s">
        <v>1177</v>
      </c>
      <c r="AT1664" s="7" t="s">
        <v>1363</v>
      </c>
      <c r="AU1664" s="38">
        <v>46275</v>
      </c>
      <c r="AV1664" s="39">
        <v>0.60386574074073995</v>
      </c>
    </row>
    <row r="1665" spans="1:48" x14ac:dyDescent="0.35">
      <c r="A1665" t="str">
        <f t="shared" si="25"/>
        <v>GP467716B838</v>
      </c>
      <c r="B1665" s="7" t="s">
        <v>106</v>
      </c>
      <c r="C1665" s="7" t="s">
        <v>744</v>
      </c>
      <c r="D1665" s="7" t="s">
        <v>48</v>
      </c>
      <c r="E1665" s="7" t="s">
        <v>1177</v>
      </c>
      <c r="F1665" s="7" t="s">
        <v>128</v>
      </c>
      <c r="G1665" s="7" t="s">
        <v>130</v>
      </c>
      <c r="H1665" s="7" t="s">
        <v>129</v>
      </c>
      <c r="I1665" s="30">
        <v>9</v>
      </c>
      <c r="J1665" s="7" t="s">
        <v>1177</v>
      </c>
      <c r="K1665" s="7" t="s">
        <v>1178</v>
      </c>
      <c r="L1665" s="7" t="s">
        <v>132</v>
      </c>
      <c r="M1665" s="7" t="s">
        <v>133</v>
      </c>
      <c r="N1665" s="30">
        <v>0</v>
      </c>
      <c r="O1665" s="30">
        <v>0</v>
      </c>
      <c r="P1665" s="30">
        <v>0</v>
      </c>
      <c r="Q1665" s="30">
        <v>0</v>
      </c>
      <c r="R1665" s="29">
        <v>0</v>
      </c>
      <c r="S1665" s="36">
        <v>0</v>
      </c>
      <c r="T1665" s="7" t="s">
        <v>131</v>
      </c>
      <c r="U1665" s="7" t="s">
        <v>745</v>
      </c>
      <c r="V1665" s="7" t="s">
        <v>745</v>
      </c>
      <c r="W1665" s="7" t="s">
        <v>1177</v>
      </c>
      <c r="X1665" s="30">
        <v>2</v>
      </c>
      <c r="Y1665" s="7" t="s">
        <v>1177</v>
      </c>
      <c r="Z1665" s="7" t="s">
        <v>1178</v>
      </c>
      <c r="AA1665" s="30">
        <v>0</v>
      </c>
      <c r="AB1665" s="36">
        <v>0</v>
      </c>
      <c r="AC1665" s="7" t="s">
        <v>1177</v>
      </c>
      <c r="AD1665" s="37">
        <v>0</v>
      </c>
      <c r="AE1665" s="7" t="s">
        <v>1177</v>
      </c>
      <c r="AF1665" s="7" t="s">
        <v>1177</v>
      </c>
      <c r="AG1665" s="7" t="s">
        <v>1177</v>
      </c>
      <c r="AH1665" s="38"/>
      <c r="AI1665" s="36">
        <v>0</v>
      </c>
      <c r="AJ1665" s="7" t="s">
        <v>1193</v>
      </c>
      <c r="AK1665" s="7" t="s">
        <v>1177</v>
      </c>
      <c r="AL1665" s="7" t="s">
        <v>1177</v>
      </c>
      <c r="AM1665" s="7" t="s">
        <v>1177</v>
      </c>
      <c r="AN1665" s="7" t="s">
        <v>3212</v>
      </c>
      <c r="AO1665" s="7" t="s">
        <v>1177</v>
      </c>
      <c r="AP1665" s="7" t="s">
        <v>1177</v>
      </c>
      <c r="AQ1665" s="7" t="s">
        <v>1177</v>
      </c>
      <c r="AR1665" s="29">
        <v>0</v>
      </c>
      <c r="AS1665" s="7" t="s">
        <v>1177</v>
      </c>
      <c r="AT1665" s="7" t="s">
        <v>1363</v>
      </c>
      <c r="AU1665" s="38">
        <v>46275</v>
      </c>
      <c r="AV1665" s="39">
        <v>0.60450231481480998</v>
      </c>
    </row>
    <row r="1666" spans="1:48" x14ac:dyDescent="0.35">
      <c r="A1666" t="str">
        <f t="shared" si="25"/>
        <v>GP475473B825</v>
      </c>
      <c r="B1666" s="7" t="s">
        <v>430</v>
      </c>
      <c r="C1666" s="7" t="s">
        <v>511</v>
      </c>
      <c r="D1666" s="7" t="s">
        <v>16</v>
      </c>
      <c r="E1666" s="7" t="s">
        <v>1177</v>
      </c>
      <c r="F1666" s="7" t="s">
        <v>128</v>
      </c>
      <c r="G1666" s="7" t="s">
        <v>130</v>
      </c>
      <c r="H1666" s="7" t="s">
        <v>129</v>
      </c>
      <c r="I1666" s="30">
        <v>9</v>
      </c>
      <c r="J1666" s="7" t="s">
        <v>1177</v>
      </c>
      <c r="K1666" s="7" t="s">
        <v>1178</v>
      </c>
      <c r="L1666" s="7" t="s">
        <v>132</v>
      </c>
      <c r="M1666" s="7" t="s">
        <v>133</v>
      </c>
      <c r="N1666" s="30">
        <v>0</v>
      </c>
      <c r="O1666" s="30">
        <v>0</v>
      </c>
      <c r="P1666" s="30">
        <v>0</v>
      </c>
      <c r="Q1666" s="30">
        <v>0</v>
      </c>
      <c r="R1666" s="29">
        <v>0</v>
      </c>
      <c r="S1666" s="36">
        <v>0</v>
      </c>
      <c r="T1666" s="7" t="s">
        <v>131</v>
      </c>
      <c r="U1666" s="7" t="s">
        <v>512</v>
      </c>
      <c r="V1666" s="7" t="s">
        <v>512</v>
      </c>
      <c r="W1666" s="7" t="s">
        <v>1177</v>
      </c>
      <c r="X1666" s="30">
        <v>2</v>
      </c>
      <c r="Y1666" s="7" t="s">
        <v>1177</v>
      </c>
      <c r="Z1666" s="7" t="s">
        <v>1178</v>
      </c>
      <c r="AA1666" s="30">
        <v>0</v>
      </c>
      <c r="AB1666" s="36">
        <v>0</v>
      </c>
      <c r="AC1666" s="7" t="s">
        <v>1177</v>
      </c>
      <c r="AD1666" s="37">
        <v>0</v>
      </c>
      <c r="AE1666" s="7" t="s">
        <v>1177</v>
      </c>
      <c r="AF1666" s="7" t="s">
        <v>1177</v>
      </c>
      <c r="AG1666" s="7" t="s">
        <v>1177</v>
      </c>
      <c r="AH1666" s="38"/>
      <c r="AI1666" s="36">
        <v>0</v>
      </c>
      <c r="AJ1666" s="7" t="s">
        <v>1193</v>
      </c>
      <c r="AK1666" s="7" t="s">
        <v>1177</v>
      </c>
      <c r="AL1666" s="7" t="s">
        <v>1177</v>
      </c>
      <c r="AM1666" s="7" t="s">
        <v>1177</v>
      </c>
      <c r="AN1666" s="7" t="s">
        <v>3212</v>
      </c>
      <c r="AO1666" s="7" t="s">
        <v>1177</v>
      </c>
      <c r="AP1666" s="7" t="s">
        <v>1177</v>
      </c>
      <c r="AQ1666" s="7" t="s">
        <v>1177</v>
      </c>
      <c r="AR1666" s="29">
        <v>0</v>
      </c>
      <c r="AS1666" s="7" t="s">
        <v>1177</v>
      </c>
      <c r="AT1666" s="7" t="s">
        <v>1363</v>
      </c>
      <c r="AU1666" s="38">
        <v>46275</v>
      </c>
      <c r="AV1666" s="39">
        <v>0.60349537037037004</v>
      </c>
    </row>
    <row r="1667" spans="1:48" x14ac:dyDescent="0.35">
      <c r="A1667" t="str">
        <f t="shared" ref="A1667:A1730" si="26">_xlfn.CONCAT(B1667,D1667)</f>
        <v>GP475473B832</v>
      </c>
      <c r="B1667" s="7" t="s">
        <v>430</v>
      </c>
      <c r="C1667" s="7" t="s">
        <v>653</v>
      </c>
      <c r="D1667" s="7" t="s">
        <v>19</v>
      </c>
      <c r="E1667" s="7" t="s">
        <v>1177</v>
      </c>
      <c r="F1667" s="7" t="s">
        <v>128</v>
      </c>
      <c r="G1667" s="7" t="s">
        <v>130</v>
      </c>
      <c r="H1667" s="7" t="s">
        <v>129</v>
      </c>
      <c r="I1667" s="30">
        <v>1</v>
      </c>
      <c r="J1667" s="7" t="s">
        <v>1177</v>
      </c>
      <c r="K1667" s="7" t="s">
        <v>1178</v>
      </c>
      <c r="L1667" s="7" t="s">
        <v>132</v>
      </c>
      <c r="M1667" s="7" t="s">
        <v>133</v>
      </c>
      <c r="N1667" s="30">
        <v>0</v>
      </c>
      <c r="O1667" s="30">
        <v>0</v>
      </c>
      <c r="P1667" s="30">
        <v>0</v>
      </c>
      <c r="Q1667" s="30">
        <v>0</v>
      </c>
      <c r="R1667" s="29">
        <v>0</v>
      </c>
      <c r="S1667" s="36">
        <v>0</v>
      </c>
      <c r="T1667" s="7" t="s">
        <v>131</v>
      </c>
      <c r="U1667" s="7" t="s">
        <v>654</v>
      </c>
      <c r="V1667" s="7" t="s">
        <v>654</v>
      </c>
      <c r="W1667" s="7" t="s">
        <v>1177</v>
      </c>
      <c r="X1667" s="30">
        <v>1</v>
      </c>
      <c r="Y1667" s="7" t="s">
        <v>1177</v>
      </c>
      <c r="Z1667" s="7" t="s">
        <v>1178</v>
      </c>
      <c r="AA1667" s="30">
        <v>0</v>
      </c>
      <c r="AB1667" s="36">
        <v>0</v>
      </c>
      <c r="AC1667" s="7" t="s">
        <v>1177</v>
      </c>
      <c r="AD1667" s="37">
        <v>0</v>
      </c>
      <c r="AE1667" s="7" t="s">
        <v>1177</v>
      </c>
      <c r="AF1667" s="7" t="s">
        <v>1177</v>
      </c>
      <c r="AG1667" s="7" t="s">
        <v>1177</v>
      </c>
      <c r="AH1667" s="38"/>
      <c r="AI1667" s="36">
        <v>0</v>
      </c>
      <c r="AJ1667" s="7" t="s">
        <v>1193</v>
      </c>
      <c r="AK1667" s="7" t="s">
        <v>1177</v>
      </c>
      <c r="AL1667" s="7" t="s">
        <v>1177</v>
      </c>
      <c r="AM1667" s="7" t="s">
        <v>1177</v>
      </c>
      <c r="AN1667" s="7" t="s">
        <v>3212</v>
      </c>
      <c r="AO1667" s="7" t="s">
        <v>1177</v>
      </c>
      <c r="AP1667" s="7" t="s">
        <v>1177</v>
      </c>
      <c r="AQ1667" s="7" t="s">
        <v>1177</v>
      </c>
      <c r="AR1667" s="29">
        <v>0</v>
      </c>
      <c r="AS1667" s="7" t="s">
        <v>1177</v>
      </c>
      <c r="AT1667" s="7" t="s">
        <v>1363</v>
      </c>
      <c r="AU1667" s="38">
        <v>46275</v>
      </c>
      <c r="AV1667" s="39">
        <v>0.60384259259258999</v>
      </c>
    </row>
    <row r="1668" spans="1:48" x14ac:dyDescent="0.35">
      <c r="A1668" t="str">
        <f t="shared" si="26"/>
        <v>GP475474B832</v>
      </c>
      <c r="B1668" s="7" t="s">
        <v>431</v>
      </c>
      <c r="C1668" s="7" t="s">
        <v>653</v>
      </c>
      <c r="D1668" s="7" t="s">
        <v>19</v>
      </c>
      <c r="E1668" s="7" t="s">
        <v>1177</v>
      </c>
      <c r="F1668" s="7" t="s">
        <v>128</v>
      </c>
      <c r="G1668" s="7" t="s">
        <v>130</v>
      </c>
      <c r="H1668" s="7" t="s">
        <v>129</v>
      </c>
      <c r="I1668" s="30">
        <v>1</v>
      </c>
      <c r="J1668" s="7" t="s">
        <v>1177</v>
      </c>
      <c r="K1668" s="7" t="s">
        <v>1178</v>
      </c>
      <c r="L1668" s="7" t="s">
        <v>132</v>
      </c>
      <c r="M1668" s="7" t="s">
        <v>133</v>
      </c>
      <c r="N1668" s="30">
        <v>0</v>
      </c>
      <c r="O1668" s="30">
        <v>0</v>
      </c>
      <c r="P1668" s="30">
        <v>0</v>
      </c>
      <c r="Q1668" s="30">
        <v>0</v>
      </c>
      <c r="R1668" s="29">
        <v>0</v>
      </c>
      <c r="S1668" s="36">
        <v>0</v>
      </c>
      <c r="T1668" s="7" t="s">
        <v>131</v>
      </c>
      <c r="U1668" s="7" t="s">
        <v>654</v>
      </c>
      <c r="V1668" s="7" t="s">
        <v>654</v>
      </c>
      <c r="W1668" s="7" t="s">
        <v>1177</v>
      </c>
      <c r="X1668" s="30">
        <v>1</v>
      </c>
      <c r="Y1668" s="7" t="s">
        <v>1177</v>
      </c>
      <c r="Z1668" s="7" t="s">
        <v>1178</v>
      </c>
      <c r="AA1668" s="30">
        <v>0</v>
      </c>
      <c r="AB1668" s="36">
        <v>0</v>
      </c>
      <c r="AC1668" s="7" t="s">
        <v>1177</v>
      </c>
      <c r="AD1668" s="37">
        <v>0</v>
      </c>
      <c r="AE1668" s="7" t="s">
        <v>1177</v>
      </c>
      <c r="AF1668" s="7" t="s">
        <v>1177</v>
      </c>
      <c r="AG1668" s="7" t="s">
        <v>1177</v>
      </c>
      <c r="AH1668" s="38"/>
      <c r="AI1668" s="36">
        <v>0</v>
      </c>
      <c r="AJ1668" s="7" t="s">
        <v>1193</v>
      </c>
      <c r="AK1668" s="7" t="s">
        <v>1177</v>
      </c>
      <c r="AL1668" s="7" t="s">
        <v>1177</v>
      </c>
      <c r="AM1668" s="7" t="s">
        <v>1177</v>
      </c>
      <c r="AN1668" s="7" t="s">
        <v>3212</v>
      </c>
      <c r="AO1668" s="7" t="s">
        <v>1177</v>
      </c>
      <c r="AP1668" s="7" t="s">
        <v>1177</v>
      </c>
      <c r="AQ1668" s="7" t="s">
        <v>1177</v>
      </c>
      <c r="AR1668" s="29">
        <v>0</v>
      </c>
      <c r="AS1668" s="7" t="s">
        <v>1177</v>
      </c>
      <c r="AT1668" s="7" t="s">
        <v>1363</v>
      </c>
      <c r="AU1668" s="38">
        <v>46275</v>
      </c>
      <c r="AV1668" s="39">
        <v>0.62332175925926003</v>
      </c>
    </row>
    <row r="1669" spans="1:48" x14ac:dyDescent="0.35">
      <c r="A1669" t="str">
        <f t="shared" si="26"/>
        <v>GP479066B856</v>
      </c>
      <c r="B1669" s="7" t="s">
        <v>947</v>
      </c>
      <c r="C1669" s="7" t="s">
        <v>852</v>
      </c>
      <c r="D1669" s="7" t="s">
        <v>21</v>
      </c>
      <c r="E1669" s="7" t="s">
        <v>1177</v>
      </c>
      <c r="F1669" s="7" t="s">
        <v>128</v>
      </c>
      <c r="G1669" s="7" t="s">
        <v>130</v>
      </c>
      <c r="H1669" s="7" t="s">
        <v>129</v>
      </c>
      <c r="I1669" s="30">
        <v>1</v>
      </c>
      <c r="J1669" s="7" t="s">
        <v>1177</v>
      </c>
      <c r="K1669" s="7" t="s">
        <v>1178</v>
      </c>
      <c r="L1669" s="7" t="s">
        <v>132</v>
      </c>
      <c r="M1669" s="7" t="s">
        <v>133</v>
      </c>
      <c r="N1669" s="30">
        <v>0</v>
      </c>
      <c r="O1669" s="30">
        <v>0</v>
      </c>
      <c r="P1669" s="30">
        <v>0</v>
      </c>
      <c r="Q1669" s="30">
        <v>0</v>
      </c>
      <c r="R1669" s="29">
        <v>0</v>
      </c>
      <c r="S1669" s="36">
        <v>0</v>
      </c>
      <c r="T1669" s="7" t="s">
        <v>131</v>
      </c>
      <c r="U1669" s="7" t="s">
        <v>853</v>
      </c>
      <c r="V1669" s="7" t="s">
        <v>853</v>
      </c>
      <c r="W1669" s="7" t="s">
        <v>1177</v>
      </c>
      <c r="X1669" s="30">
        <v>1</v>
      </c>
      <c r="Y1669" s="7" t="s">
        <v>1177</v>
      </c>
      <c r="Z1669" s="7" t="s">
        <v>1178</v>
      </c>
      <c r="AA1669" s="30">
        <v>0</v>
      </c>
      <c r="AB1669" s="36">
        <v>0</v>
      </c>
      <c r="AC1669" s="7" t="s">
        <v>1177</v>
      </c>
      <c r="AD1669" s="37">
        <v>0</v>
      </c>
      <c r="AE1669" s="7" t="s">
        <v>1177</v>
      </c>
      <c r="AF1669" s="7" t="s">
        <v>1177</v>
      </c>
      <c r="AG1669" s="7" t="s">
        <v>1177</v>
      </c>
      <c r="AH1669" s="38"/>
      <c r="AI1669" s="36">
        <v>0</v>
      </c>
      <c r="AJ1669" s="7" t="s">
        <v>1193</v>
      </c>
      <c r="AK1669" s="7" t="s">
        <v>1177</v>
      </c>
      <c r="AL1669" s="7" t="s">
        <v>1177</v>
      </c>
      <c r="AM1669" s="7" t="s">
        <v>1177</v>
      </c>
      <c r="AN1669" s="7" t="s">
        <v>3212</v>
      </c>
      <c r="AO1669" s="7" t="s">
        <v>1177</v>
      </c>
      <c r="AP1669" s="7" t="s">
        <v>1177</v>
      </c>
      <c r="AQ1669" s="7" t="s">
        <v>1177</v>
      </c>
      <c r="AR1669" s="29">
        <v>0</v>
      </c>
      <c r="AS1669" s="7" t="s">
        <v>1177</v>
      </c>
      <c r="AT1669" s="7" t="s">
        <v>1363</v>
      </c>
      <c r="AU1669" s="38">
        <v>46275</v>
      </c>
      <c r="AV1669" s="39">
        <v>0.62486111111110998</v>
      </c>
    </row>
    <row r="1670" spans="1:48" x14ac:dyDescent="0.35">
      <c r="A1670" t="str">
        <f t="shared" si="26"/>
        <v>GP479069B856</v>
      </c>
      <c r="B1670" s="7" t="s">
        <v>948</v>
      </c>
      <c r="C1670" s="7" t="s">
        <v>852</v>
      </c>
      <c r="D1670" s="7" t="s">
        <v>21</v>
      </c>
      <c r="E1670" s="7" t="s">
        <v>1177</v>
      </c>
      <c r="F1670" s="7" t="s">
        <v>128</v>
      </c>
      <c r="G1670" s="7" t="s">
        <v>130</v>
      </c>
      <c r="H1670" s="7" t="s">
        <v>129</v>
      </c>
      <c r="I1670" s="30">
        <v>1</v>
      </c>
      <c r="J1670" s="7" t="s">
        <v>1177</v>
      </c>
      <c r="K1670" s="7" t="s">
        <v>1178</v>
      </c>
      <c r="L1670" s="7" t="s">
        <v>132</v>
      </c>
      <c r="M1670" s="7" t="s">
        <v>133</v>
      </c>
      <c r="N1670" s="30">
        <v>0</v>
      </c>
      <c r="O1670" s="30">
        <v>0</v>
      </c>
      <c r="P1670" s="30">
        <v>0</v>
      </c>
      <c r="Q1670" s="30">
        <v>0</v>
      </c>
      <c r="R1670" s="29">
        <v>0</v>
      </c>
      <c r="S1670" s="36">
        <v>0</v>
      </c>
      <c r="T1670" s="7" t="s">
        <v>131</v>
      </c>
      <c r="U1670" s="7" t="s">
        <v>853</v>
      </c>
      <c r="V1670" s="7" t="s">
        <v>853</v>
      </c>
      <c r="W1670" s="7" t="s">
        <v>1177</v>
      </c>
      <c r="X1670" s="30">
        <v>1</v>
      </c>
      <c r="Y1670" s="7" t="s">
        <v>1177</v>
      </c>
      <c r="Z1670" s="7" t="s">
        <v>1178</v>
      </c>
      <c r="AA1670" s="30">
        <v>0</v>
      </c>
      <c r="AB1670" s="36">
        <v>0</v>
      </c>
      <c r="AC1670" s="7" t="s">
        <v>1177</v>
      </c>
      <c r="AD1670" s="37">
        <v>0</v>
      </c>
      <c r="AE1670" s="7" t="s">
        <v>1177</v>
      </c>
      <c r="AF1670" s="7" t="s">
        <v>1177</v>
      </c>
      <c r="AG1670" s="7" t="s">
        <v>1177</v>
      </c>
      <c r="AH1670" s="38"/>
      <c r="AI1670" s="36">
        <v>0</v>
      </c>
      <c r="AJ1670" s="7" t="s">
        <v>1193</v>
      </c>
      <c r="AK1670" s="7" t="s">
        <v>1177</v>
      </c>
      <c r="AL1670" s="7" t="s">
        <v>1177</v>
      </c>
      <c r="AM1670" s="7" t="s">
        <v>1177</v>
      </c>
      <c r="AN1670" s="7" t="s">
        <v>3212</v>
      </c>
      <c r="AO1670" s="7" t="s">
        <v>1177</v>
      </c>
      <c r="AP1670" s="7" t="s">
        <v>1177</v>
      </c>
      <c r="AQ1670" s="7" t="s">
        <v>1177</v>
      </c>
      <c r="AR1670" s="29">
        <v>0</v>
      </c>
      <c r="AS1670" s="7" t="s">
        <v>1177</v>
      </c>
      <c r="AT1670" s="7" t="s">
        <v>1363</v>
      </c>
      <c r="AU1670" s="38">
        <v>46275</v>
      </c>
      <c r="AV1670" s="39">
        <v>0.62486111111110998</v>
      </c>
    </row>
    <row r="1671" spans="1:48" x14ac:dyDescent="0.35">
      <c r="A1671" t="str">
        <f t="shared" si="26"/>
        <v>GP479694B856</v>
      </c>
      <c r="B1671" s="7" t="s">
        <v>842</v>
      </c>
      <c r="C1671" s="7" t="s">
        <v>852</v>
      </c>
      <c r="D1671" s="7" t="s">
        <v>21</v>
      </c>
      <c r="E1671" s="7" t="s">
        <v>1177</v>
      </c>
      <c r="F1671" s="7" t="s">
        <v>134</v>
      </c>
      <c r="G1671" s="7" t="s">
        <v>130</v>
      </c>
      <c r="H1671" s="7" t="s">
        <v>129</v>
      </c>
      <c r="I1671" s="30">
        <v>52</v>
      </c>
      <c r="J1671" s="7" t="s">
        <v>1177</v>
      </c>
      <c r="K1671" s="7" t="s">
        <v>1178</v>
      </c>
      <c r="L1671" s="7" t="s">
        <v>132</v>
      </c>
      <c r="M1671" s="7" t="s">
        <v>133</v>
      </c>
      <c r="N1671" s="30">
        <v>0</v>
      </c>
      <c r="O1671" s="30">
        <v>0</v>
      </c>
      <c r="P1671" s="30">
        <v>0</v>
      </c>
      <c r="Q1671" s="30">
        <v>0</v>
      </c>
      <c r="R1671" s="29">
        <v>0</v>
      </c>
      <c r="S1671" s="36">
        <v>0</v>
      </c>
      <c r="T1671" s="7" t="s">
        <v>131</v>
      </c>
      <c r="U1671" s="7" t="s">
        <v>853</v>
      </c>
      <c r="V1671" s="7" t="s">
        <v>853</v>
      </c>
      <c r="W1671" s="7" t="s">
        <v>1177</v>
      </c>
      <c r="X1671" s="30">
        <v>52</v>
      </c>
      <c r="Y1671" s="7" t="s">
        <v>1177</v>
      </c>
      <c r="Z1671" s="7" t="s">
        <v>1178</v>
      </c>
      <c r="AA1671" s="30">
        <v>0</v>
      </c>
      <c r="AB1671" s="36">
        <v>0</v>
      </c>
      <c r="AC1671" s="7" t="s">
        <v>1177</v>
      </c>
      <c r="AD1671" s="37">
        <v>0</v>
      </c>
      <c r="AE1671" s="7" t="s">
        <v>1177</v>
      </c>
      <c r="AF1671" s="7" t="s">
        <v>1177</v>
      </c>
      <c r="AG1671" s="7" t="s">
        <v>1177</v>
      </c>
      <c r="AH1671" s="38"/>
      <c r="AI1671" s="36">
        <v>0</v>
      </c>
      <c r="AJ1671" s="7" t="s">
        <v>1193</v>
      </c>
      <c r="AK1671" s="7" t="s">
        <v>1177</v>
      </c>
      <c r="AL1671" s="7" t="s">
        <v>1177</v>
      </c>
      <c r="AM1671" s="7" t="s">
        <v>1177</v>
      </c>
      <c r="AN1671" s="7" t="s">
        <v>3212</v>
      </c>
      <c r="AO1671" s="7" t="s">
        <v>1177</v>
      </c>
      <c r="AP1671" s="7" t="s">
        <v>1177</v>
      </c>
      <c r="AQ1671" s="7" t="s">
        <v>1177</v>
      </c>
      <c r="AR1671" s="29">
        <v>0</v>
      </c>
      <c r="AS1671" s="7" t="s">
        <v>1177</v>
      </c>
      <c r="AT1671" s="7" t="s">
        <v>1363</v>
      </c>
      <c r="AU1671" s="38">
        <v>46275</v>
      </c>
      <c r="AV1671" s="39">
        <v>0.62484953703704005</v>
      </c>
    </row>
    <row r="1672" spans="1:48" x14ac:dyDescent="0.35">
      <c r="A1672" t="str">
        <f t="shared" si="26"/>
        <v>GP479694B857</v>
      </c>
      <c r="B1672" s="7" t="s">
        <v>842</v>
      </c>
      <c r="C1672" s="7" t="s">
        <v>958</v>
      </c>
      <c r="D1672" s="7" t="s">
        <v>23</v>
      </c>
      <c r="E1672" s="7" t="s">
        <v>1177</v>
      </c>
      <c r="F1672" s="7" t="s">
        <v>134</v>
      </c>
      <c r="G1672" s="7" t="s">
        <v>130</v>
      </c>
      <c r="H1672" s="7" t="s">
        <v>129</v>
      </c>
      <c r="I1672" s="30">
        <v>50</v>
      </c>
      <c r="J1672" s="7" t="s">
        <v>1177</v>
      </c>
      <c r="K1672" s="7" t="s">
        <v>1178</v>
      </c>
      <c r="L1672" s="7" t="s">
        <v>132</v>
      </c>
      <c r="M1672" s="7" t="s">
        <v>133</v>
      </c>
      <c r="N1672" s="30">
        <v>0</v>
      </c>
      <c r="O1672" s="30">
        <v>0</v>
      </c>
      <c r="P1672" s="30">
        <v>0</v>
      </c>
      <c r="Q1672" s="30">
        <v>0</v>
      </c>
      <c r="R1672" s="29">
        <v>0</v>
      </c>
      <c r="S1672" s="36">
        <v>0</v>
      </c>
      <c r="T1672" s="7" t="s">
        <v>131</v>
      </c>
      <c r="U1672" s="7" t="s">
        <v>959</v>
      </c>
      <c r="V1672" s="7" t="s">
        <v>959</v>
      </c>
      <c r="W1672" s="7" t="s">
        <v>1177</v>
      </c>
      <c r="X1672" s="30">
        <v>50</v>
      </c>
      <c r="Y1672" s="7" t="s">
        <v>1177</v>
      </c>
      <c r="Z1672" s="7" t="s">
        <v>1178</v>
      </c>
      <c r="AA1672" s="30">
        <v>0</v>
      </c>
      <c r="AB1672" s="36">
        <v>0</v>
      </c>
      <c r="AC1672" s="7" t="s">
        <v>1177</v>
      </c>
      <c r="AD1672" s="37">
        <v>0</v>
      </c>
      <c r="AE1672" s="7" t="s">
        <v>1177</v>
      </c>
      <c r="AF1672" s="7" t="s">
        <v>1177</v>
      </c>
      <c r="AG1672" s="7" t="s">
        <v>1177</v>
      </c>
      <c r="AH1672" s="38"/>
      <c r="AI1672" s="36">
        <v>0</v>
      </c>
      <c r="AJ1672" s="7" t="s">
        <v>1193</v>
      </c>
      <c r="AK1672" s="7" t="s">
        <v>1177</v>
      </c>
      <c r="AL1672" s="7" t="s">
        <v>1177</v>
      </c>
      <c r="AM1672" s="7" t="s">
        <v>1177</v>
      </c>
      <c r="AN1672" s="7" t="s">
        <v>3212</v>
      </c>
      <c r="AO1672" s="7" t="s">
        <v>1177</v>
      </c>
      <c r="AP1672" s="7" t="s">
        <v>1177</v>
      </c>
      <c r="AQ1672" s="7" t="s">
        <v>1177</v>
      </c>
      <c r="AR1672" s="29">
        <v>0</v>
      </c>
      <c r="AS1672" s="7" t="s">
        <v>1177</v>
      </c>
      <c r="AT1672" s="7" t="s">
        <v>1363</v>
      </c>
      <c r="AU1672" s="38">
        <v>46275</v>
      </c>
      <c r="AV1672" s="39">
        <v>0.62506944444444001</v>
      </c>
    </row>
    <row r="1673" spans="1:48" x14ac:dyDescent="0.35">
      <c r="A1673" t="str">
        <f t="shared" si="26"/>
        <v>GP479694B864</v>
      </c>
      <c r="B1673" s="7" t="s">
        <v>842</v>
      </c>
      <c r="C1673" s="7" t="s">
        <v>1010</v>
      </c>
      <c r="D1673" s="7" t="s">
        <v>10</v>
      </c>
      <c r="E1673" s="7" t="s">
        <v>1177</v>
      </c>
      <c r="F1673" s="7" t="s">
        <v>134</v>
      </c>
      <c r="G1673" s="7" t="s">
        <v>130</v>
      </c>
      <c r="H1673" s="7" t="s">
        <v>129</v>
      </c>
      <c r="I1673" s="30">
        <v>80</v>
      </c>
      <c r="J1673" s="7" t="s">
        <v>1177</v>
      </c>
      <c r="K1673" s="7" t="s">
        <v>1178</v>
      </c>
      <c r="L1673" s="7" t="s">
        <v>132</v>
      </c>
      <c r="M1673" s="7" t="s">
        <v>133</v>
      </c>
      <c r="N1673" s="30">
        <v>0</v>
      </c>
      <c r="O1673" s="30">
        <v>0</v>
      </c>
      <c r="P1673" s="30">
        <v>0</v>
      </c>
      <c r="Q1673" s="30">
        <v>0</v>
      </c>
      <c r="R1673" s="29">
        <v>0</v>
      </c>
      <c r="S1673" s="36">
        <v>0</v>
      </c>
      <c r="T1673" s="7" t="s">
        <v>131</v>
      </c>
      <c r="U1673" s="7" t="s">
        <v>1011</v>
      </c>
      <c r="V1673" s="7" t="s">
        <v>1011</v>
      </c>
      <c r="W1673" s="7" t="s">
        <v>1177</v>
      </c>
      <c r="X1673" s="30">
        <v>80</v>
      </c>
      <c r="Y1673" s="7" t="s">
        <v>1177</v>
      </c>
      <c r="Z1673" s="7" t="s">
        <v>1178</v>
      </c>
      <c r="AA1673" s="30">
        <v>0</v>
      </c>
      <c r="AB1673" s="36">
        <v>0</v>
      </c>
      <c r="AC1673" s="7" t="s">
        <v>1177</v>
      </c>
      <c r="AD1673" s="37">
        <v>0</v>
      </c>
      <c r="AE1673" s="7" t="s">
        <v>1177</v>
      </c>
      <c r="AF1673" s="7" t="s">
        <v>1177</v>
      </c>
      <c r="AG1673" s="7" t="s">
        <v>1177</v>
      </c>
      <c r="AH1673" s="38"/>
      <c r="AI1673" s="36">
        <v>0</v>
      </c>
      <c r="AJ1673" s="7" t="s">
        <v>1193</v>
      </c>
      <c r="AK1673" s="7" t="s">
        <v>1177</v>
      </c>
      <c r="AL1673" s="7" t="s">
        <v>1177</v>
      </c>
      <c r="AM1673" s="7" t="s">
        <v>1177</v>
      </c>
      <c r="AN1673" s="7" t="s">
        <v>3212</v>
      </c>
      <c r="AO1673" s="7" t="s">
        <v>1177</v>
      </c>
      <c r="AP1673" s="7" t="s">
        <v>1177</v>
      </c>
      <c r="AQ1673" s="7" t="s">
        <v>1177</v>
      </c>
      <c r="AR1673" s="29">
        <v>0</v>
      </c>
      <c r="AS1673" s="7" t="s">
        <v>1177</v>
      </c>
      <c r="AT1673" s="7" t="s">
        <v>1363</v>
      </c>
      <c r="AU1673" s="38">
        <v>46275</v>
      </c>
      <c r="AV1673" s="39">
        <v>0.62653935185184995</v>
      </c>
    </row>
    <row r="1674" spans="1:48" x14ac:dyDescent="0.35">
      <c r="A1674" t="str">
        <f t="shared" si="26"/>
        <v>GP479694B865</v>
      </c>
      <c r="B1674" s="7" t="s">
        <v>842</v>
      </c>
      <c r="C1674" s="7" t="s">
        <v>1039</v>
      </c>
      <c r="D1674" s="7" t="s">
        <v>7</v>
      </c>
      <c r="E1674" s="7" t="s">
        <v>1177</v>
      </c>
      <c r="F1674" s="7" t="s">
        <v>134</v>
      </c>
      <c r="G1674" s="7" t="s">
        <v>130</v>
      </c>
      <c r="H1674" s="7" t="s">
        <v>129</v>
      </c>
      <c r="I1674" s="30">
        <v>80</v>
      </c>
      <c r="J1674" s="7" t="s">
        <v>1177</v>
      </c>
      <c r="K1674" s="7" t="s">
        <v>1178</v>
      </c>
      <c r="L1674" s="7" t="s">
        <v>132</v>
      </c>
      <c r="M1674" s="7" t="s">
        <v>133</v>
      </c>
      <c r="N1674" s="30">
        <v>0</v>
      </c>
      <c r="O1674" s="30">
        <v>0</v>
      </c>
      <c r="P1674" s="30">
        <v>0</v>
      </c>
      <c r="Q1674" s="30">
        <v>0</v>
      </c>
      <c r="R1674" s="29">
        <v>0</v>
      </c>
      <c r="S1674" s="36">
        <v>0</v>
      </c>
      <c r="T1674" s="7" t="s">
        <v>131</v>
      </c>
      <c r="U1674" s="7" t="s">
        <v>1040</v>
      </c>
      <c r="V1674" s="7" t="s">
        <v>1040</v>
      </c>
      <c r="W1674" s="7" t="s">
        <v>1177</v>
      </c>
      <c r="X1674" s="30">
        <v>80</v>
      </c>
      <c r="Y1674" s="7" t="s">
        <v>1177</v>
      </c>
      <c r="Z1674" s="7" t="s">
        <v>1178</v>
      </c>
      <c r="AA1674" s="30">
        <v>0</v>
      </c>
      <c r="AB1674" s="36">
        <v>0</v>
      </c>
      <c r="AC1674" s="7" t="s">
        <v>1177</v>
      </c>
      <c r="AD1674" s="37">
        <v>0</v>
      </c>
      <c r="AE1674" s="7" t="s">
        <v>1177</v>
      </c>
      <c r="AF1674" s="7" t="s">
        <v>1177</v>
      </c>
      <c r="AG1674" s="7" t="s">
        <v>1177</v>
      </c>
      <c r="AH1674" s="38"/>
      <c r="AI1674" s="36">
        <v>0</v>
      </c>
      <c r="AJ1674" s="7" t="s">
        <v>1193</v>
      </c>
      <c r="AK1674" s="7" t="s">
        <v>1177</v>
      </c>
      <c r="AL1674" s="7" t="s">
        <v>1177</v>
      </c>
      <c r="AM1674" s="7" t="s">
        <v>1177</v>
      </c>
      <c r="AN1674" s="7" t="s">
        <v>3212</v>
      </c>
      <c r="AO1674" s="7" t="s">
        <v>1177</v>
      </c>
      <c r="AP1674" s="7" t="s">
        <v>1177</v>
      </c>
      <c r="AQ1674" s="7" t="s">
        <v>1177</v>
      </c>
      <c r="AR1674" s="29">
        <v>0</v>
      </c>
      <c r="AS1674" s="7" t="s">
        <v>1177</v>
      </c>
      <c r="AT1674" s="7" t="s">
        <v>1363</v>
      </c>
      <c r="AU1674" s="38">
        <v>46275</v>
      </c>
      <c r="AV1674" s="39">
        <v>0.62665509259259</v>
      </c>
    </row>
    <row r="1675" spans="1:48" x14ac:dyDescent="0.35">
      <c r="A1675" t="str">
        <f t="shared" si="26"/>
        <v>GP479694B867</v>
      </c>
      <c r="B1675" s="7" t="s">
        <v>842</v>
      </c>
      <c r="C1675" s="7" t="s">
        <v>1059</v>
      </c>
      <c r="D1675" s="7" t="s">
        <v>25</v>
      </c>
      <c r="E1675" s="7" t="s">
        <v>1177</v>
      </c>
      <c r="F1675" s="7" t="s">
        <v>134</v>
      </c>
      <c r="G1675" s="7" t="s">
        <v>130</v>
      </c>
      <c r="H1675" s="7" t="s">
        <v>129</v>
      </c>
      <c r="I1675" s="30">
        <v>36</v>
      </c>
      <c r="J1675" s="7" t="s">
        <v>1177</v>
      </c>
      <c r="K1675" s="7" t="s">
        <v>1178</v>
      </c>
      <c r="L1675" s="7" t="s">
        <v>132</v>
      </c>
      <c r="M1675" s="7" t="s">
        <v>133</v>
      </c>
      <c r="N1675" s="30">
        <v>0</v>
      </c>
      <c r="O1675" s="30">
        <v>0</v>
      </c>
      <c r="P1675" s="30">
        <v>0</v>
      </c>
      <c r="Q1675" s="30">
        <v>0</v>
      </c>
      <c r="R1675" s="29">
        <v>0</v>
      </c>
      <c r="S1675" s="36">
        <v>0</v>
      </c>
      <c r="T1675" s="7" t="s">
        <v>131</v>
      </c>
      <c r="U1675" s="7" t="s">
        <v>1060</v>
      </c>
      <c r="V1675" s="7" t="s">
        <v>1060</v>
      </c>
      <c r="W1675" s="7" t="s">
        <v>1177</v>
      </c>
      <c r="X1675" s="30">
        <v>36</v>
      </c>
      <c r="Y1675" s="7" t="s">
        <v>1177</v>
      </c>
      <c r="Z1675" s="7" t="s">
        <v>1178</v>
      </c>
      <c r="AA1675" s="30">
        <v>0</v>
      </c>
      <c r="AB1675" s="36">
        <v>0</v>
      </c>
      <c r="AC1675" s="7" t="s">
        <v>1177</v>
      </c>
      <c r="AD1675" s="37">
        <v>0</v>
      </c>
      <c r="AE1675" s="7" t="s">
        <v>1177</v>
      </c>
      <c r="AF1675" s="7" t="s">
        <v>1177</v>
      </c>
      <c r="AG1675" s="7" t="s">
        <v>1177</v>
      </c>
      <c r="AH1675" s="38"/>
      <c r="AI1675" s="36">
        <v>0</v>
      </c>
      <c r="AJ1675" s="7" t="s">
        <v>1193</v>
      </c>
      <c r="AK1675" s="7" t="s">
        <v>1177</v>
      </c>
      <c r="AL1675" s="7" t="s">
        <v>1177</v>
      </c>
      <c r="AM1675" s="7" t="s">
        <v>1177</v>
      </c>
      <c r="AN1675" s="7" t="s">
        <v>3212</v>
      </c>
      <c r="AO1675" s="7" t="s">
        <v>1177</v>
      </c>
      <c r="AP1675" s="7" t="s">
        <v>1177</v>
      </c>
      <c r="AQ1675" s="7" t="s">
        <v>1177</v>
      </c>
      <c r="AR1675" s="29">
        <v>0</v>
      </c>
      <c r="AS1675" s="7" t="s">
        <v>1177</v>
      </c>
      <c r="AT1675" s="7" t="s">
        <v>1363</v>
      </c>
      <c r="AU1675" s="38">
        <v>46275</v>
      </c>
      <c r="AV1675" s="39">
        <v>0.62730324074073995</v>
      </c>
    </row>
    <row r="1676" spans="1:48" x14ac:dyDescent="0.35">
      <c r="A1676" t="str">
        <f t="shared" si="26"/>
        <v>GP482713B857</v>
      </c>
      <c r="B1676" s="7" t="s">
        <v>846</v>
      </c>
      <c r="C1676" s="7" t="s">
        <v>958</v>
      </c>
      <c r="D1676" s="7" t="s">
        <v>23</v>
      </c>
      <c r="E1676" s="7" t="s">
        <v>1177</v>
      </c>
      <c r="F1676" s="7" t="s">
        <v>128</v>
      </c>
      <c r="G1676" s="7" t="s">
        <v>130</v>
      </c>
      <c r="H1676" s="7" t="s">
        <v>129</v>
      </c>
      <c r="I1676" s="30">
        <v>2</v>
      </c>
      <c r="J1676" s="7" t="s">
        <v>1177</v>
      </c>
      <c r="K1676" s="7" t="s">
        <v>1178</v>
      </c>
      <c r="L1676" s="7" t="s">
        <v>132</v>
      </c>
      <c r="M1676" s="7" t="s">
        <v>133</v>
      </c>
      <c r="N1676" s="30">
        <v>0</v>
      </c>
      <c r="O1676" s="30">
        <v>0</v>
      </c>
      <c r="P1676" s="30">
        <v>0</v>
      </c>
      <c r="Q1676" s="30">
        <v>0</v>
      </c>
      <c r="R1676" s="29">
        <v>0</v>
      </c>
      <c r="S1676" s="36">
        <v>0</v>
      </c>
      <c r="T1676" s="7" t="s">
        <v>131</v>
      </c>
      <c r="U1676" s="7" t="s">
        <v>959</v>
      </c>
      <c r="V1676" s="7" t="s">
        <v>959</v>
      </c>
      <c r="W1676" s="7" t="s">
        <v>1177</v>
      </c>
      <c r="X1676" s="30">
        <v>1</v>
      </c>
      <c r="Y1676" s="7" t="s">
        <v>1177</v>
      </c>
      <c r="Z1676" s="7" t="s">
        <v>1178</v>
      </c>
      <c r="AA1676" s="30">
        <v>0</v>
      </c>
      <c r="AB1676" s="36">
        <v>0</v>
      </c>
      <c r="AC1676" s="7" t="s">
        <v>1177</v>
      </c>
      <c r="AD1676" s="37">
        <v>0</v>
      </c>
      <c r="AE1676" s="7" t="s">
        <v>1177</v>
      </c>
      <c r="AF1676" s="7" t="s">
        <v>1177</v>
      </c>
      <c r="AG1676" s="7" t="s">
        <v>1177</v>
      </c>
      <c r="AH1676" s="38"/>
      <c r="AI1676" s="36">
        <v>0</v>
      </c>
      <c r="AJ1676" s="7" t="s">
        <v>1193</v>
      </c>
      <c r="AK1676" s="7" t="s">
        <v>1177</v>
      </c>
      <c r="AL1676" s="7" t="s">
        <v>1177</v>
      </c>
      <c r="AM1676" s="7" t="s">
        <v>1177</v>
      </c>
      <c r="AN1676" s="7" t="s">
        <v>3212</v>
      </c>
      <c r="AO1676" s="7" t="s">
        <v>1177</v>
      </c>
      <c r="AP1676" s="7" t="s">
        <v>1177</v>
      </c>
      <c r="AQ1676" s="7" t="s">
        <v>1177</v>
      </c>
      <c r="AR1676" s="29">
        <v>0</v>
      </c>
      <c r="AS1676" s="7" t="s">
        <v>1177</v>
      </c>
      <c r="AT1676" s="7" t="s">
        <v>1363</v>
      </c>
      <c r="AU1676" s="38">
        <v>46275</v>
      </c>
      <c r="AV1676" s="39">
        <v>0.62513888888889002</v>
      </c>
    </row>
    <row r="1677" spans="1:48" x14ac:dyDescent="0.35">
      <c r="A1677" t="str">
        <f t="shared" si="26"/>
        <v>GP482713B865</v>
      </c>
      <c r="B1677" s="7" t="s">
        <v>846</v>
      </c>
      <c r="C1677" s="7" t="s">
        <v>1039</v>
      </c>
      <c r="D1677" s="7" t="s">
        <v>7</v>
      </c>
      <c r="E1677" s="7" t="s">
        <v>1177</v>
      </c>
      <c r="F1677" s="7" t="s">
        <v>128</v>
      </c>
      <c r="G1677" s="7" t="s">
        <v>130</v>
      </c>
      <c r="H1677" s="7" t="s">
        <v>129</v>
      </c>
      <c r="I1677" s="30">
        <v>2</v>
      </c>
      <c r="J1677" s="7" t="s">
        <v>1177</v>
      </c>
      <c r="K1677" s="7" t="s">
        <v>1178</v>
      </c>
      <c r="L1677" s="7" t="s">
        <v>132</v>
      </c>
      <c r="M1677" s="7" t="s">
        <v>133</v>
      </c>
      <c r="N1677" s="30">
        <v>0</v>
      </c>
      <c r="O1677" s="30">
        <v>0</v>
      </c>
      <c r="P1677" s="30">
        <v>0</v>
      </c>
      <c r="Q1677" s="30">
        <v>0</v>
      </c>
      <c r="R1677" s="29">
        <v>0</v>
      </c>
      <c r="S1677" s="36">
        <v>0</v>
      </c>
      <c r="T1677" s="7" t="s">
        <v>131</v>
      </c>
      <c r="U1677" s="7" t="s">
        <v>1040</v>
      </c>
      <c r="V1677" s="7" t="s">
        <v>1040</v>
      </c>
      <c r="W1677" s="7" t="s">
        <v>1177</v>
      </c>
      <c r="X1677" s="30">
        <v>1</v>
      </c>
      <c r="Y1677" s="7" t="s">
        <v>1177</v>
      </c>
      <c r="Z1677" s="7" t="s">
        <v>1178</v>
      </c>
      <c r="AA1677" s="30">
        <v>0</v>
      </c>
      <c r="AB1677" s="36">
        <v>0</v>
      </c>
      <c r="AC1677" s="7" t="s">
        <v>1177</v>
      </c>
      <c r="AD1677" s="37">
        <v>0</v>
      </c>
      <c r="AE1677" s="7" t="s">
        <v>1177</v>
      </c>
      <c r="AF1677" s="7" t="s">
        <v>1177</v>
      </c>
      <c r="AG1677" s="7" t="s">
        <v>1177</v>
      </c>
      <c r="AH1677" s="38"/>
      <c r="AI1677" s="36">
        <v>0</v>
      </c>
      <c r="AJ1677" s="7" t="s">
        <v>1193</v>
      </c>
      <c r="AK1677" s="7" t="s">
        <v>1177</v>
      </c>
      <c r="AL1677" s="7" t="s">
        <v>1177</v>
      </c>
      <c r="AM1677" s="7" t="s">
        <v>1177</v>
      </c>
      <c r="AN1677" s="7" t="s">
        <v>3212</v>
      </c>
      <c r="AO1677" s="7" t="s">
        <v>1177</v>
      </c>
      <c r="AP1677" s="7" t="s">
        <v>1177</v>
      </c>
      <c r="AQ1677" s="7" t="s">
        <v>1177</v>
      </c>
      <c r="AR1677" s="29">
        <v>0</v>
      </c>
      <c r="AS1677" s="7" t="s">
        <v>1177</v>
      </c>
      <c r="AT1677" s="7" t="s">
        <v>1363</v>
      </c>
      <c r="AU1677" s="38">
        <v>46275</v>
      </c>
      <c r="AV1677" s="39">
        <v>0.62674768518518997</v>
      </c>
    </row>
    <row r="1678" spans="1:48" x14ac:dyDescent="0.35">
      <c r="A1678" t="str">
        <f t="shared" si="26"/>
        <v>GP482713B867</v>
      </c>
      <c r="B1678" s="7" t="s">
        <v>846</v>
      </c>
      <c r="C1678" s="7" t="s">
        <v>1059</v>
      </c>
      <c r="D1678" s="7" t="s">
        <v>25</v>
      </c>
      <c r="E1678" s="7" t="s">
        <v>1177</v>
      </c>
      <c r="F1678" s="7" t="s">
        <v>128</v>
      </c>
      <c r="G1678" s="7" t="s">
        <v>130</v>
      </c>
      <c r="H1678" s="7" t="s">
        <v>129</v>
      </c>
      <c r="I1678" s="30">
        <v>2</v>
      </c>
      <c r="J1678" s="7" t="s">
        <v>1177</v>
      </c>
      <c r="K1678" s="7" t="s">
        <v>1178</v>
      </c>
      <c r="L1678" s="7" t="s">
        <v>132</v>
      </c>
      <c r="M1678" s="7" t="s">
        <v>133</v>
      </c>
      <c r="N1678" s="30">
        <v>0</v>
      </c>
      <c r="O1678" s="30">
        <v>0</v>
      </c>
      <c r="P1678" s="30">
        <v>0</v>
      </c>
      <c r="Q1678" s="30">
        <v>0</v>
      </c>
      <c r="R1678" s="29">
        <v>0</v>
      </c>
      <c r="S1678" s="36">
        <v>0</v>
      </c>
      <c r="T1678" s="7" t="s">
        <v>131</v>
      </c>
      <c r="U1678" s="7" t="s">
        <v>1060</v>
      </c>
      <c r="V1678" s="7" t="s">
        <v>1060</v>
      </c>
      <c r="W1678" s="7" t="s">
        <v>1177</v>
      </c>
      <c r="X1678" s="30">
        <v>1</v>
      </c>
      <c r="Y1678" s="7" t="s">
        <v>1177</v>
      </c>
      <c r="Z1678" s="7" t="s">
        <v>1178</v>
      </c>
      <c r="AA1678" s="30">
        <v>0</v>
      </c>
      <c r="AB1678" s="36">
        <v>0</v>
      </c>
      <c r="AC1678" s="7" t="s">
        <v>1177</v>
      </c>
      <c r="AD1678" s="37">
        <v>0</v>
      </c>
      <c r="AE1678" s="7" t="s">
        <v>1177</v>
      </c>
      <c r="AF1678" s="7" t="s">
        <v>1177</v>
      </c>
      <c r="AG1678" s="7" t="s">
        <v>1177</v>
      </c>
      <c r="AH1678" s="38"/>
      <c r="AI1678" s="36">
        <v>0</v>
      </c>
      <c r="AJ1678" s="7" t="s">
        <v>1193</v>
      </c>
      <c r="AK1678" s="7" t="s">
        <v>1177</v>
      </c>
      <c r="AL1678" s="7" t="s">
        <v>1177</v>
      </c>
      <c r="AM1678" s="7" t="s">
        <v>1177</v>
      </c>
      <c r="AN1678" s="7" t="s">
        <v>3212</v>
      </c>
      <c r="AO1678" s="7" t="s">
        <v>1177</v>
      </c>
      <c r="AP1678" s="7" t="s">
        <v>1177</v>
      </c>
      <c r="AQ1678" s="7" t="s">
        <v>1177</v>
      </c>
      <c r="AR1678" s="29">
        <v>0</v>
      </c>
      <c r="AS1678" s="7" t="s">
        <v>1177</v>
      </c>
      <c r="AT1678" s="7" t="s">
        <v>1363</v>
      </c>
      <c r="AU1678" s="38">
        <v>46275</v>
      </c>
      <c r="AV1678" s="39">
        <v>0.62712962962963004</v>
      </c>
    </row>
    <row r="1679" spans="1:48" x14ac:dyDescent="0.35">
      <c r="A1679" t="str">
        <f t="shared" si="26"/>
        <v>GP484697B856</v>
      </c>
      <c r="B1679" s="7" t="s">
        <v>949</v>
      </c>
      <c r="C1679" s="7" t="s">
        <v>852</v>
      </c>
      <c r="D1679" s="7" t="s">
        <v>21</v>
      </c>
      <c r="E1679" s="7" t="s">
        <v>1177</v>
      </c>
      <c r="F1679" s="7" t="s">
        <v>128</v>
      </c>
      <c r="G1679" s="7" t="s">
        <v>130</v>
      </c>
      <c r="H1679" s="7" t="s">
        <v>129</v>
      </c>
      <c r="I1679" s="30">
        <v>1</v>
      </c>
      <c r="J1679" s="7" t="s">
        <v>1177</v>
      </c>
      <c r="K1679" s="7" t="s">
        <v>1178</v>
      </c>
      <c r="L1679" s="7" t="s">
        <v>132</v>
      </c>
      <c r="M1679" s="7" t="s">
        <v>133</v>
      </c>
      <c r="N1679" s="30">
        <v>0</v>
      </c>
      <c r="O1679" s="30">
        <v>0</v>
      </c>
      <c r="P1679" s="30">
        <v>0</v>
      </c>
      <c r="Q1679" s="30">
        <v>0</v>
      </c>
      <c r="R1679" s="29">
        <v>0</v>
      </c>
      <c r="S1679" s="36">
        <v>0</v>
      </c>
      <c r="T1679" s="7" t="s">
        <v>131</v>
      </c>
      <c r="U1679" s="7" t="s">
        <v>853</v>
      </c>
      <c r="V1679" s="7" t="s">
        <v>853</v>
      </c>
      <c r="W1679" s="7" t="s">
        <v>1177</v>
      </c>
      <c r="X1679" s="30">
        <v>1</v>
      </c>
      <c r="Y1679" s="7" t="s">
        <v>1177</v>
      </c>
      <c r="Z1679" s="7" t="s">
        <v>1178</v>
      </c>
      <c r="AA1679" s="30">
        <v>0</v>
      </c>
      <c r="AB1679" s="36">
        <v>0</v>
      </c>
      <c r="AC1679" s="7" t="s">
        <v>1177</v>
      </c>
      <c r="AD1679" s="37">
        <v>0</v>
      </c>
      <c r="AE1679" s="7" t="s">
        <v>1177</v>
      </c>
      <c r="AF1679" s="7" t="s">
        <v>1177</v>
      </c>
      <c r="AG1679" s="7" t="s">
        <v>1177</v>
      </c>
      <c r="AH1679" s="38"/>
      <c r="AI1679" s="36">
        <v>0</v>
      </c>
      <c r="AJ1679" s="7" t="s">
        <v>1193</v>
      </c>
      <c r="AK1679" s="7" t="s">
        <v>1177</v>
      </c>
      <c r="AL1679" s="7" t="s">
        <v>1177</v>
      </c>
      <c r="AM1679" s="7" t="s">
        <v>1177</v>
      </c>
      <c r="AN1679" s="7" t="s">
        <v>3212</v>
      </c>
      <c r="AO1679" s="7" t="s">
        <v>1177</v>
      </c>
      <c r="AP1679" s="7" t="s">
        <v>1177</v>
      </c>
      <c r="AQ1679" s="7" t="s">
        <v>1177</v>
      </c>
      <c r="AR1679" s="29">
        <v>0</v>
      </c>
      <c r="AS1679" s="7" t="s">
        <v>1177</v>
      </c>
      <c r="AT1679" s="7" t="s">
        <v>1363</v>
      </c>
      <c r="AU1679" s="38">
        <v>46275</v>
      </c>
      <c r="AV1679" s="39">
        <v>0.62486111111110998</v>
      </c>
    </row>
    <row r="1680" spans="1:48" x14ac:dyDescent="0.35">
      <c r="A1680" t="str">
        <f t="shared" si="26"/>
        <v>GP484697B864</v>
      </c>
      <c r="B1680" s="7" t="s">
        <v>949</v>
      </c>
      <c r="C1680" s="7" t="s">
        <v>1010</v>
      </c>
      <c r="D1680" s="7" t="s">
        <v>10</v>
      </c>
      <c r="E1680" s="7" t="s">
        <v>1177</v>
      </c>
      <c r="F1680" s="7" t="s">
        <v>128</v>
      </c>
      <c r="G1680" s="7" t="s">
        <v>130</v>
      </c>
      <c r="H1680" s="7" t="s">
        <v>129</v>
      </c>
      <c r="I1680" s="30">
        <v>2</v>
      </c>
      <c r="J1680" s="7" t="s">
        <v>1177</v>
      </c>
      <c r="K1680" s="7" t="s">
        <v>1178</v>
      </c>
      <c r="L1680" s="7" t="s">
        <v>132</v>
      </c>
      <c r="M1680" s="7" t="s">
        <v>133</v>
      </c>
      <c r="N1680" s="30">
        <v>0</v>
      </c>
      <c r="O1680" s="30">
        <v>0</v>
      </c>
      <c r="P1680" s="30">
        <v>0</v>
      </c>
      <c r="Q1680" s="30">
        <v>0</v>
      </c>
      <c r="R1680" s="29">
        <v>0</v>
      </c>
      <c r="S1680" s="36">
        <v>0</v>
      </c>
      <c r="T1680" s="7" t="s">
        <v>131</v>
      </c>
      <c r="U1680" s="7" t="s">
        <v>1011</v>
      </c>
      <c r="V1680" s="7" t="s">
        <v>1011</v>
      </c>
      <c r="W1680" s="7" t="s">
        <v>1177</v>
      </c>
      <c r="X1680" s="30">
        <v>1</v>
      </c>
      <c r="Y1680" s="7" t="s">
        <v>1177</v>
      </c>
      <c r="Z1680" s="7" t="s">
        <v>1178</v>
      </c>
      <c r="AA1680" s="30">
        <v>0</v>
      </c>
      <c r="AB1680" s="36">
        <v>0</v>
      </c>
      <c r="AC1680" s="7" t="s">
        <v>1177</v>
      </c>
      <c r="AD1680" s="37">
        <v>0</v>
      </c>
      <c r="AE1680" s="7" t="s">
        <v>1177</v>
      </c>
      <c r="AF1680" s="7" t="s">
        <v>1177</v>
      </c>
      <c r="AG1680" s="7" t="s">
        <v>1177</v>
      </c>
      <c r="AH1680" s="38"/>
      <c r="AI1680" s="36">
        <v>0</v>
      </c>
      <c r="AJ1680" s="7" t="s">
        <v>1193</v>
      </c>
      <c r="AK1680" s="7" t="s">
        <v>1177</v>
      </c>
      <c r="AL1680" s="7" t="s">
        <v>1177</v>
      </c>
      <c r="AM1680" s="7" t="s">
        <v>1177</v>
      </c>
      <c r="AN1680" s="7" t="s">
        <v>3212</v>
      </c>
      <c r="AO1680" s="7" t="s">
        <v>1177</v>
      </c>
      <c r="AP1680" s="7" t="s">
        <v>1177</v>
      </c>
      <c r="AQ1680" s="7" t="s">
        <v>1177</v>
      </c>
      <c r="AR1680" s="29">
        <v>0</v>
      </c>
      <c r="AS1680" s="7" t="s">
        <v>1177</v>
      </c>
      <c r="AT1680" s="7" t="s">
        <v>1363</v>
      </c>
      <c r="AU1680" s="38">
        <v>46275</v>
      </c>
      <c r="AV1680" s="39">
        <v>0.62631944444443999</v>
      </c>
    </row>
    <row r="1681" spans="1:48" x14ac:dyDescent="0.35">
      <c r="A1681" t="str">
        <f t="shared" si="26"/>
        <v>GP484697B865</v>
      </c>
      <c r="B1681" s="7" t="s">
        <v>949</v>
      </c>
      <c r="C1681" s="7" t="s">
        <v>1039</v>
      </c>
      <c r="D1681" s="7" t="s">
        <v>7</v>
      </c>
      <c r="E1681" s="7" t="s">
        <v>1177</v>
      </c>
      <c r="F1681" s="7" t="s">
        <v>128</v>
      </c>
      <c r="G1681" s="7" t="s">
        <v>130</v>
      </c>
      <c r="H1681" s="7" t="s">
        <v>129</v>
      </c>
      <c r="I1681" s="30">
        <v>2</v>
      </c>
      <c r="J1681" s="7" t="s">
        <v>1177</v>
      </c>
      <c r="K1681" s="7" t="s">
        <v>1178</v>
      </c>
      <c r="L1681" s="7" t="s">
        <v>132</v>
      </c>
      <c r="M1681" s="7" t="s">
        <v>133</v>
      </c>
      <c r="N1681" s="30">
        <v>0</v>
      </c>
      <c r="O1681" s="30">
        <v>0</v>
      </c>
      <c r="P1681" s="30">
        <v>0</v>
      </c>
      <c r="Q1681" s="30">
        <v>0</v>
      </c>
      <c r="R1681" s="29">
        <v>0</v>
      </c>
      <c r="S1681" s="36">
        <v>0</v>
      </c>
      <c r="T1681" s="7" t="s">
        <v>131</v>
      </c>
      <c r="U1681" s="7" t="s">
        <v>1040</v>
      </c>
      <c r="V1681" s="7" t="s">
        <v>1040</v>
      </c>
      <c r="W1681" s="7" t="s">
        <v>1177</v>
      </c>
      <c r="X1681" s="30">
        <v>1</v>
      </c>
      <c r="Y1681" s="7" t="s">
        <v>1177</v>
      </c>
      <c r="Z1681" s="7" t="s">
        <v>1178</v>
      </c>
      <c r="AA1681" s="30">
        <v>0</v>
      </c>
      <c r="AB1681" s="36">
        <v>0</v>
      </c>
      <c r="AC1681" s="7" t="s">
        <v>1177</v>
      </c>
      <c r="AD1681" s="37">
        <v>0</v>
      </c>
      <c r="AE1681" s="7" t="s">
        <v>1177</v>
      </c>
      <c r="AF1681" s="7" t="s">
        <v>1177</v>
      </c>
      <c r="AG1681" s="7" t="s">
        <v>1177</v>
      </c>
      <c r="AH1681" s="38"/>
      <c r="AI1681" s="36">
        <v>0</v>
      </c>
      <c r="AJ1681" s="7" t="s">
        <v>1193</v>
      </c>
      <c r="AK1681" s="7" t="s">
        <v>1177</v>
      </c>
      <c r="AL1681" s="7" t="s">
        <v>1177</v>
      </c>
      <c r="AM1681" s="7" t="s">
        <v>1177</v>
      </c>
      <c r="AN1681" s="7" t="s">
        <v>3212</v>
      </c>
      <c r="AO1681" s="7" t="s">
        <v>1177</v>
      </c>
      <c r="AP1681" s="7" t="s">
        <v>1177</v>
      </c>
      <c r="AQ1681" s="7" t="s">
        <v>1177</v>
      </c>
      <c r="AR1681" s="29">
        <v>0</v>
      </c>
      <c r="AS1681" s="7" t="s">
        <v>1177</v>
      </c>
      <c r="AT1681" s="7" t="s">
        <v>1363</v>
      </c>
      <c r="AU1681" s="38">
        <v>46275</v>
      </c>
      <c r="AV1681" s="39">
        <v>0.62674768518518997</v>
      </c>
    </row>
    <row r="1682" spans="1:48" x14ac:dyDescent="0.35">
      <c r="A1682" t="str">
        <f t="shared" si="26"/>
        <v>GP484756B857</v>
      </c>
      <c r="B1682" s="7" t="s">
        <v>996</v>
      </c>
      <c r="C1682" s="7" t="s">
        <v>958</v>
      </c>
      <c r="D1682" s="7" t="s">
        <v>23</v>
      </c>
      <c r="E1682" s="7" t="s">
        <v>1177</v>
      </c>
      <c r="F1682" s="7" t="s">
        <v>128</v>
      </c>
      <c r="G1682" s="7" t="s">
        <v>130</v>
      </c>
      <c r="H1682" s="7" t="s">
        <v>129</v>
      </c>
      <c r="I1682" s="30">
        <v>1</v>
      </c>
      <c r="J1682" s="7" t="s">
        <v>1177</v>
      </c>
      <c r="K1682" s="7" t="s">
        <v>1178</v>
      </c>
      <c r="L1682" s="7" t="s">
        <v>132</v>
      </c>
      <c r="M1682" s="7" t="s">
        <v>133</v>
      </c>
      <c r="N1682" s="30">
        <v>0</v>
      </c>
      <c r="O1682" s="30">
        <v>0</v>
      </c>
      <c r="P1682" s="30">
        <v>0</v>
      </c>
      <c r="Q1682" s="30">
        <v>0</v>
      </c>
      <c r="R1682" s="29">
        <v>0</v>
      </c>
      <c r="S1682" s="36">
        <v>0</v>
      </c>
      <c r="T1682" s="7" t="s">
        <v>131</v>
      </c>
      <c r="U1682" s="7" t="s">
        <v>959</v>
      </c>
      <c r="V1682" s="7" t="s">
        <v>959</v>
      </c>
      <c r="W1682" s="7" t="s">
        <v>1177</v>
      </c>
      <c r="X1682" s="30">
        <v>1</v>
      </c>
      <c r="Y1682" s="7" t="s">
        <v>1177</v>
      </c>
      <c r="Z1682" s="7" t="s">
        <v>1178</v>
      </c>
      <c r="AA1682" s="30">
        <v>0</v>
      </c>
      <c r="AB1682" s="36">
        <v>0</v>
      </c>
      <c r="AC1682" s="7" t="s">
        <v>1177</v>
      </c>
      <c r="AD1682" s="37">
        <v>0</v>
      </c>
      <c r="AE1682" s="7" t="s">
        <v>1177</v>
      </c>
      <c r="AF1682" s="7" t="s">
        <v>1177</v>
      </c>
      <c r="AG1682" s="7" t="s">
        <v>1177</v>
      </c>
      <c r="AH1682" s="38"/>
      <c r="AI1682" s="36">
        <v>0</v>
      </c>
      <c r="AJ1682" s="7" t="s">
        <v>1193</v>
      </c>
      <c r="AK1682" s="7" t="s">
        <v>1177</v>
      </c>
      <c r="AL1682" s="7" t="s">
        <v>1177</v>
      </c>
      <c r="AM1682" s="7" t="s">
        <v>1177</v>
      </c>
      <c r="AN1682" s="7" t="s">
        <v>3212</v>
      </c>
      <c r="AO1682" s="7" t="s">
        <v>1177</v>
      </c>
      <c r="AP1682" s="7" t="s">
        <v>1177</v>
      </c>
      <c r="AQ1682" s="7" t="s">
        <v>1177</v>
      </c>
      <c r="AR1682" s="29">
        <v>0</v>
      </c>
      <c r="AS1682" s="7" t="s">
        <v>1177</v>
      </c>
      <c r="AT1682" s="7" t="s">
        <v>1363</v>
      </c>
      <c r="AU1682" s="38">
        <v>46275</v>
      </c>
      <c r="AV1682" s="39">
        <v>0.62513888888889002</v>
      </c>
    </row>
    <row r="1683" spans="1:48" x14ac:dyDescent="0.35">
      <c r="A1683" t="str">
        <f t="shared" si="26"/>
        <v>GP484757B867</v>
      </c>
      <c r="B1683" s="7" t="s">
        <v>1075</v>
      </c>
      <c r="C1683" s="7" t="s">
        <v>1059</v>
      </c>
      <c r="D1683" s="7" t="s">
        <v>25</v>
      </c>
      <c r="E1683" s="7" t="s">
        <v>1177</v>
      </c>
      <c r="F1683" s="7" t="s">
        <v>128</v>
      </c>
      <c r="G1683" s="7" t="s">
        <v>130</v>
      </c>
      <c r="H1683" s="7" t="s">
        <v>129</v>
      </c>
      <c r="I1683" s="30">
        <v>2</v>
      </c>
      <c r="J1683" s="7" t="s">
        <v>1177</v>
      </c>
      <c r="K1683" s="7" t="s">
        <v>1178</v>
      </c>
      <c r="L1683" s="7" t="s">
        <v>132</v>
      </c>
      <c r="M1683" s="7" t="s">
        <v>133</v>
      </c>
      <c r="N1683" s="30">
        <v>0</v>
      </c>
      <c r="O1683" s="30">
        <v>0</v>
      </c>
      <c r="P1683" s="30">
        <v>0</v>
      </c>
      <c r="Q1683" s="30">
        <v>0</v>
      </c>
      <c r="R1683" s="29">
        <v>0</v>
      </c>
      <c r="S1683" s="36">
        <v>0</v>
      </c>
      <c r="T1683" s="7" t="s">
        <v>131</v>
      </c>
      <c r="U1683" s="7" t="s">
        <v>1060</v>
      </c>
      <c r="V1683" s="7" t="s">
        <v>1060</v>
      </c>
      <c r="W1683" s="7" t="s">
        <v>1177</v>
      </c>
      <c r="X1683" s="30">
        <v>1</v>
      </c>
      <c r="Y1683" s="7" t="s">
        <v>1177</v>
      </c>
      <c r="Z1683" s="7" t="s">
        <v>1178</v>
      </c>
      <c r="AA1683" s="30">
        <v>0</v>
      </c>
      <c r="AB1683" s="36">
        <v>0</v>
      </c>
      <c r="AC1683" s="7" t="s">
        <v>1177</v>
      </c>
      <c r="AD1683" s="37">
        <v>0</v>
      </c>
      <c r="AE1683" s="7" t="s">
        <v>1177</v>
      </c>
      <c r="AF1683" s="7" t="s">
        <v>1177</v>
      </c>
      <c r="AG1683" s="7" t="s">
        <v>1177</v>
      </c>
      <c r="AH1683" s="38"/>
      <c r="AI1683" s="36">
        <v>0</v>
      </c>
      <c r="AJ1683" s="7" t="s">
        <v>1193</v>
      </c>
      <c r="AK1683" s="7" t="s">
        <v>1177</v>
      </c>
      <c r="AL1683" s="7" t="s">
        <v>1177</v>
      </c>
      <c r="AM1683" s="7" t="s">
        <v>1177</v>
      </c>
      <c r="AN1683" s="7" t="s">
        <v>3212</v>
      </c>
      <c r="AO1683" s="7" t="s">
        <v>1177</v>
      </c>
      <c r="AP1683" s="7" t="s">
        <v>1177</v>
      </c>
      <c r="AQ1683" s="7" t="s">
        <v>1177</v>
      </c>
      <c r="AR1683" s="29">
        <v>0</v>
      </c>
      <c r="AS1683" s="7" t="s">
        <v>1177</v>
      </c>
      <c r="AT1683" s="7" t="s">
        <v>1363</v>
      </c>
      <c r="AU1683" s="38">
        <v>46275</v>
      </c>
      <c r="AV1683" s="39">
        <v>0.62712962962963004</v>
      </c>
    </row>
    <row r="1684" spans="1:48" x14ac:dyDescent="0.35">
      <c r="A1684" t="str">
        <f t="shared" si="26"/>
        <v>GP484759B857</v>
      </c>
      <c r="B1684" s="7" t="s">
        <v>997</v>
      </c>
      <c r="C1684" s="7" t="s">
        <v>958</v>
      </c>
      <c r="D1684" s="7" t="s">
        <v>23</v>
      </c>
      <c r="E1684" s="7" t="s">
        <v>1177</v>
      </c>
      <c r="F1684" s="7" t="s">
        <v>128</v>
      </c>
      <c r="G1684" s="7" t="s">
        <v>130</v>
      </c>
      <c r="H1684" s="7" t="s">
        <v>129</v>
      </c>
      <c r="I1684" s="30">
        <v>1</v>
      </c>
      <c r="J1684" s="7" t="s">
        <v>1177</v>
      </c>
      <c r="K1684" s="7" t="s">
        <v>1178</v>
      </c>
      <c r="L1684" s="7" t="s">
        <v>132</v>
      </c>
      <c r="M1684" s="7" t="s">
        <v>133</v>
      </c>
      <c r="N1684" s="30">
        <v>0</v>
      </c>
      <c r="O1684" s="30">
        <v>0</v>
      </c>
      <c r="P1684" s="30">
        <v>0</v>
      </c>
      <c r="Q1684" s="30">
        <v>0</v>
      </c>
      <c r="R1684" s="29">
        <v>0</v>
      </c>
      <c r="S1684" s="36">
        <v>0</v>
      </c>
      <c r="T1684" s="7" t="s">
        <v>131</v>
      </c>
      <c r="U1684" s="7" t="s">
        <v>959</v>
      </c>
      <c r="V1684" s="7" t="s">
        <v>959</v>
      </c>
      <c r="W1684" s="7" t="s">
        <v>1177</v>
      </c>
      <c r="X1684" s="30">
        <v>1</v>
      </c>
      <c r="Y1684" s="7" t="s">
        <v>1177</v>
      </c>
      <c r="Z1684" s="7" t="s">
        <v>1178</v>
      </c>
      <c r="AA1684" s="30">
        <v>0</v>
      </c>
      <c r="AB1684" s="36">
        <v>0</v>
      </c>
      <c r="AC1684" s="7" t="s">
        <v>1177</v>
      </c>
      <c r="AD1684" s="37">
        <v>0</v>
      </c>
      <c r="AE1684" s="7" t="s">
        <v>1177</v>
      </c>
      <c r="AF1684" s="7" t="s">
        <v>1177</v>
      </c>
      <c r="AG1684" s="7" t="s">
        <v>1177</v>
      </c>
      <c r="AH1684" s="38"/>
      <c r="AI1684" s="36">
        <v>0</v>
      </c>
      <c r="AJ1684" s="7" t="s">
        <v>1193</v>
      </c>
      <c r="AK1684" s="7" t="s">
        <v>1177</v>
      </c>
      <c r="AL1684" s="7" t="s">
        <v>1177</v>
      </c>
      <c r="AM1684" s="7" t="s">
        <v>1177</v>
      </c>
      <c r="AN1684" s="7" t="s">
        <v>3212</v>
      </c>
      <c r="AO1684" s="7" t="s">
        <v>1177</v>
      </c>
      <c r="AP1684" s="7" t="s">
        <v>1177</v>
      </c>
      <c r="AQ1684" s="7" t="s">
        <v>1177</v>
      </c>
      <c r="AR1684" s="29">
        <v>0</v>
      </c>
      <c r="AS1684" s="7" t="s">
        <v>1177</v>
      </c>
      <c r="AT1684" s="7" t="s">
        <v>1363</v>
      </c>
      <c r="AU1684" s="38">
        <v>46275</v>
      </c>
      <c r="AV1684" s="39">
        <v>0.62513888888889002</v>
      </c>
    </row>
    <row r="1685" spans="1:48" x14ac:dyDescent="0.35">
      <c r="A1685" t="str">
        <f t="shared" si="26"/>
        <v>GP484760B856</v>
      </c>
      <c r="B1685" s="7" t="s">
        <v>950</v>
      </c>
      <c r="C1685" s="7" t="s">
        <v>852</v>
      </c>
      <c r="D1685" s="7" t="s">
        <v>21</v>
      </c>
      <c r="E1685" s="7" t="s">
        <v>1177</v>
      </c>
      <c r="F1685" s="7" t="s">
        <v>128</v>
      </c>
      <c r="G1685" s="7" t="s">
        <v>130</v>
      </c>
      <c r="H1685" s="7" t="s">
        <v>129</v>
      </c>
      <c r="I1685" s="30">
        <v>2</v>
      </c>
      <c r="J1685" s="7" t="s">
        <v>1177</v>
      </c>
      <c r="K1685" s="7" t="s">
        <v>1178</v>
      </c>
      <c r="L1685" s="7" t="s">
        <v>132</v>
      </c>
      <c r="M1685" s="7" t="s">
        <v>133</v>
      </c>
      <c r="N1685" s="30">
        <v>0</v>
      </c>
      <c r="O1685" s="30">
        <v>0</v>
      </c>
      <c r="P1685" s="30">
        <v>0</v>
      </c>
      <c r="Q1685" s="30">
        <v>0</v>
      </c>
      <c r="R1685" s="29">
        <v>0</v>
      </c>
      <c r="S1685" s="36">
        <v>0</v>
      </c>
      <c r="T1685" s="7" t="s">
        <v>131</v>
      </c>
      <c r="U1685" s="7" t="s">
        <v>853</v>
      </c>
      <c r="V1685" s="7" t="s">
        <v>853</v>
      </c>
      <c r="W1685" s="7" t="s">
        <v>1177</v>
      </c>
      <c r="X1685" s="30">
        <v>1</v>
      </c>
      <c r="Y1685" s="7" t="s">
        <v>1177</v>
      </c>
      <c r="Z1685" s="7" t="s">
        <v>1178</v>
      </c>
      <c r="AA1685" s="30">
        <v>0</v>
      </c>
      <c r="AB1685" s="36">
        <v>0</v>
      </c>
      <c r="AC1685" s="7" t="s">
        <v>1177</v>
      </c>
      <c r="AD1685" s="37">
        <v>0</v>
      </c>
      <c r="AE1685" s="7" t="s">
        <v>1177</v>
      </c>
      <c r="AF1685" s="7" t="s">
        <v>1177</v>
      </c>
      <c r="AG1685" s="7" t="s">
        <v>1177</v>
      </c>
      <c r="AH1685" s="38"/>
      <c r="AI1685" s="36">
        <v>0</v>
      </c>
      <c r="AJ1685" s="7" t="s">
        <v>1193</v>
      </c>
      <c r="AK1685" s="7" t="s">
        <v>1177</v>
      </c>
      <c r="AL1685" s="7" t="s">
        <v>1177</v>
      </c>
      <c r="AM1685" s="7" t="s">
        <v>1177</v>
      </c>
      <c r="AN1685" s="7" t="s">
        <v>3212</v>
      </c>
      <c r="AO1685" s="7" t="s">
        <v>1177</v>
      </c>
      <c r="AP1685" s="7" t="s">
        <v>1177</v>
      </c>
      <c r="AQ1685" s="7" t="s">
        <v>1177</v>
      </c>
      <c r="AR1685" s="29">
        <v>0</v>
      </c>
      <c r="AS1685" s="7" t="s">
        <v>1177</v>
      </c>
      <c r="AT1685" s="7" t="s">
        <v>1363</v>
      </c>
      <c r="AU1685" s="38">
        <v>46275</v>
      </c>
      <c r="AV1685" s="39">
        <v>0.62484953703704005</v>
      </c>
    </row>
    <row r="1686" spans="1:48" x14ac:dyDescent="0.35">
      <c r="A1686" t="str">
        <f t="shared" si="26"/>
        <v>GP484760B857</v>
      </c>
      <c r="B1686" s="7" t="s">
        <v>950</v>
      </c>
      <c r="C1686" s="7" t="s">
        <v>958</v>
      </c>
      <c r="D1686" s="7" t="s">
        <v>23</v>
      </c>
      <c r="E1686" s="7" t="s">
        <v>1177</v>
      </c>
      <c r="F1686" s="7" t="s">
        <v>128</v>
      </c>
      <c r="G1686" s="7" t="s">
        <v>130</v>
      </c>
      <c r="H1686" s="7" t="s">
        <v>129</v>
      </c>
      <c r="I1686" s="30">
        <v>2</v>
      </c>
      <c r="J1686" s="7" t="s">
        <v>1177</v>
      </c>
      <c r="K1686" s="7" t="s">
        <v>1178</v>
      </c>
      <c r="L1686" s="7" t="s">
        <v>132</v>
      </c>
      <c r="M1686" s="7" t="s">
        <v>133</v>
      </c>
      <c r="N1686" s="30">
        <v>0</v>
      </c>
      <c r="O1686" s="30">
        <v>0</v>
      </c>
      <c r="P1686" s="30">
        <v>0</v>
      </c>
      <c r="Q1686" s="30">
        <v>0</v>
      </c>
      <c r="R1686" s="29">
        <v>0</v>
      </c>
      <c r="S1686" s="36">
        <v>0</v>
      </c>
      <c r="T1686" s="7" t="s">
        <v>131</v>
      </c>
      <c r="U1686" s="7" t="s">
        <v>959</v>
      </c>
      <c r="V1686" s="7" t="s">
        <v>959</v>
      </c>
      <c r="W1686" s="7" t="s">
        <v>1177</v>
      </c>
      <c r="X1686" s="30">
        <v>1</v>
      </c>
      <c r="Y1686" s="7" t="s">
        <v>1177</v>
      </c>
      <c r="Z1686" s="7" t="s">
        <v>1178</v>
      </c>
      <c r="AA1686" s="30">
        <v>0</v>
      </c>
      <c r="AB1686" s="36">
        <v>0</v>
      </c>
      <c r="AC1686" s="7" t="s">
        <v>1177</v>
      </c>
      <c r="AD1686" s="37">
        <v>0</v>
      </c>
      <c r="AE1686" s="7" t="s">
        <v>1177</v>
      </c>
      <c r="AF1686" s="7" t="s">
        <v>1177</v>
      </c>
      <c r="AG1686" s="7" t="s">
        <v>1177</v>
      </c>
      <c r="AH1686" s="38"/>
      <c r="AI1686" s="36">
        <v>0</v>
      </c>
      <c r="AJ1686" s="7" t="s">
        <v>1193</v>
      </c>
      <c r="AK1686" s="7" t="s">
        <v>1177</v>
      </c>
      <c r="AL1686" s="7" t="s">
        <v>1177</v>
      </c>
      <c r="AM1686" s="7" t="s">
        <v>1177</v>
      </c>
      <c r="AN1686" s="7" t="s">
        <v>3212</v>
      </c>
      <c r="AO1686" s="7" t="s">
        <v>1177</v>
      </c>
      <c r="AP1686" s="7" t="s">
        <v>1177</v>
      </c>
      <c r="AQ1686" s="7" t="s">
        <v>1177</v>
      </c>
      <c r="AR1686" s="29">
        <v>0</v>
      </c>
      <c r="AS1686" s="7" t="s">
        <v>1177</v>
      </c>
      <c r="AT1686" s="7" t="s">
        <v>1363</v>
      </c>
      <c r="AU1686" s="38">
        <v>46275</v>
      </c>
      <c r="AV1686" s="39">
        <v>0.62513888888889002</v>
      </c>
    </row>
    <row r="1687" spans="1:48" x14ac:dyDescent="0.35">
      <c r="A1687" t="str">
        <f t="shared" si="26"/>
        <v>GP484765B857</v>
      </c>
      <c r="B1687" s="7" t="s">
        <v>998</v>
      </c>
      <c r="C1687" s="7" t="s">
        <v>958</v>
      </c>
      <c r="D1687" s="7" t="s">
        <v>23</v>
      </c>
      <c r="E1687" s="7" t="s">
        <v>1177</v>
      </c>
      <c r="F1687" s="7" t="s">
        <v>128</v>
      </c>
      <c r="G1687" s="7" t="s">
        <v>130</v>
      </c>
      <c r="H1687" s="7" t="s">
        <v>129</v>
      </c>
      <c r="I1687" s="30">
        <v>1</v>
      </c>
      <c r="J1687" s="7" t="s">
        <v>1177</v>
      </c>
      <c r="K1687" s="7" t="s">
        <v>1178</v>
      </c>
      <c r="L1687" s="7" t="s">
        <v>132</v>
      </c>
      <c r="M1687" s="7" t="s">
        <v>133</v>
      </c>
      <c r="N1687" s="30">
        <v>0</v>
      </c>
      <c r="O1687" s="30">
        <v>0</v>
      </c>
      <c r="P1687" s="30">
        <v>0</v>
      </c>
      <c r="Q1687" s="30">
        <v>0</v>
      </c>
      <c r="R1687" s="29">
        <v>0</v>
      </c>
      <c r="S1687" s="36">
        <v>0</v>
      </c>
      <c r="T1687" s="7" t="s">
        <v>131</v>
      </c>
      <c r="U1687" s="7" t="s">
        <v>959</v>
      </c>
      <c r="V1687" s="7" t="s">
        <v>959</v>
      </c>
      <c r="W1687" s="7" t="s">
        <v>1177</v>
      </c>
      <c r="X1687" s="30">
        <v>1</v>
      </c>
      <c r="Y1687" s="7" t="s">
        <v>1177</v>
      </c>
      <c r="Z1687" s="7" t="s">
        <v>1178</v>
      </c>
      <c r="AA1687" s="30">
        <v>0</v>
      </c>
      <c r="AB1687" s="36">
        <v>0</v>
      </c>
      <c r="AC1687" s="7" t="s">
        <v>1177</v>
      </c>
      <c r="AD1687" s="37">
        <v>0</v>
      </c>
      <c r="AE1687" s="7" t="s">
        <v>1177</v>
      </c>
      <c r="AF1687" s="7" t="s">
        <v>1177</v>
      </c>
      <c r="AG1687" s="7" t="s">
        <v>1177</v>
      </c>
      <c r="AH1687" s="38"/>
      <c r="AI1687" s="36">
        <v>0</v>
      </c>
      <c r="AJ1687" s="7" t="s">
        <v>1193</v>
      </c>
      <c r="AK1687" s="7" t="s">
        <v>1177</v>
      </c>
      <c r="AL1687" s="7" t="s">
        <v>1177</v>
      </c>
      <c r="AM1687" s="7" t="s">
        <v>1177</v>
      </c>
      <c r="AN1687" s="7" t="s">
        <v>3212</v>
      </c>
      <c r="AO1687" s="7" t="s">
        <v>1177</v>
      </c>
      <c r="AP1687" s="7" t="s">
        <v>1177</v>
      </c>
      <c r="AQ1687" s="7" t="s">
        <v>1177</v>
      </c>
      <c r="AR1687" s="29">
        <v>0</v>
      </c>
      <c r="AS1687" s="7" t="s">
        <v>1177</v>
      </c>
      <c r="AT1687" s="7" t="s">
        <v>1363</v>
      </c>
      <c r="AU1687" s="38">
        <v>46275</v>
      </c>
      <c r="AV1687" s="39">
        <v>0.62513888888889002</v>
      </c>
    </row>
    <row r="1688" spans="1:48" x14ac:dyDescent="0.35">
      <c r="A1688" t="str">
        <f t="shared" si="26"/>
        <v>GP484765B867</v>
      </c>
      <c r="B1688" s="7" t="s">
        <v>998</v>
      </c>
      <c r="C1688" s="7" t="s">
        <v>1059</v>
      </c>
      <c r="D1688" s="7" t="s">
        <v>25</v>
      </c>
      <c r="E1688" s="7" t="s">
        <v>1177</v>
      </c>
      <c r="F1688" s="7" t="s">
        <v>128</v>
      </c>
      <c r="G1688" s="7" t="s">
        <v>130</v>
      </c>
      <c r="H1688" s="7" t="s">
        <v>129</v>
      </c>
      <c r="I1688" s="30">
        <v>1</v>
      </c>
      <c r="J1688" s="7" t="s">
        <v>1177</v>
      </c>
      <c r="K1688" s="7" t="s">
        <v>1178</v>
      </c>
      <c r="L1688" s="7" t="s">
        <v>132</v>
      </c>
      <c r="M1688" s="7" t="s">
        <v>133</v>
      </c>
      <c r="N1688" s="30">
        <v>0</v>
      </c>
      <c r="O1688" s="30">
        <v>0</v>
      </c>
      <c r="P1688" s="30">
        <v>0</v>
      </c>
      <c r="Q1688" s="30">
        <v>0</v>
      </c>
      <c r="R1688" s="29">
        <v>0</v>
      </c>
      <c r="S1688" s="36">
        <v>0</v>
      </c>
      <c r="T1688" s="7" t="s">
        <v>131</v>
      </c>
      <c r="U1688" s="7" t="s">
        <v>1060</v>
      </c>
      <c r="V1688" s="7" t="s">
        <v>1060</v>
      </c>
      <c r="W1688" s="7" t="s">
        <v>1177</v>
      </c>
      <c r="X1688" s="30">
        <v>1</v>
      </c>
      <c r="Y1688" s="7" t="s">
        <v>1177</v>
      </c>
      <c r="Z1688" s="7" t="s">
        <v>1178</v>
      </c>
      <c r="AA1688" s="30">
        <v>0</v>
      </c>
      <c r="AB1688" s="36">
        <v>0</v>
      </c>
      <c r="AC1688" s="7" t="s">
        <v>1177</v>
      </c>
      <c r="AD1688" s="37">
        <v>0</v>
      </c>
      <c r="AE1688" s="7" t="s">
        <v>1177</v>
      </c>
      <c r="AF1688" s="7" t="s">
        <v>1177</v>
      </c>
      <c r="AG1688" s="7" t="s">
        <v>1177</v>
      </c>
      <c r="AH1688" s="38"/>
      <c r="AI1688" s="36">
        <v>0</v>
      </c>
      <c r="AJ1688" s="7" t="s">
        <v>1193</v>
      </c>
      <c r="AK1688" s="7" t="s">
        <v>1177</v>
      </c>
      <c r="AL1688" s="7" t="s">
        <v>1177</v>
      </c>
      <c r="AM1688" s="7" t="s">
        <v>1177</v>
      </c>
      <c r="AN1688" s="7" t="s">
        <v>3212</v>
      </c>
      <c r="AO1688" s="7" t="s">
        <v>1177</v>
      </c>
      <c r="AP1688" s="7" t="s">
        <v>1177</v>
      </c>
      <c r="AQ1688" s="7" t="s">
        <v>1177</v>
      </c>
      <c r="AR1688" s="29">
        <v>0</v>
      </c>
      <c r="AS1688" s="7" t="s">
        <v>1177</v>
      </c>
      <c r="AT1688" s="7" t="s">
        <v>1363</v>
      </c>
      <c r="AU1688" s="38">
        <v>46275</v>
      </c>
      <c r="AV1688" s="39">
        <v>0.62714120370369997</v>
      </c>
    </row>
    <row r="1689" spans="1:48" x14ac:dyDescent="0.35">
      <c r="A1689" t="str">
        <f t="shared" si="26"/>
        <v>GP484766B856</v>
      </c>
      <c r="B1689" s="7" t="s">
        <v>951</v>
      </c>
      <c r="C1689" s="7" t="s">
        <v>852</v>
      </c>
      <c r="D1689" s="7" t="s">
        <v>21</v>
      </c>
      <c r="E1689" s="7" t="s">
        <v>1177</v>
      </c>
      <c r="F1689" s="7" t="s">
        <v>128</v>
      </c>
      <c r="G1689" s="7" t="s">
        <v>130</v>
      </c>
      <c r="H1689" s="7" t="s">
        <v>129</v>
      </c>
      <c r="I1689" s="30">
        <v>2</v>
      </c>
      <c r="J1689" s="7" t="s">
        <v>1177</v>
      </c>
      <c r="K1689" s="7" t="s">
        <v>1178</v>
      </c>
      <c r="L1689" s="7" t="s">
        <v>132</v>
      </c>
      <c r="M1689" s="7" t="s">
        <v>133</v>
      </c>
      <c r="N1689" s="30">
        <v>0</v>
      </c>
      <c r="O1689" s="30">
        <v>0</v>
      </c>
      <c r="P1689" s="30">
        <v>0</v>
      </c>
      <c r="Q1689" s="30">
        <v>0</v>
      </c>
      <c r="R1689" s="29">
        <v>0</v>
      </c>
      <c r="S1689" s="36">
        <v>0</v>
      </c>
      <c r="T1689" s="7" t="s">
        <v>131</v>
      </c>
      <c r="U1689" s="7" t="s">
        <v>853</v>
      </c>
      <c r="V1689" s="7" t="s">
        <v>853</v>
      </c>
      <c r="W1689" s="7" t="s">
        <v>1177</v>
      </c>
      <c r="X1689" s="30">
        <v>1</v>
      </c>
      <c r="Y1689" s="7" t="s">
        <v>1177</v>
      </c>
      <c r="Z1689" s="7" t="s">
        <v>1178</v>
      </c>
      <c r="AA1689" s="30">
        <v>0</v>
      </c>
      <c r="AB1689" s="36">
        <v>0</v>
      </c>
      <c r="AC1689" s="7" t="s">
        <v>1177</v>
      </c>
      <c r="AD1689" s="37">
        <v>0</v>
      </c>
      <c r="AE1689" s="7" t="s">
        <v>1177</v>
      </c>
      <c r="AF1689" s="7" t="s">
        <v>1177</v>
      </c>
      <c r="AG1689" s="7" t="s">
        <v>1177</v>
      </c>
      <c r="AH1689" s="38"/>
      <c r="AI1689" s="36">
        <v>0</v>
      </c>
      <c r="AJ1689" s="7" t="s">
        <v>1193</v>
      </c>
      <c r="AK1689" s="7" t="s">
        <v>1177</v>
      </c>
      <c r="AL1689" s="7" t="s">
        <v>1177</v>
      </c>
      <c r="AM1689" s="7" t="s">
        <v>1177</v>
      </c>
      <c r="AN1689" s="7" t="s">
        <v>3212</v>
      </c>
      <c r="AO1689" s="7" t="s">
        <v>1177</v>
      </c>
      <c r="AP1689" s="7" t="s">
        <v>1177</v>
      </c>
      <c r="AQ1689" s="7" t="s">
        <v>1177</v>
      </c>
      <c r="AR1689" s="29">
        <v>0</v>
      </c>
      <c r="AS1689" s="7" t="s">
        <v>1177</v>
      </c>
      <c r="AT1689" s="7" t="s">
        <v>1363</v>
      </c>
      <c r="AU1689" s="38">
        <v>46275</v>
      </c>
      <c r="AV1689" s="39">
        <v>0.62487268518519001</v>
      </c>
    </row>
    <row r="1690" spans="1:48" x14ac:dyDescent="0.35">
      <c r="A1690" t="str">
        <f t="shared" si="26"/>
        <v>GP484766B857</v>
      </c>
      <c r="B1690" s="7" t="s">
        <v>951</v>
      </c>
      <c r="C1690" s="7" t="s">
        <v>958</v>
      </c>
      <c r="D1690" s="7" t="s">
        <v>23</v>
      </c>
      <c r="E1690" s="7" t="s">
        <v>1177</v>
      </c>
      <c r="F1690" s="7" t="s">
        <v>128</v>
      </c>
      <c r="G1690" s="7" t="s">
        <v>130</v>
      </c>
      <c r="H1690" s="7" t="s">
        <v>129</v>
      </c>
      <c r="I1690" s="30">
        <v>2</v>
      </c>
      <c r="J1690" s="7" t="s">
        <v>1177</v>
      </c>
      <c r="K1690" s="7" t="s">
        <v>1178</v>
      </c>
      <c r="L1690" s="7" t="s">
        <v>132</v>
      </c>
      <c r="M1690" s="7" t="s">
        <v>133</v>
      </c>
      <c r="N1690" s="30">
        <v>0</v>
      </c>
      <c r="O1690" s="30">
        <v>0</v>
      </c>
      <c r="P1690" s="30">
        <v>0</v>
      </c>
      <c r="Q1690" s="30">
        <v>0</v>
      </c>
      <c r="R1690" s="29">
        <v>0</v>
      </c>
      <c r="S1690" s="36">
        <v>0</v>
      </c>
      <c r="T1690" s="7" t="s">
        <v>131</v>
      </c>
      <c r="U1690" s="7" t="s">
        <v>959</v>
      </c>
      <c r="V1690" s="7" t="s">
        <v>959</v>
      </c>
      <c r="W1690" s="7" t="s">
        <v>1177</v>
      </c>
      <c r="X1690" s="30">
        <v>1</v>
      </c>
      <c r="Y1690" s="7" t="s">
        <v>1177</v>
      </c>
      <c r="Z1690" s="7" t="s">
        <v>1178</v>
      </c>
      <c r="AA1690" s="30">
        <v>0</v>
      </c>
      <c r="AB1690" s="36">
        <v>0</v>
      </c>
      <c r="AC1690" s="7" t="s">
        <v>1177</v>
      </c>
      <c r="AD1690" s="37">
        <v>0</v>
      </c>
      <c r="AE1690" s="7" t="s">
        <v>1177</v>
      </c>
      <c r="AF1690" s="7" t="s">
        <v>1177</v>
      </c>
      <c r="AG1690" s="7" t="s">
        <v>1177</v>
      </c>
      <c r="AH1690" s="38"/>
      <c r="AI1690" s="36">
        <v>0</v>
      </c>
      <c r="AJ1690" s="7" t="s">
        <v>1193</v>
      </c>
      <c r="AK1690" s="7" t="s">
        <v>1177</v>
      </c>
      <c r="AL1690" s="7" t="s">
        <v>1177</v>
      </c>
      <c r="AM1690" s="7" t="s">
        <v>1177</v>
      </c>
      <c r="AN1690" s="7" t="s">
        <v>3212</v>
      </c>
      <c r="AO1690" s="7" t="s">
        <v>1177</v>
      </c>
      <c r="AP1690" s="7" t="s">
        <v>1177</v>
      </c>
      <c r="AQ1690" s="7" t="s">
        <v>1177</v>
      </c>
      <c r="AR1690" s="29">
        <v>0</v>
      </c>
      <c r="AS1690" s="7" t="s">
        <v>1177</v>
      </c>
      <c r="AT1690" s="7" t="s">
        <v>1363</v>
      </c>
      <c r="AU1690" s="38">
        <v>46275</v>
      </c>
      <c r="AV1690" s="39">
        <v>0.62513888888889002</v>
      </c>
    </row>
    <row r="1691" spans="1:48" x14ac:dyDescent="0.35">
      <c r="A1691" t="str">
        <f t="shared" si="26"/>
        <v>GP484769B867</v>
      </c>
      <c r="B1691" s="7" t="s">
        <v>1076</v>
      </c>
      <c r="C1691" s="7" t="s">
        <v>1059</v>
      </c>
      <c r="D1691" s="7" t="s">
        <v>25</v>
      </c>
      <c r="E1691" s="7" t="s">
        <v>1177</v>
      </c>
      <c r="F1691" s="7" t="s">
        <v>128</v>
      </c>
      <c r="G1691" s="7" t="s">
        <v>130</v>
      </c>
      <c r="H1691" s="7" t="s">
        <v>129</v>
      </c>
      <c r="I1691" s="30">
        <v>2</v>
      </c>
      <c r="J1691" s="7" t="s">
        <v>1177</v>
      </c>
      <c r="K1691" s="7" t="s">
        <v>1178</v>
      </c>
      <c r="L1691" s="7" t="s">
        <v>132</v>
      </c>
      <c r="M1691" s="7" t="s">
        <v>133</v>
      </c>
      <c r="N1691" s="30">
        <v>0</v>
      </c>
      <c r="O1691" s="30">
        <v>0</v>
      </c>
      <c r="P1691" s="30">
        <v>0</v>
      </c>
      <c r="Q1691" s="30">
        <v>0</v>
      </c>
      <c r="R1691" s="29">
        <v>0</v>
      </c>
      <c r="S1691" s="36">
        <v>0</v>
      </c>
      <c r="T1691" s="7" t="s">
        <v>131</v>
      </c>
      <c r="U1691" s="7" t="s">
        <v>1060</v>
      </c>
      <c r="V1691" s="7" t="s">
        <v>1060</v>
      </c>
      <c r="W1691" s="7" t="s">
        <v>1177</v>
      </c>
      <c r="X1691" s="30">
        <v>1</v>
      </c>
      <c r="Y1691" s="7" t="s">
        <v>1177</v>
      </c>
      <c r="Z1691" s="7" t="s">
        <v>1178</v>
      </c>
      <c r="AA1691" s="30">
        <v>0</v>
      </c>
      <c r="AB1691" s="36">
        <v>0</v>
      </c>
      <c r="AC1691" s="7" t="s">
        <v>1177</v>
      </c>
      <c r="AD1691" s="37">
        <v>0</v>
      </c>
      <c r="AE1691" s="7" t="s">
        <v>1177</v>
      </c>
      <c r="AF1691" s="7" t="s">
        <v>1177</v>
      </c>
      <c r="AG1691" s="7" t="s">
        <v>1177</v>
      </c>
      <c r="AH1691" s="38"/>
      <c r="AI1691" s="36">
        <v>0</v>
      </c>
      <c r="AJ1691" s="7" t="s">
        <v>1193</v>
      </c>
      <c r="AK1691" s="7" t="s">
        <v>1177</v>
      </c>
      <c r="AL1691" s="7" t="s">
        <v>1177</v>
      </c>
      <c r="AM1691" s="7" t="s">
        <v>1177</v>
      </c>
      <c r="AN1691" s="7" t="s">
        <v>3212</v>
      </c>
      <c r="AO1691" s="7" t="s">
        <v>1177</v>
      </c>
      <c r="AP1691" s="7" t="s">
        <v>1177</v>
      </c>
      <c r="AQ1691" s="7" t="s">
        <v>1177</v>
      </c>
      <c r="AR1691" s="29">
        <v>0</v>
      </c>
      <c r="AS1691" s="7" t="s">
        <v>1177</v>
      </c>
      <c r="AT1691" s="7" t="s">
        <v>1363</v>
      </c>
      <c r="AU1691" s="38">
        <v>46275</v>
      </c>
      <c r="AV1691" s="39">
        <v>0.62714120370369997</v>
      </c>
    </row>
    <row r="1692" spans="1:48" x14ac:dyDescent="0.35">
      <c r="A1692" t="str">
        <f t="shared" si="26"/>
        <v>GP484770B857</v>
      </c>
      <c r="B1692" s="7" t="s">
        <v>999</v>
      </c>
      <c r="C1692" s="7" t="s">
        <v>958</v>
      </c>
      <c r="D1692" s="7" t="s">
        <v>23</v>
      </c>
      <c r="E1692" s="7" t="s">
        <v>1177</v>
      </c>
      <c r="F1692" s="7" t="s">
        <v>128</v>
      </c>
      <c r="G1692" s="7" t="s">
        <v>130</v>
      </c>
      <c r="H1692" s="7" t="s">
        <v>129</v>
      </c>
      <c r="I1692" s="30">
        <v>2</v>
      </c>
      <c r="J1692" s="7" t="s">
        <v>1177</v>
      </c>
      <c r="K1692" s="7" t="s">
        <v>1178</v>
      </c>
      <c r="L1692" s="7" t="s">
        <v>132</v>
      </c>
      <c r="M1692" s="7" t="s">
        <v>133</v>
      </c>
      <c r="N1692" s="30">
        <v>0</v>
      </c>
      <c r="O1692" s="30">
        <v>0</v>
      </c>
      <c r="P1692" s="30">
        <v>0</v>
      </c>
      <c r="Q1692" s="30">
        <v>0</v>
      </c>
      <c r="R1692" s="29">
        <v>0</v>
      </c>
      <c r="S1692" s="36">
        <v>0</v>
      </c>
      <c r="T1692" s="7" t="s">
        <v>131</v>
      </c>
      <c r="U1692" s="7" t="s">
        <v>959</v>
      </c>
      <c r="V1692" s="7" t="s">
        <v>959</v>
      </c>
      <c r="W1692" s="7" t="s">
        <v>1177</v>
      </c>
      <c r="X1692" s="30">
        <v>1</v>
      </c>
      <c r="Y1692" s="7" t="s">
        <v>1177</v>
      </c>
      <c r="Z1692" s="7" t="s">
        <v>1178</v>
      </c>
      <c r="AA1692" s="30">
        <v>0</v>
      </c>
      <c r="AB1692" s="36">
        <v>0</v>
      </c>
      <c r="AC1692" s="7" t="s">
        <v>1177</v>
      </c>
      <c r="AD1692" s="37">
        <v>0</v>
      </c>
      <c r="AE1692" s="7" t="s">
        <v>1177</v>
      </c>
      <c r="AF1692" s="7" t="s">
        <v>1177</v>
      </c>
      <c r="AG1692" s="7" t="s">
        <v>1177</v>
      </c>
      <c r="AH1692" s="38"/>
      <c r="AI1692" s="36">
        <v>0</v>
      </c>
      <c r="AJ1692" s="7" t="s">
        <v>1193</v>
      </c>
      <c r="AK1692" s="7" t="s">
        <v>1177</v>
      </c>
      <c r="AL1692" s="7" t="s">
        <v>1177</v>
      </c>
      <c r="AM1692" s="7" t="s">
        <v>1177</v>
      </c>
      <c r="AN1692" s="7" t="s">
        <v>3212</v>
      </c>
      <c r="AO1692" s="7" t="s">
        <v>1177</v>
      </c>
      <c r="AP1692" s="7" t="s">
        <v>1177</v>
      </c>
      <c r="AQ1692" s="7" t="s">
        <v>1177</v>
      </c>
      <c r="AR1692" s="29">
        <v>0</v>
      </c>
      <c r="AS1692" s="7" t="s">
        <v>1177</v>
      </c>
      <c r="AT1692" s="7" t="s">
        <v>1363</v>
      </c>
      <c r="AU1692" s="38">
        <v>46275</v>
      </c>
      <c r="AV1692" s="39">
        <v>0.62513888888889002</v>
      </c>
    </row>
    <row r="1693" spans="1:48" x14ac:dyDescent="0.35">
      <c r="A1693" t="str">
        <f t="shared" si="26"/>
        <v>GP484770B867</v>
      </c>
      <c r="B1693" s="7" t="s">
        <v>999</v>
      </c>
      <c r="C1693" s="7" t="s">
        <v>1059</v>
      </c>
      <c r="D1693" s="7" t="s">
        <v>25</v>
      </c>
      <c r="E1693" s="7" t="s">
        <v>1177</v>
      </c>
      <c r="F1693" s="7" t="s">
        <v>128</v>
      </c>
      <c r="G1693" s="7" t="s">
        <v>130</v>
      </c>
      <c r="H1693" s="7" t="s">
        <v>129</v>
      </c>
      <c r="I1693" s="30">
        <v>2</v>
      </c>
      <c r="J1693" s="7" t="s">
        <v>1177</v>
      </c>
      <c r="K1693" s="7" t="s">
        <v>1178</v>
      </c>
      <c r="L1693" s="7" t="s">
        <v>132</v>
      </c>
      <c r="M1693" s="7" t="s">
        <v>133</v>
      </c>
      <c r="N1693" s="30">
        <v>0</v>
      </c>
      <c r="O1693" s="30">
        <v>0</v>
      </c>
      <c r="P1693" s="30">
        <v>0</v>
      </c>
      <c r="Q1693" s="30">
        <v>0</v>
      </c>
      <c r="R1693" s="29">
        <v>0</v>
      </c>
      <c r="S1693" s="36">
        <v>0</v>
      </c>
      <c r="T1693" s="7" t="s">
        <v>131</v>
      </c>
      <c r="U1693" s="7" t="s">
        <v>1060</v>
      </c>
      <c r="V1693" s="7" t="s">
        <v>1060</v>
      </c>
      <c r="W1693" s="7" t="s">
        <v>1177</v>
      </c>
      <c r="X1693" s="30">
        <v>1</v>
      </c>
      <c r="Y1693" s="7" t="s">
        <v>1177</v>
      </c>
      <c r="Z1693" s="7" t="s">
        <v>1178</v>
      </c>
      <c r="AA1693" s="30">
        <v>0</v>
      </c>
      <c r="AB1693" s="36">
        <v>0</v>
      </c>
      <c r="AC1693" s="7" t="s">
        <v>1177</v>
      </c>
      <c r="AD1693" s="37">
        <v>0</v>
      </c>
      <c r="AE1693" s="7" t="s">
        <v>1177</v>
      </c>
      <c r="AF1693" s="7" t="s">
        <v>1177</v>
      </c>
      <c r="AG1693" s="7" t="s">
        <v>1177</v>
      </c>
      <c r="AH1693" s="38"/>
      <c r="AI1693" s="36">
        <v>0</v>
      </c>
      <c r="AJ1693" s="7" t="s">
        <v>1193</v>
      </c>
      <c r="AK1693" s="7" t="s">
        <v>1177</v>
      </c>
      <c r="AL1693" s="7" t="s">
        <v>1177</v>
      </c>
      <c r="AM1693" s="7" t="s">
        <v>1177</v>
      </c>
      <c r="AN1693" s="7" t="s">
        <v>3212</v>
      </c>
      <c r="AO1693" s="7" t="s">
        <v>1177</v>
      </c>
      <c r="AP1693" s="7" t="s">
        <v>1177</v>
      </c>
      <c r="AQ1693" s="7" t="s">
        <v>1177</v>
      </c>
      <c r="AR1693" s="29">
        <v>0</v>
      </c>
      <c r="AS1693" s="7" t="s">
        <v>1177</v>
      </c>
      <c r="AT1693" s="7" t="s">
        <v>1363</v>
      </c>
      <c r="AU1693" s="38">
        <v>46275</v>
      </c>
      <c r="AV1693" s="39">
        <v>0.62714120370369997</v>
      </c>
    </row>
    <row r="1694" spans="1:48" x14ac:dyDescent="0.35">
      <c r="A1694" t="str">
        <f t="shared" si="26"/>
        <v>GP484772B867</v>
      </c>
      <c r="B1694" s="7" t="s">
        <v>1077</v>
      </c>
      <c r="C1694" s="7" t="s">
        <v>1059</v>
      </c>
      <c r="D1694" s="7" t="s">
        <v>25</v>
      </c>
      <c r="E1694" s="7" t="s">
        <v>1177</v>
      </c>
      <c r="F1694" s="7" t="s">
        <v>128</v>
      </c>
      <c r="G1694" s="7" t="s">
        <v>130</v>
      </c>
      <c r="H1694" s="7" t="s">
        <v>129</v>
      </c>
      <c r="I1694" s="30">
        <v>2</v>
      </c>
      <c r="J1694" s="7" t="s">
        <v>1177</v>
      </c>
      <c r="K1694" s="7" t="s">
        <v>1178</v>
      </c>
      <c r="L1694" s="7" t="s">
        <v>132</v>
      </c>
      <c r="M1694" s="7" t="s">
        <v>133</v>
      </c>
      <c r="N1694" s="30">
        <v>0</v>
      </c>
      <c r="O1694" s="30">
        <v>0</v>
      </c>
      <c r="P1694" s="30">
        <v>0</v>
      </c>
      <c r="Q1694" s="30">
        <v>0</v>
      </c>
      <c r="R1694" s="29">
        <v>0</v>
      </c>
      <c r="S1694" s="36">
        <v>0</v>
      </c>
      <c r="T1694" s="7" t="s">
        <v>131</v>
      </c>
      <c r="U1694" s="7" t="s">
        <v>1060</v>
      </c>
      <c r="V1694" s="7" t="s">
        <v>1060</v>
      </c>
      <c r="W1694" s="7" t="s">
        <v>1177</v>
      </c>
      <c r="X1694" s="30">
        <v>1</v>
      </c>
      <c r="Y1694" s="7" t="s">
        <v>1177</v>
      </c>
      <c r="Z1694" s="7" t="s">
        <v>1178</v>
      </c>
      <c r="AA1694" s="30">
        <v>0</v>
      </c>
      <c r="AB1694" s="36">
        <v>0</v>
      </c>
      <c r="AC1694" s="7" t="s">
        <v>1177</v>
      </c>
      <c r="AD1694" s="37">
        <v>0</v>
      </c>
      <c r="AE1694" s="7" t="s">
        <v>1177</v>
      </c>
      <c r="AF1694" s="7" t="s">
        <v>1177</v>
      </c>
      <c r="AG1694" s="7" t="s">
        <v>1177</v>
      </c>
      <c r="AH1694" s="38"/>
      <c r="AI1694" s="36">
        <v>0</v>
      </c>
      <c r="AJ1694" s="7" t="s">
        <v>1193</v>
      </c>
      <c r="AK1694" s="7" t="s">
        <v>1177</v>
      </c>
      <c r="AL1694" s="7" t="s">
        <v>1177</v>
      </c>
      <c r="AM1694" s="7" t="s">
        <v>1177</v>
      </c>
      <c r="AN1694" s="7" t="s">
        <v>3212</v>
      </c>
      <c r="AO1694" s="7" t="s">
        <v>1177</v>
      </c>
      <c r="AP1694" s="7" t="s">
        <v>1177</v>
      </c>
      <c r="AQ1694" s="7" t="s">
        <v>1177</v>
      </c>
      <c r="AR1694" s="29">
        <v>0</v>
      </c>
      <c r="AS1694" s="7" t="s">
        <v>1177</v>
      </c>
      <c r="AT1694" s="7" t="s">
        <v>1363</v>
      </c>
      <c r="AU1694" s="38">
        <v>46275</v>
      </c>
      <c r="AV1694" s="39">
        <v>0.62714120370369997</v>
      </c>
    </row>
    <row r="1695" spans="1:48" x14ac:dyDescent="0.35">
      <c r="A1695" t="str">
        <f t="shared" si="26"/>
        <v>GP484773B857</v>
      </c>
      <c r="B1695" s="7" t="s">
        <v>1000</v>
      </c>
      <c r="C1695" s="7" t="s">
        <v>958</v>
      </c>
      <c r="D1695" s="7" t="s">
        <v>23</v>
      </c>
      <c r="E1695" s="7" t="s">
        <v>1177</v>
      </c>
      <c r="F1695" s="7" t="s">
        <v>128</v>
      </c>
      <c r="G1695" s="7" t="s">
        <v>130</v>
      </c>
      <c r="H1695" s="7" t="s">
        <v>129</v>
      </c>
      <c r="I1695" s="30">
        <v>2</v>
      </c>
      <c r="J1695" s="7" t="s">
        <v>1177</v>
      </c>
      <c r="K1695" s="7" t="s">
        <v>1178</v>
      </c>
      <c r="L1695" s="7" t="s">
        <v>132</v>
      </c>
      <c r="M1695" s="7" t="s">
        <v>133</v>
      </c>
      <c r="N1695" s="30">
        <v>0</v>
      </c>
      <c r="O1695" s="30">
        <v>0</v>
      </c>
      <c r="P1695" s="30">
        <v>0</v>
      </c>
      <c r="Q1695" s="30">
        <v>0</v>
      </c>
      <c r="R1695" s="29">
        <v>0</v>
      </c>
      <c r="S1695" s="36">
        <v>0</v>
      </c>
      <c r="T1695" s="7" t="s">
        <v>131</v>
      </c>
      <c r="U1695" s="7" t="s">
        <v>959</v>
      </c>
      <c r="V1695" s="7" t="s">
        <v>959</v>
      </c>
      <c r="W1695" s="7" t="s">
        <v>1177</v>
      </c>
      <c r="X1695" s="30">
        <v>1</v>
      </c>
      <c r="Y1695" s="7" t="s">
        <v>1177</v>
      </c>
      <c r="Z1695" s="7" t="s">
        <v>1178</v>
      </c>
      <c r="AA1695" s="30">
        <v>0</v>
      </c>
      <c r="AB1695" s="36">
        <v>0</v>
      </c>
      <c r="AC1695" s="7" t="s">
        <v>1177</v>
      </c>
      <c r="AD1695" s="37">
        <v>0</v>
      </c>
      <c r="AE1695" s="7" t="s">
        <v>1177</v>
      </c>
      <c r="AF1695" s="7" t="s">
        <v>1177</v>
      </c>
      <c r="AG1695" s="7" t="s">
        <v>1177</v>
      </c>
      <c r="AH1695" s="38"/>
      <c r="AI1695" s="36">
        <v>0</v>
      </c>
      <c r="AJ1695" s="7" t="s">
        <v>1193</v>
      </c>
      <c r="AK1695" s="7" t="s">
        <v>1177</v>
      </c>
      <c r="AL1695" s="7" t="s">
        <v>1177</v>
      </c>
      <c r="AM1695" s="7" t="s">
        <v>1177</v>
      </c>
      <c r="AN1695" s="7" t="s">
        <v>3212</v>
      </c>
      <c r="AO1695" s="7" t="s">
        <v>1177</v>
      </c>
      <c r="AP1695" s="7" t="s">
        <v>1177</v>
      </c>
      <c r="AQ1695" s="7" t="s">
        <v>1177</v>
      </c>
      <c r="AR1695" s="29">
        <v>0</v>
      </c>
      <c r="AS1695" s="7" t="s">
        <v>1177</v>
      </c>
      <c r="AT1695" s="7" t="s">
        <v>1363</v>
      </c>
      <c r="AU1695" s="38">
        <v>46275</v>
      </c>
      <c r="AV1695" s="39">
        <v>0.62513888888889002</v>
      </c>
    </row>
    <row r="1696" spans="1:48" x14ac:dyDescent="0.35">
      <c r="A1696" t="str">
        <f t="shared" si="26"/>
        <v>GP484773B867</v>
      </c>
      <c r="B1696" s="7" t="s">
        <v>1000</v>
      </c>
      <c r="C1696" s="7" t="s">
        <v>1059</v>
      </c>
      <c r="D1696" s="7" t="s">
        <v>25</v>
      </c>
      <c r="E1696" s="7" t="s">
        <v>1177</v>
      </c>
      <c r="F1696" s="7" t="s">
        <v>128</v>
      </c>
      <c r="G1696" s="7" t="s">
        <v>130</v>
      </c>
      <c r="H1696" s="7" t="s">
        <v>129</v>
      </c>
      <c r="I1696" s="30">
        <v>1</v>
      </c>
      <c r="J1696" s="7" t="s">
        <v>1177</v>
      </c>
      <c r="K1696" s="7" t="s">
        <v>1178</v>
      </c>
      <c r="L1696" s="7" t="s">
        <v>132</v>
      </c>
      <c r="M1696" s="7" t="s">
        <v>133</v>
      </c>
      <c r="N1696" s="30">
        <v>0</v>
      </c>
      <c r="O1696" s="30">
        <v>0</v>
      </c>
      <c r="P1696" s="30">
        <v>0</v>
      </c>
      <c r="Q1696" s="30">
        <v>0</v>
      </c>
      <c r="R1696" s="29">
        <v>0</v>
      </c>
      <c r="S1696" s="36">
        <v>0</v>
      </c>
      <c r="T1696" s="7" t="s">
        <v>131</v>
      </c>
      <c r="U1696" s="7" t="s">
        <v>1060</v>
      </c>
      <c r="V1696" s="7" t="s">
        <v>1060</v>
      </c>
      <c r="W1696" s="7" t="s">
        <v>1177</v>
      </c>
      <c r="X1696" s="30">
        <v>1</v>
      </c>
      <c r="Y1696" s="7" t="s">
        <v>1177</v>
      </c>
      <c r="Z1696" s="7" t="s">
        <v>1178</v>
      </c>
      <c r="AA1696" s="30">
        <v>0</v>
      </c>
      <c r="AB1696" s="36">
        <v>0</v>
      </c>
      <c r="AC1696" s="7" t="s">
        <v>1177</v>
      </c>
      <c r="AD1696" s="37">
        <v>0</v>
      </c>
      <c r="AE1696" s="7" t="s">
        <v>1177</v>
      </c>
      <c r="AF1696" s="7" t="s">
        <v>1177</v>
      </c>
      <c r="AG1696" s="7" t="s">
        <v>1177</v>
      </c>
      <c r="AH1696" s="38"/>
      <c r="AI1696" s="36">
        <v>0</v>
      </c>
      <c r="AJ1696" s="7" t="s">
        <v>1193</v>
      </c>
      <c r="AK1696" s="7" t="s">
        <v>1177</v>
      </c>
      <c r="AL1696" s="7" t="s">
        <v>1177</v>
      </c>
      <c r="AM1696" s="7" t="s">
        <v>1177</v>
      </c>
      <c r="AN1696" s="7" t="s">
        <v>3212</v>
      </c>
      <c r="AO1696" s="7" t="s">
        <v>1177</v>
      </c>
      <c r="AP1696" s="7" t="s">
        <v>1177</v>
      </c>
      <c r="AQ1696" s="7" t="s">
        <v>1177</v>
      </c>
      <c r="AR1696" s="29">
        <v>0</v>
      </c>
      <c r="AS1696" s="7" t="s">
        <v>1177</v>
      </c>
      <c r="AT1696" s="7" t="s">
        <v>1363</v>
      </c>
      <c r="AU1696" s="38">
        <v>46275</v>
      </c>
      <c r="AV1696" s="39">
        <v>0.62714120370369997</v>
      </c>
    </row>
    <row r="1697" spans="1:48" x14ac:dyDescent="0.35">
      <c r="A1697" t="str">
        <f t="shared" si="26"/>
        <v>GP484774B857</v>
      </c>
      <c r="B1697" s="7" t="s">
        <v>1001</v>
      </c>
      <c r="C1697" s="7" t="s">
        <v>958</v>
      </c>
      <c r="D1697" s="7" t="s">
        <v>23</v>
      </c>
      <c r="E1697" s="7" t="s">
        <v>1177</v>
      </c>
      <c r="F1697" s="7" t="s">
        <v>128</v>
      </c>
      <c r="G1697" s="7" t="s">
        <v>130</v>
      </c>
      <c r="H1697" s="7" t="s">
        <v>129</v>
      </c>
      <c r="I1697" s="30">
        <v>2</v>
      </c>
      <c r="J1697" s="7" t="s">
        <v>1177</v>
      </c>
      <c r="K1697" s="7" t="s">
        <v>1178</v>
      </c>
      <c r="L1697" s="7" t="s">
        <v>132</v>
      </c>
      <c r="M1697" s="7" t="s">
        <v>133</v>
      </c>
      <c r="N1697" s="30">
        <v>0</v>
      </c>
      <c r="O1697" s="30">
        <v>0</v>
      </c>
      <c r="P1697" s="30">
        <v>0</v>
      </c>
      <c r="Q1697" s="30">
        <v>0</v>
      </c>
      <c r="R1697" s="29">
        <v>0</v>
      </c>
      <c r="S1697" s="36">
        <v>0</v>
      </c>
      <c r="T1697" s="7" t="s">
        <v>131</v>
      </c>
      <c r="U1697" s="7" t="s">
        <v>959</v>
      </c>
      <c r="V1697" s="7" t="s">
        <v>959</v>
      </c>
      <c r="W1697" s="7" t="s">
        <v>1177</v>
      </c>
      <c r="X1697" s="30">
        <v>1</v>
      </c>
      <c r="Y1697" s="7" t="s">
        <v>1177</v>
      </c>
      <c r="Z1697" s="7" t="s">
        <v>1178</v>
      </c>
      <c r="AA1697" s="30">
        <v>0</v>
      </c>
      <c r="AB1697" s="36">
        <v>0</v>
      </c>
      <c r="AC1697" s="7" t="s">
        <v>1177</v>
      </c>
      <c r="AD1697" s="37">
        <v>0</v>
      </c>
      <c r="AE1697" s="7" t="s">
        <v>1177</v>
      </c>
      <c r="AF1697" s="7" t="s">
        <v>1177</v>
      </c>
      <c r="AG1697" s="7" t="s">
        <v>1177</v>
      </c>
      <c r="AH1697" s="38"/>
      <c r="AI1697" s="36">
        <v>0</v>
      </c>
      <c r="AJ1697" s="7" t="s">
        <v>1193</v>
      </c>
      <c r="AK1697" s="7" t="s">
        <v>1177</v>
      </c>
      <c r="AL1697" s="7" t="s">
        <v>1177</v>
      </c>
      <c r="AM1697" s="7" t="s">
        <v>1177</v>
      </c>
      <c r="AN1697" s="7" t="s">
        <v>3212</v>
      </c>
      <c r="AO1697" s="7" t="s">
        <v>1177</v>
      </c>
      <c r="AP1697" s="7" t="s">
        <v>1177</v>
      </c>
      <c r="AQ1697" s="7" t="s">
        <v>1177</v>
      </c>
      <c r="AR1697" s="29">
        <v>0</v>
      </c>
      <c r="AS1697" s="7" t="s">
        <v>1177</v>
      </c>
      <c r="AT1697" s="7" t="s">
        <v>1363</v>
      </c>
      <c r="AU1697" s="38">
        <v>46275</v>
      </c>
      <c r="AV1697" s="39">
        <v>0.62513888888889002</v>
      </c>
    </row>
    <row r="1698" spans="1:48" x14ac:dyDescent="0.35">
      <c r="A1698" t="str">
        <f t="shared" si="26"/>
        <v>GP485051-001B832</v>
      </c>
      <c r="B1698" s="7" t="s">
        <v>296</v>
      </c>
      <c r="C1698" s="7" t="s">
        <v>653</v>
      </c>
      <c r="D1698" s="7" t="s">
        <v>19</v>
      </c>
      <c r="E1698" s="7" t="s">
        <v>1177</v>
      </c>
      <c r="F1698" s="7" t="s">
        <v>134</v>
      </c>
      <c r="G1698" s="7" t="s">
        <v>130</v>
      </c>
      <c r="H1698" s="7" t="s">
        <v>162</v>
      </c>
      <c r="I1698" s="30">
        <v>300</v>
      </c>
      <c r="J1698" s="7" t="s">
        <v>1177</v>
      </c>
      <c r="K1698" s="7" t="s">
        <v>1178</v>
      </c>
      <c r="L1698" s="7" t="s">
        <v>132</v>
      </c>
      <c r="M1698" s="7" t="s">
        <v>137</v>
      </c>
      <c r="N1698" s="30">
        <v>0</v>
      </c>
      <c r="O1698" s="30">
        <v>0</v>
      </c>
      <c r="P1698" s="30">
        <v>0</v>
      </c>
      <c r="Q1698" s="30">
        <v>0</v>
      </c>
      <c r="R1698" s="29">
        <v>0</v>
      </c>
      <c r="S1698" s="36">
        <v>0</v>
      </c>
      <c r="T1698" s="7" t="s">
        <v>1177</v>
      </c>
      <c r="U1698" s="7" t="s">
        <v>654</v>
      </c>
      <c r="V1698" s="7" t="s">
        <v>654</v>
      </c>
      <c r="W1698" s="7" t="s">
        <v>1177</v>
      </c>
      <c r="X1698" s="30">
        <v>300</v>
      </c>
      <c r="Y1698" s="7" t="s">
        <v>1177</v>
      </c>
      <c r="Z1698" s="7" t="s">
        <v>1178</v>
      </c>
      <c r="AA1698" s="30">
        <v>0</v>
      </c>
      <c r="AB1698" s="36">
        <v>0</v>
      </c>
      <c r="AC1698" s="7" t="s">
        <v>1177</v>
      </c>
      <c r="AD1698" s="37">
        <v>0</v>
      </c>
      <c r="AE1698" s="7" t="s">
        <v>1177</v>
      </c>
      <c r="AF1698" s="7" t="s">
        <v>1177</v>
      </c>
      <c r="AG1698" s="7" t="s">
        <v>1177</v>
      </c>
      <c r="AH1698" s="38"/>
      <c r="AI1698" s="36">
        <v>0</v>
      </c>
      <c r="AJ1698" s="7" t="s">
        <v>1193</v>
      </c>
      <c r="AK1698" s="7" t="s">
        <v>1177</v>
      </c>
      <c r="AL1698" s="7" t="s">
        <v>1177</v>
      </c>
      <c r="AM1698" s="7" t="s">
        <v>1177</v>
      </c>
      <c r="AN1698" s="7" t="s">
        <v>3212</v>
      </c>
      <c r="AO1698" s="7" t="s">
        <v>1177</v>
      </c>
      <c r="AP1698" s="7" t="s">
        <v>1177</v>
      </c>
      <c r="AQ1698" s="7" t="s">
        <v>1177</v>
      </c>
      <c r="AR1698" s="29">
        <v>0</v>
      </c>
      <c r="AS1698" s="7" t="s">
        <v>1177</v>
      </c>
      <c r="AT1698" s="7" t="s">
        <v>1363</v>
      </c>
      <c r="AU1698" s="38">
        <v>46275</v>
      </c>
      <c r="AV1698" s="39">
        <v>0.60391203703703999</v>
      </c>
    </row>
    <row r="1699" spans="1:48" x14ac:dyDescent="0.35">
      <c r="A1699" t="str">
        <f t="shared" si="26"/>
        <v>GP485051-001B833</v>
      </c>
      <c r="B1699" s="7" t="s">
        <v>296</v>
      </c>
      <c r="C1699" s="7" t="s">
        <v>698</v>
      </c>
      <c r="D1699" s="7" t="s">
        <v>697</v>
      </c>
      <c r="E1699" s="7" t="s">
        <v>1177</v>
      </c>
      <c r="F1699" s="7" t="s">
        <v>134</v>
      </c>
      <c r="G1699" s="7" t="s">
        <v>130</v>
      </c>
      <c r="H1699" s="7" t="s">
        <v>162</v>
      </c>
      <c r="I1699" s="30">
        <v>200</v>
      </c>
      <c r="J1699" s="7" t="s">
        <v>1177</v>
      </c>
      <c r="K1699" s="7" t="s">
        <v>1178</v>
      </c>
      <c r="L1699" s="7" t="s">
        <v>132</v>
      </c>
      <c r="M1699" s="7" t="s">
        <v>137</v>
      </c>
      <c r="N1699" s="30">
        <v>0</v>
      </c>
      <c r="O1699" s="30">
        <v>0</v>
      </c>
      <c r="P1699" s="30">
        <v>0</v>
      </c>
      <c r="Q1699" s="30">
        <v>0</v>
      </c>
      <c r="R1699" s="29">
        <v>0</v>
      </c>
      <c r="S1699" s="36">
        <v>0</v>
      </c>
      <c r="T1699" s="7" t="s">
        <v>1177</v>
      </c>
      <c r="U1699" s="7" t="s">
        <v>699</v>
      </c>
      <c r="V1699" s="7" t="s">
        <v>699</v>
      </c>
      <c r="W1699" s="7" t="s">
        <v>1177</v>
      </c>
      <c r="X1699" s="30">
        <v>200</v>
      </c>
      <c r="Y1699" s="7" t="s">
        <v>1177</v>
      </c>
      <c r="Z1699" s="7" t="s">
        <v>1178</v>
      </c>
      <c r="AA1699" s="30">
        <v>0</v>
      </c>
      <c r="AB1699" s="36">
        <v>0</v>
      </c>
      <c r="AC1699" s="7" t="s">
        <v>1177</v>
      </c>
      <c r="AD1699" s="37">
        <v>0</v>
      </c>
      <c r="AE1699" s="7" t="s">
        <v>1177</v>
      </c>
      <c r="AF1699" s="7" t="s">
        <v>1177</v>
      </c>
      <c r="AG1699" s="7" t="s">
        <v>1177</v>
      </c>
      <c r="AH1699" s="38"/>
      <c r="AI1699" s="36">
        <v>0</v>
      </c>
      <c r="AJ1699" s="7" t="s">
        <v>1193</v>
      </c>
      <c r="AK1699" s="7" t="s">
        <v>1177</v>
      </c>
      <c r="AL1699" s="7" t="s">
        <v>1177</v>
      </c>
      <c r="AM1699" s="7" t="s">
        <v>1177</v>
      </c>
      <c r="AN1699" s="7" t="s">
        <v>3212</v>
      </c>
      <c r="AO1699" s="7" t="s">
        <v>1177</v>
      </c>
      <c r="AP1699" s="7" t="s">
        <v>1177</v>
      </c>
      <c r="AQ1699" s="7" t="s">
        <v>1177</v>
      </c>
      <c r="AR1699" s="29">
        <v>0</v>
      </c>
      <c r="AS1699" s="7" t="s">
        <v>1177</v>
      </c>
      <c r="AT1699" s="7" t="s">
        <v>1363</v>
      </c>
      <c r="AU1699" s="38">
        <v>46275</v>
      </c>
      <c r="AV1699" s="39">
        <v>0.60396990740740997</v>
      </c>
    </row>
    <row r="1700" spans="1:48" x14ac:dyDescent="0.35">
      <c r="A1700" t="str">
        <f t="shared" si="26"/>
        <v>GP485051-001B838</v>
      </c>
      <c r="B1700" s="7" t="s">
        <v>296</v>
      </c>
      <c r="C1700" s="7" t="s">
        <v>744</v>
      </c>
      <c r="D1700" s="7" t="s">
        <v>48</v>
      </c>
      <c r="E1700" s="7" t="s">
        <v>1177</v>
      </c>
      <c r="F1700" s="7" t="s">
        <v>134</v>
      </c>
      <c r="G1700" s="7" t="s">
        <v>130</v>
      </c>
      <c r="H1700" s="7" t="s">
        <v>162</v>
      </c>
      <c r="I1700" s="30">
        <v>200</v>
      </c>
      <c r="J1700" s="7" t="s">
        <v>1177</v>
      </c>
      <c r="K1700" s="7" t="s">
        <v>1178</v>
      </c>
      <c r="L1700" s="7" t="s">
        <v>132</v>
      </c>
      <c r="M1700" s="7" t="s">
        <v>137</v>
      </c>
      <c r="N1700" s="30">
        <v>0</v>
      </c>
      <c r="O1700" s="30">
        <v>0</v>
      </c>
      <c r="P1700" s="30">
        <v>0</v>
      </c>
      <c r="Q1700" s="30">
        <v>0</v>
      </c>
      <c r="R1700" s="29">
        <v>0</v>
      </c>
      <c r="S1700" s="36">
        <v>0</v>
      </c>
      <c r="T1700" s="7" t="s">
        <v>1177</v>
      </c>
      <c r="U1700" s="7" t="s">
        <v>745</v>
      </c>
      <c r="V1700" s="7" t="s">
        <v>745</v>
      </c>
      <c r="W1700" s="7" t="s">
        <v>1177</v>
      </c>
      <c r="X1700" s="30">
        <v>200</v>
      </c>
      <c r="Y1700" s="7" t="s">
        <v>1177</v>
      </c>
      <c r="Z1700" s="7" t="s">
        <v>1178</v>
      </c>
      <c r="AA1700" s="30">
        <v>0</v>
      </c>
      <c r="AB1700" s="36">
        <v>0</v>
      </c>
      <c r="AC1700" s="7" t="s">
        <v>1177</v>
      </c>
      <c r="AD1700" s="37">
        <v>0</v>
      </c>
      <c r="AE1700" s="7" t="s">
        <v>1177</v>
      </c>
      <c r="AF1700" s="7" t="s">
        <v>1177</v>
      </c>
      <c r="AG1700" s="7" t="s">
        <v>1177</v>
      </c>
      <c r="AH1700" s="38"/>
      <c r="AI1700" s="36">
        <v>0</v>
      </c>
      <c r="AJ1700" s="7" t="s">
        <v>1193</v>
      </c>
      <c r="AK1700" s="7" t="s">
        <v>1177</v>
      </c>
      <c r="AL1700" s="7" t="s">
        <v>1177</v>
      </c>
      <c r="AM1700" s="7" t="s">
        <v>1177</v>
      </c>
      <c r="AN1700" s="7" t="s">
        <v>3212</v>
      </c>
      <c r="AO1700" s="7" t="s">
        <v>1177</v>
      </c>
      <c r="AP1700" s="7" t="s">
        <v>1177</v>
      </c>
      <c r="AQ1700" s="7" t="s">
        <v>1177</v>
      </c>
      <c r="AR1700" s="29">
        <v>0</v>
      </c>
      <c r="AS1700" s="7" t="s">
        <v>1177</v>
      </c>
      <c r="AT1700" s="7" t="s">
        <v>1363</v>
      </c>
      <c r="AU1700" s="38">
        <v>46275</v>
      </c>
      <c r="AV1700" s="39">
        <v>0.60446759259258998</v>
      </c>
    </row>
    <row r="1701" spans="1:48" x14ac:dyDescent="0.35">
      <c r="A1701" t="str">
        <f t="shared" si="26"/>
        <v>GP485051-001B856</v>
      </c>
      <c r="B1701" s="7" t="s">
        <v>296</v>
      </c>
      <c r="C1701" s="7" t="s">
        <v>852</v>
      </c>
      <c r="D1701" s="7" t="s">
        <v>21</v>
      </c>
      <c r="E1701" s="7" t="s">
        <v>1177</v>
      </c>
      <c r="F1701" s="7" t="s">
        <v>134</v>
      </c>
      <c r="G1701" s="7" t="s">
        <v>130</v>
      </c>
      <c r="H1701" s="7" t="s">
        <v>162</v>
      </c>
      <c r="I1701" s="30">
        <v>400</v>
      </c>
      <c r="J1701" s="7" t="s">
        <v>1177</v>
      </c>
      <c r="K1701" s="7" t="s">
        <v>1178</v>
      </c>
      <c r="L1701" s="7" t="s">
        <v>132</v>
      </c>
      <c r="M1701" s="7" t="s">
        <v>137</v>
      </c>
      <c r="N1701" s="30">
        <v>0</v>
      </c>
      <c r="O1701" s="30">
        <v>0</v>
      </c>
      <c r="P1701" s="30">
        <v>0</v>
      </c>
      <c r="Q1701" s="30">
        <v>0</v>
      </c>
      <c r="R1701" s="29">
        <v>0</v>
      </c>
      <c r="S1701" s="36">
        <v>0</v>
      </c>
      <c r="T1701" s="7" t="s">
        <v>1177</v>
      </c>
      <c r="U1701" s="7" t="s">
        <v>853</v>
      </c>
      <c r="V1701" s="7" t="s">
        <v>853</v>
      </c>
      <c r="W1701" s="7" t="s">
        <v>1177</v>
      </c>
      <c r="X1701" s="30">
        <v>400</v>
      </c>
      <c r="Y1701" s="7" t="s">
        <v>1177</v>
      </c>
      <c r="Z1701" s="7" t="s">
        <v>1178</v>
      </c>
      <c r="AA1701" s="30">
        <v>0</v>
      </c>
      <c r="AB1701" s="36">
        <v>0</v>
      </c>
      <c r="AC1701" s="7" t="s">
        <v>1177</v>
      </c>
      <c r="AD1701" s="37">
        <v>0</v>
      </c>
      <c r="AE1701" s="7" t="s">
        <v>1177</v>
      </c>
      <c r="AF1701" s="7" t="s">
        <v>1177</v>
      </c>
      <c r="AG1701" s="7" t="s">
        <v>1177</v>
      </c>
      <c r="AH1701" s="38"/>
      <c r="AI1701" s="36">
        <v>0</v>
      </c>
      <c r="AJ1701" s="7" t="s">
        <v>1193</v>
      </c>
      <c r="AK1701" s="7" t="s">
        <v>1177</v>
      </c>
      <c r="AL1701" s="7" t="s">
        <v>1177</v>
      </c>
      <c r="AM1701" s="7" t="s">
        <v>1177</v>
      </c>
      <c r="AN1701" s="7" t="s">
        <v>3212</v>
      </c>
      <c r="AO1701" s="7" t="s">
        <v>1177</v>
      </c>
      <c r="AP1701" s="7" t="s">
        <v>1177</v>
      </c>
      <c r="AQ1701" s="7" t="s">
        <v>1177</v>
      </c>
      <c r="AR1701" s="29">
        <v>0</v>
      </c>
      <c r="AS1701" s="7" t="s">
        <v>1177</v>
      </c>
      <c r="AT1701" s="7" t="s">
        <v>1363</v>
      </c>
      <c r="AU1701" s="38">
        <v>46275</v>
      </c>
      <c r="AV1701" s="39">
        <v>0.60524305555556002</v>
      </c>
    </row>
    <row r="1702" spans="1:48" x14ac:dyDescent="0.35">
      <c r="A1702" t="str">
        <f t="shared" si="26"/>
        <v>GP485051-001B857</v>
      </c>
      <c r="B1702" s="7" t="s">
        <v>296</v>
      </c>
      <c r="C1702" s="7" t="s">
        <v>958</v>
      </c>
      <c r="D1702" s="7" t="s">
        <v>23</v>
      </c>
      <c r="E1702" s="7" t="s">
        <v>1177</v>
      </c>
      <c r="F1702" s="7" t="s">
        <v>134</v>
      </c>
      <c r="G1702" s="7" t="s">
        <v>130</v>
      </c>
      <c r="H1702" s="7" t="s">
        <v>162</v>
      </c>
      <c r="I1702" s="30">
        <v>200</v>
      </c>
      <c r="J1702" s="7" t="s">
        <v>1177</v>
      </c>
      <c r="K1702" s="7" t="s">
        <v>1178</v>
      </c>
      <c r="L1702" s="7" t="s">
        <v>132</v>
      </c>
      <c r="M1702" s="7" t="s">
        <v>137</v>
      </c>
      <c r="N1702" s="30">
        <v>0</v>
      </c>
      <c r="O1702" s="30">
        <v>0</v>
      </c>
      <c r="P1702" s="30">
        <v>0</v>
      </c>
      <c r="Q1702" s="30">
        <v>0</v>
      </c>
      <c r="R1702" s="29">
        <v>0</v>
      </c>
      <c r="S1702" s="36">
        <v>0</v>
      </c>
      <c r="T1702" s="7" t="s">
        <v>1177</v>
      </c>
      <c r="U1702" s="7" t="s">
        <v>959</v>
      </c>
      <c r="V1702" s="7" t="s">
        <v>959</v>
      </c>
      <c r="W1702" s="7" t="s">
        <v>1177</v>
      </c>
      <c r="X1702" s="30">
        <v>200</v>
      </c>
      <c r="Y1702" s="7" t="s">
        <v>1177</v>
      </c>
      <c r="Z1702" s="7" t="s">
        <v>1178</v>
      </c>
      <c r="AA1702" s="30">
        <v>0</v>
      </c>
      <c r="AB1702" s="36">
        <v>0</v>
      </c>
      <c r="AC1702" s="7" t="s">
        <v>1177</v>
      </c>
      <c r="AD1702" s="37">
        <v>0</v>
      </c>
      <c r="AE1702" s="7" t="s">
        <v>1177</v>
      </c>
      <c r="AF1702" s="7" t="s">
        <v>1177</v>
      </c>
      <c r="AG1702" s="7" t="s">
        <v>1177</v>
      </c>
      <c r="AH1702" s="38"/>
      <c r="AI1702" s="36">
        <v>0</v>
      </c>
      <c r="AJ1702" s="7" t="s">
        <v>1193</v>
      </c>
      <c r="AK1702" s="7" t="s">
        <v>1177</v>
      </c>
      <c r="AL1702" s="7" t="s">
        <v>1177</v>
      </c>
      <c r="AM1702" s="7" t="s">
        <v>1177</v>
      </c>
      <c r="AN1702" s="7" t="s">
        <v>3212</v>
      </c>
      <c r="AO1702" s="7" t="s">
        <v>1177</v>
      </c>
      <c r="AP1702" s="7" t="s">
        <v>1177</v>
      </c>
      <c r="AQ1702" s="7" t="s">
        <v>1177</v>
      </c>
      <c r="AR1702" s="29">
        <v>0</v>
      </c>
      <c r="AS1702" s="7" t="s">
        <v>1177</v>
      </c>
      <c r="AT1702" s="7" t="s">
        <v>1363</v>
      </c>
      <c r="AU1702" s="38">
        <v>46275</v>
      </c>
      <c r="AV1702" s="39">
        <v>0.60528935185184995</v>
      </c>
    </row>
    <row r="1703" spans="1:48" x14ac:dyDescent="0.35">
      <c r="A1703" t="str">
        <f t="shared" si="26"/>
        <v>GP485051-001B864</v>
      </c>
      <c r="B1703" s="7" t="s">
        <v>296</v>
      </c>
      <c r="C1703" s="7" t="s">
        <v>1010</v>
      </c>
      <c r="D1703" s="7" t="s">
        <v>10</v>
      </c>
      <c r="E1703" s="7" t="s">
        <v>1177</v>
      </c>
      <c r="F1703" s="7" t="s">
        <v>134</v>
      </c>
      <c r="G1703" s="7" t="s">
        <v>130</v>
      </c>
      <c r="H1703" s="7" t="s">
        <v>162</v>
      </c>
      <c r="I1703" s="30">
        <v>300</v>
      </c>
      <c r="J1703" s="7" t="s">
        <v>1177</v>
      </c>
      <c r="K1703" s="7" t="s">
        <v>1178</v>
      </c>
      <c r="L1703" s="7" t="s">
        <v>132</v>
      </c>
      <c r="M1703" s="7" t="s">
        <v>137</v>
      </c>
      <c r="N1703" s="30">
        <v>0</v>
      </c>
      <c r="O1703" s="30">
        <v>0</v>
      </c>
      <c r="P1703" s="30">
        <v>0</v>
      </c>
      <c r="Q1703" s="30">
        <v>0</v>
      </c>
      <c r="R1703" s="29">
        <v>0</v>
      </c>
      <c r="S1703" s="36">
        <v>0</v>
      </c>
      <c r="T1703" s="7" t="s">
        <v>1177</v>
      </c>
      <c r="U1703" s="7" t="s">
        <v>1011</v>
      </c>
      <c r="V1703" s="7" t="s">
        <v>1011</v>
      </c>
      <c r="W1703" s="7" t="s">
        <v>1177</v>
      </c>
      <c r="X1703" s="30">
        <v>300</v>
      </c>
      <c r="Y1703" s="7" t="s">
        <v>1177</v>
      </c>
      <c r="Z1703" s="7" t="s">
        <v>1178</v>
      </c>
      <c r="AA1703" s="30">
        <v>0</v>
      </c>
      <c r="AB1703" s="36">
        <v>0</v>
      </c>
      <c r="AC1703" s="7" t="s">
        <v>1177</v>
      </c>
      <c r="AD1703" s="37">
        <v>0</v>
      </c>
      <c r="AE1703" s="7" t="s">
        <v>1177</v>
      </c>
      <c r="AF1703" s="7" t="s">
        <v>1177</v>
      </c>
      <c r="AG1703" s="7" t="s">
        <v>1177</v>
      </c>
      <c r="AH1703" s="38"/>
      <c r="AI1703" s="36">
        <v>0</v>
      </c>
      <c r="AJ1703" s="7" t="s">
        <v>1193</v>
      </c>
      <c r="AK1703" s="7" t="s">
        <v>1177</v>
      </c>
      <c r="AL1703" s="7" t="s">
        <v>1177</v>
      </c>
      <c r="AM1703" s="7" t="s">
        <v>1177</v>
      </c>
      <c r="AN1703" s="7" t="s">
        <v>3212</v>
      </c>
      <c r="AO1703" s="7" t="s">
        <v>1177</v>
      </c>
      <c r="AP1703" s="7" t="s">
        <v>1177</v>
      </c>
      <c r="AQ1703" s="7" t="s">
        <v>1177</v>
      </c>
      <c r="AR1703" s="29">
        <v>0</v>
      </c>
      <c r="AS1703" s="7" t="s">
        <v>1177</v>
      </c>
      <c r="AT1703" s="7" t="s">
        <v>1363</v>
      </c>
      <c r="AU1703" s="38">
        <v>46275</v>
      </c>
      <c r="AV1703" s="39">
        <v>0.60543981481481002</v>
      </c>
    </row>
    <row r="1704" spans="1:48" x14ac:dyDescent="0.35">
      <c r="A1704" t="str">
        <f t="shared" si="26"/>
        <v>GP485051-001B865</v>
      </c>
      <c r="B1704" s="7" t="s">
        <v>296</v>
      </c>
      <c r="C1704" s="7" t="s">
        <v>1039</v>
      </c>
      <c r="D1704" s="7" t="s">
        <v>7</v>
      </c>
      <c r="E1704" s="7" t="s">
        <v>1177</v>
      </c>
      <c r="F1704" s="7" t="s">
        <v>134</v>
      </c>
      <c r="G1704" s="7" t="s">
        <v>130</v>
      </c>
      <c r="H1704" s="7" t="s">
        <v>162</v>
      </c>
      <c r="I1704" s="30">
        <v>300</v>
      </c>
      <c r="J1704" s="7" t="s">
        <v>1177</v>
      </c>
      <c r="K1704" s="7" t="s">
        <v>1178</v>
      </c>
      <c r="L1704" s="7" t="s">
        <v>132</v>
      </c>
      <c r="M1704" s="7" t="s">
        <v>137</v>
      </c>
      <c r="N1704" s="30">
        <v>0</v>
      </c>
      <c r="O1704" s="30">
        <v>0</v>
      </c>
      <c r="P1704" s="30">
        <v>0</v>
      </c>
      <c r="Q1704" s="30">
        <v>0</v>
      </c>
      <c r="R1704" s="29">
        <v>0</v>
      </c>
      <c r="S1704" s="36">
        <v>0</v>
      </c>
      <c r="T1704" s="7" t="s">
        <v>1177</v>
      </c>
      <c r="U1704" s="7" t="s">
        <v>1040</v>
      </c>
      <c r="V1704" s="7" t="s">
        <v>1040</v>
      </c>
      <c r="W1704" s="7" t="s">
        <v>1177</v>
      </c>
      <c r="X1704" s="30">
        <v>300</v>
      </c>
      <c r="Y1704" s="7" t="s">
        <v>1177</v>
      </c>
      <c r="Z1704" s="7" t="s">
        <v>1178</v>
      </c>
      <c r="AA1704" s="30">
        <v>0</v>
      </c>
      <c r="AB1704" s="36">
        <v>0</v>
      </c>
      <c r="AC1704" s="7" t="s">
        <v>1177</v>
      </c>
      <c r="AD1704" s="37">
        <v>0</v>
      </c>
      <c r="AE1704" s="7" t="s">
        <v>1177</v>
      </c>
      <c r="AF1704" s="7" t="s">
        <v>1177</v>
      </c>
      <c r="AG1704" s="7" t="s">
        <v>1177</v>
      </c>
      <c r="AH1704" s="38"/>
      <c r="AI1704" s="36">
        <v>0</v>
      </c>
      <c r="AJ1704" s="7" t="s">
        <v>1193</v>
      </c>
      <c r="AK1704" s="7" t="s">
        <v>1177</v>
      </c>
      <c r="AL1704" s="7" t="s">
        <v>1177</v>
      </c>
      <c r="AM1704" s="7" t="s">
        <v>1177</v>
      </c>
      <c r="AN1704" s="7" t="s">
        <v>3212</v>
      </c>
      <c r="AO1704" s="7" t="s">
        <v>1177</v>
      </c>
      <c r="AP1704" s="7" t="s">
        <v>1177</v>
      </c>
      <c r="AQ1704" s="7" t="s">
        <v>1177</v>
      </c>
      <c r="AR1704" s="29">
        <v>0</v>
      </c>
      <c r="AS1704" s="7" t="s">
        <v>1177</v>
      </c>
      <c r="AT1704" s="7" t="s">
        <v>1363</v>
      </c>
      <c r="AU1704" s="38">
        <v>46275</v>
      </c>
      <c r="AV1704" s="39">
        <v>0.60555555555555995</v>
      </c>
    </row>
    <row r="1705" spans="1:48" x14ac:dyDescent="0.35">
      <c r="A1705" t="str">
        <f t="shared" si="26"/>
        <v>GP485051-001B867</v>
      </c>
      <c r="B1705" s="7" t="s">
        <v>296</v>
      </c>
      <c r="C1705" s="7" t="s">
        <v>1059</v>
      </c>
      <c r="D1705" s="7" t="s">
        <v>25</v>
      </c>
      <c r="E1705" s="7" t="s">
        <v>1177</v>
      </c>
      <c r="F1705" s="7" t="s">
        <v>134</v>
      </c>
      <c r="G1705" s="7" t="s">
        <v>130</v>
      </c>
      <c r="H1705" s="7" t="s">
        <v>162</v>
      </c>
      <c r="I1705" s="30">
        <v>160</v>
      </c>
      <c r="J1705" s="7" t="s">
        <v>1177</v>
      </c>
      <c r="K1705" s="7" t="s">
        <v>1178</v>
      </c>
      <c r="L1705" s="7" t="s">
        <v>132</v>
      </c>
      <c r="M1705" s="7" t="s">
        <v>137</v>
      </c>
      <c r="N1705" s="30">
        <v>0</v>
      </c>
      <c r="O1705" s="30">
        <v>0</v>
      </c>
      <c r="P1705" s="30">
        <v>0</v>
      </c>
      <c r="Q1705" s="30">
        <v>0</v>
      </c>
      <c r="R1705" s="29">
        <v>0</v>
      </c>
      <c r="S1705" s="36">
        <v>0</v>
      </c>
      <c r="T1705" s="7" t="s">
        <v>1177</v>
      </c>
      <c r="U1705" s="7" t="s">
        <v>1060</v>
      </c>
      <c r="V1705" s="7" t="s">
        <v>1060</v>
      </c>
      <c r="W1705" s="7" t="s">
        <v>1177</v>
      </c>
      <c r="X1705" s="30">
        <v>160</v>
      </c>
      <c r="Y1705" s="7" t="s">
        <v>1177</v>
      </c>
      <c r="Z1705" s="7" t="s">
        <v>1178</v>
      </c>
      <c r="AA1705" s="30">
        <v>0</v>
      </c>
      <c r="AB1705" s="36">
        <v>0</v>
      </c>
      <c r="AC1705" s="7" t="s">
        <v>1177</v>
      </c>
      <c r="AD1705" s="37">
        <v>0</v>
      </c>
      <c r="AE1705" s="7" t="s">
        <v>1177</v>
      </c>
      <c r="AF1705" s="7" t="s">
        <v>1177</v>
      </c>
      <c r="AG1705" s="7" t="s">
        <v>1177</v>
      </c>
      <c r="AH1705" s="38"/>
      <c r="AI1705" s="36">
        <v>0</v>
      </c>
      <c r="AJ1705" s="7" t="s">
        <v>1193</v>
      </c>
      <c r="AK1705" s="7" t="s">
        <v>1177</v>
      </c>
      <c r="AL1705" s="7" t="s">
        <v>1177</v>
      </c>
      <c r="AM1705" s="7" t="s">
        <v>1177</v>
      </c>
      <c r="AN1705" s="7" t="s">
        <v>3212</v>
      </c>
      <c r="AO1705" s="7" t="s">
        <v>1177</v>
      </c>
      <c r="AP1705" s="7" t="s">
        <v>1177</v>
      </c>
      <c r="AQ1705" s="7" t="s">
        <v>1177</v>
      </c>
      <c r="AR1705" s="29">
        <v>0</v>
      </c>
      <c r="AS1705" s="7" t="s">
        <v>1177</v>
      </c>
      <c r="AT1705" s="7" t="s">
        <v>1363</v>
      </c>
      <c r="AU1705" s="38">
        <v>46275</v>
      </c>
      <c r="AV1705" s="39">
        <v>0.60565972222221998</v>
      </c>
    </row>
    <row r="1706" spans="1:48" x14ac:dyDescent="0.35">
      <c r="A1706" t="str">
        <f t="shared" si="26"/>
        <v>GP485135B838</v>
      </c>
      <c r="B1706" s="7" t="s">
        <v>774</v>
      </c>
      <c r="C1706" s="7" t="s">
        <v>744</v>
      </c>
      <c r="D1706" s="7" t="s">
        <v>48</v>
      </c>
      <c r="E1706" s="7" t="s">
        <v>1177</v>
      </c>
      <c r="F1706" s="7" t="s">
        <v>128</v>
      </c>
      <c r="G1706" s="7" t="s">
        <v>130</v>
      </c>
      <c r="H1706" s="7" t="s">
        <v>129</v>
      </c>
      <c r="I1706" s="30">
        <v>2</v>
      </c>
      <c r="J1706" s="7" t="s">
        <v>1177</v>
      </c>
      <c r="K1706" s="7" t="s">
        <v>1178</v>
      </c>
      <c r="L1706" s="7" t="s">
        <v>132</v>
      </c>
      <c r="M1706" s="7" t="s">
        <v>133</v>
      </c>
      <c r="N1706" s="30">
        <v>0</v>
      </c>
      <c r="O1706" s="30">
        <v>0</v>
      </c>
      <c r="P1706" s="30">
        <v>0</v>
      </c>
      <c r="Q1706" s="30">
        <v>0</v>
      </c>
      <c r="R1706" s="29">
        <v>0</v>
      </c>
      <c r="S1706" s="36">
        <v>0</v>
      </c>
      <c r="T1706" s="7" t="s">
        <v>131</v>
      </c>
      <c r="U1706" s="7" t="s">
        <v>745</v>
      </c>
      <c r="V1706" s="7" t="s">
        <v>745</v>
      </c>
      <c r="W1706" s="7" t="s">
        <v>1177</v>
      </c>
      <c r="X1706" s="30">
        <v>1</v>
      </c>
      <c r="Y1706" s="7" t="s">
        <v>1177</v>
      </c>
      <c r="Z1706" s="7" t="s">
        <v>1178</v>
      </c>
      <c r="AA1706" s="30">
        <v>0</v>
      </c>
      <c r="AB1706" s="36">
        <v>0</v>
      </c>
      <c r="AC1706" s="7" t="s">
        <v>1177</v>
      </c>
      <c r="AD1706" s="37">
        <v>0</v>
      </c>
      <c r="AE1706" s="7" t="s">
        <v>1177</v>
      </c>
      <c r="AF1706" s="7" t="s">
        <v>1177</v>
      </c>
      <c r="AG1706" s="7" t="s">
        <v>1177</v>
      </c>
      <c r="AH1706" s="38"/>
      <c r="AI1706" s="36">
        <v>0</v>
      </c>
      <c r="AJ1706" s="7" t="s">
        <v>1193</v>
      </c>
      <c r="AK1706" s="7" t="s">
        <v>1177</v>
      </c>
      <c r="AL1706" s="7" t="s">
        <v>1177</v>
      </c>
      <c r="AM1706" s="7" t="s">
        <v>1177</v>
      </c>
      <c r="AN1706" s="7" t="s">
        <v>3212</v>
      </c>
      <c r="AO1706" s="7" t="s">
        <v>1177</v>
      </c>
      <c r="AP1706" s="7" t="s">
        <v>1177</v>
      </c>
      <c r="AQ1706" s="7" t="s">
        <v>1177</v>
      </c>
      <c r="AR1706" s="29">
        <v>0</v>
      </c>
      <c r="AS1706" s="7" t="s">
        <v>1177</v>
      </c>
      <c r="AT1706" s="7" t="s">
        <v>1363</v>
      </c>
      <c r="AU1706" s="38">
        <v>46275</v>
      </c>
      <c r="AV1706" s="39">
        <v>0.62398148148148003</v>
      </c>
    </row>
    <row r="1707" spans="1:48" x14ac:dyDescent="0.35">
      <c r="A1707" t="str">
        <f t="shared" si="26"/>
        <v>GP485135B857</v>
      </c>
      <c r="B1707" s="7" t="s">
        <v>774</v>
      </c>
      <c r="C1707" s="7" t="s">
        <v>958</v>
      </c>
      <c r="D1707" s="7" t="s">
        <v>23</v>
      </c>
      <c r="E1707" s="7" t="s">
        <v>1177</v>
      </c>
      <c r="F1707" s="7" t="s">
        <v>128</v>
      </c>
      <c r="G1707" s="7" t="s">
        <v>130</v>
      </c>
      <c r="H1707" s="7" t="s">
        <v>129</v>
      </c>
      <c r="I1707" s="30">
        <v>2</v>
      </c>
      <c r="J1707" s="7" t="s">
        <v>1177</v>
      </c>
      <c r="K1707" s="7" t="s">
        <v>1178</v>
      </c>
      <c r="L1707" s="7" t="s">
        <v>132</v>
      </c>
      <c r="M1707" s="7" t="s">
        <v>133</v>
      </c>
      <c r="N1707" s="30">
        <v>0</v>
      </c>
      <c r="O1707" s="30">
        <v>0</v>
      </c>
      <c r="P1707" s="30">
        <v>0</v>
      </c>
      <c r="Q1707" s="30">
        <v>0</v>
      </c>
      <c r="R1707" s="29">
        <v>0</v>
      </c>
      <c r="S1707" s="36">
        <v>0</v>
      </c>
      <c r="T1707" s="7" t="s">
        <v>131</v>
      </c>
      <c r="U1707" s="7" t="s">
        <v>959</v>
      </c>
      <c r="V1707" s="7" t="s">
        <v>959</v>
      </c>
      <c r="W1707" s="7" t="s">
        <v>1177</v>
      </c>
      <c r="X1707" s="30">
        <v>1</v>
      </c>
      <c r="Y1707" s="7" t="s">
        <v>1177</v>
      </c>
      <c r="Z1707" s="7" t="s">
        <v>1178</v>
      </c>
      <c r="AA1707" s="30">
        <v>0</v>
      </c>
      <c r="AB1707" s="36">
        <v>0</v>
      </c>
      <c r="AC1707" s="7" t="s">
        <v>1177</v>
      </c>
      <c r="AD1707" s="37">
        <v>0</v>
      </c>
      <c r="AE1707" s="7" t="s">
        <v>1177</v>
      </c>
      <c r="AF1707" s="7" t="s">
        <v>1177</v>
      </c>
      <c r="AG1707" s="7" t="s">
        <v>1177</v>
      </c>
      <c r="AH1707" s="38"/>
      <c r="AI1707" s="36">
        <v>0</v>
      </c>
      <c r="AJ1707" s="7" t="s">
        <v>1193</v>
      </c>
      <c r="AK1707" s="7" t="s">
        <v>1177</v>
      </c>
      <c r="AL1707" s="7" t="s">
        <v>1177</v>
      </c>
      <c r="AM1707" s="7" t="s">
        <v>1177</v>
      </c>
      <c r="AN1707" s="7" t="s">
        <v>3212</v>
      </c>
      <c r="AO1707" s="7" t="s">
        <v>1177</v>
      </c>
      <c r="AP1707" s="7" t="s">
        <v>1177</v>
      </c>
      <c r="AQ1707" s="7" t="s">
        <v>1177</v>
      </c>
      <c r="AR1707" s="29">
        <v>0</v>
      </c>
      <c r="AS1707" s="7" t="s">
        <v>1177</v>
      </c>
      <c r="AT1707" s="7" t="s">
        <v>1363</v>
      </c>
      <c r="AU1707" s="38">
        <v>46275</v>
      </c>
      <c r="AV1707" s="39">
        <v>0.62511574074073994</v>
      </c>
    </row>
    <row r="1708" spans="1:48" x14ac:dyDescent="0.35">
      <c r="A1708" t="str">
        <f t="shared" si="26"/>
        <v>GP485135B864</v>
      </c>
      <c r="B1708" s="7" t="s">
        <v>774</v>
      </c>
      <c r="C1708" s="7" t="s">
        <v>1010</v>
      </c>
      <c r="D1708" s="7" t="s">
        <v>10</v>
      </c>
      <c r="E1708" s="7" t="s">
        <v>1177</v>
      </c>
      <c r="F1708" s="7" t="s">
        <v>128</v>
      </c>
      <c r="G1708" s="7" t="s">
        <v>130</v>
      </c>
      <c r="H1708" s="7" t="s">
        <v>129</v>
      </c>
      <c r="I1708" s="30">
        <v>2</v>
      </c>
      <c r="J1708" s="7" t="s">
        <v>1177</v>
      </c>
      <c r="K1708" s="7" t="s">
        <v>1178</v>
      </c>
      <c r="L1708" s="7" t="s">
        <v>132</v>
      </c>
      <c r="M1708" s="7" t="s">
        <v>133</v>
      </c>
      <c r="N1708" s="30">
        <v>0</v>
      </c>
      <c r="O1708" s="30">
        <v>0</v>
      </c>
      <c r="P1708" s="30">
        <v>0</v>
      </c>
      <c r="Q1708" s="30">
        <v>0</v>
      </c>
      <c r="R1708" s="29">
        <v>0</v>
      </c>
      <c r="S1708" s="36">
        <v>0</v>
      </c>
      <c r="T1708" s="7" t="s">
        <v>131</v>
      </c>
      <c r="U1708" s="7" t="s">
        <v>1011</v>
      </c>
      <c r="V1708" s="7" t="s">
        <v>1011</v>
      </c>
      <c r="W1708" s="7" t="s">
        <v>1177</v>
      </c>
      <c r="X1708" s="30">
        <v>1</v>
      </c>
      <c r="Y1708" s="7" t="s">
        <v>1177</v>
      </c>
      <c r="Z1708" s="7" t="s">
        <v>1178</v>
      </c>
      <c r="AA1708" s="30">
        <v>0</v>
      </c>
      <c r="AB1708" s="36">
        <v>0</v>
      </c>
      <c r="AC1708" s="7" t="s">
        <v>1177</v>
      </c>
      <c r="AD1708" s="37">
        <v>0</v>
      </c>
      <c r="AE1708" s="7" t="s">
        <v>1177</v>
      </c>
      <c r="AF1708" s="7" t="s">
        <v>1177</v>
      </c>
      <c r="AG1708" s="7" t="s">
        <v>1177</v>
      </c>
      <c r="AH1708" s="38"/>
      <c r="AI1708" s="36">
        <v>0</v>
      </c>
      <c r="AJ1708" s="7" t="s">
        <v>1193</v>
      </c>
      <c r="AK1708" s="7" t="s">
        <v>1177</v>
      </c>
      <c r="AL1708" s="7" t="s">
        <v>1177</v>
      </c>
      <c r="AM1708" s="7" t="s">
        <v>1177</v>
      </c>
      <c r="AN1708" s="7" t="s">
        <v>3212</v>
      </c>
      <c r="AO1708" s="7" t="s">
        <v>1177</v>
      </c>
      <c r="AP1708" s="7" t="s">
        <v>1177</v>
      </c>
      <c r="AQ1708" s="7" t="s">
        <v>1177</v>
      </c>
      <c r="AR1708" s="29">
        <v>0</v>
      </c>
      <c r="AS1708" s="7" t="s">
        <v>1177</v>
      </c>
      <c r="AT1708" s="7" t="s">
        <v>1363</v>
      </c>
      <c r="AU1708" s="38">
        <v>46275</v>
      </c>
      <c r="AV1708" s="39">
        <v>0.62631944444443999</v>
      </c>
    </row>
    <row r="1709" spans="1:48" x14ac:dyDescent="0.35">
      <c r="A1709" t="str">
        <f t="shared" si="26"/>
        <v>GP485135B865</v>
      </c>
      <c r="B1709" s="7" t="s">
        <v>774</v>
      </c>
      <c r="C1709" s="7" t="s">
        <v>1039</v>
      </c>
      <c r="D1709" s="7" t="s">
        <v>7</v>
      </c>
      <c r="E1709" s="7" t="s">
        <v>1177</v>
      </c>
      <c r="F1709" s="7" t="s">
        <v>128</v>
      </c>
      <c r="G1709" s="7" t="s">
        <v>130</v>
      </c>
      <c r="H1709" s="7" t="s">
        <v>129</v>
      </c>
      <c r="I1709" s="30">
        <v>3</v>
      </c>
      <c r="J1709" s="7" t="s">
        <v>1177</v>
      </c>
      <c r="K1709" s="7" t="s">
        <v>1178</v>
      </c>
      <c r="L1709" s="7" t="s">
        <v>132</v>
      </c>
      <c r="M1709" s="7" t="s">
        <v>133</v>
      </c>
      <c r="N1709" s="30">
        <v>0</v>
      </c>
      <c r="O1709" s="30">
        <v>0</v>
      </c>
      <c r="P1709" s="30">
        <v>0</v>
      </c>
      <c r="Q1709" s="30">
        <v>0</v>
      </c>
      <c r="R1709" s="29">
        <v>0</v>
      </c>
      <c r="S1709" s="36">
        <v>0</v>
      </c>
      <c r="T1709" s="7" t="s">
        <v>131</v>
      </c>
      <c r="U1709" s="7" t="s">
        <v>1040</v>
      </c>
      <c r="V1709" s="7" t="s">
        <v>1040</v>
      </c>
      <c r="W1709" s="7" t="s">
        <v>1177</v>
      </c>
      <c r="X1709" s="30">
        <v>1</v>
      </c>
      <c r="Y1709" s="7" t="s">
        <v>1177</v>
      </c>
      <c r="Z1709" s="7" t="s">
        <v>1178</v>
      </c>
      <c r="AA1709" s="30">
        <v>0</v>
      </c>
      <c r="AB1709" s="36">
        <v>0</v>
      </c>
      <c r="AC1709" s="7" t="s">
        <v>1177</v>
      </c>
      <c r="AD1709" s="37">
        <v>0</v>
      </c>
      <c r="AE1709" s="7" t="s">
        <v>1177</v>
      </c>
      <c r="AF1709" s="7" t="s">
        <v>1177</v>
      </c>
      <c r="AG1709" s="7" t="s">
        <v>1177</v>
      </c>
      <c r="AH1709" s="38"/>
      <c r="AI1709" s="36">
        <v>0</v>
      </c>
      <c r="AJ1709" s="7" t="s">
        <v>1193</v>
      </c>
      <c r="AK1709" s="7" t="s">
        <v>1177</v>
      </c>
      <c r="AL1709" s="7" t="s">
        <v>1177</v>
      </c>
      <c r="AM1709" s="7" t="s">
        <v>1177</v>
      </c>
      <c r="AN1709" s="7" t="s">
        <v>3212</v>
      </c>
      <c r="AO1709" s="7" t="s">
        <v>1177</v>
      </c>
      <c r="AP1709" s="7" t="s">
        <v>1177</v>
      </c>
      <c r="AQ1709" s="7" t="s">
        <v>1177</v>
      </c>
      <c r="AR1709" s="29">
        <v>0</v>
      </c>
      <c r="AS1709" s="7" t="s">
        <v>1177</v>
      </c>
      <c r="AT1709" s="7" t="s">
        <v>1363</v>
      </c>
      <c r="AU1709" s="38">
        <v>46275</v>
      </c>
      <c r="AV1709" s="39">
        <v>0.62674768518518997</v>
      </c>
    </row>
    <row r="1710" spans="1:48" x14ac:dyDescent="0.35">
      <c r="A1710" t="str">
        <f t="shared" si="26"/>
        <v>GP485135B867</v>
      </c>
      <c r="B1710" s="7" t="s">
        <v>774</v>
      </c>
      <c r="C1710" s="7" t="s">
        <v>1059</v>
      </c>
      <c r="D1710" s="7" t="s">
        <v>25</v>
      </c>
      <c r="E1710" s="7" t="s">
        <v>1177</v>
      </c>
      <c r="F1710" s="7" t="s">
        <v>128</v>
      </c>
      <c r="G1710" s="7" t="s">
        <v>130</v>
      </c>
      <c r="H1710" s="7" t="s">
        <v>129</v>
      </c>
      <c r="I1710" s="30">
        <v>2</v>
      </c>
      <c r="J1710" s="7" t="s">
        <v>1177</v>
      </c>
      <c r="K1710" s="7" t="s">
        <v>1178</v>
      </c>
      <c r="L1710" s="7" t="s">
        <v>132</v>
      </c>
      <c r="M1710" s="7" t="s">
        <v>133</v>
      </c>
      <c r="N1710" s="30">
        <v>0</v>
      </c>
      <c r="O1710" s="30">
        <v>0</v>
      </c>
      <c r="P1710" s="30">
        <v>0</v>
      </c>
      <c r="Q1710" s="30">
        <v>0</v>
      </c>
      <c r="R1710" s="29">
        <v>0</v>
      </c>
      <c r="S1710" s="36">
        <v>0</v>
      </c>
      <c r="T1710" s="7" t="s">
        <v>131</v>
      </c>
      <c r="U1710" s="7" t="s">
        <v>1060</v>
      </c>
      <c r="V1710" s="7" t="s">
        <v>1060</v>
      </c>
      <c r="W1710" s="7" t="s">
        <v>1177</v>
      </c>
      <c r="X1710" s="30">
        <v>1</v>
      </c>
      <c r="Y1710" s="7" t="s">
        <v>1177</v>
      </c>
      <c r="Z1710" s="7" t="s">
        <v>1178</v>
      </c>
      <c r="AA1710" s="30">
        <v>0</v>
      </c>
      <c r="AB1710" s="36">
        <v>0</v>
      </c>
      <c r="AC1710" s="7" t="s">
        <v>1177</v>
      </c>
      <c r="AD1710" s="37">
        <v>0</v>
      </c>
      <c r="AE1710" s="7" t="s">
        <v>1177</v>
      </c>
      <c r="AF1710" s="7" t="s">
        <v>1177</v>
      </c>
      <c r="AG1710" s="7" t="s">
        <v>1177</v>
      </c>
      <c r="AH1710" s="38"/>
      <c r="AI1710" s="36">
        <v>0</v>
      </c>
      <c r="AJ1710" s="7" t="s">
        <v>1193</v>
      </c>
      <c r="AK1710" s="7" t="s">
        <v>1177</v>
      </c>
      <c r="AL1710" s="7" t="s">
        <v>1177</v>
      </c>
      <c r="AM1710" s="7" t="s">
        <v>1177</v>
      </c>
      <c r="AN1710" s="7" t="s">
        <v>3212</v>
      </c>
      <c r="AO1710" s="7" t="s">
        <v>1177</v>
      </c>
      <c r="AP1710" s="7" t="s">
        <v>1177</v>
      </c>
      <c r="AQ1710" s="7" t="s">
        <v>1177</v>
      </c>
      <c r="AR1710" s="29">
        <v>0</v>
      </c>
      <c r="AS1710" s="7" t="s">
        <v>1177</v>
      </c>
      <c r="AT1710" s="7" t="s">
        <v>1363</v>
      </c>
      <c r="AU1710" s="38">
        <v>46275</v>
      </c>
      <c r="AV1710" s="39">
        <v>0.62714120370369997</v>
      </c>
    </row>
    <row r="1711" spans="1:48" x14ac:dyDescent="0.35">
      <c r="A1711" t="str">
        <f t="shared" si="26"/>
        <v>GP486499B832</v>
      </c>
      <c r="B1711" s="7" t="s">
        <v>298</v>
      </c>
      <c r="C1711" s="7" t="s">
        <v>653</v>
      </c>
      <c r="D1711" s="7" t="s">
        <v>19</v>
      </c>
      <c r="E1711" s="7" t="s">
        <v>1177</v>
      </c>
      <c r="F1711" s="7" t="s">
        <v>128</v>
      </c>
      <c r="G1711" s="7" t="s">
        <v>130</v>
      </c>
      <c r="H1711" s="7" t="s">
        <v>129</v>
      </c>
      <c r="I1711" s="30">
        <v>2</v>
      </c>
      <c r="J1711" s="7" t="s">
        <v>1177</v>
      </c>
      <c r="K1711" s="7" t="s">
        <v>1178</v>
      </c>
      <c r="L1711" s="7" t="s">
        <v>132</v>
      </c>
      <c r="M1711" s="7" t="s">
        <v>133</v>
      </c>
      <c r="N1711" s="30">
        <v>0</v>
      </c>
      <c r="O1711" s="30">
        <v>0</v>
      </c>
      <c r="P1711" s="30">
        <v>0</v>
      </c>
      <c r="Q1711" s="30">
        <v>0</v>
      </c>
      <c r="R1711" s="29">
        <v>0</v>
      </c>
      <c r="S1711" s="36">
        <v>0</v>
      </c>
      <c r="T1711" s="7" t="s">
        <v>131</v>
      </c>
      <c r="U1711" s="7" t="s">
        <v>654</v>
      </c>
      <c r="V1711" s="7" t="s">
        <v>654</v>
      </c>
      <c r="W1711" s="7" t="s">
        <v>1177</v>
      </c>
      <c r="X1711" s="30">
        <v>1</v>
      </c>
      <c r="Y1711" s="7" t="s">
        <v>1177</v>
      </c>
      <c r="Z1711" s="7" t="s">
        <v>1178</v>
      </c>
      <c r="AA1711" s="30">
        <v>0</v>
      </c>
      <c r="AB1711" s="36">
        <v>0</v>
      </c>
      <c r="AC1711" s="7" t="s">
        <v>1177</v>
      </c>
      <c r="AD1711" s="37">
        <v>0</v>
      </c>
      <c r="AE1711" s="7" t="s">
        <v>1177</v>
      </c>
      <c r="AF1711" s="7" t="s">
        <v>1177</v>
      </c>
      <c r="AG1711" s="7" t="s">
        <v>1177</v>
      </c>
      <c r="AH1711" s="38"/>
      <c r="AI1711" s="36">
        <v>0</v>
      </c>
      <c r="AJ1711" s="7" t="s">
        <v>1193</v>
      </c>
      <c r="AK1711" s="7" t="s">
        <v>1177</v>
      </c>
      <c r="AL1711" s="7" t="s">
        <v>1177</v>
      </c>
      <c r="AM1711" s="7" t="s">
        <v>1177</v>
      </c>
      <c r="AN1711" s="7" t="s">
        <v>3212</v>
      </c>
      <c r="AO1711" s="7" t="s">
        <v>1177</v>
      </c>
      <c r="AP1711" s="7" t="s">
        <v>1177</v>
      </c>
      <c r="AQ1711" s="7" t="s">
        <v>1177</v>
      </c>
      <c r="AR1711" s="29">
        <v>0</v>
      </c>
      <c r="AS1711" s="7" t="s">
        <v>1177</v>
      </c>
      <c r="AT1711" s="7" t="s">
        <v>1363</v>
      </c>
      <c r="AU1711" s="38">
        <v>46275</v>
      </c>
      <c r="AV1711" s="39">
        <v>0.60384259259258999</v>
      </c>
    </row>
    <row r="1712" spans="1:48" x14ac:dyDescent="0.35">
      <c r="A1712" t="str">
        <f t="shared" si="26"/>
        <v>GP486500B825</v>
      </c>
      <c r="B1712" s="7" t="s">
        <v>108</v>
      </c>
      <c r="C1712" s="7" t="s">
        <v>511</v>
      </c>
      <c r="D1712" s="7" t="s">
        <v>16</v>
      </c>
      <c r="E1712" s="7" t="s">
        <v>1177</v>
      </c>
      <c r="F1712" s="7" t="s">
        <v>128</v>
      </c>
      <c r="G1712" s="7" t="s">
        <v>130</v>
      </c>
      <c r="H1712" s="7" t="s">
        <v>129</v>
      </c>
      <c r="I1712" s="30">
        <v>20</v>
      </c>
      <c r="J1712" s="7" t="s">
        <v>1177</v>
      </c>
      <c r="K1712" s="7" t="s">
        <v>1178</v>
      </c>
      <c r="L1712" s="7" t="s">
        <v>132</v>
      </c>
      <c r="M1712" s="7" t="s">
        <v>133</v>
      </c>
      <c r="N1712" s="30">
        <v>0</v>
      </c>
      <c r="O1712" s="30">
        <v>0</v>
      </c>
      <c r="P1712" s="30">
        <v>0</v>
      </c>
      <c r="Q1712" s="30">
        <v>0</v>
      </c>
      <c r="R1712" s="29">
        <v>0</v>
      </c>
      <c r="S1712" s="36">
        <v>0</v>
      </c>
      <c r="T1712" s="7" t="s">
        <v>131</v>
      </c>
      <c r="U1712" s="7" t="s">
        <v>512</v>
      </c>
      <c r="V1712" s="7" t="s">
        <v>512</v>
      </c>
      <c r="W1712" s="7" t="s">
        <v>1177</v>
      </c>
      <c r="X1712" s="30">
        <v>5</v>
      </c>
      <c r="Y1712" s="7" t="s">
        <v>1177</v>
      </c>
      <c r="Z1712" s="7" t="s">
        <v>1178</v>
      </c>
      <c r="AA1712" s="30">
        <v>0</v>
      </c>
      <c r="AB1712" s="36">
        <v>0</v>
      </c>
      <c r="AC1712" s="7" t="s">
        <v>1177</v>
      </c>
      <c r="AD1712" s="37">
        <v>0</v>
      </c>
      <c r="AE1712" s="7" t="s">
        <v>1177</v>
      </c>
      <c r="AF1712" s="7" t="s">
        <v>1177</v>
      </c>
      <c r="AG1712" s="7" t="s">
        <v>1177</v>
      </c>
      <c r="AH1712" s="38"/>
      <c r="AI1712" s="36">
        <v>0</v>
      </c>
      <c r="AJ1712" s="7" t="s">
        <v>1193</v>
      </c>
      <c r="AK1712" s="7" t="s">
        <v>1177</v>
      </c>
      <c r="AL1712" s="7" t="s">
        <v>1177</v>
      </c>
      <c r="AM1712" s="7" t="s">
        <v>1177</v>
      </c>
      <c r="AN1712" s="7" t="s">
        <v>3212</v>
      </c>
      <c r="AO1712" s="7" t="s">
        <v>1177</v>
      </c>
      <c r="AP1712" s="7" t="s">
        <v>1177</v>
      </c>
      <c r="AQ1712" s="7" t="s">
        <v>1177</v>
      </c>
      <c r="AR1712" s="29">
        <v>0</v>
      </c>
      <c r="AS1712" s="7" t="s">
        <v>1177</v>
      </c>
      <c r="AT1712" s="7" t="s">
        <v>1363</v>
      </c>
      <c r="AU1712" s="38">
        <v>46275</v>
      </c>
      <c r="AV1712" s="39">
        <v>0.60349537037037004</v>
      </c>
    </row>
    <row r="1713" spans="1:48" x14ac:dyDescent="0.35">
      <c r="A1713" t="str">
        <f t="shared" si="26"/>
        <v>GP486500B832</v>
      </c>
      <c r="B1713" s="7" t="s">
        <v>108</v>
      </c>
      <c r="C1713" s="7" t="s">
        <v>653</v>
      </c>
      <c r="D1713" s="7" t="s">
        <v>19</v>
      </c>
      <c r="E1713" s="7" t="s">
        <v>1177</v>
      </c>
      <c r="F1713" s="7" t="s">
        <v>128</v>
      </c>
      <c r="G1713" s="7" t="s">
        <v>130</v>
      </c>
      <c r="H1713" s="7" t="s">
        <v>129</v>
      </c>
      <c r="I1713" s="30">
        <v>5</v>
      </c>
      <c r="J1713" s="7" t="s">
        <v>1177</v>
      </c>
      <c r="K1713" s="7" t="s">
        <v>1178</v>
      </c>
      <c r="L1713" s="7" t="s">
        <v>132</v>
      </c>
      <c r="M1713" s="7" t="s">
        <v>133</v>
      </c>
      <c r="N1713" s="30">
        <v>0</v>
      </c>
      <c r="O1713" s="30">
        <v>0</v>
      </c>
      <c r="P1713" s="30">
        <v>0</v>
      </c>
      <c r="Q1713" s="30">
        <v>0</v>
      </c>
      <c r="R1713" s="29">
        <v>0</v>
      </c>
      <c r="S1713" s="36">
        <v>0</v>
      </c>
      <c r="T1713" s="7" t="s">
        <v>131</v>
      </c>
      <c r="U1713" s="7" t="s">
        <v>654</v>
      </c>
      <c r="V1713" s="7" t="s">
        <v>654</v>
      </c>
      <c r="W1713" s="7" t="s">
        <v>1177</v>
      </c>
      <c r="X1713" s="30">
        <v>1</v>
      </c>
      <c r="Y1713" s="7" t="s">
        <v>1177</v>
      </c>
      <c r="Z1713" s="7" t="s">
        <v>1178</v>
      </c>
      <c r="AA1713" s="30">
        <v>0</v>
      </c>
      <c r="AB1713" s="36">
        <v>0</v>
      </c>
      <c r="AC1713" s="7" t="s">
        <v>1177</v>
      </c>
      <c r="AD1713" s="37">
        <v>0</v>
      </c>
      <c r="AE1713" s="7" t="s">
        <v>1177</v>
      </c>
      <c r="AF1713" s="7" t="s">
        <v>1177</v>
      </c>
      <c r="AG1713" s="7" t="s">
        <v>1177</v>
      </c>
      <c r="AH1713" s="38"/>
      <c r="AI1713" s="36">
        <v>0</v>
      </c>
      <c r="AJ1713" s="7" t="s">
        <v>1193</v>
      </c>
      <c r="AK1713" s="7" t="s">
        <v>1177</v>
      </c>
      <c r="AL1713" s="7" t="s">
        <v>1177</v>
      </c>
      <c r="AM1713" s="7" t="s">
        <v>1177</v>
      </c>
      <c r="AN1713" s="7" t="s">
        <v>3212</v>
      </c>
      <c r="AO1713" s="7" t="s">
        <v>1177</v>
      </c>
      <c r="AP1713" s="7" t="s">
        <v>1177</v>
      </c>
      <c r="AQ1713" s="7" t="s">
        <v>1177</v>
      </c>
      <c r="AR1713" s="29">
        <v>0</v>
      </c>
      <c r="AS1713" s="7" t="s">
        <v>1177</v>
      </c>
      <c r="AT1713" s="7" t="s">
        <v>1363</v>
      </c>
      <c r="AU1713" s="38">
        <v>46275</v>
      </c>
      <c r="AV1713" s="39">
        <v>0.60384259259258999</v>
      </c>
    </row>
    <row r="1714" spans="1:48" x14ac:dyDescent="0.35">
      <c r="A1714" t="str">
        <f t="shared" si="26"/>
        <v>GP486500B833</v>
      </c>
      <c r="B1714" s="7" t="s">
        <v>108</v>
      </c>
      <c r="C1714" s="7" t="s">
        <v>698</v>
      </c>
      <c r="D1714" s="7" t="s">
        <v>697</v>
      </c>
      <c r="E1714" s="7" t="s">
        <v>1177</v>
      </c>
      <c r="F1714" s="7" t="s">
        <v>128</v>
      </c>
      <c r="G1714" s="7" t="s">
        <v>130</v>
      </c>
      <c r="H1714" s="7" t="s">
        <v>129</v>
      </c>
      <c r="I1714" s="30">
        <v>2</v>
      </c>
      <c r="J1714" s="7" t="s">
        <v>1177</v>
      </c>
      <c r="K1714" s="7" t="s">
        <v>1178</v>
      </c>
      <c r="L1714" s="7" t="s">
        <v>132</v>
      </c>
      <c r="M1714" s="7" t="s">
        <v>133</v>
      </c>
      <c r="N1714" s="30">
        <v>0</v>
      </c>
      <c r="O1714" s="30">
        <v>0</v>
      </c>
      <c r="P1714" s="30">
        <v>0</v>
      </c>
      <c r="Q1714" s="30">
        <v>0</v>
      </c>
      <c r="R1714" s="29">
        <v>0</v>
      </c>
      <c r="S1714" s="36">
        <v>0</v>
      </c>
      <c r="T1714" s="7" t="s">
        <v>131</v>
      </c>
      <c r="U1714" s="7" t="s">
        <v>699</v>
      </c>
      <c r="V1714" s="7" t="s">
        <v>699</v>
      </c>
      <c r="W1714" s="7" t="s">
        <v>1177</v>
      </c>
      <c r="X1714" s="30">
        <v>1</v>
      </c>
      <c r="Y1714" s="7" t="s">
        <v>1177</v>
      </c>
      <c r="Z1714" s="7" t="s">
        <v>1178</v>
      </c>
      <c r="AA1714" s="30">
        <v>0</v>
      </c>
      <c r="AB1714" s="36">
        <v>0</v>
      </c>
      <c r="AC1714" s="7" t="s">
        <v>1177</v>
      </c>
      <c r="AD1714" s="37">
        <v>0</v>
      </c>
      <c r="AE1714" s="7" t="s">
        <v>1177</v>
      </c>
      <c r="AF1714" s="7" t="s">
        <v>1177</v>
      </c>
      <c r="AG1714" s="7" t="s">
        <v>1177</v>
      </c>
      <c r="AH1714" s="38"/>
      <c r="AI1714" s="36">
        <v>0</v>
      </c>
      <c r="AJ1714" s="7" t="s">
        <v>1193</v>
      </c>
      <c r="AK1714" s="7" t="s">
        <v>1177</v>
      </c>
      <c r="AL1714" s="7" t="s">
        <v>1177</v>
      </c>
      <c r="AM1714" s="7" t="s">
        <v>1177</v>
      </c>
      <c r="AN1714" s="7" t="s">
        <v>3212</v>
      </c>
      <c r="AO1714" s="7" t="s">
        <v>1177</v>
      </c>
      <c r="AP1714" s="7" t="s">
        <v>1177</v>
      </c>
      <c r="AQ1714" s="7" t="s">
        <v>1177</v>
      </c>
      <c r="AR1714" s="29">
        <v>0</v>
      </c>
      <c r="AS1714" s="7" t="s">
        <v>1177</v>
      </c>
      <c r="AT1714" s="7" t="s">
        <v>1363</v>
      </c>
      <c r="AU1714" s="38">
        <v>46275</v>
      </c>
      <c r="AV1714" s="39">
        <v>0.60399305555556004</v>
      </c>
    </row>
    <row r="1715" spans="1:48" x14ac:dyDescent="0.35">
      <c r="A1715" t="str">
        <f t="shared" si="26"/>
        <v>GP486500B838</v>
      </c>
      <c r="B1715" s="7" t="s">
        <v>108</v>
      </c>
      <c r="C1715" s="7" t="s">
        <v>744</v>
      </c>
      <c r="D1715" s="7" t="s">
        <v>48</v>
      </c>
      <c r="E1715" s="7" t="s">
        <v>1177</v>
      </c>
      <c r="F1715" s="7" t="s">
        <v>128</v>
      </c>
      <c r="G1715" s="7" t="s">
        <v>130</v>
      </c>
      <c r="H1715" s="7" t="s">
        <v>129</v>
      </c>
      <c r="I1715" s="30">
        <v>2</v>
      </c>
      <c r="J1715" s="7" t="s">
        <v>1177</v>
      </c>
      <c r="K1715" s="7" t="s">
        <v>1178</v>
      </c>
      <c r="L1715" s="7" t="s">
        <v>132</v>
      </c>
      <c r="M1715" s="7" t="s">
        <v>133</v>
      </c>
      <c r="N1715" s="30">
        <v>0</v>
      </c>
      <c r="O1715" s="30">
        <v>0</v>
      </c>
      <c r="P1715" s="30">
        <v>0</v>
      </c>
      <c r="Q1715" s="30">
        <v>0</v>
      </c>
      <c r="R1715" s="29">
        <v>0</v>
      </c>
      <c r="S1715" s="36">
        <v>0</v>
      </c>
      <c r="T1715" s="7" t="s">
        <v>131</v>
      </c>
      <c r="U1715" s="7" t="s">
        <v>745</v>
      </c>
      <c r="V1715" s="7" t="s">
        <v>745</v>
      </c>
      <c r="W1715" s="7" t="s">
        <v>1177</v>
      </c>
      <c r="X1715" s="30">
        <v>1</v>
      </c>
      <c r="Y1715" s="7" t="s">
        <v>1177</v>
      </c>
      <c r="Z1715" s="7" t="s">
        <v>1178</v>
      </c>
      <c r="AA1715" s="30">
        <v>0</v>
      </c>
      <c r="AB1715" s="36">
        <v>0</v>
      </c>
      <c r="AC1715" s="7" t="s">
        <v>1177</v>
      </c>
      <c r="AD1715" s="37">
        <v>0</v>
      </c>
      <c r="AE1715" s="7" t="s">
        <v>1177</v>
      </c>
      <c r="AF1715" s="7" t="s">
        <v>1177</v>
      </c>
      <c r="AG1715" s="7" t="s">
        <v>1177</v>
      </c>
      <c r="AH1715" s="38"/>
      <c r="AI1715" s="36">
        <v>0</v>
      </c>
      <c r="AJ1715" s="7" t="s">
        <v>1193</v>
      </c>
      <c r="AK1715" s="7" t="s">
        <v>1177</v>
      </c>
      <c r="AL1715" s="7" t="s">
        <v>1177</v>
      </c>
      <c r="AM1715" s="7" t="s">
        <v>1177</v>
      </c>
      <c r="AN1715" s="7" t="s">
        <v>3212</v>
      </c>
      <c r="AO1715" s="7" t="s">
        <v>1177</v>
      </c>
      <c r="AP1715" s="7" t="s">
        <v>1177</v>
      </c>
      <c r="AQ1715" s="7" t="s">
        <v>1177</v>
      </c>
      <c r="AR1715" s="29">
        <v>0</v>
      </c>
      <c r="AS1715" s="7" t="s">
        <v>1177</v>
      </c>
      <c r="AT1715" s="7" t="s">
        <v>1363</v>
      </c>
      <c r="AU1715" s="38">
        <v>46275</v>
      </c>
      <c r="AV1715" s="39">
        <v>0.60474537037037002</v>
      </c>
    </row>
    <row r="1716" spans="1:48" x14ac:dyDescent="0.35">
      <c r="A1716" t="str">
        <f t="shared" si="26"/>
        <v>GP486500B856</v>
      </c>
      <c r="B1716" s="7" t="s">
        <v>108</v>
      </c>
      <c r="C1716" s="7" t="s">
        <v>852</v>
      </c>
      <c r="D1716" s="7" t="s">
        <v>21</v>
      </c>
      <c r="E1716" s="7" t="s">
        <v>1177</v>
      </c>
      <c r="F1716" s="7" t="s">
        <v>128</v>
      </c>
      <c r="G1716" s="7" t="s">
        <v>130</v>
      </c>
      <c r="H1716" s="7" t="s">
        <v>129</v>
      </c>
      <c r="I1716" s="30">
        <v>5</v>
      </c>
      <c r="J1716" s="7" t="s">
        <v>1177</v>
      </c>
      <c r="K1716" s="7" t="s">
        <v>1178</v>
      </c>
      <c r="L1716" s="7" t="s">
        <v>132</v>
      </c>
      <c r="M1716" s="7" t="s">
        <v>133</v>
      </c>
      <c r="N1716" s="30">
        <v>0</v>
      </c>
      <c r="O1716" s="30">
        <v>0</v>
      </c>
      <c r="P1716" s="30">
        <v>0</v>
      </c>
      <c r="Q1716" s="30">
        <v>0</v>
      </c>
      <c r="R1716" s="29">
        <v>0</v>
      </c>
      <c r="S1716" s="36">
        <v>0</v>
      </c>
      <c r="T1716" s="7" t="s">
        <v>131</v>
      </c>
      <c r="U1716" s="7" t="s">
        <v>853</v>
      </c>
      <c r="V1716" s="7" t="s">
        <v>853</v>
      </c>
      <c r="W1716" s="7" t="s">
        <v>1177</v>
      </c>
      <c r="X1716" s="30">
        <v>1</v>
      </c>
      <c r="Y1716" s="7" t="s">
        <v>1177</v>
      </c>
      <c r="Z1716" s="7" t="s">
        <v>1178</v>
      </c>
      <c r="AA1716" s="30">
        <v>0</v>
      </c>
      <c r="AB1716" s="36">
        <v>0</v>
      </c>
      <c r="AC1716" s="7" t="s">
        <v>1177</v>
      </c>
      <c r="AD1716" s="37">
        <v>0</v>
      </c>
      <c r="AE1716" s="7" t="s">
        <v>1177</v>
      </c>
      <c r="AF1716" s="7" t="s">
        <v>1177</v>
      </c>
      <c r="AG1716" s="7" t="s">
        <v>1177</v>
      </c>
      <c r="AH1716" s="38"/>
      <c r="AI1716" s="36">
        <v>0</v>
      </c>
      <c r="AJ1716" s="7" t="s">
        <v>1193</v>
      </c>
      <c r="AK1716" s="7" t="s">
        <v>1177</v>
      </c>
      <c r="AL1716" s="7" t="s">
        <v>1177</v>
      </c>
      <c r="AM1716" s="7" t="s">
        <v>1177</v>
      </c>
      <c r="AN1716" s="7" t="s">
        <v>3212</v>
      </c>
      <c r="AO1716" s="7" t="s">
        <v>1177</v>
      </c>
      <c r="AP1716" s="7" t="s">
        <v>1177</v>
      </c>
      <c r="AQ1716" s="7" t="s">
        <v>1177</v>
      </c>
      <c r="AR1716" s="29">
        <v>0</v>
      </c>
      <c r="AS1716" s="7" t="s">
        <v>1177</v>
      </c>
      <c r="AT1716" s="7" t="s">
        <v>1363</v>
      </c>
      <c r="AU1716" s="38">
        <v>46275</v>
      </c>
      <c r="AV1716" s="39">
        <v>0.60523148148147998</v>
      </c>
    </row>
    <row r="1717" spans="1:48" x14ac:dyDescent="0.35">
      <c r="A1717" t="str">
        <f t="shared" si="26"/>
        <v>GP486500B857</v>
      </c>
      <c r="B1717" s="7" t="s">
        <v>108</v>
      </c>
      <c r="C1717" s="7" t="s">
        <v>958</v>
      </c>
      <c r="D1717" s="7" t="s">
        <v>23</v>
      </c>
      <c r="E1717" s="7" t="s">
        <v>1177</v>
      </c>
      <c r="F1717" s="7" t="s">
        <v>128</v>
      </c>
      <c r="G1717" s="7" t="s">
        <v>130</v>
      </c>
      <c r="H1717" s="7" t="s">
        <v>129</v>
      </c>
      <c r="I1717" s="30">
        <v>10</v>
      </c>
      <c r="J1717" s="7" t="s">
        <v>1177</v>
      </c>
      <c r="K1717" s="7" t="s">
        <v>1178</v>
      </c>
      <c r="L1717" s="7" t="s">
        <v>132</v>
      </c>
      <c r="M1717" s="7" t="s">
        <v>133</v>
      </c>
      <c r="N1717" s="30">
        <v>0</v>
      </c>
      <c r="O1717" s="30">
        <v>0</v>
      </c>
      <c r="P1717" s="30">
        <v>0</v>
      </c>
      <c r="Q1717" s="30">
        <v>0</v>
      </c>
      <c r="R1717" s="29">
        <v>0</v>
      </c>
      <c r="S1717" s="36">
        <v>0</v>
      </c>
      <c r="T1717" s="7" t="s">
        <v>131</v>
      </c>
      <c r="U1717" s="7" t="s">
        <v>959</v>
      </c>
      <c r="V1717" s="7" t="s">
        <v>959</v>
      </c>
      <c r="W1717" s="7" t="s">
        <v>1177</v>
      </c>
      <c r="X1717" s="30">
        <v>3</v>
      </c>
      <c r="Y1717" s="7" t="s">
        <v>1177</v>
      </c>
      <c r="Z1717" s="7" t="s">
        <v>1178</v>
      </c>
      <c r="AA1717" s="30">
        <v>0</v>
      </c>
      <c r="AB1717" s="36">
        <v>0</v>
      </c>
      <c r="AC1717" s="7" t="s">
        <v>1177</v>
      </c>
      <c r="AD1717" s="37">
        <v>0</v>
      </c>
      <c r="AE1717" s="7" t="s">
        <v>1177</v>
      </c>
      <c r="AF1717" s="7" t="s">
        <v>1177</v>
      </c>
      <c r="AG1717" s="7" t="s">
        <v>1177</v>
      </c>
      <c r="AH1717" s="38"/>
      <c r="AI1717" s="36">
        <v>0</v>
      </c>
      <c r="AJ1717" s="7" t="s">
        <v>1193</v>
      </c>
      <c r="AK1717" s="7" t="s">
        <v>1177</v>
      </c>
      <c r="AL1717" s="7" t="s">
        <v>1177</v>
      </c>
      <c r="AM1717" s="7" t="s">
        <v>1177</v>
      </c>
      <c r="AN1717" s="7" t="s">
        <v>3212</v>
      </c>
      <c r="AO1717" s="7" t="s">
        <v>1177</v>
      </c>
      <c r="AP1717" s="7" t="s">
        <v>1177</v>
      </c>
      <c r="AQ1717" s="7" t="s">
        <v>1177</v>
      </c>
      <c r="AR1717" s="29">
        <v>0</v>
      </c>
      <c r="AS1717" s="7" t="s">
        <v>1177</v>
      </c>
      <c r="AT1717" s="7" t="s">
        <v>1363</v>
      </c>
      <c r="AU1717" s="38">
        <v>46275</v>
      </c>
      <c r="AV1717" s="39">
        <v>0.60524305555556002</v>
      </c>
    </row>
    <row r="1718" spans="1:48" x14ac:dyDescent="0.35">
      <c r="A1718" t="str">
        <f t="shared" si="26"/>
        <v>GP486500B864</v>
      </c>
      <c r="B1718" s="7" t="s">
        <v>108</v>
      </c>
      <c r="C1718" s="7" t="s">
        <v>1010</v>
      </c>
      <c r="D1718" s="7" t="s">
        <v>10</v>
      </c>
      <c r="E1718" s="7" t="s">
        <v>1177</v>
      </c>
      <c r="F1718" s="7" t="s">
        <v>128</v>
      </c>
      <c r="G1718" s="7" t="s">
        <v>130</v>
      </c>
      <c r="H1718" s="7" t="s">
        <v>129</v>
      </c>
      <c r="I1718" s="30">
        <v>4</v>
      </c>
      <c r="J1718" s="7" t="s">
        <v>1177</v>
      </c>
      <c r="K1718" s="7" t="s">
        <v>1178</v>
      </c>
      <c r="L1718" s="7" t="s">
        <v>132</v>
      </c>
      <c r="M1718" s="7" t="s">
        <v>133</v>
      </c>
      <c r="N1718" s="30">
        <v>0</v>
      </c>
      <c r="O1718" s="30">
        <v>0</v>
      </c>
      <c r="P1718" s="30">
        <v>0</v>
      </c>
      <c r="Q1718" s="30">
        <v>0</v>
      </c>
      <c r="R1718" s="29">
        <v>0</v>
      </c>
      <c r="S1718" s="36">
        <v>0</v>
      </c>
      <c r="T1718" s="7" t="s">
        <v>131</v>
      </c>
      <c r="U1718" s="7" t="s">
        <v>1011</v>
      </c>
      <c r="V1718" s="7" t="s">
        <v>1011</v>
      </c>
      <c r="W1718" s="7" t="s">
        <v>1177</v>
      </c>
      <c r="X1718" s="30">
        <v>1</v>
      </c>
      <c r="Y1718" s="7" t="s">
        <v>1177</v>
      </c>
      <c r="Z1718" s="7" t="s">
        <v>1178</v>
      </c>
      <c r="AA1718" s="30">
        <v>0</v>
      </c>
      <c r="AB1718" s="36">
        <v>0</v>
      </c>
      <c r="AC1718" s="7" t="s">
        <v>1177</v>
      </c>
      <c r="AD1718" s="37">
        <v>0</v>
      </c>
      <c r="AE1718" s="7" t="s">
        <v>1177</v>
      </c>
      <c r="AF1718" s="7" t="s">
        <v>1177</v>
      </c>
      <c r="AG1718" s="7" t="s">
        <v>1177</v>
      </c>
      <c r="AH1718" s="38"/>
      <c r="AI1718" s="36">
        <v>0</v>
      </c>
      <c r="AJ1718" s="7" t="s">
        <v>1193</v>
      </c>
      <c r="AK1718" s="7" t="s">
        <v>1177</v>
      </c>
      <c r="AL1718" s="7" t="s">
        <v>1177</v>
      </c>
      <c r="AM1718" s="7" t="s">
        <v>1177</v>
      </c>
      <c r="AN1718" s="7" t="s">
        <v>3212</v>
      </c>
      <c r="AO1718" s="7" t="s">
        <v>1177</v>
      </c>
      <c r="AP1718" s="7" t="s">
        <v>1177</v>
      </c>
      <c r="AQ1718" s="7" t="s">
        <v>1177</v>
      </c>
      <c r="AR1718" s="29">
        <v>0</v>
      </c>
      <c r="AS1718" s="7" t="s">
        <v>1177</v>
      </c>
      <c r="AT1718" s="7" t="s">
        <v>1363</v>
      </c>
      <c r="AU1718" s="38">
        <v>46275</v>
      </c>
      <c r="AV1718" s="39">
        <v>0.60542824074073998</v>
      </c>
    </row>
    <row r="1719" spans="1:48" x14ac:dyDescent="0.35">
      <c r="A1719" t="str">
        <f t="shared" si="26"/>
        <v>GP486500B865</v>
      </c>
      <c r="B1719" s="7" t="s">
        <v>108</v>
      </c>
      <c r="C1719" s="7" t="s">
        <v>1039</v>
      </c>
      <c r="D1719" s="7" t="s">
        <v>7</v>
      </c>
      <c r="E1719" s="7" t="s">
        <v>1177</v>
      </c>
      <c r="F1719" s="7" t="s">
        <v>128</v>
      </c>
      <c r="G1719" s="7" t="s">
        <v>130</v>
      </c>
      <c r="H1719" s="7" t="s">
        <v>129</v>
      </c>
      <c r="I1719" s="30">
        <v>15</v>
      </c>
      <c r="J1719" s="7" t="s">
        <v>1177</v>
      </c>
      <c r="K1719" s="7" t="s">
        <v>1178</v>
      </c>
      <c r="L1719" s="7" t="s">
        <v>132</v>
      </c>
      <c r="M1719" s="7" t="s">
        <v>133</v>
      </c>
      <c r="N1719" s="30">
        <v>0</v>
      </c>
      <c r="O1719" s="30">
        <v>0</v>
      </c>
      <c r="P1719" s="30">
        <v>0</v>
      </c>
      <c r="Q1719" s="30">
        <v>0</v>
      </c>
      <c r="R1719" s="29">
        <v>0</v>
      </c>
      <c r="S1719" s="36">
        <v>0</v>
      </c>
      <c r="T1719" s="7" t="s">
        <v>131</v>
      </c>
      <c r="U1719" s="7" t="s">
        <v>1040</v>
      </c>
      <c r="V1719" s="7" t="s">
        <v>1040</v>
      </c>
      <c r="W1719" s="7" t="s">
        <v>1177</v>
      </c>
      <c r="X1719" s="30">
        <v>4</v>
      </c>
      <c r="Y1719" s="7" t="s">
        <v>1177</v>
      </c>
      <c r="Z1719" s="7" t="s">
        <v>1178</v>
      </c>
      <c r="AA1719" s="30">
        <v>0</v>
      </c>
      <c r="AB1719" s="36">
        <v>0</v>
      </c>
      <c r="AC1719" s="7" t="s">
        <v>1177</v>
      </c>
      <c r="AD1719" s="37">
        <v>0</v>
      </c>
      <c r="AE1719" s="7" t="s">
        <v>1177</v>
      </c>
      <c r="AF1719" s="7" t="s">
        <v>1177</v>
      </c>
      <c r="AG1719" s="7" t="s">
        <v>1177</v>
      </c>
      <c r="AH1719" s="38"/>
      <c r="AI1719" s="36">
        <v>0</v>
      </c>
      <c r="AJ1719" s="7" t="s">
        <v>1193</v>
      </c>
      <c r="AK1719" s="7" t="s">
        <v>1177</v>
      </c>
      <c r="AL1719" s="7" t="s">
        <v>1177</v>
      </c>
      <c r="AM1719" s="7" t="s">
        <v>1177</v>
      </c>
      <c r="AN1719" s="7" t="s">
        <v>3212</v>
      </c>
      <c r="AO1719" s="7" t="s">
        <v>1177</v>
      </c>
      <c r="AP1719" s="7" t="s">
        <v>1177</v>
      </c>
      <c r="AQ1719" s="7" t="s">
        <v>1177</v>
      </c>
      <c r="AR1719" s="29">
        <v>0</v>
      </c>
      <c r="AS1719" s="7" t="s">
        <v>1177</v>
      </c>
      <c r="AT1719" s="7" t="s">
        <v>1363</v>
      </c>
      <c r="AU1719" s="38">
        <v>46275</v>
      </c>
      <c r="AV1719" s="39">
        <v>0.60549768518518998</v>
      </c>
    </row>
    <row r="1720" spans="1:48" x14ac:dyDescent="0.35">
      <c r="A1720" t="str">
        <f t="shared" si="26"/>
        <v>GP486500B867</v>
      </c>
      <c r="B1720" s="7" t="s">
        <v>108</v>
      </c>
      <c r="C1720" s="7" t="s">
        <v>1059</v>
      </c>
      <c r="D1720" s="7" t="s">
        <v>25</v>
      </c>
      <c r="E1720" s="7" t="s">
        <v>1177</v>
      </c>
      <c r="F1720" s="7" t="s">
        <v>128</v>
      </c>
      <c r="G1720" s="7" t="s">
        <v>130</v>
      </c>
      <c r="H1720" s="7" t="s">
        <v>129</v>
      </c>
      <c r="I1720" s="30">
        <v>9</v>
      </c>
      <c r="J1720" s="7" t="s">
        <v>1177</v>
      </c>
      <c r="K1720" s="7" t="s">
        <v>1178</v>
      </c>
      <c r="L1720" s="7" t="s">
        <v>132</v>
      </c>
      <c r="M1720" s="7" t="s">
        <v>133</v>
      </c>
      <c r="N1720" s="30">
        <v>0</v>
      </c>
      <c r="O1720" s="30">
        <v>0</v>
      </c>
      <c r="P1720" s="30">
        <v>0</v>
      </c>
      <c r="Q1720" s="30">
        <v>0</v>
      </c>
      <c r="R1720" s="29">
        <v>0</v>
      </c>
      <c r="S1720" s="36">
        <v>0</v>
      </c>
      <c r="T1720" s="7" t="s">
        <v>131</v>
      </c>
      <c r="U1720" s="7" t="s">
        <v>1060</v>
      </c>
      <c r="V1720" s="7" t="s">
        <v>1060</v>
      </c>
      <c r="W1720" s="7" t="s">
        <v>1177</v>
      </c>
      <c r="X1720" s="30">
        <v>2</v>
      </c>
      <c r="Y1720" s="7" t="s">
        <v>1177</v>
      </c>
      <c r="Z1720" s="7" t="s">
        <v>1178</v>
      </c>
      <c r="AA1720" s="30">
        <v>0</v>
      </c>
      <c r="AB1720" s="36">
        <v>0</v>
      </c>
      <c r="AC1720" s="7" t="s">
        <v>1177</v>
      </c>
      <c r="AD1720" s="37">
        <v>0</v>
      </c>
      <c r="AE1720" s="7" t="s">
        <v>1177</v>
      </c>
      <c r="AF1720" s="7" t="s">
        <v>1177</v>
      </c>
      <c r="AG1720" s="7" t="s">
        <v>1177</v>
      </c>
      <c r="AH1720" s="38"/>
      <c r="AI1720" s="36">
        <v>0</v>
      </c>
      <c r="AJ1720" s="7" t="s">
        <v>1193</v>
      </c>
      <c r="AK1720" s="7" t="s">
        <v>1177</v>
      </c>
      <c r="AL1720" s="7" t="s">
        <v>1177</v>
      </c>
      <c r="AM1720" s="7" t="s">
        <v>1177</v>
      </c>
      <c r="AN1720" s="7" t="s">
        <v>3212</v>
      </c>
      <c r="AO1720" s="7" t="s">
        <v>1177</v>
      </c>
      <c r="AP1720" s="7" t="s">
        <v>1177</v>
      </c>
      <c r="AQ1720" s="7" t="s">
        <v>1177</v>
      </c>
      <c r="AR1720" s="29">
        <v>0</v>
      </c>
      <c r="AS1720" s="7" t="s">
        <v>1177</v>
      </c>
      <c r="AT1720" s="7" t="s">
        <v>1363</v>
      </c>
      <c r="AU1720" s="38">
        <v>46275</v>
      </c>
      <c r="AV1720" s="39">
        <v>0.60563657407407001</v>
      </c>
    </row>
    <row r="1721" spans="1:48" x14ac:dyDescent="0.35">
      <c r="A1721" t="str">
        <f t="shared" si="26"/>
        <v>GP486978-004B825</v>
      </c>
      <c r="B1721" s="7" t="s">
        <v>193</v>
      </c>
      <c r="C1721" s="7" t="s">
        <v>511</v>
      </c>
      <c r="D1721" s="7" t="s">
        <v>16</v>
      </c>
      <c r="E1721" s="7" t="s">
        <v>1177</v>
      </c>
      <c r="F1721" s="7" t="s">
        <v>128</v>
      </c>
      <c r="G1721" s="7" t="s">
        <v>130</v>
      </c>
      <c r="H1721" s="7" t="s">
        <v>162</v>
      </c>
      <c r="I1721" s="30">
        <v>1873.8</v>
      </c>
      <c r="J1721" s="7" t="s">
        <v>1177</v>
      </c>
      <c r="K1721" s="7" t="s">
        <v>1178</v>
      </c>
      <c r="L1721" s="7" t="s">
        <v>132</v>
      </c>
      <c r="M1721" s="7" t="s">
        <v>195</v>
      </c>
      <c r="N1721" s="30">
        <v>0</v>
      </c>
      <c r="O1721" s="30">
        <v>0</v>
      </c>
      <c r="P1721" s="30">
        <v>0</v>
      </c>
      <c r="Q1721" s="30">
        <v>0</v>
      </c>
      <c r="R1721" s="29">
        <v>0</v>
      </c>
      <c r="S1721" s="36">
        <v>0</v>
      </c>
      <c r="T1721" s="7" t="s">
        <v>1177</v>
      </c>
      <c r="U1721" s="7" t="s">
        <v>512</v>
      </c>
      <c r="V1721" s="7" t="s">
        <v>512</v>
      </c>
      <c r="W1721" s="7" t="s">
        <v>1177</v>
      </c>
      <c r="X1721" s="30">
        <v>468</v>
      </c>
      <c r="Y1721" s="7" t="s">
        <v>1177</v>
      </c>
      <c r="Z1721" s="7" t="s">
        <v>1178</v>
      </c>
      <c r="AA1721" s="30">
        <v>0</v>
      </c>
      <c r="AB1721" s="36">
        <v>0</v>
      </c>
      <c r="AC1721" s="7" t="s">
        <v>1177</v>
      </c>
      <c r="AD1721" s="37">
        <v>0</v>
      </c>
      <c r="AE1721" s="7" t="s">
        <v>1177</v>
      </c>
      <c r="AF1721" s="7" t="s">
        <v>1177</v>
      </c>
      <c r="AG1721" s="7" t="s">
        <v>1177</v>
      </c>
      <c r="AH1721" s="38"/>
      <c r="AI1721" s="36">
        <v>0</v>
      </c>
      <c r="AJ1721" s="7" t="s">
        <v>1193</v>
      </c>
      <c r="AK1721" s="7" t="s">
        <v>1177</v>
      </c>
      <c r="AL1721" s="7" t="s">
        <v>1177</v>
      </c>
      <c r="AM1721" s="7" t="s">
        <v>1177</v>
      </c>
      <c r="AN1721" s="7" t="s">
        <v>3212</v>
      </c>
      <c r="AO1721" s="7" t="s">
        <v>1177</v>
      </c>
      <c r="AP1721" s="7" t="s">
        <v>1177</v>
      </c>
      <c r="AQ1721" s="7" t="s">
        <v>1177</v>
      </c>
      <c r="AR1721" s="29">
        <v>0</v>
      </c>
      <c r="AS1721" s="7" t="s">
        <v>1177</v>
      </c>
      <c r="AT1721" s="7" t="s">
        <v>1363</v>
      </c>
      <c r="AU1721" s="38">
        <v>46275</v>
      </c>
      <c r="AV1721" s="39">
        <v>0.60351851851852001</v>
      </c>
    </row>
    <row r="1722" spans="1:48" x14ac:dyDescent="0.35">
      <c r="A1722" t="str">
        <f t="shared" si="26"/>
        <v>GP486978-004B832</v>
      </c>
      <c r="B1722" s="7" t="s">
        <v>193</v>
      </c>
      <c r="C1722" s="7" t="s">
        <v>653</v>
      </c>
      <c r="D1722" s="7" t="s">
        <v>19</v>
      </c>
      <c r="E1722" s="7" t="s">
        <v>1177</v>
      </c>
      <c r="F1722" s="7" t="s">
        <v>128</v>
      </c>
      <c r="G1722" s="7" t="s">
        <v>130</v>
      </c>
      <c r="H1722" s="7" t="s">
        <v>162</v>
      </c>
      <c r="I1722" s="30">
        <v>624.6</v>
      </c>
      <c r="J1722" s="7" t="s">
        <v>1177</v>
      </c>
      <c r="K1722" s="7" t="s">
        <v>1178</v>
      </c>
      <c r="L1722" s="7" t="s">
        <v>132</v>
      </c>
      <c r="M1722" s="7" t="s">
        <v>195</v>
      </c>
      <c r="N1722" s="30">
        <v>0</v>
      </c>
      <c r="O1722" s="30">
        <v>0</v>
      </c>
      <c r="P1722" s="30">
        <v>0</v>
      </c>
      <c r="Q1722" s="30">
        <v>0</v>
      </c>
      <c r="R1722" s="29">
        <v>0</v>
      </c>
      <c r="S1722" s="36">
        <v>0</v>
      </c>
      <c r="T1722" s="7" t="s">
        <v>1177</v>
      </c>
      <c r="U1722" s="7" t="s">
        <v>654</v>
      </c>
      <c r="V1722" s="7" t="s">
        <v>654</v>
      </c>
      <c r="W1722" s="7" t="s">
        <v>1177</v>
      </c>
      <c r="X1722" s="30">
        <v>208.2</v>
      </c>
      <c r="Y1722" s="7" t="s">
        <v>1177</v>
      </c>
      <c r="Z1722" s="7" t="s">
        <v>1178</v>
      </c>
      <c r="AA1722" s="30">
        <v>0</v>
      </c>
      <c r="AB1722" s="36">
        <v>0</v>
      </c>
      <c r="AC1722" s="7" t="s">
        <v>1177</v>
      </c>
      <c r="AD1722" s="37">
        <v>0</v>
      </c>
      <c r="AE1722" s="7" t="s">
        <v>1177</v>
      </c>
      <c r="AF1722" s="7" t="s">
        <v>1177</v>
      </c>
      <c r="AG1722" s="7" t="s">
        <v>1177</v>
      </c>
      <c r="AH1722" s="38"/>
      <c r="AI1722" s="36">
        <v>0</v>
      </c>
      <c r="AJ1722" s="7" t="s">
        <v>1193</v>
      </c>
      <c r="AK1722" s="7" t="s">
        <v>1177</v>
      </c>
      <c r="AL1722" s="7" t="s">
        <v>1177</v>
      </c>
      <c r="AM1722" s="7" t="s">
        <v>1177</v>
      </c>
      <c r="AN1722" s="7" t="s">
        <v>3212</v>
      </c>
      <c r="AO1722" s="7" t="s">
        <v>1177</v>
      </c>
      <c r="AP1722" s="7" t="s">
        <v>1177</v>
      </c>
      <c r="AQ1722" s="7" t="s">
        <v>1177</v>
      </c>
      <c r="AR1722" s="29">
        <v>0</v>
      </c>
      <c r="AS1722" s="7" t="s">
        <v>1177</v>
      </c>
      <c r="AT1722" s="7" t="s">
        <v>1363</v>
      </c>
      <c r="AU1722" s="38">
        <v>46275</v>
      </c>
      <c r="AV1722" s="39">
        <v>0.60391203703703999</v>
      </c>
    </row>
    <row r="1723" spans="1:48" x14ac:dyDescent="0.35">
      <c r="A1723" t="str">
        <f t="shared" si="26"/>
        <v>GP486978-004B833</v>
      </c>
      <c r="B1723" s="7" t="s">
        <v>193</v>
      </c>
      <c r="C1723" s="7" t="s">
        <v>698</v>
      </c>
      <c r="D1723" s="7" t="s">
        <v>697</v>
      </c>
      <c r="E1723" s="7" t="s">
        <v>1177</v>
      </c>
      <c r="F1723" s="7" t="s">
        <v>128</v>
      </c>
      <c r="G1723" s="7" t="s">
        <v>130</v>
      </c>
      <c r="H1723" s="7" t="s">
        <v>162</v>
      </c>
      <c r="I1723" s="30">
        <v>624.6</v>
      </c>
      <c r="J1723" s="7" t="s">
        <v>1177</v>
      </c>
      <c r="K1723" s="7" t="s">
        <v>1178</v>
      </c>
      <c r="L1723" s="7" t="s">
        <v>132</v>
      </c>
      <c r="M1723" s="7" t="s">
        <v>195</v>
      </c>
      <c r="N1723" s="30">
        <v>0</v>
      </c>
      <c r="O1723" s="30">
        <v>0</v>
      </c>
      <c r="P1723" s="30">
        <v>0</v>
      </c>
      <c r="Q1723" s="30">
        <v>0</v>
      </c>
      <c r="R1723" s="29">
        <v>0</v>
      </c>
      <c r="S1723" s="36">
        <v>0</v>
      </c>
      <c r="T1723" s="7" t="s">
        <v>1177</v>
      </c>
      <c r="U1723" s="7" t="s">
        <v>699</v>
      </c>
      <c r="V1723" s="7" t="s">
        <v>699</v>
      </c>
      <c r="W1723" s="7" t="s">
        <v>1177</v>
      </c>
      <c r="X1723" s="30">
        <v>208.2</v>
      </c>
      <c r="Y1723" s="7" t="s">
        <v>1177</v>
      </c>
      <c r="Z1723" s="7" t="s">
        <v>1178</v>
      </c>
      <c r="AA1723" s="30">
        <v>0</v>
      </c>
      <c r="AB1723" s="36">
        <v>0</v>
      </c>
      <c r="AC1723" s="7" t="s">
        <v>1177</v>
      </c>
      <c r="AD1723" s="37">
        <v>0</v>
      </c>
      <c r="AE1723" s="7" t="s">
        <v>1177</v>
      </c>
      <c r="AF1723" s="7" t="s">
        <v>1177</v>
      </c>
      <c r="AG1723" s="7" t="s">
        <v>1177</v>
      </c>
      <c r="AH1723" s="38"/>
      <c r="AI1723" s="36">
        <v>0</v>
      </c>
      <c r="AJ1723" s="7" t="s">
        <v>1193</v>
      </c>
      <c r="AK1723" s="7" t="s">
        <v>1177</v>
      </c>
      <c r="AL1723" s="7" t="s">
        <v>1177</v>
      </c>
      <c r="AM1723" s="7" t="s">
        <v>1177</v>
      </c>
      <c r="AN1723" s="7" t="s">
        <v>3212</v>
      </c>
      <c r="AO1723" s="7" t="s">
        <v>1177</v>
      </c>
      <c r="AP1723" s="7" t="s">
        <v>1177</v>
      </c>
      <c r="AQ1723" s="7" t="s">
        <v>1177</v>
      </c>
      <c r="AR1723" s="29">
        <v>0</v>
      </c>
      <c r="AS1723" s="7" t="s">
        <v>1177</v>
      </c>
      <c r="AT1723" s="7" t="s">
        <v>1363</v>
      </c>
      <c r="AU1723" s="38">
        <v>46275</v>
      </c>
      <c r="AV1723" s="39">
        <v>0.60396990740740997</v>
      </c>
    </row>
    <row r="1724" spans="1:48" x14ac:dyDescent="0.35">
      <c r="A1724" t="str">
        <f t="shared" si="26"/>
        <v>GP486978-004B838</v>
      </c>
      <c r="B1724" s="7" t="s">
        <v>193</v>
      </c>
      <c r="C1724" s="7" t="s">
        <v>744</v>
      </c>
      <c r="D1724" s="7" t="s">
        <v>48</v>
      </c>
      <c r="E1724" s="7" t="s">
        <v>1177</v>
      </c>
      <c r="F1724" s="7" t="s">
        <v>128</v>
      </c>
      <c r="G1724" s="7" t="s">
        <v>130</v>
      </c>
      <c r="H1724" s="7" t="s">
        <v>162</v>
      </c>
      <c r="I1724" s="30">
        <v>624.6</v>
      </c>
      <c r="J1724" s="7" t="s">
        <v>1177</v>
      </c>
      <c r="K1724" s="7" t="s">
        <v>1178</v>
      </c>
      <c r="L1724" s="7" t="s">
        <v>132</v>
      </c>
      <c r="M1724" s="7" t="s">
        <v>195</v>
      </c>
      <c r="N1724" s="30">
        <v>0</v>
      </c>
      <c r="O1724" s="30">
        <v>0</v>
      </c>
      <c r="P1724" s="30">
        <v>0</v>
      </c>
      <c r="Q1724" s="30">
        <v>0</v>
      </c>
      <c r="R1724" s="29">
        <v>0</v>
      </c>
      <c r="S1724" s="36">
        <v>0</v>
      </c>
      <c r="T1724" s="7" t="s">
        <v>1177</v>
      </c>
      <c r="U1724" s="7" t="s">
        <v>745</v>
      </c>
      <c r="V1724" s="7" t="s">
        <v>745</v>
      </c>
      <c r="W1724" s="7" t="s">
        <v>1177</v>
      </c>
      <c r="X1724" s="30">
        <v>208.2</v>
      </c>
      <c r="Y1724" s="7" t="s">
        <v>1177</v>
      </c>
      <c r="Z1724" s="7" t="s">
        <v>1178</v>
      </c>
      <c r="AA1724" s="30">
        <v>0</v>
      </c>
      <c r="AB1724" s="36">
        <v>0</v>
      </c>
      <c r="AC1724" s="7" t="s">
        <v>1177</v>
      </c>
      <c r="AD1724" s="37">
        <v>0</v>
      </c>
      <c r="AE1724" s="7" t="s">
        <v>1177</v>
      </c>
      <c r="AF1724" s="7" t="s">
        <v>1177</v>
      </c>
      <c r="AG1724" s="7" t="s">
        <v>1177</v>
      </c>
      <c r="AH1724" s="38"/>
      <c r="AI1724" s="36">
        <v>0</v>
      </c>
      <c r="AJ1724" s="7" t="s">
        <v>1193</v>
      </c>
      <c r="AK1724" s="7" t="s">
        <v>1177</v>
      </c>
      <c r="AL1724" s="7" t="s">
        <v>1177</v>
      </c>
      <c r="AM1724" s="7" t="s">
        <v>1177</v>
      </c>
      <c r="AN1724" s="7" t="s">
        <v>3212</v>
      </c>
      <c r="AO1724" s="7" t="s">
        <v>1177</v>
      </c>
      <c r="AP1724" s="7" t="s">
        <v>1177</v>
      </c>
      <c r="AQ1724" s="7" t="s">
        <v>1177</v>
      </c>
      <c r="AR1724" s="29">
        <v>0</v>
      </c>
      <c r="AS1724" s="7" t="s">
        <v>1177</v>
      </c>
      <c r="AT1724" s="7" t="s">
        <v>1363</v>
      </c>
      <c r="AU1724" s="38">
        <v>46275</v>
      </c>
      <c r="AV1724" s="39">
        <v>0.60446759259258998</v>
      </c>
    </row>
    <row r="1725" spans="1:48" x14ac:dyDescent="0.35">
      <c r="A1725" t="str">
        <f t="shared" si="26"/>
        <v>GP486978-004B856</v>
      </c>
      <c r="B1725" s="7" t="s">
        <v>193</v>
      </c>
      <c r="C1725" s="7" t="s">
        <v>852</v>
      </c>
      <c r="D1725" s="7" t="s">
        <v>21</v>
      </c>
      <c r="E1725" s="7" t="s">
        <v>1177</v>
      </c>
      <c r="F1725" s="7" t="s">
        <v>128</v>
      </c>
      <c r="G1725" s="7" t="s">
        <v>130</v>
      </c>
      <c r="H1725" s="7" t="s">
        <v>162</v>
      </c>
      <c r="I1725" s="30">
        <v>416.4</v>
      </c>
      <c r="J1725" s="7" t="s">
        <v>1177</v>
      </c>
      <c r="K1725" s="7" t="s">
        <v>1178</v>
      </c>
      <c r="L1725" s="7" t="s">
        <v>132</v>
      </c>
      <c r="M1725" s="7" t="s">
        <v>195</v>
      </c>
      <c r="N1725" s="30">
        <v>0</v>
      </c>
      <c r="O1725" s="30">
        <v>0</v>
      </c>
      <c r="P1725" s="30">
        <v>0</v>
      </c>
      <c r="Q1725" s="30">
        <v>0</v>
      </c>
      <c r="R1725" s="29">
        <v>0</v>
      </c>
      <c r="S1725" s="36">
        <v>0</v>
      </c>
      <c r="T1725" s="7" t="s">
        <v>1177</v>
      </c>
      <c r="U1725" s="7" t="s">
        <v>853</v>
      </c>
      <c r="V1725" s="7" t="s">
        <v>853</v>
      </c>
      <c r="W1725" s="7" t="s">
        <v>1177</v>
      </c>
      <c r="X1725" s="30">
        <v>208.2</v>
      </c>
      <c r="Y1725" s="7" t="s">
        <v>1177</v>
      </c>
      <c r="Z1725" s="7" t="s">
        <v>1178</v>
      </c>
      <c r="AA1725" s="30">
        <v>0</v>
      </c>
      <c r="AB1725" s="36">
        <v>0</v>
      </c>
      <c r="AC1725" s="7" t="s">
        <v>1177</v>
      </c>
      <c r="AD1725" s="37">
        <v>0</v>
      </c>
      <c r="AE1725" s="7" t="s">
        <v>1177</v>
      </c>
      <c r="AF1725" s="7" t="s">
        <v>1177</v>
      </c>
      <c r="AG1725" s="7" t="s">
        <v>1177</v>
      </c>
      <c r="AH1725" s="38"/>
      <c r="AI1725" s="36">
        <v>0</v>
      </c>
      <c r="AJ1725" s="7" t="s">
        <v>1193</v>
      </c>
      <c r="AK1725" s="7" t="s">
        <v>1177</v>
      </c>
      <c r="AL1725" s="7" t="s">
        <v>1177</v>
      </c>
      <c r="AM1725" s="7" t="s">
        <v>1177</v>
      </c>
      <c r="AN1725" s="7" t="s">
        <v>3212</v>
      </c>
      <c r="AO1725" s="7" t="s">
        <v>1177</v>
      </c>
      <c r="AP1725" s="7" t="s">
        <v>1177</v>
      </c>
      <c r="AQ1725" s="7" t="s">
        <v>1177</v>
      </c>
      <c r="AR1725" s="29">
        <v>0</v>
      </c>
      <c r="AS1725" s="7" t="s">
        <v>1177</v>
      </c>
      <c r="AT1725" s="7" t="s">
        <v>1363</v>
      </c>
      <c r="AU1725" s="38">
        <v>46275</v>
      </c>
      <c r="AV1725" s="39">
        <v>0.60524305555556002</v>
      </c>
    </row>
    <row r="1726" spans="1:48" x14ac:dyDescent="0.35">
      <c r="A1726" t="str">
        <f t="shared" si="26"/>
        <v>GP486978-004B857</v>
      </c>
      <c r="B1726" s="7" t="s">
        <v>193</v>
      </c>
      <c r="C1726" s="7" t="s">
        <v>958</v>
      </c>
      <c r="D1726" s="7" t="s">
        <v>23</v>
      </c>
      <c r="E1726" s="7" t="s">
        <v>1177</v>
      </c>
      <c r="F1726" s="7" t="s">
        <v>128</v>
      </c>
      <c r="G1726" s="7" t="s">
        <v>130</v>
      </c>
      <c r="H1726" s="7" t="s">
        <v>162</v>
      </c>
      <c r="I1726" s="30">
        <v>624.6</v>
      </c>
      <c r="J1726" s="7" t="s">
        <v>1177</v>
      </c>
      <c r="K1726" s="7" t="s">
        <v>1178</v>
      </c>
      <c r="L1726" s="7" t="s">
        <v>132</v>
      </c>
      <c r="M1726" s="7" t="s">
        <v>195</v>
      </c>
      <c r="N1726" s="30">
        <v>0</v>
      </c>
      <c r="O1726" s="30">
        <v>0</v>
      </c>
      <c r="P1726" s="30">
        <v>0</v>
      </c>
      <c r="Q1726" s="30">
        <v>0</v>
      </c>
      <c r="R1726" s="29">
        <v>0</v>
      </c>
      <c r="S1726" s="36">
        <v>0</v>
      </c>
      <c r="T1726" s="7" t="s">
        <v>1177</v>
      </c>
      <c r="U1726" s="7" t="s">
        <v>959</v>
      </c>
      <c r="V1726" s="7" t="s">
        <v>959</v>
      </c>
      <c r="W1726" s="7" t="s">
        <v>1177</v>
      </c>
      <c r="X1726" s="30">
        <v>208.2</v>
      </c>
      <c r="Y1726" s="7" t="s">
        <v>1177</v>
      </c>
      <c r="Z1726" s="7" t="s">
        <v>1178</v>
      </c>
      <c r="AA1726" s="30">
        <v>0</v>
      </c>
      <c r="AB1726" s="36">
        <v>0</v>
      </c>
      <c r="AC1726" s="7" t="s">
        <v>1177</v>
      </c>
      <c r="AD1726" s="37">
        <v>0</v>
      </c>
      <c r="AE1726" s="7" t="s">
        <v>1177</v>
      </c>
      <c r="AF1726" s="7" t="s">
        <v>1177</v>
      </c>
      <c r="AG1726" s="7" t="s">
        <v>1177</v>
      </c>
      <c r="AH1726" s="38"/>
      <c r="AI1726" s="36">
        <v>0</v>
      </c>
      <c r="AJ1726" s="7" t="s">
        <v>1193</v>
      </c>
      <c r="AK1726" s="7" t="s">
        <v>1177</v>
      </c>
      <c r="AL1726" s="7" t="s">
        <v>1177</v>
      </c>
      <c r="AM1726" s="7" t="s">
        <v>1177</v>
      </c>
      <c r="AN1726" s="7" t="s">
        <v>3212</v>
      </c>
      <c r="AO1726" s="7" t="s">
        <v>1177</v>
      </c>
      <c r="AP1726" s="7" t="s">
        <v>1177</v>
      </c>
      <c r="AQ1726" s="7" t="s">
        <v>1177</v>
      </c>
      <c r="AR1726" s="29">
        <v>0</v>
      </c>
      <c r="AS1726" s="7" t="s">
        <v>1177</v>
      </c>
      <c r="AT1726" s="7" t="s">
        <v>1363</v>
      </c>
      <c r="AU1726" s="38">
        <v>46275</v>
      </c>
      <c r="AV1726" s="39">
        <v>0.60528935185184995</v>
      </c>
    </row>
    <row r="1727" spans="1:48" x14ac:dyDescent="0.35">
      <c r="A1727" t="str">
        <f t="shared" si="26"/>
        <v>GP486978-004B864</v>
      </c>
      <c r="B1727" s="7" t="s">
        <v>193</v>
      </c>
      <c r="C1727" s="7" t="s">
        <v>1010</v>
      </c>
      <c r="D1727" s="7" t="s">
        <v>10</v>
      </c>
      <c r="E1727" s="7" t="s">
        <v>1177</v>
      </c>
      <c r="F1727" s="7" t="s">
        <v>134</v>
      </c>
      <c r="G1727" s="7" t="s">
        <v>130</v>
      </c>
      <c r="H1727" s="7" t="s">
        <v>162</v>
      </c>
      <c r="I1727" s="30">
        <v>624.6</v>
      </c>
      <c r="J1727" s="7" t="s">
        <v>1177</v>
      </c>
      <c r="K1727" s="7" t="s">
        <v>1178</v>
      </c>
      <c r="L1727" s="7" t="s">
        <v>132</v>
      </c>
      <c r="M1727" s="7" t="s">
        <v>195</v>
      </c>
      <c r="N1727" s="30">
        <v>0</v>
      </c>
      <c r="O1727" s="30">
        <v>0</v>
      </c>
      <c r="P1727" s="30">
        <v>0</v>
      </c>
      <c r="Q1727" s="30">
        <v>0</v>
      </c>
      <c r="R1727" s="29">
        <v>0</v>
      </c>
      <c r="S1727" s="36">
        <v>0</v>
      </c>
      <c r="T1727" s="7" t="s">
        <v>1177</v>
      </c>
      <c r="U1727" s="7" t="s">
        <v>1011</v>
      </c>
      <c r="V1727" s="7" t="s">
        <v>1011</v>
      </c>
      <c r="W1727" s="7" t="s">
        <v>1177</v>
      </c>
      <c r="X1727" s="30">
        <v>624.6</v>
      </c>
      <c r="Y1727" s="7" t="s">
        <v>1177</v>
      </c>
      <c r="Z1727" s="7" t="s">
        <v>1178</v>
      </c>
      <c r="AA1727" s="30">
        <v>0</v>
      </c>
      <c r="AB1727" s="36">
        <v>0</v>
      </c>
      <c r="AC1727" s="7" t="s">
        <v>1177</v>
      </c>
      <c r="AD1727" s="37">
        <v>0</v>
      </c>
      <c r="AE1727" s="7" t="s">
        <v>1177</v>
      </c>
      <c r="AF1727" s="7" t="s">
        <v>1177</v>
      </c>
      <c r="AG1727" s="7" t="s">
        <v>1177</v>
      </c>
      <c r="AH1727" s="38"/>
      <c r="AI1727" s="36">
        <v>0</v>
      </c>
      <c r="AJ1727" s="7" t="s">
        <v>1193</v>
      </c>
      <c r="AK1727" s="7" t="s">
        <v>1177</v>
      </c>
      <c r="AL1727" s="7" t="s">
        <v>1177</v>
      </c>
      <c r="AM1727" s="7" t="s">
        <v>1177</v>
      </c>
      <c r="AN1727" s="7" t="s">
        <v>3212</v>
      </c>
      <c r="AO1727" s="7" t="s">
        <v>1177</v>
      </c>
      <c r="AP1727" s="7" t="s">
        <v>1177</v>
      </c>
      <c r="AQ1727" s="7" t="s">
        <v>1177</v>
      </c>
      <c r="AR1727" s="29">
        <v>0</v>
      </c>
      <c r="AS1727" s="7" t="s">
        <v>1177</v>
      </c>
      <c r="AT1727" s="7" t="s">
        <v>1363</v>
      </c>
      <c r="AU1727" s="38">
        <v>46275</v>
      </c>
      <c r="AV1727" s="39">
        <v>0.60543981481481002</v>
      </c>
    </row>
    <row r="1728" spans="1:48" x14ac:dyDescent="0.35">
      <c r="A1728" t="str">
        <f t="shared" si="26"/>
        <v>GP486978-004B865</v>
      </c>
      <c r="B1728" s="7" t="s">
        <v>193</v>
      </c>
      <c r="C1728" s="7" t="s">
        <v>1039</v>
      </c>
      <c r="D1728" s="7" t="s">
        <v>7</v>
      </c>
      <c r="E1728" s="7" t="s">
        <v>1177</v>
      </c>
      <c r="F1728" s="7" t="s">
        <v>128</v>
      </c>
      <c r="G1728" s="7" t="s">
        <v>130</v>
      </c>
      <c r="H1728" s="7" t="s">
        <v>162</v>
      </c>
      <c r="I1728" s="30">
        <v>624.6</v>
      </c>
      <c r="J1728" s="7" t="s">
        <v>1177</v>
      </c>
      <c r="K1728" s="7" t="s">
        <v>1178</v>
      </c>
      <c r="L1728" s="7" t="s">
        <v>132</v>
      </c>
      <c r="M1728" s="7" t="s">
        <v>195</v>
      </c>
      <c r="N1728" s="30">
        <v>0</v>
      </c>
      <c r="O1728" s="30">
        <v>0</v>
      </c>
      <c r="P1728" s="30">
        <v>0</v>
      </c>
      <c r="Q1728" s="30">
        <v>0</v>
      </c>
      <c r="R1728" s="29">
        <v>0</v>
      </c>
      <c r="S1728" s="36">
        <v>0</v>
      </c>
      <c r="T1728" s="7" t="s">
        <v>1177</v>
      </c>
      <c r="U1728" s="7" t="s">
        <v>1040</v>
      </c>
      <c r="V1728" s="7" t="s">
        <v>1040</v>
      </c>
      <c r="W1728" s="7" t="s">
        <v>1177</v>
      </c>
      <c r="X1728" s="30">
        <v>208.2</v>
      </c>
      <c r="Y1728" s="7" t="s">
        <v>1177</v>
      </c>
      <c r="Z1728" s="7" t="s">
        <v>1178</v>
      </c>
      <c r="AA1728" s="30">
        <v>0</v>
      </c>
      <c r="AB1728" s="36">
        <v>0</v>
      </c>
      <c r="AC1728" s="7" t="s">
        <v>1177</v>
      </c>
      <c r="AD1728" s="37">
        <v>0</v>
      </c>
      <c r="AE1728" s="7" t="s">
        <v>1177</v>
      </c>
      <c r="AF1728" s="7" t="s">
        <v>1177</v>
      </c>
      <c r="AG1728" s="7" t="s">
        <v>1177</v>
      </c>
      <c r="AH1728" s="38"/>
      <c r="AI1728" s="36">
        <v>0</v>
      </c>
      <c r="AJ1728" s="7" t="s">
        <v>1193</v>
      </c>
      <c r="AK1728" s="7" t="s">
        <v>1177</v>
      </c>
      <c r="AL1728" s="7" t="s">
        <v>1177</v>
      </c>
      <c r="AM1728" s="7" t="s">
        <v>1177</v>
      </c>
      <c r="AN1728" s="7" t="s">
        <v>3212</v>
      </c>
      <c r="AO1728" s="7" t="s">
        <v>1177</v>
      </c>
      <c r="AP1728" s="7" t="s">
        <v>1177</v>
      </c>
      <c r="AQ1728" s="7" t="s">
        <v>1177</v>
      </c>
      <c r="AR1728" s="29">
        <v>0</v>
      </c>
      <c r="AS1728" s="7" t="s">
        <v>1177</v>
      </c>
      <c r="AT1728" s="7" t="s">
        <v>1363</v>
      </c>
      <c r="AU1728" s="38">
        <v>46275</v>
      </c>
      <c r="AV1728" s="39">
        <v>0.60555555555555995</v>
      </c>
    </row>
    <row r="1729" spans="1:48" x14ac:dyDescent="0.35">
      <c r="A1729" t="str">
        <f t="shared" si="26"/>
        <v>GP486978-004B867</v>
      </c>
      <c r="B1729" s="7" t="s">
        <v>193</v>
      </c>
      <c r="C1729" s="7" t="s">
        <v>1059</v>
      </c>
      <c r="D1729" s="7" t="s">
        <v>25</v>
      </c>
      <c r="E1729" s="7" t="s">
        <v>1177</v>
      </c>
      <c r="F1729" s="7" t="s">
        <v>128</v>
      </c>
      <c r="G1729" s="7" t="s">
        <v>130</v>
      </c>
      <c r="H1729" s="7" t="s">
        <v>162</v>
      </c>
      <c r="I1729" s="30">
        <v>624.6</v>
      </c>
      <c r="J1729" s="7" t="s">
        <v>1177</v>
      </c>
      <c r="K1729" s="7" t="s">
        <v>1178</v>
      </c>
      <c r="L1729" s="7" t="s">
        <v>132</v>
      </c>
      <c r="M1729" s="7" t="s">
        <v>195</v>
      </c>
      <c r="N1729" s="30">
        <v>0</v>
      </c>
      <c r="O1729" s="30">
        <v>0</v>
      </c>
      <c r="P1729" s="30">
        <v>0</v>
      </c>
      <c r="Q1729" s="30">
        <v>0</v>
      </c>
      <c r="R1729" s="29">
        <v>0</v>
      </c>
      <c r="S1729" s="36">
        <v>0</v>
      </c>
      <c r="T1729" s="7" t="s">
        <v>1177</v>
      </c>
      <c r="U1729" s="7" t="s">
        <v>1060</v>
      </c>
      <c r="V1729" s="7" t="s">
        <v>1060</v>
      </c>
      <c r="W1729" s="7" t="s">
        <v>1177</v>
      </c>
      <c r="X1729" s="30">
        <v>208.2</v>
      </c>
      <c r="Y1729" s="7" t="s">
        <v>1177</v>
      </c>
      <c r="Z1729" s="7" t="s">
        <v>1178</v>
      </c>
      <c r="AA1729" s="30">
        <v>0</v>
      </c>
      <c r="AB1729" s="36">
        <v>0</v>
      </c>
      <c r="AC1729" s="7" t="s">
        <v>1177</v>
      </c>
      <c r="AD1729" s="37">
        <v>0</v>
      </c>
      <c r="AE1729" s="7" t="s">
        <v>1177</v>
      </c>
      <c r="AF1729" s="7" t="s">
        <v>1177</v>
      </c>
      <c r="AG1729" s="7" t="s">
        <v>1177</v>
      </c>
      <c r="AH1729" s="38"/>
      <c r="AI1729" s="36">
        <v>0</v>
      </c>
      <c r="AJ1729" s="7" t="s">
        <v>1193</v>
      </c>
      <c r="AK1729" s="7" t="s">
        <v>1177</v>
      </c>
      <c r="AL1729" s="7" t="s">
        <v>1177</v>
      </c>
      <c r="AM1729" s="7" t="s">
        <v>1177</v>
      </c>
      <c r="AN1729" s="7" t="s">
        <v>3212</v>
      </c>
      <c r="AO1729" s="7" t="s">
        <v>1177</v>
      </c>
      <c r="AP1729" s="7" t="s">
        <v>1177</v>
      </c>
      <c r="AQ1729" s="7" t="s">
        <v>1177</v>
      </c>
      <c r="AR1729" s="29">
        <v>0</v>
      </c>
      <c r="AS1729" s="7" t="s">
        <v>1177</v>
      </c>
      <c r="AT1729" s="7" t="s">
        <v>1363</v>
      </c>
      <c r="AU1729" s="38">
        <v>46275</v>
      </c>
      <c r="AV1729" s="39">
        <v>0.60565972222221998</v>
      </c>
    </row>
    <row r="1730" spans="1:48" x14ac:dyDescent="0.35">
      <c r="A1730" t="str">
        <f t="shared" si="26"/>
        <v>GP504766B864</v>
      </c>
      <c r="B1730" s="7" t="s">
        <v>1031</v>
      </c>
      <c r="C1730" s="7" t="s">
        <v>1010</v>
      </c>
      <c r="D1730" s="7" t="s">
        <v>10</v>
      </c>
      <c r="E1730" s="7" t="s">
        <v>1177</v>
      </c>
      <c r="F1730" s="7" t="s">
        <v>134</v>
      </c>
      <c r="G1730" s="7" t="s">
        <v>130</v>
      </c>
      <c r="H1730" s="7" t="s">
        <v>129</v>
      </c>
      <c r="I1730" s="30">
        <v>2</v>
      </c>
      <c r="J1730" s="7" t="s">
        <v>1177</v>
      </c>
      <c r="K1730" s="7" t="s">
        <v>1178</v>
      </c>
      <c r="L1730" s="7" t="s">
        <v>132</v>
      </c>
      <c r="M1730" s="7" t="s">
        <v>133</v>
      </c>
      <c r="N1730" s="30">
        <v>0</v>
      </c>
      <c r="O1730" s="30">
        <v>0</v>
      </c>
      <c r="P1730" s="30">
        <v>0</v>
      </c>
      <c r="Q1730" s="30">
        <v>0</v>
      </c>
      <c r="R1730" s="29">
        <v>0</v>
      </c>
      <c r="S1730" s="36">
        <v>0</v>
      </c>
      <c r="T1730" s="7" t="s">
        <v>131</v>
      </c>
      <c r="U1730" s="7" t="s">
        <v>1011</v>
      </c>
      <c r="V1730" s="7" t="s">
        <v>1011</v>
      </c>
      <c r="W1730" s="7" t="s">
        <v>1177</v>
      </c>
      <c r="X1730" s="30">
        <v>2</v>
      </c>
      <c r="Y1730" s="7" t="s">
        <v>1177</v>
      </c>
      <c r="Z1730" s="7" t="s">
        <v>1178</v>
      </c>
      <c r="AA1730" s="30">
        <v>0</v>
      </c>
      <c r="AB1730" s="36">
        <v>0</v>
      </c>
      <c r="AC1730" s="7" t="s">
        <v>1177</v>
      </c>
      <c r="AD1730" s="37">
        <v>0</v>
      </c>
      <c r="AE1730" s="7" t="s">
        <v>1177</v>
      </c>
      <c r="AF1730" s="7" t="s">
        <v>1177</v>
      </c>
      <c r="AG1730" s="7" t="s">
        <v>1177</v>
      </c>
      <c r="AH1730" s="38"/>
      <c r="AI1730" s="36">
        <v>0</v>
      </c>
      <c r="AJ1730" s="7" t="s">
        <v>1193</v>
      </c>
      <c r="AK1730" s="7" t="s">
        <v>1177</v>
      </c>
      <c r="AL1730" s="7" t="s">
        <v>1177</v>
      </c>
      <c r="AM1730" s="7" t="s">
        <v>1177</v>
      </c>
      <c r="AN1730" s="7" t="s">
        <v>3212</v>
      </c>
      <c r="AO1730" s="7" t="s">
        <v>1177</v>
      </c>
      <c r="AP1730" s="7" t="s">
        <v>1177</v>
      </c>
      <c r="AQ1730" s="7" t="s">
        <v>1177</v>
      </c>
      <c r="AR1730" s="29">
        <v>0</v>
      </c>
      <c r="AS1730" s="7" t="s">
        <v>1177</v>
      </c>
      <c r="AT1730" s="7" t="s">
        <v>1363</v>
      </c>
      <c r="AU1730" s="38">
        <v>46275</v>
      </c>
      <c r="AV1730" s="39">
        <v>0.60543981481481002</v>
      </c>
    </row>
    <row r="1731" spans="1:48" x14ac:dyDescent="0.35">
      <c r="A1731" t="str">
        <f t="shared" ref="A1731:A1794" si="27">_xlfn.CONCAT(B1731,D1731)</f>
        <v>GP504766B865</v>
      </c>
      <c r="B1731" s="7" t="s">
        <v>1031</v>
      </c>
      <c r="C1731" s="7" t="s">
        <v>1039</v>
      </c>
      <c r="D1731" s="7" t="s">
        <v>7</v>
      </c>
      <c r="E1731" s="7" t="s">
        <v>1177</v>
      </c>
      <c r="F1731" s="7" t="s">
        <v>134</v>
      </c>
      <c r="G1731" s="7" t="s">
        <v>130</v>
      </c>
      <c r="H1731" s="7" t="s">
        <v>129</v>
      </c>
      <c r="I1731" s="30">
        <v>2</v>
      </c>
      <c r="J1731" s="7" t="s">
        <v>1177</v>
      </c>
      <c r="K1731" s="7" t="s">
        <v>1178</v>
      </c>
      <c r="L1731" s="7" t="s">
        <v>132</v>
      </c>
      <c r="M1731" s="7" t="s">
        <v>133</v>
      </c>
      <c r="N1731" s="30">
        <v>0</v>
      </c>
      <c r="O1731" s="30">
        <v>0</v>
      </c>
      <c r="P1731" s="30">
        <v>0</v>
      </c>
      <c r="Q1731" s="30">
        <v>0</v>
      </c>
      <c r="R1731" s="29">
        <v>0</v>
      </c>
      <c r="S1731" s="36">
        <v>0</v>
      </c>
      <c r="T1731" s="7" t="s">
        <v>131</v>
      </c>
      <c r="U1731" s="7" t="s">
        <v>1040</v>
      </c>
      <c r="V1731" s="7" t="s">
        <v>1040</v>
      </c>
      <c r="W1731" s="7" t="s">
        <v>1177</v>
      </c>
      <c r="X1731" s="30">
        <v>2</v>
      </c>
      <c r="Y1731" s="7" t="s">
        <v>1177</v>
      </c>
      <c r="Z1731" s="7" t="s">
        <v>1178</v>
      </c>
      <c r="AA1731" s="30">
        <v>0</v>
      </c>
      <c r="AB1731" s="36">
        <v>0</v>
      </c>
      <c r="AC1731" s="7" t="s">
        <v>1177</v>
      </c>
      <c r="AD1731" s="37">
        <v>0</v>
      </c>
      <c r="AE1731" s="7" t="s">
        <v>1177</v>
      </c>
      <c r="AF1731" s="7" t="s">
        <v>1177</v>
      </c>
      <c r="AG1731" s="7" t="s">
        <v>1177</v>
      </c>
      <c r="AH1731" s="38"/>
      <c r="AI1731" s="36">
        <v>0</v>
      </c>
      <c r="AJ1731" s="7" t="s">
        <v>1193</v>
      </c>
      <c r="AK1731" s="7" t="s">
        <v>1177</v>
      </c>
      <c r="AL1731" s="7" t="s">
        <v>1177</v>
      </c>
      <c r="AM1731" s="7" t="s">
        <v>1177</v>
      </c>
      <c r="AN1731" s="7" t="s">
        <v>3212</v>
      </c>
      <c r="AO1731" s="7" t="s">
        <v>1177</v>
      </c>
      <c r="AP1731" s="7" t="s">
        <v>1177</v>
      </c>
      <c r="AQ1731" s="7" t="s">
        <v>1177</v>
      </c>
      <c r="AR1731" s="29">
        <v>0</v>
      </c>
      <c r="AS1731" s="7" t="s">
        <v>1177</v>
      </c>
      <c r="AT1731" s="7" t="s">
        <v>1363</v>
      </c>
      <c r="AU1731" s="38">
        <v>46275</v>
      </c>
      <c r="AV1731" s="39">
        <v>0.60555555555555995</v>
      </c>
    </row>
    <row r="1732" spans="1:48" x14ac:dyDescent="0.35">
      <c r="A1732" t="str">
        <f t="shared" si="27"/>
        <v>GP514717B833</v>
      </c>
      <c r="B1732" s="7" t="s">
        <v>724</v>
      </c>
      <c r="C1732" s="7" t="s">
        <v>698</v>
      </c>
      <c r="D1732" s="7" t="s">
        <v>697</v>
      </c>
      <c r="E1732" s="7" t="s">
        <v>1177</v>
      </c>
      <c r="F1732" s="7" t="s">
        <v>128</v>
      </c>
      <c r="G1732" s="7" t="s">
        <v>130</v>
      </c>
      <c r="H1732" s="7" t="s">
        <v>129</v>
      </c>
      <c r="I1732" s="30">
        <v>1</v>
      </c>
      <c r="J1732" s="7" t="s">
        <v>1177</v>
      </c>
      <c r="K1732" s="7" t="s">
        <v>1178</v>
      </c>
      <c r="L1732" s="7" t="s">
        <v>132</v>
      </c>
      <c r="M1732" s="7" t="s">
        <v>133</v>
      </c>
      <c r="N1732" s="30">
        <v>0</v>
      </c>
      <c r="O1732" s="30">
        <v>0</v>
      </c>
      <c r="P1732" s="30">
        <v>0</v>
      </c>
      <c r="Q1732" s="30">
        <v>0</v>
      </c>
      <c r="R1732" s="29">
        <v>0</v>
      </c>
      <c r="S1732" s="36">
        <v>0</v>
      </c>
      <c r="T1732" s="7" t="s">
        <v>131</v>
      </c>
      <c r="U1732" s="7" t="s">
        <v>699</v>
      </c>
      <c r="V1732" s="7" t="s">
        <v>699</v>
      </c>
      <c r="W1732" s="7" t="s">
        <v>1177</v>
      </c>
      <c r="X1732" s="30">
        <v>1</v>
      </c>
      <c r="Y1732" s="7" t="s">
        <v>1177</v>
      </c>
      <c r="Z1732" s="7" t="s">
        <v>1178</v>
      </c>
      <c r="AA1732" s="30">
        <v>0</v>
      </c>
      <c r="AB1732" s="36">
        <v>0</v>
      </c>
      <c r="AC1732" s="7" t="s">
        <v>1177</v>
      </c>
      <c r="AD1732" s="37">
        <v>0</v>
      </c>
      <c r="AE1732" s="7" t="s">
        <v>1177</v>
      </c>
      <c r="AF1732" s="7" t="s">
        <v>1177</v>
      </c>
      <c r="AG1732" s="7" t="s">
        <v>1177</v>
      </c>
      <c r="AH1732" s="38"/>
      <c r="AI1732" s="36">
        <v>0</v>
      </c>
      <c r="AJ1732" s="7" t="s">
        <v>1193</v>
      </c>
      <c r="AK1732" s="7" t="s">
        <v>1177</v>
      </c>
      <c r="AL1732" s="7" t="s">
        <v>1177</v>
      </c>
      <c r="AM1732" s="7" t="s">
        <v>1177</v>
      </c>
      <c r="AN1732" s="7" t="s">
        <v>3212</v>
      </c>
      <c r="AO1732" s="7" t="s">
        <v>1177</v>
      </c>
      <c r="AP1732" s="7" t="s">
        <v>1177</v>
      </c>
      <c r="AQ1732" s="7" t="s">
        <v>1177</v>
      </c>
      <c r="AR1732" s="29">
        <v>0</v>
      </c>
      <c r="AS1732" s="7" t="s">
        <v>1177</v>
      </c>
      <c r="AT1732" s="7" t="s">
        <v>1363</v>
      </c>
      <c r="AU1732" s="38">
        <v>46275</v>
      </c>
      <c r="AV1732" s="39">
        <v>0.62353009259258996</v>
      </c>
    </row>
    <row r="1733" spans="1:48" x14ac:dyDescent="0.35">
      <c r="A1733" t="str">
        <f t="shared" si="27"/>
        <v>GP515579-001B825</v>
      </c>
      <c r="B1733" s="7" t="s">
        <v>508</v>
      </c>
      <c r="C1733" s="7" t="s">
        <v>511</v>
      </c>
      <c r="D1733" s="7" t="s">
        <v>16</v>
      </c>
      <c r="E1733" s="7" t="s">
        <v>1177</v>
      </c>
      <c r="F1733" s="7" t="s">
        <v>128</v>
      </c>
      <c r="G1733" s="7" t="s">
        <v>130</v>
      </c>
      <c r="H1733" s="7" t="s">
        <v>129</v>
      </c>
      <c r="I1733" s="30">
        <v>2</v>
      </c>
      <c r="J1733" s="7" t="s">
        <v>1177</v>
      </c>
      <c r="K1733" s="7" t="s">
        <v>1178</v>
      </c>
      <c r="L1733" s="7" t="s">
        <v>132</v>
      </c>
      <c r="M1733" s="7" t="s">
        <v>133</v>
      </c>
      <c r="N1733" s="30">
        <v>0</v>
      </c>
      <c r="O1733" s="30">
        <v>0</v>
      </c>
      <c r="P1733" s="30">
        <v>0</v>
      </c>
      <c r="Q1733" s="30">
        <v>0</v>
      </c>
      <c r="R1733" s="29">
        <v>0</v>
      </c>
      <c r="S1733" s="36">
        <v>0</v>
      </c>
      <c r="T1733" s="7" t="s">
        <v>131</v>
      </c>
      <c r="U1733" s="7" t="s">
        <v>512</v>
      </c>
      <c r="V1733" s="7" t="s">
        <v>512</v>
      </c>
      <c r="W1733" s="7" t="s">
        <v>1177</v>
      </c>
      <c r="X1733" s="30">
        <v>1</v>
      </c>
      <c r="Y1733" s="7" t="s">
        <v>1177</v>
      </c>
      <c r="Z1733" s="7" t="s">
        <v>1178</v>
      </c>
      <c r="AA1733" s="30">
        <v>0</v>
      </c>
      <c r="AB1733" s="36">
        <v>0</v>
      </c>
      <c r="AC1733" s="7" t="s">
        <v>1177</v>
      </c>
      <c r="AD1733" s="37">
        <v>0</v>
      </c>
      <c r="AE1733" s="7" t="s">
        <v>1177</v>
      </c>
      <c r="AF1733" s="7" t="s">
        <v>1177</v>
      </c>
      <c r="AG1733" s="7" t="s">
        <v>1177</v>
      </c>
      <c r="AH1733" s="38"/>
      <c r="AI1733" s="36">
        <v>0</v>
      </c>
      <c r="AJ1733" s="7" t="s">
        <v>1193</v>
      </c>
      <c r="AK1733" s="7" t="s">
        <v>1177</v>
      </c>
      <c r="AL1733" s="7" t="s">
        <v>1177</v>
      </c>
      <c r="AM1733" s="7" t="s">
        <v>1177</v>
      </c>
      <c r="AN1733" s="7" t="s">
        <v>3212</v>
      </c>
      <c r="AO1733" s="7" t="s">
        <v>1177</v>
      </c>
      <c r="AP1733" s="7" t="s">
        <v>1177</v>
      </c>
      <c r="AQ1733" s="7" t="s">
        <v>1177</v>
      </c>
      <c r="AR1733" s="29">
        <v>0</v>
      </c>
      <c r="AS1733" s="7" t="s">
        <v>1177</v>
      </c>
      <c r="AT1733" s="7" t="s">
        <v>1363</v>
      </c>
      <c r="AU1733" s="38">
        <v>46275</v>
      </c>
      <c r="AV1733" s="39">
        <v>0.60349537037037004</v>
      </c>
    </row>
    <row r="1734" spans="1:48" x14ac:dyDescent="0.35">
      <c r="A1734" t="str">
        <f t="shared" si="27"/>
        <v>GP525859B856</v>
      </c>
      <c r="B1734" s="7" t="s">
        <v>110</v>
      </c>
      <c r="C1734" s="7" t="s">
        <v>852</v>
      </c>
      <c r="D1734" s="7" t="s">
        <v>21</v>
      </c>
      <c r="E1734" s="7" t="s">
        <v>1177</v>
      </c>
      <c r="F1734" s="7" t="s">
        <v>128</v>
      </c>
      <c r="G1734" s="7" t="s">
        <v>130</v>
      </c>
      <c r="H1734" s="7" t="s">
        <v>129</v>
      </c>
      <c r="I1734" s="30">
        <v>4</v>
      </c>
      <c r="J1734" s="7" t="s">
        <v>1177</v>
      </c>
      <c r="K1734" s="7" t="s">
        <v>1178</v>
      </c>
      <c r="L1734" s="7" t="s">
        <v>132</v>
      </c>
      <c r="M1734" s="7" t="s">
        <v>133</v>
      </c>
      <c r="N1734" s="30">
        <v>0</v>
      </c>
      <c r="O1734" s="30">
        <v>0</v>
      </c>
      <c r="P1734" s="30">
        <v>0</v>
      </c>
      <c r="Q1734" s="30">
        <v>0</v>
      </c>
      <c r="R1734" s="29">
        <v>0</v>
      </c>
      <c r="S1734" s="36">
        <v>0</v>
      </c>
      <c r="T1734" s="7" t="s">
        <v>131</v>
      </c>
      <c r="U1734" s="7" t="s">
        <v>853</v>
      </c>
      <c r="V1734" s="7" t="s">
        <v>853</v>
      </c>
      <c r="W1734" s="7" t="s">
        <v>1177</v>
      </c>
      <c r="X1734" s="30">
        <v>1</v>
      </c>
      <c r="Y1734" s="7" t="s">
        <v>1177</v>
      </c>
      <c r="Z1734" s="7" t="s">
        <v>1178</v>
      </c>
      <c r="AA1734" s="30">
        <v>0</v>
      </c>
      <c r="AB1734" s="36">
        <v>0</v>
      </c>
      <c r="AC1734" s="7" t="s">
        <v>1177</v>
      </c>
      <c r="AD1734" s="37">
        <v>0</v>
      </c>
      <c r="AE1734" s="7" t="s">
        <v>1177</v>
      </c>
      <c r="AF1734" s="7" t="s">
        <v>1177</v>
      </c>
      <c r="AG1734" s="7" t="s">
        <v>1177</v>
      </c>
      <c r="AH1734" s="38"/>
      <c r="AI1734" s="36">
        <v>0</v>
      </c>
      <c r="AJ1734" s="7" t="s">
        <v>1193</v>
      </c>
      <c r="AK1734" s="7" t="s">
        <v>1177</v>
      </c>
      <c r="AL1734" s="7" t="s">
        <v>1177</v>
      </c>
      <c r="AM1734" s="7" t="s">
        <v>1177</v>
      </c>
      <c r="AN1734" s="7" t="s">
        <v>3212</v>
      </c>
      <c r="AO1734" s="7" t="s">
        <v>1177</v>
      </c>
      <c r="AP1734" s="7" t="s">
        <v>1177</v>
      </c>
      <c r="AQ1734" s="7" t="s">
        <v>1177</v>
      </c>
      <c r="AR1734" s="29">
        <v>0</v>
      </c>
      <c r="AS1734" s="7" t="s">
        <v>1177</v>
      </c>
      <c r="AT1734" s="7" t="s">
        <v>1363</v>
      </c>
      <c r="AU1734" s="38">
        <v>46275</v>
      </c>
      <c r="AV1734" s="39">
        <v>0.62490740740741002</v>
      </c>
    </row>
    <row r="1735" spans="1:48" x14ac:dyDescent="0.35">
      <c r="A1735" t="str">
        <f t="shared" si="27"/>
        <v>GP525859B857</v>
      </c>
      <c r="B1735" s="7" t="s">
        <v>110</v>
      </c>
      <c r="C1735" s="7" t="s">
        <v>958</v>
      </c>
      <c r="D1735" s="7" t="s">
        <v>23</v>
      </c>
      <c r="E1735" s="7" t="s">
        <v>1177</v>
      </c>
      <c r="F1735" s="7" t="s">
        <v>128</v>
      </c>
      <c r="G1735" s="7" t="s">
        <v>130</v>
      </c>
      <c r="H1735" s="7" t="s">
        <v>129</v>
      </c>
      <c r="I1735" s="30">
        <v>8</v>
      </c>
      <c r="J1735" s="7" t="s">
        <v>1177</v>
      </c>
      <c r="K1735" s="7" t="s">
        <v>1178</v>
      </c>
      <c r="L1735" s="7" t="s">
        <v>132</v>
      </c>
      <c r="M1735" s="7" t="s">
        <v>133</v>
      </c>
      <c r="N1735" s="30">
        <v>0</v>
      </c>
      <c r="O1735" s="30">
        <v>0</v>
      </c>
      <c r="P1735" s="30">
        <v>0</v>
      </c>
      <c r="Q1735" s="30">
        <v>0</v>
      </c>
      <c r="R1735" s="29">
        <v>0</v>
      </c>
      <c r="S1735" s="36">
        <v>0</v>
      </c>
      <c r="T1735" s="7" t="s">
        <v>131</v>
      </c>
      <c r="U1735" s="7" t="s">
        <v>959</v>
      </c>
      <c r="V1735" s="7" t="s">
        <v>959</v>
      </c>
      <c r="W1735" s="7" t="s">
        <v>1177</v>
      </c>
      <c r="X1735" s="30">
        <v>2</v>
      </c>
      <c r="Y1735" s="7" t="s">
        <v>1177</v>
      </c>
      <c r="Z1735" s="7" t="s">
        <v>1178</v>
      </c>
      <c r="AA1735" s="30">
        <v>0</v>
      </c>
      <c r="AB1735" s="36">
        <v>0</v>
      </c>
      <c r="AC1735" s="7" t="s">
        <v>1177</v>
      </c>
      <c r="AD1735" s="37">
        <v>0</v>
      </c>
      <c r="AE1735" s="7" t="s">
        <v>1177</v>
      </c>
      <c r="AF1735" s="7" t="s">
        <v>1177</v>
      </c>
      <c r="AG1735" s="7" t="s">
        <v>1177</v>
      </c>
      <c r="AH1735" s="38"/>
      <c r="AI1735" s="36">
        <v>0</v>
      </c>
      <c r="AJ1735" s="7" t="s">
        <v>1193</v>
      </c>
      <c r="AK1735" s="7" t="s">
        <v>1177</v>
      </c>
      <c r="AL1735" s="7" t="s">
        <v>1177</v>
      </c>
      <c r="AM1735" s="7" t="s">
        <v>1177</v>
      </c>
      <c r="AN1735" s="7" t="s">
        <v>3212</v>
      </c>
      <c r="AO1735" s="7" t="s">
        <v>1177</v>
      </c>
      <c r="AP1735" s="7" t="s">
        <v>1177</v>
      </c>
      <c r="AQ1735" s="7" t="s">
        <v>1177</v>
      </c>
      <c r="AR1735" s="29">
        <v>0</v>
      </c>
      <c r="AS1735" s="7" t="s">
        <v>1177</v>
      </c>
      <c r="AT1735" s="7" t="s">
        <v>1363</v>
      </c>
      <c r="AU1735" s="38">
        <v>46275</v>
      </c>
      <c r="AV1735" s="39">
        <v>0.62511574074073994</v>
      </c>
    </row>
    <row r="1736" spans="1:48" x14ac:dyDescent="0.35">
      <c r="A1736" t="str">
        <f t="shared" si="27"/>
        <v>GP525859B864</v>
      </c>
      <c r="B1736" s="7" t="s">
        <v>110</v>
      </c>
      <c r="C1736" s="7" t="s">
        <v>1010</v>
      </c>
      <c r="D1736" s="7" t="s">
        <v>10</v>
      </c>
      <c r="E1736" s="7" t="s">
        <v>1177</v>
      </c>
      <c r="F1736" s="7" t="s">
        <v>128</v>
      </c>
      <c r="G1736" s="7" t="s">
        <v>130</v>
      </c>
      <c r="H1736" s="7" t="s">
        <v>129</v>
      </c>
      <c r="I1736" s="30">
        <v>15</v>
      </c>
      <c r="J1736" s="7" t="s">
        <v>1177</v>
      </c>
      <c r="K1736" s="7" t="s">
        <v>1178</v>
      </c>
      <c r="L1736" s="7" t="s">
        <v>132</v>
      </c>
      <c r="M1736" s="7" t="s">
        <v>133</v>
      </c>
      <c r="N1736" s="30">
        <v>0</v>
      </c>
      <c r="O1736" s="30">
        <v>0</v>
      </c>
      <c r="P1736" s="30">
        <v>0</v>
      </c>
      <c r="Q1736" s="30">
        <v>0</v>
      </c>
      <c r="R1736" s="29">
        <v>0</v>
      </c>
      <c r="S1736" s="36">
        <v>0</v>
      </c>
      <c r="T1736" s="7" t="s">
        <v>131</v>
      </c>
      <c r="U1736" s="7" t="s">
        <v>1011</v>
      </c>
      <c r="V1736" s="7" t="s">
        <v>1011</v>
      </c>
      <c r="W1736" s="7" t="s">
        <v>1177</v>
      </c>
      <c r="X1736" s="30">
        <v>4</v>
      </c>
      <c r="Y1736" s="7" t="s">
        <v>1177</v>
      </c>
      <c r="Z1736" s="7" t="s">
        <v>1178</v>
      </c>
      <c r="AA1736" s="30">
        <v>0</v>
      </c>
      <c r="AB1736" s="36">
        <v>0</v>
      </c>
      <c r="AC1736" s="7" t="s">
        <v>1177</v>
      </c>
      <c r="AD1736" s="37">
        <v>0</v>
      </c>
      <c r="AE1736" s="7" t="s">
        <v>1177</v>
      </c>
      <c r="AF1736" s="7" t="s">
        <v>1177</v>
      </c>
      <c r="AG1736" s="7" t="s">
        <v>1177</v>
      </c>
      <c r="AH1736" s="38"/>
      <c r="AI1736" s="36">
        <v>0</v>
      </c>
      <c r="AJ1736" s="7" t="s">
        <v>1193</v>
      </c>
      <c r="AK1736" s="7" t="s">
        <v>1177</v>
      </c>
      <c r="AL1736" s="7" t="s">
        <v>1177</v>
      </c>
      <c r="AM1736" s="7" t="s">
        <v>1177</v>
      </c>
      <c r="AN1736" s="7" t="s">
        <v>3212</v>
      </c>
      <c r="AO1736" s="7" t="s">
        <v>1177</v>
      </c>
      <c r="AP1736" s="7" t="s">
        <v>1177</v>
      </c>
      <c r="AQ1736" s="7" t="s">
        <v>1177</v>
      </c>
      <c r="AR1736" s="29">
        <v>0</v>
      </c>
      <c r="AS1736" s="7" t="s">
        <v>1177</v>
      </c>
      <c r="AT1736" s="7" t="s">
        <v>1363</v>
      </c>
      <c r="AU1736" s="38">
        <v>46275</v>
      </c>
      <c r="AV1736" s="39">
        <v>0.62631944444443999</v>
      </c>
    </row>
    <row r="1737" spans="1:48" x14ac:dyDescent="0.35">
      <c r="A1737" t="str">
        <f t="shared" si="27"/>
        <v>GP525859B865</v>
      </c>
      <c r="B1737" s="7" t="s">
        <v>110</v>
      </c>
      <c r="C1737" s="7" t="s">
        <v>1039</v>
      </c>
      <c r="D1737" s="7" t="s">
        <v>7</v>
      </c>
      <c r="E1737" s="7" t="s">
        <v>1177</v>
      </c>
      <c r="F1737" s="7" t="s">
        <v>128</v>
      </c>
      <c r="G1737" s="7" t="s">
        <v>130</v>
      </c>
      <c r="H1737" s="7" t="s">
        <v>129</v>
      </c>
      <c r="I1737" s="30">
        <v>15</v>
      </c>
      <c r="J1737" s="7" t="s">
        <v>1177</v>
      </c>
      <c r="K1737" s="7" t="s">
        <v>1178</v>
      </c>
      <c r="L1737" s="7" t="s">
        <v>132</v>
      </c>
      <c r="M1737" s="7" t="s">
        <v>133</v>
      </c>
      <c r="N1737" s="30">
        <v>0</v>
      </c>
      <c r="O1737" s="30">
        <v>0</v>
      </c>
      <c r="P1737" s="30">
        <v>0</v>
      </c>
      <c r="Q1737" s="30">
        <v>0</v>
      </c>
      <c r="R1737" s="29">
        <v>0</v>
      </c>
      <c r="S1737" s="36">
        <v>0</v>
      </c>
      <c r="T1737" s="7" t="s">
        <v>131</v>
      </c>
      <c r="U1737" s="7" t="s">
        <v>1040</v>
      </c>
      <c r="V1737" s="7" t="s">
        <v>1040</v>
      </c>
      <c r="W1737" s="7" t="s">
        <v>1177</v>
      </c>
      <c r="X1737" s="30">
        <v>4</v>
      </c>
      <c r="Y1737" s="7" t="s">
        <v>1177</v>
      </c>
      <c r="Z1737" s="7" t="s">
        <v>1178</v>
      </c>
      <c r="AA1737" s="30">
        <v>0</v>
      </c>
      <c r="AB1737" s="36">
        <v>0</v>
      </c>
      <c r="AC1737" s="7" t="s">
        <v>1177</v>
      </c>
      <c r="AD1737" s="37">
        <v>0</v>
      </c>
      <c r="AE1737" s="7" t="s">
        <v>1177</v>
      </c>
      <c r="AF1737" s="7" t="s">
        <v>1177</v>
      </c>
      <c r="AG1737" s="7" t="s">
        <v>1177</v>
      </c>
      <c r="AH1737" s="38"/>
      <c r="AI1737" s="36">
        <v>0</v>
      </c>
      <c r="AJ1737" s="7" t="s">
        <v>1193</v>
      </c>
      <c r="AK1737" s="7" t="s">
        <v>1177</v>
      </c>
      <c r="AL1737" s="7" t="s">
        <v>1177</v>
      </c>
      <c r="AM1737" s="7" t="s">
        <v>1177</v>
      </c>
      <c r="AN1737" s="7" t="s">
        <v>3212</v>
      </c>
      <c r="AO1737" s="7" t="s">
        <v>1177</v>
      </c>
      <c r="AP1737" s="7" t="s">
        <v>1177</v>
      </c>
      <c r="AQ1737" s="7" t="s">
        <v>1177</v>
      </c>
      <c r="AR1737" s="29">
        <v>0</v>
      </c>
      <c r="AS1737" s="7" t="s">
        <v>1177</v>
      </c>
      <c r="AT1737" s="7" t="s">
        <v>1363</v>
      </c>
      <c r="AU1737" s="38">
        <v>46275</v>
      </c>
      <c r="AV1737" s="39">
        <v>0.62674768518518997</v>
      </c>
    </row>
    <row r="1738" spans="1:48" x14ac:dyDescent="0.35">
      <c r="A1738" t="str">
        <f t="shared" si="27"/>
        <v>GP525859B867</v>
      </c>
      <c r="B1738" s="7" t="s">
        <v>110</v>
      </c>
      <c r="C1738" s="7" t="s">
        <v>1059</v>
      </c>
      <c r="D1738" s="7" t="s">
        <v>25</v>
      </c>
      <c r="E1738" s="7" t="s">
        <v>1177</v>
      </c>
      <c r="F1738" s="7" t="s">
        <v>128</v>
      </c>
      <c r="G1738" s="7" t="s">
        <v>130</v>
      </c>
      <c r="H1738" s="7" t="s">
        <v>129</v>
      </c>
      <c r="I1738" s="30">
        <v>2</v>
      </c>
      <c r="J1738" s="7" t="s">
        <v>1177</v>
      </c>
      <c r="K1738" s="7" t="s">
        <v>1178</v>
      </c>
      <c r="L1738" s="7" t="s">
        <v>132</v>
      </c>
      <c r="M1738" s="7" t="s">
        <v>133</v>
      </c>
      <c r="N1738" s="30">
        <v>0</v>
      </c>
      <c r="O1738" s="30">
        <v>0</v>
      </c>
      <c r="P1738" s="30">
        <v>0</v>
      </c>
      <c r="Q1738" s="30">
        <v>0</v>
      </c>
      <c r="R1738" s="29">
        <v>0</v>
      </c>
      <c r="S1738" s="36">
        <v>0</v>
      </c>
      <c r="T1738" s="7" t="s">
        <v>131</v>
      </c>
      <c r="U1738" s="7" t="s">
        <v>1060</v>
      </c>
      <c r="V1738" s="7" t="s">
        <v>1060</v>
      </c>
      <c r="W1738" s="7" t="s">
        <v>1177</v>
      </c>
      <c r="X1738" s="30">
        <v>1</v>
      </c>
      <c r="Y1738" s="7" t="s">
        <v>1177</v>
      </c>
      <c r="Z1738" s="7" t="s">
        <v>1178</v>
      </c>
      <c r="AA1738" s="30">
        <v>0</v>
      </c>
      <c r="AB1738" s="36">
        <v>0</v>
      </c>
      <c r="AC1738" s="7" t="s">
        <v>1177</v>
      </c>
      <c r="AD1738" s="37">
        <v>0</v>
      </c>
      <c r="AE1738" s="7" t="s">
        <v>1177</v>
      </c>
      <c r="AF1738" s="7" t="s">
        <v>1177</v>
      </c>
      <c r="AG1738" s="7" t="s">
        <v>1177</v>
      </c>
      <c r="AH1738" s="38"/>
      <c r="AI1738" s="36">
        <v>0</v>
      </c>
      <c r="AJ1738" s="7" t="s">
        <v>1193</v>
      </c>
      <c r="AK1738" s="7" t="s">
        <v>1177</v>
      </c>
      <c r="AL1738" s="7" t="s">
        <v>1177</v>
      </c>
      <c r="AM1738" s="7" t="s">
        <v>1177</v>
      </c>
      <c r="AN1738" s="7" t="s">
        <v>3212</v>
      </c>
      <c r="AO1738" s="7" t="s">
        <v>1177</v>
      </c>
      <c r="AP1738" s="7" t="s">
        <v>1177</v>
      </c>
      <c r="AQ1738" s="7" t="s">
        <v>1177</v>
      </c>
      <c r="AR1738" s="29">
        <v>0</v>
      </c>
      <c r="AS1738" s="7" t="s">
        <v>1177</v>
      </c>
      <c r="AT1738" s="7" t="s">
        <v>1363</v>
      </c>
      <c r="AU1738" s="38">
        <v>46275</v>
      </c>
      <c r="AV1738" s="39">
        <v>0.62714120370369997</v>
      </c>
    </row>
    <row r="1739" spans="1:48" x14ac:dyDescent="0.35">
      <c r="A1739" t="str">
        <f t="shared" si="27"/>
        <v>GP525863B856</v>
      </c>
      <c r="B1739" s="7" t="s">
        <v>847</v>
      </c>
      <c r="C1739" s="7" t="s">
        <v>852</v>
      </c>
      <c r="D1739" s="7" t="s">
        <v>21</v>
      </c>
      <c r="E1739" s="7" t="s">
        <v>1177</v>
      </c>
      <c r="F1739" s="7" t="s">
        <v>128</v>
      </c>
      <c r="G1739" s="7" t="s">
        <v>130</v>
      </c>
      <c r="H1739" s="7" t="s">
        <v>129</v>
      </c>
      <c r="I1739" s="30">
        <v>2</v>
      </c>
      <c r="J1739" s="7" t="s">
        <v>1177</v>
      </c>
      <c r="K1739" s="7" t="s">
        <v>1178</v>
      </c>
      <c r="L1739" s="7" t="s">
        <v>132</v>
      </c>
      <c r="M1739" s="7" t="s">
        <v>133</v>
      </c>
      <c r="N1739" s="30">
        <v>0</v>
      </c>
      <c r="O1739" s="30">
        <v>0</v>
      </c>
      <c r="P1739" s="30">
        <v>0</v>
      </c>
      <c r="Q1739" s="30">
        <v>0</v>
      </c>
      <c r="R1739" s="29">
        <v>0</v>
      </c>
      <c r="S1739" s="36">
        <v>0</v>
      </c>
      <c r="T1739" s="7" t="s">
        <v>131</v>
      </c>
      <c r="U1739" s="7" t="s">
        <v>853</v>
      </c>
      <c r="V1739" s="7" t="s">
        <v>853</v>
      </c>
      <c r="W1739" s="7" t="s">
        <v>1177</v>
      </c>
      <c r="X1739" s="30">
        <v>1</v>
      </c>
      <c r="Y1739" s="7" t="s">
        <v>1177</v>
      </c>
      <c r="Z1739" s="7" t="s">
        <v>1178</v>
      </c>
      <c r="AA1739" s="30">
        <v>0</v>
      </c>
      <c r="AB1739" s="36">
        <v>0</v>
      </c>
      <c r="AC1739" s="7" t="s">
        <v>1177</v>
      </c>
      <c r="AD1739" s="37">
        <v>0</v>
      </c>
      <c r="AE1739" s="7" t="s">
        <v>1177</v>
      </c>
      <c r="AF1739" s="7" t="s">
        <v>1177</v>
      </c>
      <c r="AG1739" s="7" t="s">
        <v>1177</v>
      </c>
      <c r="AH1739" s="38"/>
      <c r="AI1739" s="36">
        <v>0</v>
      </c>
      <c r="AJ1739" s="7" t="s">
        <v>1193</v>
      </c>
      <c r="AK1739" s="7" t="s">
        <v>1177</v>
      </c>
      <c r="AL1739" s="7" t="s">
        <v>1177</v>
      </c>
      <c r="AM1739" s="7" t="s">
        <v>1177</v>
      </c>
      <c r="AN1739" s="7" t="s">
        <v>3212</v>
      </c>
      <c r="AO1739" s="7" t="s">
        <v>1177</v>
      </c>
      <c r="AP1739" s="7" t="s">
        <v>1177</v>
      </c>
      <c r="AQ1739" s="7" t="s">
        <v>1177</v>
      </c>
      <c r="AR1739" s="29">
        <v>0</v>
      </c>
      <c r="AS1739" s="7" t="s">
        <v>1177</v>
      </c>
      <c r="AT1739" s="7" t="s">
        <v>1363</v>
      </c>
      <c r="AU1739" s="38">
        <v>46275</v>
      </c>
      <c r="AV1739" s="39">
        <v>0.62490740740741002</v>
      </c>
    </row>
    <row r="1740" spans="1:48" x14ac:dyDescent="0.35">
      <c r="A1740" t="str">
        <f t="shared" si="27"/>
        <v>GP525863B864</v>
      </c>
      <c r="B1740" s="7" t="s">
        <v>847</v>
      </c>
      <c r="C1740" s="7" t="s">
        <v>1010</v>
      </c>
      <c r="D1740" s="7" t="s">
        <v>10</v>
      </c>
      <c r="E1740" s="7" t="s">
        <v>1177</v>
      </c>
      <c r="F1740" s="7" t="s">
        <v>128</v>
      </c>
      <c r="G1740" s="7" t="s">
        <v>130</v>
      </c>
      <c r="H1740" s="7" t="s">
        <v>129</v>
      </c>
      <c r="I1740" s="30">
        <v>15</v>
      </c>
      <c r="J1740" s="7" t="s">
        <v>1177</v>
      </c>
      <c r="K1740" s="7" t="s">
        <v>1178</v>
      </c>
      <c r="L1740" s="7" t="s">
        <v>132</v>
      </c>
      <c r="M1740" s="7" t="s">
        <v>133</v>
      </c>
      <c r="N1740" s="30">
        <v>0</v>
      </c>
      <c r="O1740" s="30">
        <v>0</v>
      </c>
      <c r="P1740" s="30">
        <v>0</v>
      </c>
      <c r="Q1740" s="30">
        <v>0</v>
      </c>
      <c r="R1740" s="29">
        <v>0</v>
      </c>
      <c r="S1740" s="36">
        <v>0</v>
      </c>
      <c r="T1740" s="7" t="s">
        <v>131</v>
      </c>
      <c r="U1740" s="7" t="s">
        <v>1011</v>
      </c>
      <c r="V1740" s="7" t="s">
        <v>1011</v>
      </c>
      <c r="W1740" s="7" t="s">
        <v>1177</v>
      </c>
      <c r="X1740" s="30">
        <v>4</v>
      </c>
      <c r="Y1740" s="7" t="s">
        <v>1177</v>
      </c>
      <c r="Z1740" s="7" t="s">
        <v>1178</v>
      </c>
      <c r="AA1740" s="30">
        <v>0</v>
      </c>
      <c r="AB1740" s="36">
        <v>0</v>
      </c>
      <c r="AC1740" s="7" t="s">
        <v>1177</v>
      </c>
      <c r="AD1740" s="37">
        <v>0</v>
      </c>
      <c r="AE1740" s="7" t="s">
        <v>1177</v>
      </c>
      <c r="AF1740" s="7" t="s">
        <v>1177</v>
      </c>
      <c r="AG1740" s="7" t="s">
        <v>1177</v>
      </c>
      <c r="AH1740" s="38"/>
      <c r="AI1740" s="36">
        <v>0</v>
      </c>
      <c r="AJ1740" s="7" t="s">
        <v>1193</v>
      </c>
      <c r="AK1740" s="7" t="s">
        <v>1177</v>
      </c>
      <c r="AL1740" s="7" t="s">
        <v>1177</v>
      </c>
      <c r="AM1740" s="7" t="s">
        <v>1177</v>
      </c>
      <c r="AN1740" s="7" t="s">
        <v>3212</v>
      </c>
      <c r="AO1740" s="7" t="s">
        <v>1177</v>
      </c>
      <c r="AP1740" s="7" t="s">
        <v>1177</v>
      </c>
      <c r="AQ1740" s="7" t="s">
        <v>1177</v>
      </c>
      <c r="AR1740" s="29">
        <v>0</v>
      </c>
      <c r="AS1740" s="7" t="s">
        <v>1177</v>
      </c>
      <c r="AT1740" s="7" t="s">
        <v>1363</v>
      </c>
      <c r="AU1740" s="38">
        <v>46275</v>
      </c>
      <c r="AV1740" s="39">
        <v>0.62631944444443999</v>
      </c>
    </row>
    <row r="1741" spans="1:48" x14ac:dyDescent="0.35">
      <c r="A1741" t="str">
        <f t="shared" si="27"/>
        <v>GP525863B865</v>
      </c>
      <c r="B1741" s="7" t="s">
        <v>847</v>
      </c>
      <c r="C1741" s="7" t="s">
        <v>1039</v>
      </c>
      <c r="D1741" s="7" t="s">
        <v>7</v>
      </c>
      <c r="E1741" s="7" t="s">
        <v>1177</v>
      </c>
      <c r="F1741" s="7" t="s">
        <v>128</v>
      </c>
      <c r="G1741" s="7" t="s">
        <v>130</v>
      </c>
      <c r="H1741" s="7" t="s">
        <v>129</v>
      </c>
      <c r="I1741" s="30">
        <v>15</v>
      </c>
      <c r="J1741" s="7" t="s">
        <v>1177</v>
      </c>
      <c r="K1741" s="7" t="s">
        <v>1178</v>
      </c>
      <c r="L1741" s="7" t="s">
        <v>132</v>
      </c>
      <c r="M1741" s="7" t="s">
        <v>133</v>
      </c>
      <c r="N1741" s="30">
        <v>0</v>
      </c>
      <c r="O1741" s="30">
        <v>0</v>
      </c>
      <c r="P1741" s="30">
        <v>0</v>
      </c>
      <c r="Q1741" s="30">
        <v>0</v>
      </c>
      <c r="R1741" s="29">
        <v>0</v>
      </c>
      <c r="S1741" s="36">
        <v>0</v>
      </c>
      <c r="T1741" s="7" t="s">
        <v>131</v>
      </c>
      <c r="U1741" s="7" t="s">
        <v>1040</v>
      </c>
      <c r="V1741" s="7" t="s">
        <v>1040</v>
      </c>
      <c r="W1741" s="7" t="s">
        <v>1177</v>
      </c>
      <c r="X1741" s="30">
        <v>4</v>
      </c>
      <c r="Y1741" s="7" t="s">
        <v>1177</v>
      </c>
      <c r="Z1741" s="7" t="s">
        <v>1178</v>
      </c>
      <c r="AA1741" s="30">
        <v>0</v>
      </c>
      <c r="AB1741" s="36">
        <v>0</v>
      </c>
      <c r="AC1741" s="7" t="s">
        <v>1177</v>
      </c>
      <c r="AD1741" s="37">
        <v>0</v>
      </c>
      <c r="AE1741" s="7" t="s">
        <v>1177</v>
      </c>
      <c r="AF1741" s="7" t="s">
        <v>1177</v>
      </c>
      <c r="AG1741" s="7" t="s">
        <v>1177</v>
      </c>
      <c r="AH1741" s="38"/>
      <c r="AI1741" s="36">
        <v>0</v>
      </c>
      <c r="AJ1741" s="7" t="s">
        <v>1193</v>
      </c>
      <c r="AK1741" s="7" t="s">
        <v>1177</v>
      </c>
      <c r="AL1741" s="7" t="s">
        <v>1177</v>
      </c>
      <c r="AM1741" s="7" t="s">
        <v>1177</v>
      </c>
      <c r="AN1741" s="7" t="s">
        <v>3212</v>
      </c>
      <c r="AO1741" s="7" t="s">
        <v>1177</v>
      </c>
      <c r="AP1741" s="7" t="s">
        <v>1177</v>
      </c>
      <c r="AQ1741" s="7" t="s">
        <v>1177</v>
      </c>
      <c r="AR1741" s="29">
        <v>0</v>
      </c>
      <c r="AS1741" s="7" t="s">
        <v>1177</v>
      </c>
      <c r="AT1741" s="7" t="s">
        <v>1363</v>
      </c>
      <c r="AU1741" s="38">
        <v>46275</v>
      </c>
      <c r="AV1741" s="39">
        <v>0.62674768518518997</v>
      </c>
    </row>
    <row r="1742" spans="1:48" x14ac:dyDescent="0.35">
      <c r="A1742" t="str">
        <f t="shared" si="27"/>
        <v>GP526923B825</v>
      </c>
      <c r="B1742" s="7" t="s">
        <v>509</v>
      </c>
      <c r="C1742" s="7" t="s">
        <v>511</v>
      </c>
      <c r="D1742" s="7" t="s">
        <v>16</v>
      </c>
      <c r="E1742" s="7" t="s">
        <v>1177</v>
      </c>
      <c r="F1742" s="7" t="s">
        <v>128</v>
      </c>
      <c r="G1742" s="7" t="s">
        <v>130</v>
      </c>
      <c r="H1742" s="7" t="s">
        <v>129</v>
      </c>
      <c r="I1742" s="30">
        <v>5</v>
      </c>
      <c r="J1742" s="7" t="s">
        <v>1177</v>
      </c>
      <c r="K1742" s="7" t="s">
        <v>1178</v>
      </c>
      <c r="L1742" s="7" t="s">
        <v>132</v>
      </c>
      <c r="M1742" s="7" t="s">
        <v>133</v>
      </c>
      <c r="N1742" s="30">
        <v>0</v>
      </c>
      <c r="O1742" s="30">
        <v>0</v>
      </c>
      <c r="P1742" s="30">
        <v>0</v>
      </c>
      <c r="Q1742" s="30">
        <v>0</v>
      </c>
      <c r="R1742" s="29">
        <v>0</v>
      </c>
      <c r="S1742" s="36">
        <v>0</v>
      </c>
      <c r="T1742" s="7" t="s">
        <v>131</v>
      </c>
      <c r="U1742" s="7" t="s">
        <v>512</v>
      </c>
      <c r="V1742" s="7" t="s">
        <v>512</v>
      </c>
      <c r="W1742" s="7" t="s">
        <v>1177</v>
      </c>
      <c r="X1742" s="30">
        <v>1</v>
      </c>
      <c r="Y1742" s="7" t="s">
        <v>1177</v>
      </c>
      <c r="Z1742" s="7" t="s">
        <v>1178</v>
      </c>
      <c r="AA1742" s="30">
        <v>0</v>
      </c>
      <c r="AB1742" s="36">
        <v>0</v>
      </c>
      <c r="AC1742" s="7" t="s">
        <v>1177</v>
      </c>
      <c r="AD1742" s="37">
        <v>0</v>
      </c>
      <c r="AE1742" s="7" t="s">
        <v>1177</v>
      </c>
      <c r="AF1742" s="7" t="s">
        <v>1177</v>
      </c>
      <c r="AG1742" s="7" t="s">
        <v>1177</v>
      </c>
      <c r="AH1742" s="38"/>
      <c r="AI1742" s="36">
        <v>0</v>
      </c>
      <c r="AJ1742" s="7" t="s">
        <v>1193</v>
      </c>
      <c r="AK1742" s="7" t="s">
        <v>1177</v>
      </c>
      <c r="AL1742" s="7" t="s">
        <v>1177</v>
      </c>
      <c r="AM1742" s="7" t="s">
        <v>1177</v>
      </c>
      <c r="AN1742" s="7" t="s">
        <v>3212</v>
      </c>
      <c r="AO1742" s="7" t="s">
        <v>1177</v>
      </c>
      <c r="AP1742" s="7" t="s">
        <v>1177</v>
      </c>
      <c r="AQ1742" s="7" t="s">
        <v>1177</v>
      </c>
      <c r="AR1742" s="29">
        <v>0</v>
      </c>
      <c r="AS1742" s="7" t="s">
        <v>1177</v>
      </c>
      <c r="AT1742" s="7" t="s">
        <v>1363</v>
      </c>
      <c r="AU1742" s="38">
        <v>46275</v>
      </c>
      <c r="AV1742" s="39">
        <v>0.62305555555556003</v>
      </c>
    </row>
    <row r="1743" spans="1:48" x14ac:dyDescent="0.35">
      <c r="A1743" t="str">
        <f t="shared" si="27"/>
        <v>GP526923B832</v>
      </c>
      <c r="B1743" s="7" t="s">
        <v>509</v>
      </c>
      <c r="C1743" s="7" t="s">
        <v>653</v>
      </c>
      <c r="D1743" s="7" t="s">
        <v>19</v>
      </c>
      <c r="E1743" s="7" t="s">
        <v>1177</v>
      </c>
      <c r="F1743" s="7" t="s">
        <v>128</v>
      </c>
      <c r="G1743" s="7" t="s">
        <v>130</v>
      </c>
      <c r="H1743" s="7" t="s">
        <v>129</v>
      </c>
      <c r="I1743" s="30">
        <v>4</v>
      </c>
      <c r="J1743" s="7" t="s">
        <v>1177</v>
      </c>
      <c r="K1743" s="7" t="s">
        <v>1178</v>
      </c>
      <c r="L1743" s="7" t="s">
        <v>132</v>
      </c>
      <c r="M1743" s="7" t="s">
        <v>133</v>
      </c>
      <c r="N1743" s="30">
        <v>0</v>
      </c>
      <c r="O1743" s="30">
        <v>0</v>
      </c>
      <c r="P1743" s="30">
        <v>0</v>
      </c>
      <c r="Q1743" s="30">
        <v>0</v>
      </c>
      <c r="R1743" s="29">
        <v>0</v>
      </c>
      <c r="S1743" s="36">
        <v>0</v>
      </c>
      <c r="T1743" s="7" t="s">
        <v>131</v>
      </c>
      <c r="U1743" s="7" t="s">
        <v>654</v>
      </c>
      <c r="V1743" s="7" t="s">
        <v>654</v>
      </c>
      <c r="W1743" s="7" t="s">
        <v>1177</v>
      </c>
      <c r="X1743" s="30">
        <v>1</v>
      </c>
      <c r="Y1743" s="7" t="s">
        <v>1177</v>
      </c>
      <c r="Z1743" s="7" t="s">
        <v>1178</v>
      </c>
      <c r="AA1743" s="30">
        <v>0</v>
      </c>
      <c r="AB1743" s="36">
        <v>0</v>
      </c>
      <c r="AC1743" s="7" t="s">
        <v>1177</v>
      </c>
      <c r="AD1743" s="37">
        <v>0</v>
      </c>
      <c r="AE1743" s="7" t="s">
        <v>1177</v>
      </c>
      <c r="AF1743" s="7" t="s">
        <v>1177</v>
      </c>
      <c r="AG1743" s="7" t="s">
        <v>1177</v>
      </c>
      <c r="AH1743" s="38"/>
      <c r="AI1743" s="36">
        <v>0</v>
      </c>
      <c r="AJ1743" s="7" t="s">
        <v>1193</v>
      </c>
      <c r="AK1743" s="7" t="s">
        <v>1177</v>
      </c>
      <c r="AL1743" s="7" t="s">
        <v>1177</v>
      </c>
      <c r="AM1743" s="7" t="s">
        <v>1177</v>
      </c>
      <c r="AN1743" s="7" t="s">
        <v>3212</v>
      </c>
      <c r="AO1743" s="7" t="s">
        <v>1177</v>
      </c>
      <c r="AP1743" s="7" t="s">
        <v>1177</v>
      </c>
      <c r="AQ1743" s="7" t="s">
        <v>1177</v>
      </c>
      <c r="AR1743" s="29">
        <v>0</v>
      </c>
      <c r="AS1743" s="7" t="s">
        <v>1177</v>
      </c>
      <c r="AT1743" s="7" t="s">
        <v>1363</v>
      </c>
      <c r="AU1743" s="38">
        <v>46275</v>
      </c>
      <c r="AV1743" s="39">
        <v>0.62334490740741</v>
      </c>
    </row>
    <row r="1744" spans="1:48" x14ac:dyDescent="0.35">
      <c r="A1744" t="str">
        <f t="shared" si="27"/>
        <v>GP526923B833</v>
      </c>
      <c r="B1744" s="7" t="s">
        <v>509</v>
      </c>
      <c r="C1744" s="7" t="s">
        <v>698</v>
      </c>
      <c r="D1744" s="7" t="s">
        <v>697</v>
      </c>
      <c r="E1744" s="7" t="s">
        <v>1177</v>
      </c>
      <c r="F1744" s="7" t="s">
        <v>128</v>
      </c>
      <c r="G1744" s="7" t="s">
        <v>130</v>
      </c>
      <c r="H1744" s="7" t="s">
        <v>129</v>
      </c>
      <c r="I1744" s="30">
        <v>2</v>
      </c>
      <c r="J1744" s="7" t="s">
        <v>1177</v>
      </c>
      <c r="K1744" s="7" t="s">
        <v>1178</v>
      </c>
      <c r="L1744" s="7" t="s">
        <v>132</v>
      </c>
      <c r="M1744" s="7" t="s">
        <v>133</v>
      </c>
      <c r="N1744" s="30">
        <v>0</v>
      </c>
      <c r="O1744" s="30">
        <v>0</v>
      </c>
      <c r="P1744" s="30">
        <v>0</v>
      </c>
      <c r="Q1744" s="30">
        <v>0</v>
      </c>
      <c r="R1744" s="29">
        <v>0</v>
      </c>
      <c r="S1744" s="36">
        <v>0</v>
      </c>
      <c r="T1744" s="7" t="s">
        <v>131</v>
      </c>
      <c r="U1744" s="7" t="s">
        <v>699</v>
      </c>
      <c r="V1744" s="7" t="s">
        <v>699</v>
      </c>
      <c r="W1744" s="7" t="s">
        <v>1177</v>
      </c>
      <c r="X1744" s="30">
        <v>1</v>
      </c>
      <c r="Y1744" s="7" t="s">
        <v>1177</v>
      </c>
      <c r="Z1744" s="7" t="s">
        <v>1178</v>
      </c>
      <c r="AA1744" s="30">
        <v>0</v>
      </c>
      <c r="AB1744" s="36">
        <v>0</v>
      </c>
      <c r="AC1744" s="7" t="s">
        <v>1177</v>
      </c>
      <c r="AD1744" s="37">
        <v>0</v>
      </c>
      <c r="AE1744" s="7" t="s">
        <v>1177</v>
      </c>
      <c r="AF1744" s="7" t="s">
        <v>1177</v>
      </c>
      <c r="AG1744" s="7" t="s">
        <v>1177</v>
      </c>
      <c r="AH1744" s="38"/>
      <c r="AI1744" s="36">
        <v>0</v>
      </c>
      <c r="AJ1744" s="7" t="s">
        <v>1193</v>
      </c>
      <c r="AK1744" s="7" t="s">
        <v>1177</v>
      </c>
      <c r="AL1744" s="7" t="s">
        <v>1177</v>
      </c>
      <c r="AM1744" s="7" t="s">
        <v>1177</v>
      </c>
      <c r="AN1744" s="7" t="s">
        <v>3212</v>
      </c>
      <c r="AO1744" s="7" t="s">
        <v>1177</v>
      </c>
      <c r="AP1744" s="7" t="s">
        <v>1177</v>
      </c>
      <c r="AQ1744" s="7" t="s">
        <v>1177</v>
      </c>
      <c r="AR1744" s="29">
        <v>0</v>
      </c>
      <c r="AS1744" s="7" t="s">
        <v>1177</v>
      </c>
      <c r="AT1744" s="7" t="s">
        <v>1363</v>
      </c>
      <c r="AU1744" s="38">
        <v>46275</v>
      </c>
      <c r="AV1744" s="39">
        <v>0.62353009259258996</v>
      </c>
    </row>
    <row r="1745" spans="1:48" x14ac:dyDescent="0.35">
      <c r="A1745" t="str">
        <f t="shared" si="27"/>
        <v>GP526923B838</v>
      </c>
      <c r="B1745" s="7" t="s">
        <v>509</v>
      </c>
      <c r="C1745" s="7" t="s">
        <v>744</v>
      </c>
      <c r="D1745" s="7" t="s">
        <v>48</v>
      </c>
      <c r="E1745" s="7" t="s">
        <v>1177</v>
      </c>
      <c r="F1745" s="7" t="s">
        <v>128</v>
      </c>
      <c r="G1745" s="7" t="s">
        <v>130</v>
      </c>
      <c r="H1745" s="7" t="s">
        <v>129</v>
      </c>
      <c r="I1745" s="30">
        <v>2</v>
      </c>
      <c r="J1745" s="7" t="s">
        <v>1177</v>
      </c>
      <c r="K1745" s="7" t="s">
        <v>1178</v>
      </c>
      <c r="L1745" s="7" t="s">
        <v>132</v>
      </c>
      <c r="M1745" s="7" t="s">
        <v>133</v>
      </c>
      <c r="N1745" s="30">
        <v>0</v>
      </c>
      <c r="O1745" s="30">
        <v>0</v>
      </c>
      <c r="P1745" s="30">
        <v>0</v>
      </c>
      <c r="Q1745" s="30">
        <v>0</v>
      </c>
      <c r="R1745" s="29">
        <v>0</v>
      </c>
      <c r="S1745" s="36">
        <v>0</v>
      </c>
      <c r="T1745" s="7" t="s">
        <v>131</v>
      </c>
      <c r="U1745" s="7" t="s">
        <v>745</v>
      </c>
      <c r="V1745" s="7" t="s">
        <v>745</v>
      </c>
      <c r="W1745" s="7" t="s">
        <v>1177</v>
      </c>
      <c r="X1745" s="30">
        <v>1</v>
      </c>
      <c r="Y1745" s="7" t="s">
        <v>1177</v>
      </c>
      <c r="Z1745" s="7" t="s">
        <v>1178</v>
      </c>
      <c r="AA1745" s="30">
        <v>0</v>
      </c>
      <c r="AB1745" s="36">
        <v>0</v>
      </c>
      <c r="AC1745" s="7" t="s">
        <v>1177</v>
      </c>
      <c r="AD1745" s="37">
        <v>0</v>
      </c>
      <c r="AE1745" s="7" t="s">
        <v>1177</v>
      </c>
      <c r="AF1745" s="7" t="s">
        <v>1177</v>
      </c>
      <c r="AG1745" s="7" t="s">
        <v>1177</v>
      </c>
      <c r="AH1745" s="38"/>
      <c r="AI1745" s="36">
        <v>0</v>
      </c>
      <c r="AJ1745" s="7" t="s">
        <v>1193</v>
      </c>
      <c r="AK1745" s="7" t="s">
        <v>1177</v>
      </c>
      <c r="AL1745" s="7" t="s">
        <v>1177</v>
      </c>
      <c r="AM1745" s="7" t="s">
        <v>1177</v>
      </c>
      <c r="AN1745" s="7" t="s">
        <v>3212</v>
      </c>
      <c r="AO1745" s="7" t="s">
        <v>1177</v>
      </c>
      <c r="AP1745" s="7" t="s">
        <v>1177</v>
      </c>
      <c r="AQ1745" s="7" t="s">
        <v>1177</v>
      </c>
      <c r="AR1745" s="29">
        <v>0</v>
      </c>
      <c r="AS1745" s="7" t="s">
        <v>1177</v>
      </c>
      <c r="AT1745" s="7" t="s">
        <v>1363</v>
      </c>
      <c r="AU1745" s="38">
        <v>46275</v>
      </c>
      <c r="AV1745" s="39">
        <v>0.62398148148148003</v>
      </c>
    </row>
    <row r="1746" spans="1:48" x14ac:dyDescent="0.35">
      <c r="A1746" t="str">
        <f t="shared" si="27"/>
        <v>GP534882B856</v>
      </c>
      <c r="B1746" s="7" t="s">
        <v>848</v>
      </c>
      <c r="C1746" s="7" t="s">
        <v>852</v>
      </c>
      <c r="D1746" s="7" t="s">
        <v>21</v>
      </c>
      <c r="E1746" s="7" t="s">
        <v>1177</v>
      </c>
      <c r="F1746" s="7" t="s">
        <v>134</v>
      </c>
      <c r="G1746" s="7" t="s">
        <v>130</v>
      </c>
      <c r="H1746" s="7" t="s">
        <v>129</v>
      </c>
      <c r="I1746" s="30">
        <v>8</v>
      </c>
      <c r="J1746" s="7" t="s">
        <v>1177</v>
      </c>
      <c r="K1746" s="7" t="s">
        <v>1178</v>
      </c>
      <c r="L1746" s="7" t="s">
        <v>132</v>
      </c>
      <c r="M1746" s="7" t="s">
        <v>133</v>
      </c>
      <c r="N1746" s="30">
        <v>0</v>
      </c>
      <c r="O1746" s="30">
        <v>0</v>
      </c>
      <c r="P1746" s="30">
        <v>0</v>
      </c>
      <c r="Q1746" s="30">
        <v>0</v>
      </c>
      <c r="R1746" s="29">
        <v>0</v>
      </c>
      <c r="S1746" s="36">
        <v>0</v>
      </c>
      <c r="T1746" s="7" t="s">
        <v>131</v>
      </c>
      <c r="U1746" s="7" t="s">
        <v>853</v>
      </c>
      <c r="V1746" s="7" t="s">
        <v>853</v>
      </c>
      <c r="W1746" s="7" t="s">
        <v>1177</v>
      </c>
      <c r="X1746" s="30">
        <v>8</v>
      </c>
      <c r="Y1746" s="7" t="s">
        <v>1177</v>
      </c>
      <c r="Z1746" s="7" t="s">
        <v>1178</v>
      </c>
      <c r="AA1746" s="30">
        <v>0</v>
      </c>
      <c r="AB1746" s="36">
        <v>0</v>
      </c>
      <c r="AC1746" s="7" t="s">
        <v>1177</v>
      </c>
      <c r="AD1746" s="37">
        <v>0</v>
      </c>
      <c r="AE1746" s="7" t="s">
        <v>1177</v>
      </c>
      <c r="AF1746" s="7" t="s">
        <v>1177</v>
      </c>
      <c r="AG1746" s="7" t="s">
        <v>1177</v>
      </c>
      <c r="AH1746" s="38"/>
      <c r="AI1746" s="36">
        <v>0</v>
      </c>
      <c r="AJ1746" s="7" t="s">
        <v>1193</v>
      </c>
      <c r="AK1746" s="7" t="s">
        <v>1177</v>
      </c>
      <c r="AL1746" s="7" t="s">
        <v>1177</v>
      </c>
      <c r="AM1746" s="7" t="s">
        <v>1177</v>
      </c>
      <c r="AN1746" s="7" t="s">
        <v>3212</v>
      </c>
      <c r="AO1746" s="7" t="s">
        <v>1177</v>
      </c>
      <c r="AP1746" s="7" t="s">
        <v>1177</v>
      </c>
      <c r="AQ1746" s="7" t="s">
        <v>1177</v>
      </c>
      <c r="AR1746" s="29">
        <v>0</v>
      </c>
      <c r="AS1746" s="7" t="s">
        <v>1177</v>
      </c>
      <c r="AT1746" s="7" t="s">
        <v>1363</v>
      </c>
      <c r="AU1746" s="38">
        <v>46275</v>
      </c>
      <c r="AV1746" s="39">
        <v>0.62484953703704005</v>
      </c>
    </row>
    <row r="1747" spans="1:48" x14ac:dyDescent="0.35">
      <c r="A1747" t="str">
        <f t="shared" si="27"/>
        <v>GP534882B857</v>
      </c>
      <c r="B1747" s="7" t="s">
        <v>848</v>
      </c>
      <c r="C1747" s="7" t="s">
        <v>958</v>
      </c>
      <c r="D1747" s="7" t="s">
        <v>23</v>
      </c>
      <c r="E1747" s="7" t="s">
        <v>1177</v>
      </c>
      <c r="F1747" s="7" t="s">
        <v>134</v>
      </c>
      <c r="G1747" s="7" t="s">
        <v>130</v>
      </c>
      <c r="H1747" s="7" t="s">
        <v>129</v>
      </c>
      <c r="I1747" s="30">
        <v>8</v>
      </c>
      <c r="J1747" s="7" t="s">
        <v>1177</v>
      </c>
      <c r="K1747" s="7" t="s">
        <v>1178</v>
      </c>
      <c r="L1747" s="7" t="s">
        <v>132</v>
      </c>
      <c r="M1747" s="7" t="s">
        <v>133</v>
      </c>
      <c r="N1747" s="30">
        <v>0</v>
      </c>
      <c r="O1747" s="30">
        <v>0</v>
      </c>
      <c r="P1747" s="30">
        <v>0</v>
      </c>
      <c r="Q1747" s="30">
        <v>0</v>
      </c>
      <c r="R1747" s="29">
        <v>0</v>
      </c>
      <c r="S1747" s="36">
        <v>0</v>
      </c>
      <c r="T1747" s="7" t="s">
        <v>131</v>
      </c>
      <c r="U1747" s="7" t="s">
        <v>959</v>
      </c>
      <c r="V1747" s="7" t="s">
        <v>959</v>
      </c>
      <c r="W1747" s="7" t="s">
        <v>1177</v>
      </c>
      <c r="X1747" s="30">
        <v>8</v>
      </c>
      <c r="Y1747" s="7" t="s">
        <v>1177</v>
      </c>
      <c r="Z1747" s="7" t="s">
        <v>1178</v>
      </c>
      <c r="AA1747" s="30">
        <v>0</v>
      </c>
      <c r="AB1747" s="36">
        <v>0</v>
      </c>
      <c r="AC1747" s="7" t="s">
        <v>1177</v>
      </c>
      <c r="AD1747" s="37">
        <v>0</v>
      </c>
      <c r="AE1747" s="7" t="s">
        <v>1177</v>
      </c>
      <c r="AF1747" s="7" t="s">
        <v>1177</v>
      </c>
      <c r="AG1747" s="7" t="s">
        <v>1177</v>
      </c>
      <c r="AH1747" s="38"/>
      <c r="AI1747" s="36">
        <v>0</v>
      </c>
      <c r="AJ1747" s="7" t="s">
        <v>1193</v>
      </c>
      <c r="AK1747" s="7" t="s">
        <v>1177</v>
      </c>
      <c r="AL1747" s="7" t="s">
        <v>1177</v>
      </c>
      <c r="AM1747" s="7" t="s">
        <v>1177</v>
      </c>
      <c r="AN1747" s="7" t="s">
        <v>3212</v>
      </c>
      <c r="AO1747" s="7" t="s">
        <v>1177</v>
      </c>
      <c r="AP1747" s="7" t="s">
        <v>1177</v>
      </c>
      <c r="AQ1747" s="7" t="s">
        <v>1177</v>
      </c>
      <c r="AR1747" s="29">
        <v>0</v>
      </c>
      <c r="AS1747" s="7" t="s">
        <v>1177</v>
      </c>
      <c r="AT1747" s="7" t="s">
        <v>1363</v>
      </c>
      <c r="AU1747" s="38">
        <v>46275</v>
      </c>
      <c r="AV1747" s="39">
        <v>0.62506944444444001</v>
      </c>
    </row>
    <row r="1748" spans="1:48" x14ac:dyDescent="0.35">
      <c r="A1748" t="str">
        <f t="shared" si="27"/>
        <v>GP534882B864</v>
      </c>
      <c r="B1748" s="7" t="s">
        <v>848</v>
      </c>
      <c r="C1748" s="7" t="s">
        <v>1010</v>
      </c>
      <c r="D1748" s="7" t="s">
        <v>10</v>
      </c>
      <c r="E1748" s="7" t="s">
        <v>1177</v>
      </c>
      <c r="F1748" s="7" t="s">
        <v>134</v>
      </c>
      <c r="G1748" s="7" t="s">
        <v>130</v>
      </c>
      <c r="H1748" s="7" t="s">
        <v>129</v>
      </c>
      <c r="I1748" s="30">
        <v>40</v>
      </c>
      <c r="J1748" s="7" t="s">
        <v>1177</v>
      </c>
      <c r="K1748" s="7" t="s">
        <v>1178</v>
      </c>
      <c r="L1748" s="7" t="s">
        <v>132</v>
      </c>
      <c r="M1748" s="7" t="s">
        <v>133</v>
      </c>
      <c r="N1748" s="30">
        <v>0</v>
      </c>
      <c r="O1748" s="30">
        <v>0</v>
      </c>
      <c r="P1748" s="30">
        <v>0</v>
      </c>
      <c r="Q1748" s="30">
        <v>0</v>
      </c>
      <c r="R1748" s="29">
        <v>0</v>
      </c>
      <c r="S1748" s="36">
        <v>0</v>
      </c>
      <c r="T1748" s="7" t="s">
        <v>131</v>
      </c>
      <c r="U1748" s="7" t="s">
        <v>1011</v>
      </c>
      <c r="V1748" s="7" t="s">
        <v>1011</v>
      </c>
      <c r="W1748" s="7" t="s">
        <v>1177</v>
      </c>
      <c r="X1748" s="30">
        <v>40</v>
      </c>
      <c r="Y1748" s="7" t="s">
        <v>1177</v>
      </c>
      <c r="Z1748" s="7" t="s">
        <v>1178</v>
      </c>
      <c r="AA1748" s="30">
        <v>0</v>
      </c>
      <c r="AB1748" s="36">
        <v>0</v>
      </c>
      <c r="AC1748" s="7" t="s">
        <v>1177</v>
      </c>
      <c r="AD1748" s="37">
        <v>0</v>
      </c>
      <c r="AE1748" s="7" t="s">
        <v>1177</v>
      </c>
      <c r="AF1748" s="7" t="s">
        <v>1177</v>
      </c>
      <c r="AG1748" s="7" t="s">
        <v>1177</v>
      </c>
      <c r="AH1748" s="38"/>
      <c r="AI1748" s="36">
        <v>0</v>
      </c>
      <c r="AJ1748" s="7" t="s">
        <v>1193</v>
      </c>
      <c r="AK1748" s="7" t="s">
        <v>1177</v>
      </c>
      <c r="AL1748" s="7" t="s">
        <v>1177</v>
      </c>
      <c r="AM1748" s="7" t="s">
        <v>1177</v>
      </c>
      <c r="AN1748" s="7" t="s">
        <v>3212</v>
      </c>
      <c r="AO1748" s="7" t="s">
        <v>1177</v>
      </c>
      <c r="AP1748" s="7" t="s">
        <v>1177</v>
      </c>
      <c r="AQ1748" s="7" t="s">
        <v>1177</v>
      </c>
      <c r="AR1748" s="29">
        <v>0</v>
      </c>
      <c r="AS1748" s="7" t="s">
        <v>1177</v>
      </c>
      <c r="AT1748" s="7" t="s">
        <v>1363</v>
      </c>
      <c r="AU1748" s="38">
        <v>46275</v>
      </c>
      <c r="AV1748" s="39">
        <v>0.62653935185184995</v>
      </c>
    </row>
    <row r="1749" spans="1:48" x14ac:dyDescent="0.35">
      <c r="A1749" t="str">
        <f t="shared" si="27"/>
        <v>GP534882B865</v>
      </c>
      <c r="B1749" s="7" t="s">
        <v>848</v>
      </c>
      <c r="C1749" s="7" t="s">
        <v>1039</v>
      </c>
      <c r="D1749" s="7" t="s">
        <v>7</v>
      </c>
      <c r="E1749" s="7" t="s">
        <v>1177</v>
      </c>
      <c r="F1749" s="7" t="s">
        <v>134</v>
      </c>
      <c r="G1749" s="7" t="s">
        <v>130</v>
      </c>
      <c r="H1749" s="7" t="s">
        <v>129</v>
      </c>
      <c r="I1749" s="30">
        <v>40</v>
      </c>
      <c r="J1749" s="7" t="s">
        <v>1177</v>
      </c>
      <c r="K1749" s="7" t="s">
        <v>1178</v>
      </c>
      <c r="L1749" s="7" t="s">
        <v>132</v>
      </c>
      <c r="M1749" s="7" t="s">
        <v>133</v>
      </c>
      <c r="N1749" s="30">
        <v>0</v>
      </c>
      <c r="O1749" s="30">
        <v>0</v>
      </c>
      <c r="P1749" s="30">
        <v>0</v>
      </c>
      <c r="Q1749" s="30">
        <v>0</v>
      </c>
      <c r="R1749" s="29">
        <v>0</v>
      </c>
      <c r="S1749" s="36">
        <v>0</v>
      </c>
      <c r="T1749" s="7" t="s">
        <v>131</v>
      </c>
      <c r="U1749" s="7" t="s">
        <v>1040</v>
      </c>
      <c r="V1749" s="7" t="s">
        <v>1040</v>
      </c>
      <c r="W1749" s="7" t="s">
        <v>1177</v>
      </c>
      <c r="X1749" s="30">
        <v>40</v>
      </c>
      <c r="Y1749" s="7" t="s">
        <v>1177</v>
      </c>
      <c r="Z1749" s="7" t="s">
        <v>1178</v>
      </c>
      <c r="AA1749" s="30">
        <v>0</v>
      </c>
      <c r="AB1749" s="36">
        <v>0</v>
      </c>
      <c r="AC1749" s="7" t="s">
        <v>1177</v>
      </c>
      <c r="AD1749" s="37">
        <v>0</v>
      </c>
      <c r="AE1749" s="7" t="s">
        <v>1177</v>
      </c>
      <c r="AF1749" s="7" t="s">
        <v>1177</v>
      </c>
      <c r="AG1749" s="7" t="s">
        <v>1177</v>
      </c>
      <c r="AH1749" s="38"/>
      <c r="AI1749" s="36">
        <v>0</v>
      </c>
      <c r="AJ1749" s="7" t="s">
        <v>1193</v>
      </c>
      <c r="AK1749" s="7" t="s">
        <v>1177</v>
      </c>
      <c r="AL1749" s="7" t="s">
        <v>1177</v>
      </c>
      <c r="AM1749" s="7" t="s">
        <v>1177</v>
      </c>
      <c r="AN1749" s="7" t="s">
        <v>3212</v>
      </c>
      <c r="AO1749" s="7" t="s">
        <v>1177</v>
      </c>
      <c r="AP1749" s="7" t="s">
        <v>1177</v>
      </c>
      <c r="AQ1749" s="7" t="s">
        <v>1177</v>
      </c>
      <c r="AR1749" s="29">
        <v>0</v>
      </c>
      <c r="AS1749" s="7" t="s">
        <v>1177</v>
      </c>
      <c r="AT1749" s="7" t="s">
        <v>1363</v>
      </c>
      <c r="AU1749" s="38">
        <v>46275</v>
      </c>
      <c r="AV1749" s="39">
        <v>0.62665509259259</v>
      </c>
    </row>
    <row r="1750" spans="1:48" x14ac:dyDescent="0.35">
      <c r="A1750" t="str">
        <f t="shared" si="27"/>
        <v>GP534882B867</v>
      </c>
      <c r="B1750" s="7" t="s">
        <v>848</v>
      </c>
      <c r="C1750" s="7" t="s">
        <v>1059</v>
      </c>
      <c r="D1750" s="7" t="s">
        <v>25</v>
      </c>
      <c r="E1750" s="7" t="s">
        <v>1177</v>
      </c>
      <c r="F1750" s="7" t="s">
        <v>134</v>
      </c>
      <c r="G1750" s="7" t="s">
        <v>130</v>
      </c>
      <c r="H1750" s="7" t="s">
        <v>129</v>
      </c>
      <c r="I1750" s="30">
        <v>6</v>
      </c>
      <c r="J1750" s="7" t="s">
        <v>1177</v>
      </c>
      <c r="K1750" s="7" t="s">
        <v>1178</v>
      </c>
      <c r="L1750" s="7" t="s">
        <v>132</v>
      </c>
      <c r="M1750" s="7" t="s">
        <v>133</v>
      </c>
      <c r="N1750" s="30">
        <v>0</v>
      </c>
      <c r="O1750" s="30">
        <v>0</v>
      </c>
      <c r="P1750" s="30">
        <v>0</v>
      </c>
      <c r="Q1750" s="30">
        <v>0</v>
      </c>
      <c r="R1750" s="29">
        <v>0</v>
      </c>
      <c r="S1750" s="36">
        <v>0</v>
      </c>
      <c r="T1750" s="7" t="s">
        <v>131</v>
      </c>
      <c r="U1750" s="7" t="s">
        <v>1060</v>
      </c>
      <c r="V1750" s="7" t="s">
        <v>1060</v>
      </c>
      <c r="W1750" s="7" t="s">
        <v>1177</v>
      </c>
      <c r="X1750" s="30">
        <v>6</v>
      </c>
      <c r="Y1750" s="7" t="s">
        <v>1177</v>
      </c>
      <c r="Z1750" s="7" t="s">
        <v>1178</v>
      </c>
      <c r="AA1750" s="30">
        <v>0</v>
      </c>
      <c r="AB1750" s="36">
        <v>0</v>
      </c>
      <c r="AC1750" s="7" t="s">
        <v>1177</v>
      </c>
      <c r="AD1750" s="37">
        <v>0</v>
      </c>
      <c r="AE1750" s="7" t="s">
        <v>1177</v>
      </c>
      <c r="AF1750" s="7" t="s">
        <v>1177</v>
      </c>
      <c r="AG1750" s="7" t="s">
        <v>1177</v>
      </c>
      <c r="AH1750" s="38"/>
      <c r="AI1750" s="36">
        <v>0</v>
      </c>
      <c r="AJ1750" s="7" t="s">
        <v>1193</v>
      </c>
      <c r="AK1750" s="7" t="s">
        <v>1177</v>
      </c>
      <c r="AL1750" s="7" t="s">
        <v>1177</v>
      </c>
      <c r="AM1750" s="7" t="s">
        <v>1177</v>
      </c>
      <c r="AN1750" s="7" t="s">
        <v>3212</v>
      </c>
      <c r="AO1750" s="7" t="s">
        <v>1177</v>
      </c>
      <c r="AP1750" s="7" t="s">
        <v>1177</v>
      </c>
      <c r="AQ1750" s="7" t="s">
        <v>1177</v>
      </c>
      <c r="AR1750" s="29">
        <v>0</v>
      </c>
      <c r="AS1750" s="7" t="s">
        <v>1177</v>
      </c>
      <c r="AT1750" s="7" t="s">
        <v>1363</v>
      </c>
      <c r="AU1750" s="38">
        <v>46275</v>
      </c>
      <c r="AV1750" s="39">
        <v>0.62730324074073995</v>
      </c>
    </row>
    <row r="1751" spans="1:48" x14ac:dyDescent="0.35">
      <c r="A1751" t="str">
        <f t="shared" si="27"/>
        <v>GP535198B856</v>
      </c>
      <c r="B1751" s="7" t="s">
        <v>952</v>
      </c>
      <c r="C1751" s="7" t="s">
        <v>852</v>
      </c>
      <c r="D1751" s="7" t="s">
        <v>21</v>
      </c>
      <c r="E1751" s="7" t="s">
        <v>1177</v>
      </c>
      <c r="F1751" s="7" t="s">
        <v>128</v>
      </c>
      <c r="G1751" s="7" t="s">
        <v>130</v>
      </c>
      <c r="H1751" s="7" t="s">
        <v>129</v>
      </c>
      <c r="I1751" s="30">
        <v>3</v>
      </c>
      <c r="J1751" s="7" t="s">
        <v>1177</v>
      </c>
      <c r="K1751" s="7" t="s">
        <v>1178</v>
      </c>
      <c r="L1751" s="7" t="s">
        <v>132</v>
      </c>
      <c r="M1751" s="7" t="s">
        <v>133</v>
      </c>
      <c r="N1751" s="30">
        <v>0</v>
      </c>
      <c r="O1751" s="30">
        <v>0</v>
      </c>
      <c r="P1751" s="30">
        <v>0</v>
      </c>
      <c r="Q1751" s="30">
        <v>0</v>
      </c>
      <c r="R1751" s="29">
        <v>0</v>
      </c>
      <c r="S1751" s="36">
        <v>0</v>
      </c>
      <c r="T1751" s="7" t="s">
        <v>131</v>
      </c>
      <c r="U1751" s="7" t="s">
        <v>853</v>
      </c>
      <c r="V1751" s="7" t="s">
        <v>853</v>
      </c>
      <c r="W1751" s="7" t="s">
        <v>1177</v>
      </c>
      <c r="X1751" s="30">
        <v>1</v>
      </c>
      <c r="Y1751" s="7" t="s">
        <v>1177</v>
      </c>
      <c r="Z1751" s="7" t="s">
        <v>1178</v>
      </c>
      <c r="AA1751" s="30">
        <v>0</v>
      </c>
      <c r="AB1751" s="36">
        <v>0</v>
      </c>
      <c r="AC1751" s="7" t="s">
        <v>1177</v>
      </c>
      <c r="AD1751" s="37">
        <v>0</v>
      </c>
      <c r="AE1751" s="7" t="s">
        <v>1177</v>
      </c>
      <c r="AF1751" s="7" t="s">
        <v>1177</v>
      </c>
      <c r="AG1751" s="7" t="s">
        <v>1177</v>
      </c>
      <c r="AH1751" s="38"/>
      <c r="AI1751" s="36">
        <v>0</v>
      </c>
      <c r="AJ1751" s="7" t="s">
        <v>1193</v>
      </c>
      <c r="AK1751" s="7" t="s">
        <v>1177</v>
      </c>
      <c r="AL1751" s="7" t="s">
        <v>1177</v>
      </c>
      <c r="AM1751" s="7" t="s">
        <v>1177</v>
      </c>
      <c r="AN1751" s="7" t="s">
        <v>3212</v>
      </c>
      <c r="AO1751" s="7" t="s">
        <v>1177</v>
      </c>
      <c r="AP1751" s="7" t="s">
        <v>1177</v>
      </c>
      <c r="AQ1751" s="7" t="s">
        <v>1177</v>
      </c>
      <c r="AR1751" s="29">
        <v>0</v>
      </c>
      <c r="AS1751" s="7" t="s">
        <v>1177</v>
      </c>
      <c r="AT1751" s="7" t="s">
        <v>1363</v>
      </c>
      <c r="AU1751" s="38">
        <v>46275</v>
      </c>
      <c r="AV1751" s="39">
        <v>0.62489583333332999</v>
      </c>
    </row>
    <row r="1752" spans="1:48" x14ac:dyDescent="0.35">
      <c r="A1752" t="str">
        <f t="shared" si="27"/>
        <v>GP547582B832</v>
      </c>
      <c r="B1752" s="7" t="s">
        <v>695</v>
      </c>
      <c r="C1752" s="7" t="s">
        <v>653</v>
      </c>
      <c r="D1752" s="7" t="s">
        <v>19</v>
      </c>
      <c r="E1752" s="7" t="s">
        <v>1177</v>
      </c>
      <c r="F1752" s="7" t="s">
        <v>128</v>
      </c>
      <c r="G1752" s="7" t="s">
        <v>130</v>
      </c>
      <c r="H1752" s="7" t="s">
        <v>129</v>
      </c>
      <c r="I1752" s="30">
        <v>3</v>
      </c>
      <c r="J1752" s="7" t="s">
        <v>1177</v>
      </c>
      <c r="K1752" s="7" t="s">
        <v>1178</v>
      </c>
      <c r="L1752" s="7" t="s">
        <v>132</v>
      </c>
      <c r="M1752" s="7" t="s">
        <v>133</v>
      </c>
      <c r="N1752" s="30">
        <v>0</v>
      </c>
      <c r="O1752" s="30">
        <v>0</v>
      </c>
      <c r="P1752" s="30">
        <v>0</v>
      </c>
      <c r="Q1752" s="30">
        <v>0</v>
      </c>
      <c r="R1752" s="29">
        <v>0</v>
      </c>
      <c r="S1752" s="36">
        <v>0</v>
      </c>
      <c r="T1752" s="7" t="s">
        <v>131</v>
      </c>
      <c r="U1752" s="7" t="s">
        <v>654</v>
      </c>
      <c r="V1752" s="7" t="s">
        <v>654</v>
      </c>
      <c r="W1752" s="7" t="s">
        <v>1177</v>
      </c>
      <c r="X1752" s="30">
        <v>1</v>
      </c>
      <c r="Y1752" s="7" t="s">
        <v>1177</v>
      </c>
      <c r="Z1752" s="7" t="s">
        <v>1178</v>
      </c>
      <c r="AA1752" s="30">
        <v>0</v>
      </c>
      <c r="AB1752" s="36">
        <v>0</v>
      </c>
      <c r="AC1752" s="7" t="s">
        <v>1177</v>
      </c>
      <c r="AD1752" s="37">
        <v>0</v>
      </c>
      <c r="AE1752" s="7" t="s">
        <v>1177</v>
      </c>
      <c r="AF1752" s="7" t="s">
        <v>1177</v>
      </c>
      <c r="AG1752" s="7" t="s">
        <v>1177</v>
      </c>
      <c r="AH1752" s="38"/>
      <c r="AI1752" s="36">
        <v>0</v>
      </c>
      <c r="AJ1752" s="7" t="s">
        <v>1193</v>
      </c>
      <c r="AK1752" s="7" t="s">
        <v>1177</v>
      </c>
      <c r="AL1752" s="7" t="s">
        <v>1177</v>
      </c>
      <c r="AM1752" s="7" t="s">
        <v>1177</v>
      </c>
      <c r="AN1752" s="7" t="s">
        <v>3212</v>
      </c>
      <c r="AO1752" s="7" t="s">
        <v>1177</v>
      </c>
      <c r="AP1752" s="7" t="s">
        <v>1177</v>
      </c>
      <c r="AQ1752" s="7" t="s">
        <v>1177</v>
      </c>
      <c r="AR1752" s="29">
        <v>0</v>
      </c>
      <c r="AS1752" s="7" t="s">
        <v>1177</v>
      </c>
      <c r="AT1752" s="7" t="s">
        <v>1363</v>
      </c>
      <c r="AU1752" s="38">
        <v>46275</v>
      </c>
      <c r="AV1752" s="39">
        <v>0.62335648148148004</v>
      </c>
    </row>
    <row r="1753" spans="1:48" x14ac:dyDescent="0.35">
      <c r="A1753" t="str">
        <f t="shared" si="27"/>
        <v>GP547582B833</v>
      </c>
      <c r="B1753" s="7" t="s">
        <v>695</v>
      </c>
      <c r="C1753" s="7" t="s">
        <v>698</v>
      </c>
      <c r="D1753" s="7" t="s">
        <v>697</v>
      </c>
      <c r="E1753" s="7" t="s">
        <v>1177</v>
      </c>
      <c r="F1753" s="7" t="s">
        <v>128</v>
      </c>
      <c r="G1753" s="7" t="s">
        <v>130</v>
      </c>
      <c r="H1753" s="7" t="s">
        <v>129</v>
      </c>
      <c r="I1753" s="30">
        <v>3</v>
      </c>
      <c r="J1753" s="7" t="s">
        <v>1177</v>
      </c>
      <c r="K1753" s="7" t="s">
        <v>1178</v>
      </c>
      <c r="L1753" s="7" t="s">
        <v>132</v>
      </c>
      <c r="M1753" s="7" t="s">
        <v>133</v>
      </c>
      <c r="N1753" s="30">
        <v>0</v>
      </c>
      <c r="O1753" s="30">
        <v>0</v>
      </c>
      <c r="P1753" s="30">
        <v>0</v>
      </c>
      <c r="Q1753" s="30">
        <v>0</v>
      </c>
      <c r="R1753" s="29">
        <v>0</v>
      </c>
      <c r="S1753" s="36">
        <v>0</v>
      </c>
      <c r="T1753" s="7" t="s">
        <v>131</v>
      </c>
      <c r="U1753" s="7" t="s">
        <v>699</v>
      </c>
      <c r="V1753" s="7" t="s">
        <v>699</v>
      </c>
      <c r="W1753" s="7" t="s">
        <v>1177</v>
      </c>
      <c r="X1753" s="30">
        <v>1</v>
      </c>
      <c r="Y1753" s="7" t="s">
        <v>1177</v>
      </c>
      <c r="Z1753" s="7" t="s">
        <v>1178</v>
      </c>
      <c r="AA1753" s="30">
        <v>0</v>
      </c>
      <c r="AB1753" s="36">
        <v>0</v>
      </c>
      <c r="AC1753" s="7" t="s">
        <v>1177</v>
      </c>
      <c r="AD1753" s="37">
        <v>0</v>
      </c>
      <c r="AE1753" s="7" t="s">
        <v>1177</v>
      </c>
      <c r="AF1753" s="7" t="s">
        <v>1177</v>
      </c>
      <c r="AG1753" s="7" t="s">
        <v>1177</v>
      </c>
      <c r="AH1753" s="38"/>
      <c r="AI1753" s="36">
        <v>0</v>
      </c>
      <c r="AJ1753" s="7" t="s">
        <v>1193</v>
      </c>
      <c r="AK1753" s="7" t="s">
        <v>1177</v>
      </c>
      <c r="AL1753" s="7" t="s">
        <v>1177</v>
      </c>
      <c r="AM1753" s="7" t="s">
        <v>1177</v>
      </c>
      <c r="AN1753" s="7" t="s">
        <v>3212</v>
      </c>
      <c r="AO1753" s="7" t="s">
        <v>1177</v>
      </c>
      <c r="AP1753" s="7" t="s">
        <v>1177</v>
      </c>
      <c r="AQ1753" s="7" t="s">
        <v>1177</v>
      </c>
      <c r="AR1753" s="29">
        <v>0</v>
      </c>
      <c r="AS1753" s="7" t="s">
        <v>1177</v>
      </c>
      <c r="AT1753" s="7" t="s">
        <v>1363</v>
      </c>
      <c r="AU1753" s="38">
        <v>46275</v>
      </c>
      <c r="AV1753" s="39">
        <v>0.62353009259258996</v>
      </c>
    </row>
    <row r="1754" spans="1:48" x14ac:dyDescent="0.35">
      <c r="A1754" t="str">
        <f t="shared" si="27"/>
        <v>GP553632B856</v>
      </c>
      <c r="B1754" s="7" t="s">
        <v>953</v>
      </c>
      <c r="C1754" s="7" t="s">
        <v>852</v>
      </c>
      <c r="D1754" s="7" t="s">
        <v>21</v>
      </c>
      <c r="E1754" s="7" t="s">
        <v>1177</v>
      </c>
      <c r="F1754" s="7" t="s">
        <v>128</v>
      </c>
      <c r="G1754" s="7" t="s">
        <v>130</v>
      </c>
      <c r="H1754" s="7" t="s">
        <v>129</v>
      </c>
      <c r="I1754" s="30">
        <v>2</v>
      </c>
      <c r="J1754" s="7" t="s">
        <v>1177</v>
      </c>
      <c r="K1754" s="7" t="s">
        <v>1178</v>
      </c>
      <c r="L1754" s="7" t="s">
        <v>132</v>
      </c>
      <c r="M1754" s="7" t="s">
        <v>133</v>
      </c>
      <c r="N1754" s="30">
        <v>0</v>
      </c>
      <c r="O1754" s="30">
        <v>0</v>
      </c>
      <c r="P1754" s="30">
        <v>0</v>
      </c>
      <c r="Q1754" s="30">
        <v>0</v>
      </c>
      <c r="R1754" s="29">
        <v>0</v>
      </c>
      <c r="S1754" s="36">
        <v>0</v>
      </c>
      <c r="T1754" s="7" t="s">
        <v>131</v>
      </c>
      <c r="U1754" s="7" t="s">
        <v>853</v>
      </c>
      <c r="V1754" s="7" t="s">
        <v>853</v>
      </c>
      <c r="W1754" s="7" t="s">
        <v>1177</v>
      </c>
      <c r="X1754" s="30">
        <v>1</v>
      </c>
      <c r="Y1754" s="7" t="s">
        <v>1177</v>
      </c>
      <c r="Z1754" s="7" t="s">
        <v>1178</v>
      </c>
      <c r="AA1754" s="30">
        <v>0</v>
      </c>
      <c r="AB1754" s="36">
        <v>0</v>
      </c>
      <c r="AC1754" s="7" t="s">
        <v>1177</v>
      </c>
      <c r="AD1754" s="37">
        <v>0</v>
      </c>
      <c r="AE1754" s="7" t="s">
        <v>1177</v>
      </c>
      <c r="AF1754" s="7" t="s">
        <v>1177</v>
      </c>
      <c r="AG1754" s="7" t="s">
        <v>1177</v>
      </c>
      <c r="AH1754" s="38"/>
      <c r="AI1754" s="36">
        <v>0</v>
      </c>
      <c r="AJ1754" s="7" t="s">
        <v>1193</v>
      </c>
      <c r="AK1754" s="7" t="s">
        <v>1177</v>
      </c>
      <c r="AL1754" s="7" t="s">
        <v>1177</v>
      </c>
      <c r="AM1754" s="7" t="s">
        <v>1177</v>
      </c>
      <c r="AN1754" s="7" t="s">
        <v>3212</v>
      </c>
      <c r="AO1754" s="7" t="s">
        <v>1177</v>
      </c>
      <c r="AP1754" s="7" t="s">
        <v>1177</v>
      </c>
      <c r="AQ1754" s="7" t="s">
        <v>1177</v>
      </c>
      <c r="AR1754" s="29">
        <v>0</v>
      </c>
      <c r="AS1754" s="7" t="s">
        <v>1177</v>
      </c>
      <c r="AT1754" s="7" t="s">
        <v>1363</v>
      </c>
      <c r="AU1754" s="38">
        <v>46275</v>
      </c>
      <c r="AV1754" s="39">
        <v>0.62489583333332999</v>
      </c>
    </row>
    <row r="1755" spans="1:48" x14ac:dyDescent="0.35">
      <c r="A1755" t="str">
        <f t="shared" si="27"/>
        <v>GP555480B857</v>
      </c>
      <c r="B1755" s="7" t="s">
        <v>1002</v>
      </c>
      <c r="C1755" s="7" t="s">
        <v>958</v>
      </c>
      <c r="D1755" s="7" t="s">
        <v>23</v>
      </c>
      <c r="E1755" s="7" t="s">
        <v>1177</v>
      </c>
      <c r="F1755" s="7" t="s">
        <v>128</v>
      </c>
      <c r="G1755" s="7" t="s">
        <v>130</v>
      </c>
      <c r="H1755" s="7" t="s">
        <v>129</v>
      </c>
      <c r="I1755" s="30">
        <v>2</v>
      </c>
      <c r="J1755" s="7" t="s">
        <v>1177</v>
      </c>
      <c r="K1755" s="7" t="s">
        <v>1178</v>
      </c>
      <c r="L1755" s="7" t="s">
        <v>132</v>
      </c>
      <c r="M1755" s="7" t="s">
        <v>133</v>
      </c>
      <c r="N1755" s="30">
        <v>0</v>
      </c>
      <c r="O1755" s="30">
        <v>0</v>
      </c>
      <c r="P1755" s="30">
        <v>0</v>
      </c>
      <c r="Q1755" s="30">
        <v>0</v>
      </c>
      <c r="R1755" s="29">
        <v>0</v>
      </c>
      <c r="S1755" s="36">
        <v>0</v>
      </c>
      <c r="T1755" s="7" t="s">
        <v>131</v>
      </c>
      <c r="U1755" s="7" t="s">
        <v>959</v>
      </c>
      <c r="V1755" s="7" t="s">
        <v>959</v>
      </c>
      <c r="W1755" s="7" t="s">
        <v>1177</v>
      </c>
      <c r="X1755" s="30">
        <v>1</v>
      </c>
      <c r="Y1755" s="7" t="s">
        <v>1177</v>
      </c>
      <c r="Z1755" s="7" t="s">
        <v>1178</v>
      </c>
      <c r="AA1755" s="30">
        <v>0</v>
      </c>
      <c r="AB1755" s="36">
        <v>0</v>
      </c>
      <c r="AC1755" s="7" t="s">
        <v>1177</v>
      </c>
      <c r="AD1755" s="37">
        <v>0</v>
      </c>
      <c r="AE1755" s="7" t="s">
        <v>1177</v>
      </c>
      <c r="AF1755" s="7" t="s">
        <v>1177</v>
      </c>
      <c r="AG1755" s="7" t="s">
        <v>1177</v>
      </c>
      <c r="AH1755" s="38"/>
      <c r="AI1755" s="36">
        <v>0</v>
      </c>
      <c r="AJ1755" s="7" t="s">
        <v>1193</v>
      </c>
      <c r="AK1755" s="7" t="s">
        <v>1177</v>
      </c>
      <c r="AL1755" s="7" t="s">
        <v>1177</v>
      </c>
      <c r="AM1755" s="7" t="s">
        <v>1177</v>
      </c>
      <c r="AN1755" s="7" t="s">
        <v>3212</v>
      </c>
      <c r="AO1755" s="7" t="s">
        <v>1177</v>
      </c>
      <c r="AP1755" s="7" t="s">
        <v>1177</v>
      </c>
      <c r="AQ1755" s="7" t="s">
        <v>1177</v>
      </c>
      <c r="AR1755" s="29">
        <v>0</v>
      </c>
      <c r="AS1755" s="7" t="s">
        <v>1177</v>
      </c>
      <c r="AT1755" s="7" t="s">
        <v>1363</v>
      </c>
      <c r="AU1755" s="38">
        <v>46275</v>
      </c>
      <c r="AV1755" s="39">
        <v>0.62511574074073994</v>
      </c>
    </row>
    <row r="1756" spans="1:48" x14ac:dyDescent="0.35">
      <c r="A1756" t="str">
        <f t="shared" si="27"/>
        <v>GP555480B867</v>
      </c>
      <c r="B1756" s="7" t="s">
        <v>1002</v>
      </c>
      <c r="C1756" s="7" t="s">
        <v>1059</v>
      </c>
      <c r="D1756" s="7" t="s">
        <v>25</v>
      </c>
      <c r="E1756" s="7" t="s">
        <v>1177</v>
      </c>
      <c r="F1756" s="7" t="s">
        <v>128</v>
      </c>
      <c r="G1756" s="7" t="s">
        <v>130</v>
      </c>
      <c r="H1756" s="7" t="s">
        <v>129</v>
      </c>
      <c r="I1756" s="30">
        <v>2</v>
      </c>
      <c r="J1756" s="7" t="s">
        <v>1177</v>
      </c>
      <c r="K1756" s="7" t="s">
        <v>1178</v>
      </c>
      <c r="L1756" s="7" t="s">
        <v>132</v>
      </c>
      <c r="M1756" s="7" t="s">
        <v>133</v>
      </c>
      <c r="N1756" s="30">
        <v>0</v>
      </c>
      <c r="O1756" s="30">
        <v>0</v>
      </c>
      <c r="P1756" s="30">
        <v>0</v>
      </c>
      <c r="Q1756" s="30">
        <v>0</v>
      </c>
      <c r="R1756" s="29">
        <v>0</v>
      </c>
      <c r="S1756" s="36">
        <v>0</v>
      </c>
      <c r="T1756" s="7" t="s">
        <v>131</v>
      </c>
      <c r="U1756" s="7" t="s">
        <v>1060</v>
      </c>
      <c r="V1756" s="7" t="s">
        <v>1060</v>
      </c>
      <c r="W1756" s="7" t="s">
        <v>1177</v>
      </c>
      <c r="X1756" s="30">
        <v>1</v>
      </c>
      <c r="Y1756" s="7" t="s">
        <v>1177</v>
      </c>
      <c r="Z1756" s="7" t="s">
        <v>1178</v>
      </c>
      <c r="AA1756" s="30">
        <v>0</v>
      </c>
      <c r="AB1756" s="36">
        <v>0</v>
      </c>
      <c r="AC1756" s="7" t="s">
        <v>1177</v>
      </c>
      <c r="AD1756" s="37">
        <v>0</v>
      </c>
      <c r="AE1756" s="7" t="s">
        <v>1177</v>
      </c>
      <c r="AF1756" s="7" t="s">
        <v>1177</v>
      </c>
      <c r="AG1756" s="7" t="s">
        <v>1177</v>
      </c>
      <c r="AH1756" s="38"/>
      <c r="AI1756" s="36">
        <v>0</v>
      </c>
      <c r="AJ1756" s="7" t="s">
        <v>1193</v>
      </c>
      <c r="AK1756" s="7" t="s">
        <v>1177</v>
      </c>
      <c r="AL1756" s="7" t="s">
        <v>1177</v>
      </c>
      <c r="AM1756" s="7" t="s">
        <v>1177</v>
      </c>
      <c r="AN1756" s="7" t="s">
        <v>3212</v>
      </c>
      <c r="AO1756" s="7" t="s">
        <v>1177</v>
      </c>
      <c r="AP1756" s="7" t="s">
        <v>1177</v>
      </c>
      <c r="AQ1756" s="7" t="s">
        <v>1177</v>
      </c>
      <c r="AR1756" s="29">
        <v>0</v>
      </c>
      <c r="AS1756" s="7" t="s">
        <v>1177</v>
      </c>
      <c r="AT1756" s="7" t="s">
        <v>1363</v>
      </c>
      <c r="AU1756" s="38">
        <v>46275</v>
      </c>
      <c r="AV1756" s="39">
        <v>0.62714120370369997</v>
      </c>
    </row>
    <row r="1757" spans="1:48" x14ac:dyDescent="0.35">
      <c r="A1757" t="str">
        <f t="shared" si="27"/>
        <v>GP560169B832</v>
      </c>
      <c r="B1757" s="7" t="s">
        <v>696</v>
      </c>
      <c r="C1757" s="7" t="s">
        <v>653</v>
      </c>
      <c r="D1757" s="7" t="s">
        <v>19</v>
      </c>
      <c r="E1757" s="7" t="s">
        <v>1177</v>
      </c>
      <c r="F1757" s="7" t="s">
        <v>128</v>
      </c>
      <c r="G1757" s="7" t="s">
        <v>130</v>
      </c>
      <c r="H1757" s="7" t="s">
        <v>129</v>
      </c>
      <c r="I1757" s="30">
        <v>3</v>
      </c>
      <c r="J1757" s="7" t="s">
        <v>1177</v>
      </c>
      <c r="K1757" s="7" t="s">
        <v>1178</v>
      </c>
      <c r="L1757" s="7" t="s">
        <v>132</v>
      </c>
      <c r="M1757" s="7" t="s">
        <v>133</v>
      </c>
      <c r="N1757" s="30">
        <v>0</v>
      </c>
      <c r="O1757" s="30">
        <v>0</v>
      </c>
      <c r="P1757" s="30">
        <v>0</v>
      </c>
      <c r="Q1757" s="30">
        <v>0</v>
      </c>
      <c r="R1757" s="29">
        <v>0</v>
      </c>
      <c r="S1757" s="36">
        <v>0</v>
      </c>
      <c r="T1757" s="7" t="s">
        <v>131</v>
      </c>
      <c r="U1757" s="7" t="s">
        <v>654</v>
      </c>
      <c r="V1757" s="7" t="s">
        <v>654</v>
      </c>
      <c r="W1757" s="7" t="s">
        <v>1177</v>
      </c>
      <c r="X1757" s="30">
        <v>1</v>
      </c>
      <c r="Y1757" s="7" t="s">
        <v>1177</v>
      </c>
      <c r="Z1757" s="7" t="s">
        <v>1178</v>
      </c>
      <c r="AA1757" s="30">
        <v>0</v>
      </c>
      <c r="AB1757" s="36">
        <v>0</v>
      </c>
      <c r="AC1757" s="7" t="s">
        <v>1177</v>
      </c>
      <c r="AD1757" s="37">
        <v>0</v>
      </c>
      <c r="AE1757" s="7" t="s">
        <v>1177</v>
      </c>
      <c r="AF1757" s="7" t="s">
        <v>1177</v>
      </c>
      <c r="AG1757" s="7" t="s">
        <v>1177</v>
      </c>
      <c r="AH1757" s="38"/>
      <c r="AI1757" s="36">
        <v>0</v>
      </c>
      <c r="AJ1757" s="7" t="s">
        <v>1193</v>
      </c>
      <c r="AK1757" s="7" t="s">
        <v>1177</v>
      </c>
      <c r="AL1757" s="7" t="s">
        <v>1177</v>
      </c>
      <c r="AM1757" s="7" t="s">
        <v>1177</v>
      </c>
      <c r="AN1757" s="7" t="s">
        <v>3212</v>
      </c>
      <c r="AO1757" s="7" t="s">
        <v>1177</v>
      </c>
      <c r="AP1757" s="7" t="s">
        <v>1177</v>
      </c>
      <c r="AQ1757" s="7" t="s">
        <v>1177</v>
      </c>
      <c r="AR1757" s="29">
        <v>0</v>
      </c>
      <c r="AS1757" s="7" t="s">
        <v>1177</v>
      </c>
      <c r="AT1757" s="7" t="s">
        <v>1363</v>
      </c>
      <c r="AU1757" s="38">
        <v>46275</v>
      </c>
      <c r="AV1757" s="39">
        <v>0.62335648148148004</v>
      </c>
    </row>
    <row r="1758" spans="1:48" x14ac:dyDescent="0.35">
      <c r="A1758" t="str">
        <f t="shared" si="27"/>
        <v>GP560169B833</v>
      </c>
      <c r="B1758" s="7" t="s">
        <v>696</v>
      </c>
      <c r="C1758" s="7" t="s">
        <v>698</v>
      </c>
      <c r="D1758" s="7" t="s">
        <v>697</v>
      </c>
      <c r="E1758" s="7" t="s">
        <v>1177</v>
      </c>
      <c r="F1758" s="7" t="s">
        <v>128</v>
      </c>
      <c r="G1758" s="7" t="s">
        <v>130</v>
      </c>
      <c r="H1758" s="7" t="s">
        <v>129</v>
      </c>
      <c r="I1758" s="30">
        <v>3</v>
      </c>
      <c r="J1758" s="7" t="s">
        <v>1177</v>
      </c>
      <c r="K1758" s="7" t="s">
        <v>1178</v>
      </c>
      <c r="L1758" s="7" t="s">
        <v>132</v>
      </c>
      <c r="M1758" s="7" t="s">
        <v>133</v>
      </c>
      <c r="N1758" s="30">
        <v>0</v>
      </c>
      <c r="O1758" s="30">
        <v>0</v>
      </c>
      <c r="P1758" s="30">
        <v>0</v>
      </c>
      <c r="Q1758" s="30">
        <v>0</v>
      </c>
      <c r="R1758" s="29">
        <v>0</v>
      </c>
      <c r="S1758" s="36">
        <v>0</v>
      </c>
      <c r="T1758" s="7" t="s">
        <v>131</v>
      </c>
      <c r="U1758" s="7" t="s">
        <v>699</v>
      </c>
      <c r="V1758" s="7" t="s">
        <v>699</v>
      </c>
      <c r="W1758" s="7" t="s">
        <v>1177</v>
      </c>
      <c r="X1758" s="30">
        <v>1</v>
      </c>
      <c r="Y1758" s="7" t="s">
        <v>1177</v>
      </c>
      <c r="Z1758" s="7" t="s">
        <v>1178</v>
      </c>
      <c r="AA1758" s="30">
        <v>0</v>
      </c>
      <c r="AB1758" s="36">
        <v>0</v>
      </c>
      <c r="AC1758" s="7" t="s">
        <v>1177</v>
      </c>
      <c r="AD1758" s="37">
        <v>0</v>
      </c>
      <c r="AE1758" s="7" t="s">
        <v>1177</v>
      </c>
      <c r="AF1758" s="7" t="s">
        <v>1177</v>
      </c>
      <c r="AG1758" s="7" t="s">
        <v>1177</v>
      </c>
      <c r="AH1758" s="38"/>
      <c r="AI1758" s="36">
        <v>0</v>
      </c>
      <c r="AJ1758" s="7" t="s">
        <v>1193</v>
      </c>
      <c r="AK1758" s="7" t="s">
        <v>1177</v>
      </c>
      <c r="AL1758" s="7" t="s">
        <v>1177</v>
      </c>
      <c r="AM1758" s="7" t="s">
        <v>1177</v>
      </c>
      <c r="AN1758" s="7" t="s">
        <v>3212</v>
      </c>
      <c r="AO1758" s="7" t="s">
        <v>1177</v>
      </c>
      <c r="AP1758" s="7" t="s">
        <v>1177</v>
      </c>
      <c r="AQ1758" s="7" t="s">
        <v>1177</v>
      </c>
      <c r="AR1758" s="29">
        <v>0</v>
      </c>
      <c r="AS1758" s="7" t="s">
        <v>1177</v>
      </c>
      <c r="AT1758" s="7" t="s">
        <v>1363</v>
      </c>
      <c r="AU1758" s="38">
        <v>46275</v>
      </c>
      <c r="AV1758" s="39">
        <v>0.62354166666666999</v>
      </c>
    </row>
    <row r="1759" spans="1:48" x14ac:dyDescent="0.35">
      <c r="A1759" t="str">
        <f t="shared" si="27"/>
        <v>GP566312B856</v>
      </c>
      <c r="B1759" s="7" t="s">
        <v>954</v>
      </c>
      <c r="C1759" s="7" t="s">
        <v>852</v>
      </c>
      <c r="D1759" s="7" t="s">
        <v>21</v>
      </c>
      <c r="E1759" s="7" t="s">
        <v>1177</v>
      </c>
      <c r="F1759" s="7" t="s">
        <v>128</v>
      </c>
      <c r="G1759" s="7" t="s">
        <v>130</v>
      </c>
      <c r="H1759" s="7" t="s">
        <v>129</v>
      </c>
      <c r="I1759" s="30">
        <v>1</v>
      </c>
      <c r="J1759" s="7" t="s">
        <v>1177</v>
      </c>
      <c r="K1759" s="7" t="s">
        <v>1178</v>
      </c>
      <c r="L1759" s="7" t="s">
        <v>132</v>
      </c>
      <c r="M1759" s="7" t="s">
        <v>133</v>
      </c>
      <c r="N1759" s="30">
        <v>0</v>
      </c>
      <c r="O1759" s="30">
        <v>0</v>
      </c>
      <c r="P1759" s="30">
        <v>0</v>
      </c>
      <c r="Q1759" s="30">
        <v>0</v>
      </c>
      <c r="R1759" s="29">
        <v>0</v>
      </c>
      <c r="S1759" s="36">
        <v>0</v>
      </c>
      <c r="T1759" s="7" t="s">
        <v>131</v>
      </c>
      <c r="U1759" s="7" t="s">
        <v>853</v>
      </c>
      <c r="V1759" s="7" t="s">
        <v>853</v>
      </c>
      <c r="W1759" s="7" t="s">
        <v>1177</v>
      </c>
      <c r="X1759" s="30">
        <v>1</v>
      </c>
      <c r="Y1759" s="7" t="s">
        <v>1177</v>
      </c>
      <c r="Z1759" s="7" t="s">
        <v>1178</v>
      </c>
      <c r="AA1759" s="30">
        <v>0</v>
      </c>
      <c r="AB1759" s="36">
        <v>0</v>
      </c>
      <c r="AC1759" s="7" t="s">
        <v>1177</v>
      </c>
      <c r="AD1759" s="37">
        <v>0</v>
      </c>
      <c r="AE1759" s="7" t="s">
        <v>1177</v>
      </c>
      <c r="AF1759" s="7" t="s">
        <v>1177</v>
      </c>
      <c r="AG1759" s="7" t="s">
        <v>1177</v>
      </c>
      <c r="AH1759" s="38"/>
      <c r="AI1759" s="36">
        <v>0</v>
      </c>
      <c r="AJ1759" s="7" t="s">
        <v>1193</v>
      </c>
      <c r="AK1759" s="7" t="s">
        <v>1177</v>
      </c>
      <c r="AL1759" s="7" t="s">
        <v>1177</v>
      </c>
      <c r="AM1759" s="7" t="s">
        <v>1177</v>
      </c>
      <c r="AN1759" s="7" t="s">
        <v>3212</v>
      </c>
      <c r="AO1759" s="7" t="s">
        <v>1177</v>
      </c>
      <c r="AP1759" s="7" t="s">
        <v>1177</v>
      </c>
      <c r="AQ1759" s="7" t="s">
        <v>1177</v>
      </c>
      <c r="AR1759" s="29">
        <v>0</v>
      </c>
      <c r="AS1759" s="7" t="s">
        <v>1177</v>
      </c>
      <c r="AT1759" s="7" t="s">
        <v>1363</v>
      </c>
      <c r="AU1759" s="38">
        <v>46275</v>
      </c>
      <c r="AV1759" s="39">
        <v>0.62489583333332999</v>
      </c>
    </row>
    <row r="1760" spans="1:48" x14ac:dyDescent="0.35">
      <c r="A1760" t="str">
        <f t="shared" si="27"/>
        <v>GP570324B833</v>
      </c>
      <c r="B1760" s="7" t="s">
        <v>726</v>
      </c>
      <c r="C1760" s="7" t="s">
        <v>698</v>
      </c>
      <c r="D1760" s="7" t="s">
        <v>697</v>
      </c>
      <c r="E1760" s="7" t="s">
        <v>1177</v>
      </c>
      <c r="F1760" s="7" t="s">
        <v>128</v>
      </c>
      <c r="G1760" s="7" t="s">
        <v>130</v>
      </c>
      <c r="H1760" s="7" t="s">
        <v>129</v>
      </c>
      <c r="I1760" s="30">
        <v>2</v>
      </c>
      <c r="J1760" s="7" t="s">
        <v>1177</v>
      </c>
      <c r="K1760" s="7" t="s">
        <v>1178</v>
      </c>
      <c r="L1760" s="7" t="s">
        <v>132</v>
      </c>
      <c r="M1760" s="7" t="s">
        <v>133</v>
      </c>
      <c r="N1760" s="30">
        <v>0</v>
      </c>
      <c r="O1760" s="30">
        <v>0</v>
      </c>
      <c r="P1760" s="30">
        <v>0</v>
      </c>
      <c r="Q1760" s="30">
        <v>0</v>
      </c>
      <c r="R1760" s="29">
        <v>0</v>
      </c>
      <c r="S1760" s="36">
        <v>0</v>
      </c>
      <c r="T1760" s="7" t="s">
        <v>131</v>
      </c>
      <c r="U1760" s="7" t="s">
        <v>699</v>
      </c>
      <c r="V1760" s="7" t="s">
        <v>699</v>
      </c>
      <c r="W1760" s="7" t="s">
        <v>1177</v>
      </c>
      <c r="X1760" s="30">
        <v>1</v>
      </c>
      <c r="Y1760" s="7" t="s">
        <v>1177</v>
      </c>
      <c r="Z1760" s="7" t="s">
        <v>1178</v>
      </c>
      <c r="AA1760" s="30">
        <v>0</v>
      </c>
      <c r="AB1760" s="36">
        <v>0</v>
      </c>
      <c r="AC1760" s="7" t="s">
        <v>1177</v>
      </c>
      <c r="AD1760" s="37">
        <v>0</v>
      </c>
      <c r="AE1760" s="7" t="s">
        <v>1177</v>
      </c>
      <c r="AF1760" s="7" t="s">
        <v>1177</v>
      </c>
      <c r="AG1760" s="7" t="s">
        <v>1177</v>
      </c>
      <c r="AH1760" s="38"/>
      <c r="AI1760" s="36">
        <v>0</v>
      </c>
      <c r="AJ1760" s="7" t="s">
        <v>1193</v>
      </c>
      <c r="AK1760" s="7" t="s">
        <v>1177</v>
      </c>
      <c r="AL1760" s="7" t="s">
        <v>1177</v>
      </c>
      <c r="AM1760" s="7" t="s">
        <v>1177</v>
      </c>
      <c r="AN1760" s="7" t="s">
        <v>3212</v>
      </c>
      <c r="AO1760" s="7" t="s">
        <v>1177</v>
      </c>
      <c r="AP1760" s="7" t="s">
        <v>1177</v>
      </c>
      <c r="AQ1760" s="7" t="s">
        <v>1177</v>
      </c>
      <c r="AR1760" s="29">
        <v>0</v>
      </c>
      <c r="AS1760" s="7" t="s">
        <v>1177</v>
      </c>
      <c r="AT1760" s="7" t="s">
        <v>1363</v>
      </c>
      <c r="AU1760" s="38">
        <v>46275</v>
      </c>
      <c r="AV1760" s="39">
        <v>0.62358796296296004</v>
      </c>
    </row>
    <row r="1761" spans="1:48" x14ac:dyDescent="0.35">
      <c r="A1761" t="str">
        <f t="shared" si="27"/>
        <v>GP579055B825</v>
      </c>
      <c r="B1761" s="7" t="s">
        <v>432</v>
      </c>
      <c r="C1761" s="7" t="s">
        <v>511</v>
      </c>
      <c r="D1761" s="7" t="s">
        <v>16</v>
      </c>
      <c r="E1761" s="7" t="s">
        <v>1177</v>
      </c>
      <c r="F1761" s="7" t="s">
        <v>128</v>
      </c>
      <c r="G1761" s="7" t="s">
        <v>130</v>
      </c>
      <c r="H1761" s="7" t="s">
        <v>129</v>
      </c>
      <c r="I1761" s="30">
        <v>8</v>
      </c>
      <c r="J1761" s="7" t="s">
        <v>1177</v>
      </c>
      <c r="K1761" s="7" t="s">
        <v>1178</v>
      </c>
      <c r="L1761" s="7" t="s">
        <v>132</v>
      </c>
      <c r="M1761" s="7" t="s">
        <v>133</v>
      </c>
      <c r="N1761" s="30">
        <v>0</v>
      </c>
      <c r="O1761" s="30">
        <v>0</v>
      </c>
      <c r="P1761" s="30">
        <v>0</v>
      </c>
      <c r="Q1761" s="30">
        <v>0</v>
      </c>
      <c r="R1761" s="29">
        <v>0</v>
      </c>
      <c r="S1761" s="36">
        <v>0</v>
      </c>
      <c r="T1761" s="7" t="s">
        <v>131</v>
      </c>
      <c r="U1761" s="7" t="s">
        <v>512</v>
      </c>
      <c r="V1761" s="7" t="s">
        <v>512</v>
      </c>
      <c r="W1761" s="7" t="s">
        <v>1177</v>
      </c>
      <c r="X1761" s="30">
        <v>2</v>
      </c>
      <c r="Y1761" s="7" t="s">
        <v>1177</v>
      </c>
      <c r="Z1761" s="7" t="s">
        <v>1178</v>
      </c>
      <c r="AA1761" s="30">
        <v>0</v>
      </c>
      <c r="AB1761" s="36">
        <v>0</v>
      </c>
      <c r="AC1761" s="7" t="s">
        <v>1177</v>
      </c>
      <c r="AD1761" s="37">
        <v>0</v>
      </c>
      <c r="AE1761" s="7" t="s">
        <v>1177</v>
      </c>
      <c r="AF1761" s="7" t="s">
        <v>1177</v>
      </c>
      <c r="AG1761" s="7" t="s">
        <v>1177</v>
      </c>
      <c r="AH1761" s="38"/>
      <c r="AI1761" s="36">
        <v>0</v>
      </c>
      <c r="AJ1761" s="7" t="s">
        <v>1193</v>
      </c>
      <c r="AK1761" s="7" t="s">
        <v>1177</v>
      </c>
      <c r="AL1761" s="7" t="s">
        <v>1177</v>
      </c>
      <c r="AM1761" s="7" t="s">
        <v>1177</v>
      </c>
      <c r="AN1761" s="7" t="s">
        <v>3212</v>
      </c>
      <c r="AO1761" s="7" t="s">
        <v>1177</v>
      </c>
      <c r="AP1761" s="7" t="s">
        <v>1177</v>
      </c>
      <c r="AQ1761" s="7" t="s">
        <v>1177</v>
      </c>
      <c r="AR1761" s="29">
        <v>0</v>
      </c>
      <c r="AS1761" s="7" t="s">
        <v>1177</v>
      </c>
      <c r="AT1761" s="7" t="s">
        <v>1363</v>
      </c>
      <c r="AU1761" s="38">
        <v>46275</v>
      </c>
      <c r="AV1761" s="39">
        <v>0.62305555555556003</v>
      </c>
    </row>
    <row r="1762" spans="1:48" x14ac:dyDescent="0.35">
      <c r="A1762" t="str">
        <f t="shared" si="27"/>
        <v>GP579055B832</v>
      </c>
      <c r="B1762" s="7" t="s">
        <v>432</v>
      </c>
      <c r="C1762" s="7" t="s">
        <v>653</v>
      </c>
      <c r="D1762" s="7" t="s">
        <v>19</v>
      </c>
      <c r="E1762" s="7" t="s">
        <v>1177</v>
      </c>
      <c r="F1762" s="7" t="s">
        <v>128</v>
      </c>
      <c r="G1762" s="7" t="s">
        <v>130</v>
      </c>
      <c r="H1762" s="7" t="s">
        <v>129</v>
      </c>
      <c r="I1762" s="30">
        <v>2</v>
      </c>
      <c r="J1762" s="7" t="s">
        <v>1177</v>
      </c>
      <c r="K1762" s="7" t="s">
        <v>1178</v>
      </c>
      <c r="L1762" s="7" t="s">
        <v>132</v>
      </c>
      <c r="M1762" s="7" t="s">
        <v>133</v>
      </c>
      <c r="N1762" s="30">
        <v>0</v>
      </c>
      <c r="O1762" s="30">
        <v>0</v>
      </c>
      <c r="P1762" s="30">
        <v>0</v>
      </c>
      <c r="Q1762" s="30">
        <v>0</v>
      </c>
      <c r="R1762" s="29">
        <v>0</v>
      </c>
      <c r="S1762" s="36">
        <v>0</v>
      </c>
      <c r="T1762" s="7" t="s">
        <v>131</v>
      </c>
      <c r="U1762" s="7" t="s">
        <v>654</v>
      </c>
      <c r="V1762" s="7" t="s">
        <v>654</v>
      </c>
      <c r="W1762" s="7" t="s">
        <v>1177</v>
      </c>
      <c r="X1762" s="30">
        <v>1</v>
      </c>
      <c r="Y1762" s="7" t="s">
        <v>1177</v>
      </c>
      <c r="Z1762" s="7" t="s">
        <v>1178</v>
      </c>
      <c r="AA1762" s="30">
        <v>0</v>
      </c>
      <c r="AB1762" s="36">
        <v>0</v>
      </c>
      <c r="AC1762" s="7" t="s">
        <v>1177</v>
      </c>
      <c r="AD1762" s="37">
        <v>0</v>
      </c>
      <c r="AE1762" s="7" t="s">
        <v>1177</v>
      </c>
      <c r="AF1762" s="7" t="s">
        <v>1177</v>
      </c>
      <c r="AG1762" s="7" t="s">
        <v>1177</v>
      </c>
      <c r="AH1762" s="38"/>
      <c r="AI1762" s="36">
        <v>0</v>
      </c>
      <c r="AJ1762" s="7" t="s">
        <v>1193</v>
      </c>
      <c r="AK1762" s="7" t="s">
        <v>1177</v>
      </c>
      <c r="AL1762" s="7" t="s">
        <v>1177</v>
      </c>
      <c r="AM1762" s="7" t="s">
        <v>1177</v>
      </c>
      <c r="AN1762" s="7" t="s">
        <v>3212</v>
      </c>
      <c r="AO1762" s="7" t="s">
        <v>1177</v>
      </c>
      <c r="AP1762" s="7" t="s">
        <v>1177</v>
      </c>
      <c r="AQ1762" s="7" t="s">
        <v>1177</v>
      </c>
      <c r="AR1762" s="29">
        <v>0</v>
      </c>
      <c r="AS1762" s="7" t="s">
        <v>1177</v>
      </c>
      <c r="AT1762" s="7" t="s">
        <v>1363</v>
      </c>
      <c r="AU1762" s="38">
        <v>46275</v>
      </c>
      <c r="AV1762" s="39">
        <v>0.62335648148148004</v>
      </c>
    </row>
    <row r="1763" spans="1:48" x14ac:dyDescent="0.35">
      <c r="A1763" t="str">
        <f t="shared" si="27"/>
        <v>GP579055B838</v>
      </c>
      <c r="B1763" s="7" t="s">
        <v>432</v>
      </c>
      <c r="C1763" s="7" t="s">
        <v>744</v>
      </c>
      <c r="D1763" s="7" t="s">
        <v>48</v>
      </c>
      <c r="E1763" s="7" t="s">
        <v>1177</v>
      </c>
      <c r="F1763" s="7" t="s">
        <v>128</v>
      </c>
      <c r="G1763" s="7" t="s">
        <v>130</v>
      </c>
      <c r="H1763" s="7" t="s">
        <v>129</v>
      </c>
      <c r="I1763" s="30">
        <v>3</v>
      </c>
      <c r="J1763" s="7" t="s">
        <v>1177</v>
      </c>
      <c r="K1763" s="7" t="s">
        <v>1178</v>
      </c>
      <c r="L1763" s="7" t="s">
        <v>132</v>
      </c>
      <c r="M1763" s="7" t="s">
        <v>133</v>
      </c>
      <c r="N1763" s="30">
        <v>0</v>
      </c>
      <c r="O1763" s="30">
        <v>0</v>
      </c>
      <c r="P1763" s="30">
        <v>0</v>
      </c>
      <c r="Q1763" s="30">
        <v>0</v>
      </c>
      <c r="R1763" s="29">
        <v>0</v>
      </c>
      <c r="S1763" s="36">
        <v>0</v>
      </c>
      <c r="T1763" s="7" t="s">
        <v>131</v>
      </c>
      <c r="U1763" s="7" t="s">
        <v>745</v>
      </c>
      <c r="V1763" s="7" t="s">
        <v>745</v>
      </c>
      <c r="W1763" s="7" t="s">
        <v>1177</v>
      </c>
      <c r="X1763" s="30">
        <v>1</v>
      </c>
      <c r="Y1763" s="7" t="s">
        <v>1177</v>
      </c>
      <c r="Z1763" s="7" t="s">
        <v>1178</v>
      </c>
      <c r="AA1763" s="30">
        <v>0</v>
      </c>
      <c r="AB1763" s="36">
        <v>0</v>
      </c>
      <c r="AC1763" s="7" t="s">
        <v>1177</v>
      </c>
      <c r="AD1763" s="37">
        <v>0</v>
      </c>
      <c r="AE1763" s="7" t="s">
        <v>1177</v>
      </c>
      <c r="AF1763" s="7" t="s">
        <v>1177</v>
      </c>
      <c r="AG1763" s="7" t="s">
        <v>1177</v>
      </c>
      <c r="AH1763" s="38"/>
      <c r="AI1763" s="36">
        <v>0</v>
      </c>
      <c r="AJ1763" s="7" t="s">
        <v>1193</v>
      </c>
      <c r="AK1763" s="7" t="s">
        <v>1177</v>
      </c>
      <c r="AL1763" s="7" t="s">
        <v>1177</v>
      </c>
      <c r="AM1763" s="7" t="s">
        <v>1177</v>
      </c>
      <c r="AN1763" s="7" t="s">
        <v>3212</v>
      </c>
      <c r="AO1763" s="7" t="s">
        <v>1177</v>
      </c>
      <c r="AP1763" s="7" t="s">
        <v>1177</v>
      </c>
      <c r="AQ1763" s="7" t="s">
        <v>1177</v>
      </c>
      <c r="AR1763" s="29">
        <v>0</v>
      </c>
      <c r="AS1763" s="7" t="s">
        <v>1177</v>
      </c>
      <c r="AT1763" s="7" t="s">
        <v>1363</v>
      </c>
      <c r="AU1763" s="38">
        <v>46275</v>
      </c>
      <c r="AV1763" s="39">
        <v>0.62398148148148003</v>
      </c>
    </row>
    <row r="1764" spans="1:48" x14ac:dyDescent="0.35">
      <c r="A1764" t="str">
        <f t="shared" si="27"/>
        <v>GP579384B865</v>
      </c>
      <c r="B1764" s="7" t="s">
        <v>1050</v>
      </c>
      <c r="C1764" s="7" t="s">
        <v>1039</v>
      </c>
      <c r="D1764" s="7" t="s">
        <v>7</v>
      </c>
      <c r="E1764" s="7" t="s">
        <v>1177</v>
      </c>
      <c r="F1764" s="7" t="s">
        <v>128</v>
      </c>
      <c r="G1764" s="7" t="s">
        <v>130</v>
      </c>
      <c r="H1764" s="7" t="s">
        <v>129</v>
      </c>
      <c r="I1764" s="30">
        <v>2</v>
      </c>
      <c r="J1764" s="7" t="s">
        <v>1177</v>
      </c>
      <c r="K1764" s="7" t="s">
        <v>1178</v>
      </c>
      <c r="L1764" s="7" t="s">
        <v>132</v>
      </c>
      <c r="M1764" s="7" t="s">
        <v>133</v>
      </c>
      <c r="N1764" s="30">
        <v>0</v>
      </c>
      <c r="O1764" s="30">
        <v>0</v>
      </c>
      <c r="P1764" s="30">
        <v>0</v>
      </c>
      <c r="Q1764" s="30">
        <v>0</v>
      </c>
      <c r="R1764" s="29">
        <v>0</v>
      </c>
      <c r="S1764" s="36">
        <v>0</v>
      </c>
      <c r="T1764" s="7" t="s">
        <v>131</v>
      </c>
      <c r="U1764" s="7" t="s">
        <v>1040</v>
      </c>
      <c r="V1764" s="7" t="s">
        <v>1040</v>
      </c>
      <c r="W1764" s="7" t="s">
        <v>1177</v>
      </c>
      <c r="X1764" s="30">
        <v>1</v>
      </c>
      <c r="Y1764" s="7" t="s">
        <v>1177</v>
      </c>
      <c r="Z1764" s="7" t="s">
        <v>1178</v>
      </c>
      <c r="AA1764" s="30">
        <v>0</v>
      </c>
      <c r="AB1764" s="36">
        <v>0</v>
      </c>
      <c r="AC1764" s="7" t="s">
        <v>1177</v>
      </c>
      <c r="AD1764" s="37">
        <v>0</v>
      </c>
      <c r="AE1764" s="7" t="s">
        <v>1177</v>
      </c>
      <c r="AF1764" s="7" t="s">
        <v>1177</v>
      </c>
      <c r="AG1764" s="7" t="s">
        <v>1177</v>
      </c>
      <c r="AH1764" s="38"/>
      <c r="AI1764" s="36">
        <v>0</v>
      </c>
      <c r="AJ1764" s="7" t="s">
        <v>1193</v>
      </c>
      <c r="AK1764" s="7" t="s">
        <v>1177</v>
      </c>
      <c r="AL1764" s="7" t="s">
        <v>1177</v>
      </c>
      <c r="AM1764" s="7" t="s">
        <v>1177</v>
      </c>
      <c r="AN1764" s="7" t="s">
        <v>3212</v>
      </c>
      <c r="AO1764" s="7" t="s">
        <v>1177</v>
      </c>
      <c r="AP1764" s="7" t="s">
        <v>1177</v>
      </c>
      <c r="AQ1764" s="7" t="s">
        <v>1177</v>
      </c>
      <c r="AR1764" s="29">
        <v>0</v>
      </c>
      <c r="AS1764" s="7" t="s">
        <v>1177</v>
      </c>
      <c r="AT1764" s="7" t="s">
        <v>1363</v>
      </c>
      <c r="AU1764" s="38">
        <v>46275</v>
      </c>
      <c r="AV1764" s="39">
        <v>0.62674768518518997</v>
      </c>
    </row>
    <row r="1765" spans="1:48" x14ac:dyDescent="0.35">
      <c r="A1765" t="str">
        <f t="shared" si="27"/>
        <v>GP583348B865</v>
      </c>
      <c r="B1765" s="7" t="s">
        <v>1051</v>
      </c>
      <c r="C1765" s="7" t="s">
        <v>1039</v>
      </c>
      <c r="D1765" s="7" t="s">
        <v>7</v>
      </c>
      <c r="E1765" s="7" t="s">
        <v>1177</v>
      </c>
      <c r="F1765" s="7" t="s">
        <v>128</v>
      </c>
      <c r="G1765" s="7" t="s">
        <v>130</v>
      </c>
      <c r="H1765" s="7" t="s">
        <v>129</v>
      </c>
      <c r="I1765" s="30">
        <v>2</v>
      </c>
      <c r="J1765" s="7" t="s">
        <v>1177</v>
      </c>
      <c r="K1765" s="7" t="s">
        <v>1178</v>
      </c>
      <c r="L1765" s="7" t="s">
        <v>132</v>
      </c>
      <c r="M1765" s="7" t="s">
        <v>133</v>
      </c>
      <c r="N1765" s="30">
        <v>0</v>
      </c>
      <c r="O1765" s="30">
        <v>0</v>
      </c>
      <c r="P1765" s="30">
        <v>0</v>
      </c>
      <c r="Q1765" s="30">
        <v>0</v>
      </c>
      <c r="R1765" s="29">
        <v>0</v>
      </c>
      <c r="S1765" s="36">
        <v>0</v>
      </c>
      <c r="T1765" s="7" t="s">
        <v>131</v>
      </c>
      <c r="U1765" s="7" t="s">
        <v>1040</v>
      </c>
      <c r="V1765" s="7" t="s">
        <v>1040</v>
      </c>
      <c r="W1765" s="7" t="s">
        <v>1177</v>
      </c>
      <c r="X1765" s="30">
        <v>1</v>
      </c>
      <c r="Y1765" s="7" t="s">
        <v>1177</v>
      </c>
      <c r="Z1765" s="7" t="s">
        <v>1178</v>
      </c>
      <c r="AA1765" s="30">
        <v>0</v>
      </c>
      <c r="AB1765" s="36">
        <v>0</v>
      </c>
      <c r="AC1765" s="7" t="s">
        <v>1177</v>
      </c>
      <c r="AD1765" s="37">
        <v>0</v>
      </c>
      <c r="AE1765" s="7" t="s">
        <v>1177</v>
      </c>
      <c r="AF1765" s="7" t="s">
        <v>1177</v>
      </c>
      <c r="AG1765" s="7" t="s">
        <v>1177</v>
      </c>
      <c r="AH1765" s="38"/>
      <c r="AI1765" s="36">
        <v>0</v>
      </c>
      <c r="AJ1765" s="7" t="s">
        <v>1193</v>
      </c>
      <c r="AK1765" s="7" t="s">
        <v>1177</v>
      </c>
      <c r="AL1765" s="7" t="s">
        <v>1177</v>
      </c>
      <c r="AM1765" s="7" t="s">
        <v>1177</v>
      </c>
      <c r="AN1765" s="7" t="s">
        <v>3212</v>
      </c>
      <c r="AO1765" s="7" t="s">
        <v>1177</v>
      </c>
      <c r="AP1765" s="7" t="s">
        <v>1177</v>
      </c>
      <c r="AQ1765" s="7" t="s">
        <v>1177</v>
      </c>
      <c r="AR1765" s="29">
        <v>0</v>
      </c>
      <c r="AS1765" s="7" t="s">
        <v>1177</v>
      </c>
      <c r="AT1765" s="7" t="s">
        <v>1363</v>
      </c>
      <c r="AU1765" s="38">
        <v>46275</v>
      </c>
      <c r="AV1765" s="39">
        <v>0.62674768518518997</v>
      </c>
    </row>
    <row r="1766" spans="1:48" x14ac:dyDescent="0.35">
      <c r="A1766" t="str">
        <f t="shared" si="27"/>
        <v>GP592520B857</v>
      </c>
      <c r="B1766" s="7" t="s">
        <v>1003</v>
      </c>
      <c r="C1766" s="7" t="s">
        <v>958</v>
      </c>
      <c r="D1766" s="7" t="s">
        <v>23</v>
      </c>
      <c r="E1766" s="7" t="s">
        <v>1177</v>
      </c>
      <c r="F1766" s="7" t="s">
        <v>128</v>
      </c>
      <c r="G1766" s="7" t="s">
        <v>130</v>
      </c>
      <c r="H1766" s="7" t="s">
        <v>129</v>
      </c>
      <c r="I1766" s="30">
        <v>2</v>
      </c>
      <c r="J1766" s="7" t="s">
        <v>1177</v>
      </c>
      <c r="K1766" s="7" t="s">
        <v>1178</v>
      </c>
      <c r="L1766" s="7" t="s">
        <v>132</v>
      </c>
      <c r="M1766" s="7" t="s">
        <v>133</v>
      </c>
      <c r="N1766" s="30">
        <v>0</v>
      </c>
      <c r="O1766" s="30">
        <v>0</v>
      </c>
      <c r="P1766" s="30">
        <v>0</v>
      </c>
      <c r="Q1766" s="30">
        <v>0</v>
      </c>
      <c r="R1766" s="29">
        <v>0</v>
      </c>
      <c r="S1766" s="36">
        <v>0</v>
      </c>
      <c r="T1766" s="7" t="s">
        <v>131</v>
      </c>
      <c r="U1766" s="7" t="s">
        <v>959</v>
      </c>
      <c r="V1766" s="7" t="s">
        <v>959</v>
      </c>
      <c r="W1766" s="7" t="s">
        <v>1177</v>
      </c>
      <c r="X1766" s="30">
        <v>1</v>
      </c>
      <c r="Y1766" s="7" t="s">
        <v>1177</v>
      </c>
      <c r="Z1766" s="7" t="s">
        <v>1178</v>
      </c>
      <c r="AA1766" s="30">
        <v>0</v>
      </c>
      <c r="AB1766" s="36">
        <v>0</v>
      </c>
      <c r="AC1766" s="7" t="s">
        <v>1177</v>
      </c>
      <c r="AD1766" s="37">
        <v>0</v>
      </c>
      <c r="AE1766" s="7" t="s">
        <v>1177</v>
      </c>
      <c r="AF1766" s="7" t="s">
        <v>1177</v>
      </c>
      <c r="AG1766" s="7" t="s">
        <v>1177</v>
      </c>
      <c r="AH1766" s="38"/>
      <c r="AI1766" s="36">
        <v>0</v>
      </c>
      <c r="AJ1766" s="7" t="s">
        <v>1193</v>
      </c>
      <c r="AK1766" s="7" t="s">
        <v>1177</v>
      </c>
      <c r="AL1766" s="7" t="s">
        <v>1177</v>
      </c>
      <c r="AM1766" s="7" t="s">
        <v>1177</v>
      </c>
      <c r="AN1766" s="7" t="s">
        <v>3212</v>
      </c>
      <c r="AO1766" s="7" t="s">
        <v>1177</v>
      </c>
      <c r="AP1766" s="7" t="s">
        <v>1177</v>
      </c>
      <c r="AQ1766" s="7" t="s">
        <v>1177</v>
      </c>
      <c r="AR1766" s="29">
        <v>0</v>
      </c>
      <c r="AS1766" s="7" t="s">
        <v>1177</v>
      </c>
      <c r="AT1766" s="7" t="s">
        <v>1363</v>
      </c>
      <c r="AU1766" s="38">
        <v>46275</v>
      </c>
      <c r="AV1766" s="39">
        <v>0.62511574074073994</v>
      </c>
    </row>
    <row r="1767" spans="1:48" x14ac:dyDescent="0.35">
      <c r="A1767" t="str">
        <f t="shared" si="27"/>
        <v>GP592532B857</v>
      </c>
      <c r="B1767" s="7" t="s">
        <v>1004</v>
      </c>
      <c r="C1767" s="7" t="s">
        <v>958</v>
      </c>
      <c r="D1767" s="7" t="s">
        <v>23</v>
      </c>
      <c r="E1767" s="7" t="s">
        <v>1177</v>
      </c>
      <c r="F1767" s="7" t="s">
        <v>128</v>
      </c>
      <c r="G1767" s="7" t="s">
        <v>130</v>
      </c>
      <c r="H1767" s="7" t="s">
        <v>129</v>
      </c>
      <c r="I1767" s="30">
        <v>2</v>
      </c>
      <c r="J1767" s="7" t="s">
        <v>1177</v>
      </c>
      <c r="K1767" s="7" t="s">
        <v>1178</v>
      </c>
      <c r="L1767" s="7" t="s">
        <v>132</v>
      </c>
      <c r="M1767" s="7" t="s">
        <v>133</v>
      </c>
      <c r="N1767" s="30">
        <v>0</v>
      </c>
      <c r="O1767" s="30">
        <v>0</v>
      </c>
      <c r="P1767" s="30">
        <v>0</v>
      </c>
      <c r="Q1767" s="30">
        <v>0</v>
      </c>
      <c r="R1767" s="29">
        <v>0</v>
      </c>
      <c r="S1767" s="36">
        <v>0</v>
      </c>
      <c r="T1767" s="7" t="s">
        <v>131</v>
      </c>
      <c r="U1767" s="7" t="s">
        <v>959</v>
      </c>
      <c r="V1767" s="7" t="s">
        <v>959</v>
      </c>
      <c r="W1767" s="7" t="s">
        <v>1177</v>
      </c>
      <c r="X1767" s="30">
        <v>1</v>
      </c>
      <c r="Y1767" s="7" t="s">
        <v>1177</v>
      </c>
      <c r="Z1767" s="7" t="s">
        <v>1178</v>
      </c>
      <c r="AA1767" s="30">
        <v>0</v>
      </c>
      <c r="AB1767" s="36">
        <v>0</v>
      </c>
      <c r="AC1767" s="7" t="s">
        <v>1177</v>
      </c>
      <c r="AD1767" s="37">
        <v>0</v>
      </c>
      <c r="AE1767" s="7" t="s">
        <v>1177</v>
      </c>
      <c r="AF1767" s="7" t="s">
        <v>1177</v>
      </c>
      <c r="AG1767" s="7" t="s">
        <v>1177</v>
      </c>
      <c r="AH1767" s="38"/>
      <c r="AI1767" s="36">
        <v>0</v>
      </c>
      <c r="AJ1767" s="7" t="s">
        <v>1193</v>
      </c>
      <c r="AK1767" s="7" t="s">
        <v>1177</v>
      </c>
      <c r="AL1767" s="7" t="s">
        <v>1177</v>
      </c>
      <c r="AM1767" s="7" t="s">
        <v>1177</v>
      </c>
      <c r="AN1767" s="7" t="s">
        <v>3212</v>
      </c>
      <c r="AO1767" s="7" t="s">
        <v>1177</v>
      </c>
      <c r="AP1767" s="7" t="s">
        <v>1177</v>
      </c>
      <c r="AQ1767" s="7" t="s">
        <v>1177</v>
      </c>
      <c r="AR1767" s="29">
        <v>0</v>
      </c>
      <c r="AS1767" s="7" t="s">
        <v>1177</v>
      </c>
      <c r="AT1767" s="7" t="s">
        <v>1363</v>
      </c>
      <c r="AU1767" s="38">
        <v>46275</v>
      </c>
      <c r="AV1767" s="39">
        <v>0.62511574074073994</v>
      </c>
    </row>
    <row r="1768" spans="1:48" x14ac:dyDescent="0.35">
      <c r="A1768" t="str">
        <f t="shared" si="27"/>
        <v>GP592539B857</v>
      </c>
      <c r="B1768" s="7" t="s">
        <v>1005</v>
      </c>
      <c r="C1768" s="7" t="s">
        <v>958</v>
      </c>
      <c r="D1768" s="7" t="s">
        <v>23</v>
      </c>
      <c r="E1768" s="7" t="s">
        <v>1177</v>
      </c>
      <c r="F1768" s="7" t="s">
        <v>128</v>
      </c>
      <c r="G1768" s="7" t="s">
        <v>130</v>
      </c>
      <c r="H1768" s="7" t="s">
        <v>129</v>
      </c>
      <c r="I1768" s="30">
        <v>2</v>
      </c>
      <c r="J1768" s="7" t="s">
        <v>1177</v>
      </c>
      <c r="K1768" s="7" t="s">
        <v>1178</v>
      </c>
      <c r="L1768" s="7" t="s">
        <v>132</v>
      </c>
      <c r="M1768" s="7" t="s">
        <v>133</v>
      </c>
      <c r="N1768" s="30">
        <v>0</v>
      </c>
      <c r="O1768" s="30">
        <v>0</v>
      </c>
      <c r="P1768" s="30">
        <v>0</v>
      </c>
      <c r="Q1768" s="30">
        <v>0</v>
      </c>
      <c r="R1768" s="29">
        <v>0</v>
      </c>
      <c r="S1768" s="36">
        <v>0</v>
      </c>
      <c r="T1768" s="7" t="s">
        <v>131</v>
      </c>
      <c r="U1768" s="7" t="s">
        <v>959</v>
      </c>
      <c r="V1768" s="7" t="s">
        <v>959</v>
      </c>
      <c r="W1768" s="7" t="s">
        <v>1177</v>
      </c>
      <c r="X1768" s="30">
        <v>1</v>
      </c>
      <c r="Y1768" s="7" t="s">
        <v>1177</v>
      </c>
      <c r="Z1768" s="7" t="s">
        <v>1178</v>
      </c>
      <c r="AA1768" s="30">
        <v>0</v>
      </c>
      <c r="AB1768" s="36">
        <v>0</v>
      </c>
      <c r="AC1768" s="7" t="s">
        <v>1177</v>
      </c>
      <c r="AD1768" s="37">
        <v>0</v>
      </c>
      <c r="AE1768" s="7" t="s">
        <v>1177</v>
      </c>
      <c r="AF1768" s="7" t="s">
        <v>1177</v>
      </c>
      <c r="AG1768" s="7" t="s">
        <v>1177</v>
      </c>
      <c r="AH1768" s="38"/>
      <c r="AI1768" s="36">
        <v>0</v>
      </c>
      <c r="AJ1768" s="7" t="s">
        <v>1193</v>
      </c>
      <c r="AK1768" s="7" t="s">
        <v>1177</v>
      </c>
      <c r="AL1768" s="7" t="s">
        <v>1177</v>
      </c>
      <c r="AM1768" s="7" t="s">
        <v>1177</v>
      </c>
      <c r="AN1768" s="7" t="s">
        <v>3212</v>
      </c>
      <c r="AO1768" s="7" t="s">
        <v>1177</v>
      </c>
      <c r="AP1768" s="7" t="s">
        <v>1177</v>
      </c>
      <c r="AQ1768" s="7" t="s">
        <v>1177</v>
      </c>
      <c r="AR1768" s="29">
        <v>0</v>
      </c>
      <c r="AS1768" s="7" t="s">
        <v>1177</v>
      </c>
      <c r="AT1768" s="7" t="s">
        <v>1363</v>
      </c>
      <c r="AU1768" s="38">
        <v>46275</v>
      </c>
      <c r="AV1768" s="39">
        <v>0.62511574074073994</v>
      </c>
    </row>
    <row r="1769" spans="1:48" x14ac:dyDescent="0.35">
      <c r="A1769" t="str">
        <f t="shared" si="27"/>
        <v>GP592545B856</v>
      </c>
      <c r="B1769" s="7" t="s">
        <v>955</v>
      </c>
      <c r="C1769" s="7" t="s">
        <v>852</v>
      </c>
      <c r="D1769" s="7" t="s">
        <v>21</v>
      </c>
      <c r="E1769" s="7" t="s">
        <v>1177</v>
      </c>
      <c r="F1769" s="7" t="s">
        <v>128</v>
      </c>
      <c r="G1769" s="7" t="s">
        <v>130</v>
      </c>
      <c r="H1769" s="7" t="s">
        <v>129</v>
      </c>
      <c r="I1769" s="30">
        <v>2</v>
      </c>
      <c r="J1769" s="7" t="s">
        <v>1177</v>
      </c>
      <c r="K1769" s="7" t="s">
        <v>1178</v>
      </c>
      <c r="L1769" s="7" t="s">
        <v>132</v>
      </c>
      <c r="M1769" s="7" t="s">
        <v>133</v>
      </c>
      <c r="N1769" s="30">
        <v>0</v>
      </c>
      <c r="O1769" s="30">
        <v>0</v>
      </c>
      <c r="P1769" s="30">
        <v>0</v>
      </c>
      <c r="Q1769" s="30">
        <v>0</v>
      </c>
      <c r="R1769" s="29">
        <v>0</v>
      </c>
      <c r="S1769" s="36">
        <v>0</v>
      </c>
      <c r="T1769" s="7" t="s">
        <v>131</v>
      </c>
      <c r="U1769" s="7" t="s">
        <v>853</v>
      </c>
      <c r="V1769" s="7" t="s">
        <v>853</v>
      </c>
      <c r="W1769" s="7" t="s">
        <v>1177</v>
      </c>
      <c r="X1769" s="30">
        <v>1</v>
      </c>
      <c r="Y1769" s="7" t="s">
        <v>1177</v>
      </c>
      <c r="Z1769" s="7" t="s">
        <v>1178</v>
      </c>
      <c r="AA1769" s="30">
        <v>0</v>
      </c>
      <c r="AB1769" s="36">
        <v>0</v>
      </c>
      <c r="AC1769" s="7" t="s">
        <v>1177</v>
      </c>
      <c r="AD1769" s="37">
        <v>0</v>
      </c>
      <c r="AE1769" s="7" t="s">
        <v>1177</v>
      </c>
      <c r="AF1769" s="7" t="s">
        <v>1177</v>
      </c>
      <c r="AG1769" s="7" t="s">
        <v>1177</v>
      </c>
      <c r="AH1769" s="38"/>
      <c r="AI1769" s="36">
        <v>0</v>
      </c>
      <c r="AJ1769" s="7" t="s">
        <v>1193</v>
      </c>
      <c r="AK1769" s="7" t="s">
        <v>1177</v>
      </c>
      <c r="AL1769" s="7" t="s">
        <v>1177</v>
      </c>
      <c r="AM1769" s="7" t="s">
        <v>1177</v>
      </c>
      <c r="AN1769" s="7" t="s">
        <v>3212</v>
      </c>
      <c r="AO1769" s="7" t="s">
        <v>1177</v>
      </c>
      <c r="AP1769" s="7" t="s">
        <v>1177</v>
      </c>
      <c r="AQ1769" s="7" t="s">
        <v>1177</v>
      </c>
      <c r="AR1769" s="29">
        <v>0</v>
      </c>
      <c r="AS1769" s="7" t="s">
        <v>1177</v>
      </c>
      <c r="AT1769" s="7" t="s">
        <v>1363</v>
      </c>
      <c r="AU1769" s="38">
        <v>46275</v>
      </c>
      <c r="AV1769" s="39">
        <v>0.62489583333332999</v>
      </c>
    </row>
    <row r="1770" spans="1:48" x14ac:dyDescent="0.35">
      <c r="A1770" t="str">
        <f t="shared" si="27"/>
        <v>GP603722B865</v>
      </c>
      <c r="B1770" s="7" t="s">
        <v>1052</v>
      </c>
      <c r="C1770" s="7" t="s">
        <v>1039</v>
      </c>
      <c r="D1770" s="7" t="s">
        <v>7</v>
      </c>
      <c r="E1770" s="7" t="s">
        <v>1177</v>
      </c>
      <c r="F1770" s="7" t="s">
        <v>128</v>
      </c>
      <c r="G1770" s="7" t="s">
        <v>130</v>
      </c>
      <c r="H1770" s="7" t="s">
        <v>129</v>
      </c>
      <c r="I1770" s="30">
        <v>2</v>
      </c>
      <c r="J1770" s="7" t="s">
        <v>1177</v>
      </c>
      <c r="K1770" s="7" t="s">
        <v>1178</v>
      </c>
      <c r="L1770" s="7" t="s">
        <v>132</v>
      </c>
      <c r="M1770" s="7" t="s">
        <v>133</v>
      </c>
      <c r="N1770" s="30">
        <v>0</v>
      </c>
      <c r="O1770" s="30">
        <v>0</v>
      </c>
      <c r="P1770" s="30">
        <v>0</v>
      </c>
      <c r="Q1770" s="30">
        <v>0</v>
      </c>
      <c r="R1770" s="29">
        <v>0</v>
      </c>
      <c r="S1770" s="36">
        <v>0</v>
      </c>
      <c r="T1770" s="7" t="s">
        <v>131</v>
      </c>
      <c r="U1770" s="7" t="s">
        <v>1040</v>
      </c>
      <c r="V1770" s="7" t="s">
        <v>1040</v>
      </c>
      <c r="W1770" s="7" t="s">
        <v>1177</v>
      </c>
      <c r="X1770" s="30">
        <v>1</v>
      </c>
      <c r="Y1770" s="7" t="s">
        <v>1177</v>
      </c>
      <c r="Z1770" s="7" t="s">
        <v>1178</v>
      </c>
      <c r="AA1770" s="30">
        <v>0</v>
      </c>
      <c r="AB1770" s="36">
        <v>0</v>
      </c>
      <c r="AC1770" s="7" t="s">
        <v>1177</v>
      </c>
      <c r="AD1770" s="37">
        <v>0</v>
      </c>
      <c r="AE1770" s="7" t="s">
        <v>1177</v>
      </c>
      <c r="AF1770" s="7" t="s">
        <v>1177</v>
      </c>
      <c r="AG1770" s="7" t="s">
        <v>1177</v>
      </c>
      <c r="AH1770" s="38"/>
      <c r="AI1770" s="36">
        <v>0</v>
      </c>
      <c r="AJ1770" s="7" t="s">
        <v>1193</v>
      </c>
      <c r="AK1770" s="7" t="s">
        <v>1177</v>
      </c>
      <c r="AL1770" s="7" t="s">
        <v>1177</v>
      </c>
      <c r="AM1770" s="7" t="s">
        <v>1177</v>
      </c>
      <c r="AN1770" s="7" t="s">
        <v>3212</v>
      </c>
      <c r="AO1770" s="7" t="s">
        <v>1177</v>
      </c>
      <c r="AP1770" s="7" t="s">
        <v>1177</v>
      </c>
      <c r="AQ1770" s="7" t="s">
        <v>1177</v>
      </c>
      <c r="AR1770" s="29">
        <v>0</v>
      </c>
      <c r="AS1770" s="7" t="s">
        <v>1177</v>
      </c>
      <c r="AT1770" s="7" t="s">
        <v>1363</v>
      </c>
      <c r="AU1770" s="38">
        <v>46275</v>
      </c>
      <c r="AV1770" s="39">
        <v>0.62674768518518997</v>
      </c>
    </row>
    <row r="1771" spans="1:48" x14ac:dyDescent="0.35">
      <c r="A1771" t="str">
        <f t="shared" si="27"/>
        <v>GP608539B856</v>
      </c>
      <c r="B1771" s="7" t="s">
        <v>785</v>
      </c>
      <c r="C1771" s="7" t="s">
        <v>852</v>
      </c>
      <c r="D1771" s="7" t="s">
        <v>21</v>
      </c>
      <c r="E1771" s="7" t="s">
        <v>1177</v>
      </c>
      <c r="F1771" s="7" t="s">
        <v>128</v>
      </c>
      <c r="G1771" s="7" t="s">
        <v>130</v>
      </c>
      <c r="H1771" s="7" t="s">
        <v>129</v>
      </c>
      <c r="I1771" s="30">
        <v>1</v>
      </c>
      <c r="J1771" s="7" t="s">
        <v>1177</v>
      </c>
      <c r="K1771" s="7" t="s">
        <v>1178</v>
      </c>
      <c r="L1771" s="7" t="s">
        <v>132</v>
      </c>
      <c r="M1771" s="7" t="s">
        <v>133</v>
      </c>
      <c r="N1771" s="30">
        <v>0</v>
      </c>
      <c r="O1771" s="30">
        <v>0</v>
      </c>
      <c r="P1771" s="30">
        <v>0</v>
      </c>
      <c r="Q1771" s="30">
        <v>0</v>
      </c>
      <c r="R1771" s="29">
        <v>0</v>
      </c>
      <c r="S1771" s="36">
        <v>0</v>
      </c>
      <c r="T1771" s="7" t="s">
        <v>131</v>
      </c>
      <c r="U1771" s="7" t="s">
        <v>853</v>
      </c>
      <c r="V1771" s="7" t="s">
        <v>853</v>
      </c>
      <c r="W1771" s="7" t="s">
        <v>1177</v>
      </c>
      <c r="X1771" s="30">
        <v>1</v>
      </c>
      <c r="Y1771" s="7" t="s">
        <v>1177</v>
      </c>
      <c r="Z1771" s="7" t="s">
        <v>1178</v>
      </c>
      <c r="AA1771" s="30">
        <v>0</v>
      </c>
      <c r="AB1771" s="36">
        <v>0</v>
      </c>
      <c r="AC1771" s="7" t="s">
        <v>1177</v>
      </c>
      <c r="AD1771" s="37">
        <v>0</v>
      </c>
      <c r="AE1771" s="7" t="s">
        <v>1177</v>
      </c>
      <c r="AF1771" s="7" t="s">
        <v>1177</v>
      </c>
      <c r="AG1771" s="7" t="s">
        <v>1177</v>
      </c>
      <c r="AH1771" s="38"/>
      <c r="AI1771" s="36">
        <v>0</v>
      </c>
      <c r="AJ1771" s="7" t="s">
        <v>1193</v>
      </c>
      <c r="AK1771" s="7" t="s">
        <v>1177</v>
      </c>
      <c r="AL1771" s="7" t="s">
        <v>1177</v>
      </c>
      <c r="AM1771" s="7" t="s">
        <v>1177</v>
      </c>
      <c r="AN1771" s="7" t="s">
        <v>3212</v>
      </c>
      <c r="AO1771" s="7" t="s">
        <v>1177</v>
      </c>
      <c r="AP1771" s="7" t="s">
        <v>1177</v>
      </c>
      <c r="AQ1771" s="7" t="s">
        <v>1177</v>
      </c>
      <c r="AR1771" s="29">
        <v>0</v>
      </c>
      <c r="AS1771" s="7" t="s">
        <v>1177</v>
      </c>
      <c r="AT1771" s="7" t="s">
        <v>1363</v>
      </c>
      <c r="AU1771" s="38">
        <v>46275</v>
      </c>
      <c r="AV1771" s="39">
        <v>0.62489583333332999</v>
      </c>
    </row>
    <row r="1772" spans="1:48" x14ac:dyDescent="0.35">
      <c r="A1772" t="str">
        <f t="shared" si="27"/>
        <v>GP613250B864</v>
      </c>
      <c r="B1772" s="7" t="s">
        <v>1032</v>
      </c>
      <c r="C1772" s="7" t="s">
        <v>1010</v>
      </c>
      <c r="D1772" s="7" t="s">
        <v>10</v>
      </c>
      <c r="E1772" s="7" t="s">
        <v>1177</v>
      </c>
      <c r="F1772" s="7" t="s">
        <v>128</v>
      </c>
      <c r="G1772" s="7" t="s">
        <v>130</v>
      </c>
      <c r="H1772" s="7" t="s">
        <v>129</v>
      </c>
      <c r="I1772" s="30">
        <v>2</v>
      </c>
      <c r="J1772" s="7" t="s">
        <v>1177</v>
      </c>
      <c r="K1772" s="7" t="s">
        <v>1178</v>
      </c>
      <c r="L1772" s="7" t="s">
        <v>132</v>
      </c>
      <c r="M1772" s="7" t="s">
        <v>133</v>
      </c>
      <c r="N1772" s="30">
        <v>0</v>
      </c>
      <c r="O1772" s="30">
        <v>0</v>
      </c>
      <c r="P1772" s="30">
        <v>0</v>
      </c>
      <c r="Q1772" s="30">
        <v>0</v>
      </c>
      <c r="R1772" s="29">
        <v>0</v>
      </c>
      <c r="S1772" s="36">
        <v>0</v>
      </c>
      <c r="T1772" s="7" t="s">
        <v>131</v>
      </c>
      <c r="U1772" s="7" t="s">
        <v>1011</v>
      </c>
      <c r="V1772" s="7" t="s">
        <v>1011</v>
      </c>
      <c r="W1772" s="7" t="s">
        <v>1177</v>
      </c>
      <c r="X1772" s="30">
        <v>1</v>
      </c>
      <c r="Y1772" s="7" t="s">
        <v>1177</v>
      </c>
      <c r="Z1772" s="7" t="s">
        <v>1178</v>
      </c>
      <c r="AA1772" s="30">
        <v>0</v>
      </c>
      <c r="AB1772" s="36">
        <v>0</v>
      </c>
      <c r="AC1772" s="7" t="s">
        <v>1177</v>
      </c>
      <c r="AD1772" s="37">
        <v>0</v>
      </c>
      <c r="AE1772" s="7" t="s">
        <v>1177</v>
      </c>
      <c r="AF1772" s="7" t="s">
        <v>1177</v>
      </c>
      <c r="AG1772" s="7" t="s">
        <v>1177</v>
      </c>
      <c r="AH1772" s="38"/>
      <c r="AI1772" s="36">
        <v>0</v>
      </c>
      <c r="AJ1772" s="7" t="s">
        <v>1193</v>
      </c>
      <c r="AK1772" s="7" t="s">
        <v>1177</v>
      </c>
      <c r="AL1772" s="7" t="s">
        <v>1177</v>
      </c>
      <c r="AM1772" s="7" t="s">
        <v>1177</v>
      </c>
      <c r="AN1772" s="7" t="s">
        <v>3212</v>
      </c>
      <c r="AO1772" s="7" t="s">
        <v>1177</v>
      </c>
      <c r="AP1772" s="7" t="s">
        <v>1177</v>
      </c>
      <c r="AQ1772" s="7" t="s">
        <v>1177</v>
      </c>
      <c r="AR1772" s="29">
        <v>0</v>
      </c>
      <c r="AS1772" s="7" t="s">
        <v>1177</v>
      </c>
      <c r="AT1772" s="7" t="s">
        <v>1363</v>
      </c>
      <c r="AU1772" s="38">
        <v>46275</v>
      </c>
      <c r="AV1772" s="39">
        <v>0.62631944444443999</v>
      </c>
    </row>
    <row r="1773" spans="1:48" x14ac:dyDescent="0.35">
      <c r="A1773" t="str">
        <f t="shared" si="27"/>
        <v>GP613289B864</v>
      </c>
      <c r="B1773" s="7" t="s">
        <v>1033</v>
      </c>
      <c r="C1773" s="7" t="s">
        <v>1010</v>
      </c>
      <c r="D1773" s="7" t="s">
        <v>10</v>
      </c>
      <c r="E1773" s="7" t="s">
        <v>1177</v>
      </c>
      <c r="F1773" s="7" t="s">
        <v>128</v>
      </c>
      <c r="G1773" s="7" t="s">
        <v>130</v>
      </c>
      <c r="H1773" s="7" t="s">
        <v>129</v>
      </c>
      <c r="I1773" s="30">
        <v>2</v>
      </c>
      <c r="J1773" s="7" t="s">
        <v>1177</v>
      </c>
      <c r="K1773" s="7" t="s">
        <v>1178</v>
      </c>
      <c r="L1773" s="7" t="s">
        <v>132</v>
      </c>
      <c r="M1773" s="7" t="s">
        <v>133</v>
      </c>
      <c r="N1773" s="30">
        <v>0</v>
      </c>
      <c r="O1773" s="30">
        <v>0</v>
      </c>
      <c r="P1773" s="30">
        <v>0</v>
      </c>
      <c r="Q1773" s="30">
        <v>0</v>
      </c>
      <c r="R1773" s="29">
        <v>0</v>
      </c>
      <c r="S1773" s="36">
        <v>0</v>
      </c>
      <c r="T1773" s="7" t="s">
        <v>131</v>
      </c>
      <c r="U1773" s="7" t="s">
        <v>1011</v>
      </c>
      <c r="V1773" s="7" t="s">
        <v>1011</v>
      </c>
      <c r="W1773" s="7" t="s">
        <v>1177</v>
      </c>
      <c r="X1773" s="30">
        <v>1</v>
      </c>
      <c r="Y1773" s="7" t="s">
        <v>1177</v>
      </c>
      <c r="Z1773" s="7" t="s">
        <v>1178</v>
      </c>
      <c r="AA1773" s="30">
        <v>0</v>
      </c>
      <c r="AB1773" s="36">
        <v>0</v>
      </c>
      <c r="AC1773" s="7" t="s">
        <v>1177</v>
      </c>
      <c r="AD1773" s="37">
        <v>0</v>
      </c>
      <c r="AE1773" s="7" t="s">
        <v>1177</v>
      </c>
      <c r="AF1773" s="7" t="s">
        <v>1177</v>
      </c>
      <c r="AG1773" s="7" t="s">
        <v>1177</v>
      </c>
      <c r="AH1773" s="38"/>
      <c r="AI1773" s="36">
        <v>0</v>
      </c>
      <c r="AJ1773" s="7" t="s">
        <v>1193</v>
      </c>
      <c r="AK1773" s="7" t="s">
        <v>1177</v>
      </c>
      <c r="AL1773" s="7" t="s">
        <v>1177</v>
      </c>
      <c r="AM1773" s="7" t="s">
        <v>1177</v>
      </c>
      <c r="AN1773" s="7" t="s">
        <v>3212</v>
      </c>
      <c r="AO1773" s="7" t="s">
        <v>1177</v>
      </c>
      <c r="AP1773" s="7" t="s">
        <v>1177</v>
      </c>
      <c r="AQ1773" s="7" t="s">
        <v>1177</v>
      </c>
      <c r="AR1773" s="29">
        <v>0</v>
      </c>
      <c r="AS1773" s="7" t="s">
        <v>1177</v>
      </c>
      <c r="AT1773" s="7" t="s">
        <v>1363</v>
      </c>
      <c r="AU1773" s="38">
        <v>46275</v>
      </c>
      <c r="AV1773" s="39">
        <v>0.62631944444443999</v>
      </c>
    </row>
    <row r="1774" spans="1:48" x14ac:dyDescent="0.35">
      <c r="A1774" t="str">
        <f t="shared" si="27"/>
        <v>GP613289B865</v>
      </c>
      <c r="B1774" s="7" t="s">
        <v>1033</v>
      </c>
      <c r="C1774" s="7" t="s">
        <v>1039</v>
      </c>
      <c r="D1774" s="7" t="s">
        <v>7</v>
      </c>
      <c r="E1774" s="7" t="s">
        <v>1177</v>
      </c>
      <c r="F1774" s="7" t="s">
        <v>128</v>
      </c>
      <c r="G1774" s="7" t="s">
        <v>130</v>
      </c>
      <c r="H1774" s="7" t="s">
        <v>129</v>
      </c>
      <c r="I1774" s="30">
        <v>3</v>
      </c>
      <c r="J1774" s="7" t="s">
        <v>1177</v>
      </c>
      <c r="K1774" s="7" t="s">
        <v>1178</v>
      </c>
      <c r="L1774" s="7" t="s">
        <v>132</v>
      </c>
      <c r="M1774" s="7" t="s">
        <v>133</v>
      </c>
      <c r="N1774" s="30">
        <v>0</v>
      </c>
      <c r="O1774" s="30">
        <v>0</v>
      </c>
      <c r="P1774" s="30">
        <v>0</v>
      </c>
      <c r="Q1774" s="30">
        <v>0</v>
      </c>
      <c r="R1774" s="29">
        <v>0</v>
      </c>
      <c r="S1774" s="36">
        <v>0</v>
      </c>
      <c r="T1774" s="7" t="s">
        <v>131</v>
      </c>
      <c r="U1774" s="7" t="s">
        <v>1040</v>
      </c>
      <c r="V1774" s="7" t="s">
        <v>1040</v>
      </c>
      <c r="W1774" s="7" t="s">
        <v>1177</v>
      </c>
      <c r="X1774" s="30">
        <v>1</v>
      </c>
      <c r="Y1774" s="7" t="s">
        <v>1177</v>
      </c>
      <c r="Z1774" s="7" t="s">
        <v>1178</v>
      </c>
      <c r="AA1774" s="30">
        <v>0</v>
      </c>
      <c r="AB1774" s="36">
        <v>0</v>
      </c>
      <c r="AC1774" s="7" t="s">
        <v>1177</v>
      </c>
      <c r="AD1774" s="37">
        <v>0</v>
      </c>
      <c r="AE1774" s="7" t="s">
        <v>1177</v>
      </c>
      <c r="AF1774" s="7" t="s">
        <v>1177</v>
      </c>
      <c r="AG1774" s="7" t="s">
        <v>1177</v>
      </c>
      <c r="AH1774" s="38"/>
      <c r="AI1774" s="36">
        <v>0</v>
      </c>
      <c r="AJ1774" s="7" t="s">
        <v>1193</v>
      </c>
      <c r="AK1774" s="7" t="s">
        <v>1177</v>
      </c>
      <c r="AL1774" s="7" t="s">
        <v>1177</v>
      </c>
      <c r="AM1774" s="7" t="s">
        <v>1177</v>
      </c>
      <c r="AN1774" s="7" t="s">
        <v>3212</v>
      </c>
      <c r="AO1774" s="7" t="s">
        <v>1177</v>
      </c>
      <c r="AP1774" s="7" t="s">
        <v>1177</v>
      </c>
      <c r="AQ1774" s="7" t="s">
        <v>1177</v>
      </c>
      <c r="AR1774" s="29">
        <v>0</v>
      </c>
      <c r="AS1774" s="7" t="s">
        <v>1177</v>
      </c>
      <c r="AT1774" s="7" t="s">
        <v>1363</v>
      </c>
      <c r="AU1774" s="38">
        <v>46275</v>
      </c>
      <c r="AV1774" s="39">
        <v>0.62674768518518997</v>
      </c>
    </row>
    <row r="1775" spans="1:48" x14ac:dyDescent="0.35">
      <c r="A1775" t="str">
        <f t="shared" si="27"/>
        <v>GP613318B865</v>
      </c>
      <c r="B1775" s="7" t="s">
        <v>1053</v>
      </c>
      <c r="C1775" s="7" t="s">
        <v>1039</v>
      </c>
      <c r="D1775" s="7" t="s">
        <v>7</v>
      </c>
      <c r="E1775" s="7" t="s">
        <v>1177</v>
      </c>
      <c r="F1775" s="7" t="s">
        <v>128</v>
      </c>
      <c r="G1775" s="7" t="s">
        <v>130</v>
      </c>
      <c r="H1775" s="7" t="s">
        <v>129</v>
      </c>
      <c r="I1775" s="30">
        <v>2</v>
      </c>
      <c r="J1775" s="7" t="s">
        <v>1177</v>
      </c>
      <c r="K1775" s="7" t="s">
        <v>1178</v>
      </c>
      <c r="L1775" s="7" t="s">
        <v>132</v>
      </c>
      <c r="M1775" s="7" t="s">
        <v>133</v>
      </c>
      <c r="N1775" s="30">
        <v>0</v>
      </c>
      <c r="O1775" s="30">
        <v>0</v>
      </c>
      <c r="P1775" s="30">
        <v>0</v>
      </c>
      <c r="Q1775" s="30">
        <v>0</v>
      </c>
      <c r="R1775" s="29">
        <v>0</v>
      </c>
      <c r="S1775" s="36">
        <v>0</v>
      </c>
      <c r="T1775" s="7" t="s">
        <v>131</v>
      </c>
      <c r="U1775" s="7" t="s">
        <v>1040</v>
      </c>
      <c r="V1775" s="7" t="s">
        <v>1040</v>
      </c>
      <c r="W1775" s="7" t="s">
        <v>1177</v>
      </c>
      <c r="X1775" s="30">
        <v>1</v>
      </c>
      <c r="Y1775" s="7" t="s">
        <v>1177</v>
      </c>
      <c r="Z1775" s="7" t="s">
        <v>1178</v>
      </c>
      <c r="AA1775" s="30">
        <v>0</v>
      </c>
      <c r="AB1775" s="36">
        <v>0</v>
      </c>
      <c r="AC1775" s="7" t="s">
        <v>1177</v>
      </c>
      <c r="AD1775" s="37">
        <v>0</v>
      </c>
      <c r="AE1775" s="7" t="s">
        <v>1177</v>
      </c>
      <c r="AF1775" s="7" t="s">
        <v>1177</v>
      </c>
      <c r="AG1775" s="7" t="s">
        <v>1177</v>
      </c>
      <c r="AH1775" s="38"/>
      <c r="AI1775" s="36">
        <v>0</v>
      </c>
      <c r="AJ1775" s="7" t="s">
        <v>1193</v>
      </c>
      <c r="AK1775" s="7" t="s">
        <v>1177</v>
      </c>
      <c r="AL1775" s="7" t="s">
        <v>1177</v>
      </c>
      <c r="AM1775" s="7" t="s">
        <v>1177</v>
      </c>
      <c r="AN1775" s="7" t="s">
        <v>3212</v>
      </c>
      <c r="AO1775" s="7" t="s">
        <v>1177</v>
      </c>
      <c r="AP1775" s="7" t="s">
        <v>1177</v>
      </c>
      <c r="AQ1775" s="7" t="s">
        <v>1177</v>
      </c>
      <c r="AR1775" s="29">
        <v>0</v>
      </c>
      <c r="AS1775" s="7" t="s">
        <v>1177</v>
      </c>
      <c r="AT1775" s="7" t="s">
        <v>1363</v>
      </c>
      <c r="AU1775" s="38">
        <v>46275</v>
      </c>
      <c r="AV1775" s="39">
        <v>0.62674768518518997</v>
      </c>
    </row>
    <row r="1776" spans="1:48" x14ac:dyDescent="0.35">
      <c r="A1776" t="str">
        <f t="shared" si="27"/>
        <v>GP613322B864</v>
      </c>
      <c r="B1776" s="7" t="s">
        <v>1035</v>
      </c>
      <c r="C1776" s="7" t="s">
        <v>1010</v>
      </c>
      <c r="D1776" s="7" t="s">
        <v>10</v>
      </c>
      <c r="E1776" s="7" t="s">
        <v>1177</v>
      </c>
      <c r="F1776" s="7" t="s">
        <v>128</v>
      </c>
      <c r="G1776" s="7" t="s">
        <v>130</v>
      </c>
      <c r="H1776" s="7" t="s">
        <v>129</v>
      </c>
      <c r="I1776" s="30">
        <v>2</v>
      </c>
      <c r="J1776" s="7" t="s">
        <v>1177</v>
      </c>
      <c r="K1776" s="7" t="s">
        <v>1178</v>
      </c>
      <c r="L1776" s="7" t="s">
        <v>132</v>
      </c>
      <c r="M1776" s="7" t="s">
        <v>133</v>
      </c>
      <c r="N1776" s="30">
        <v>0</v>
      </c>
      <c r="O1776" s="30">
        <v>0</v>
      </c>
      <c r="P1776" s="30">
        <v>0</v>
      </c>
      <c r="Q1776" s="30">
        <v>0</v>
      </c>
      <c r="R1776" s="29">
        <v>0</v>
      </c>
      <c r="S1776" s="36">
        <v>0</v>
      </c>
      <c r="T1776" s="7" t="s">
        <v>131</v>
      </c>
      <c r="U1776" s="7" t="s">
        <v>1011</v>
      </c>
      <c r="V1776" s="7" t="s">
        <v>1011</v>
      </c>
      <c r="W1776" s="7" t="s">
        <v>1177</v>
      </c>
      <c r="X1776" s="30">
        <v>1</v>
      </c>
      <c r="Y1776" s="7" t="s">
        <v>1177</v>
      </c>
      <c r="Z1776" s="7" t="s">
        <v>1178</v>
      </c>
      <c r="AA1776" s="30">
        <v>0</v>
      </c>
      <c r="AB1776" s="36">
        <v>0</v>
      </c>
      <c r="AC1776" s="7" t="s">
        <v>1177</v>
      </c>
      <c r="AD1776" s="37">
        <v>0</v>
      </c>
      <c r="AE1776" s="7" t="s">
        <v>1177</v>
      </c>
      <c r="AF1776" s="7" t="s">
        <v>1177</v>
      </c>
      <c r="AG1776" s="7" t="s">
        <v>1177</v>
      </c>
      <c r="AH1776" s="38"/>
      <c r="AI1776" s="36">
        <v>0</v>
      </c>
      <c r="AJ1776" s="7" t="s">
        <v>1193</v>
      </c>
      <c r="AK1776" s="7" t="s">
        <v>1177</v>
      </c>
      <c r="AL1776" s="7" t="s">
        <v>1177</v>
      </c>
      <c r="AM1776" s="7" t="s">
        <v>1177</v>
      </c>
      <c r="AN1776" s="7" t="s">
        <v>3212</v>
      </c>
      <c r="AO1776" s="7" t="s">
        <v>1177</v>
      </c>
      <c r="AP1776" s="7" t="s">
        <v>1177</v>
      </c>
      <c r="AQ1776" s="7" t="s">
        <v>1177</v>
      </c>
      <c r="AR1776" s="29">
        <v>0</v>
      </c>
      <c r="AS1776" s="7" t="s">
        <v>1177</v>
      </c>
      <c r="AT1776" s="7" t="s">
        <v>1363</v>
      </c>
      <c r="AU1776" s="38">
        <v>46275</v>
      </c>
      <c r="AV1776" s="39">
        <v>0.62631944444443999</v>
      </c>
    </row>
    <row r="1777" spans="1:48" x14ac:dyDescent="0.35">
      <c r="A1777" t="str">
        <f t="shared" si="27"/>
        <v>GP614946B864</v>
      </c>
      <c r="B1777" s="7" t="s">
        <v>1036</v>
      </c>
      <c r="C1777" s="7" t="s">
        <v>1010</v>
      </c>
      <c r="D1777" s="7" t="s">
        <v>10</v>
      </c>
      <c r="E1777" s="7" t="s">
        <v>1177</v>
      </c>
      <c r="F1777" s="7" t="s">
        <v>128</v>
      </c>
      <c r="G1777" s="7" t="s">
        <v>130</v>
      </c>
      <c r="H1777" s="7" t="s">
        <v>129</v>
      </c>
      <c r="I1777" s="30">
        <v>2</v>
      </c>
      <c r="J1777" s="7" t="s">
        <v>1177</v>
      </c>
      <c r="K1777" s="7" t="s">
        <v>1178</v>
      </c>
      <c r="L1777" s="7" t="s">
        <v>132</v>
      </c>
      <c r="M1777" s="7" t="s">
        <v>133</v>
      </c>
      <c r="N1777" s="30">
        <v>0</v>
      </c>
      <c r="O1777" s="30">
        <v>0</v>
      </c>
      <c r="P1777" s="30">
        <v>0</v>
      </c>
      <c r="Q1777" s="30">
        <v>0</v>
      </c>
      <c r="R1777" s="29">
        <v>0</v>
      </c>
      <c r="S1777" s="36">
        <v>0</v>
      </c>
      <c r="T1777" s="7" t="s">
        <v>131</v>
      </c>
      <c r="U1777" s="7" t="s">
        <v>1011</v>
      </c>
      <c r="V1777" s="7" t="s">
        <v>1011</v>
      </c>
      <c r="W1777" s="7" t="s">
        <v>1177</v>
      </c>
      <c r="X1777" s="30">
        <v>1</v>
      </c>
      <c r="Y1777" s="7" t="s">
        <v>1177</v>
      </c>
      <c r="Z1777" s="7" t="s">
        <v>1178</v>
      </c>
      <c r="AA1777" s="30">
        <v>0</v>
      </c>
      <c r="AB1777" s="36">
        <v>0</v>
      </c>
      <c r="AC1777" s="7" t="s">
        <v>1177</v>
      </c>
      <c r="AD1777" s="37">
        <v>0</v>
      </c>
      <c r="AE1777" s="7" t="s">
        <v>1177</v>
      </c>
      <c r="AF1777" s="7" t="s">
        <v>1177</v>
      </c>
      <c r="AG1777" s="7" t="s">
        <v>1177</v>
      </c>
      <c r="AH1777" s="38"/>
      <c r="AI1777" s="36">
        <v>0</v>
      </c>
      <c r="AJ1777" s="7" t="s">
        <v>1193</v>
      </c>
      <c r="AK1777" s="7" t="s">
        <v>1177</v>
      </c>
      <c r="AL1777" s="7" t="s">
        <v>1177</v>
      </c>
      <c r="AM1777" s="7" t="s">
        <v>1177</v>
      </c>
      <c r="AN1777" s="7" t="s">
        <v>3212</v>
      </c>
      <c r="AO1777" s="7" t="s">
        <v>1177</v>
      </c>
      <c r="AP1777" s="7" t="s">
        <v>1177</v>
      </c>
      <c r="AQ1777" s="7" t="s">
        <v>1177</v>
      </c>
      <c r="AR1777" s="29">
        <v>0</v>
      </c>
      <c r="AS1777" s="7" t="s">
        <v>1177</v>
      </c>
      <c r="AT1777" s="7" t="s">
        <v>1363</v>
      </c>
      <c r="AU1777" s="38">
        <v>46275</v>
      </c>
      <c r="AV1777" s="39">
        <v>0.62631944444443999</v>
      </c>
    </row>
    <row r="1778" spans="1:48" x14ac:dyDescent="0.35">
      <c r="A1778" t="str">
        <f t="shared" si="27"/>
        <v>GP614946B865</v>
      </c>
      <c r="B1778" s="7" t="s">
        <v>1036</v>
      </c>
      <c r="C1778" s="7" t="s">
        <v>1039</v>
      </c>
      <c r="D1778" s="7" t="s">
        <v>7</v>
      </c>
      <c r="E1778" s="7" t="s">
        <v>1177</v>
      </c>
      <c r="F1778" s="7" t="s">
        <v>128</v>
      </c>
      <c r="G1778" s="7" t="s">
        <v>130</v>
      </c>
      <c r="H1778" s="7" t="s">
        <v>129</v>
      </c>
      <c r="I1778" s="30">
        <v>2</v>
      </c>
      <c r="J1778" s="7" t="s">
        <v>1177</v>
      </c>
      <c r="K1778" s="7" t="s">
        <v>1178</v>
      </c>
      <c r="L1778" s="7" t="s">
        <v>132</v>
      </c>
      <c r="M1778" s="7" t="s">
        <v>133</v>
      </c>
      <c r="N1778" s="30">
        <v>0</v>
      </c>
      <c r="O1778" s="30">
        <v>0</v>
      </c>
      <c r="P1778" s="30">
        <v>0</v>
      </c>
      <c r="Q1778" s="30">
        <v>0</v>
      </c>
      <c r="R1778" s="29">
        <v>0</v>
      </c>
      <c r="S1778" s="36">
        <v>0</v>
      </c>
      <c r="T1778" s="7" t="s">
        <v>131</v>
      </c>
      <c r="U1778" s="7" t="s">
        <v>1040</v>
      </c>
      <c r="V1778" s="7" t="s">
        <v>1040</v>
      </c>
      <c r="W1778" s="7" t="s">
        <v>1177</v>
      </c>
      <c r="X1778" s="30">
        <v>1</v>
      </c>
      <c r="Y1778" s="7" t="s">
        <v>1177</v>
      </c>
      <c r="Z1778" s="7" t="s">
        <v>1178</v>
      </c>
      <c r="AA1778" s="30">
        <v>0</v>
      </c>
      <c r="AB1778" s="36">
        <v>0</v>
      </c>
      <c r="AC1778" s="7" t="s">
        <v>1177</v>
      </c>
      <c r="AD1778" s="37">
        <v>0</v>
      </c>
      <c r="AE1778" s="7" t="s">
        <v>1177</v>
      </c>
      <c r="AF1778" s="7" t="s">
        <v>1177</v>
      </c>
      <c r="AG1778" s="7" t="s">
        <v>1177</v>
      </c>
      <c r="AH1778" s="38"/>
      <c r="AI1778" s="36">
        <v>0</v>
      </c>
      <c r="AJ1778" s="7" t="s">
        <v>1193</v>
      </c>
      <c r="AK1778" s="7" t="s">
        <v>1177</v>
      </c>
      <c r="AL1778" s="7" t="s">
        <v>1177</v>
      </c>
      <c r="AM1778" s="7" t="s">
        <v>1177</v>
      </c>
      <c r="AN1778" s="7" t="s">
        <v>3212</v>
      </c>
      <c r="AO1778" s="7" t="s">
        <v>1177</v>
      </c>
      <c r="AP1778" s="7" t="s">
        <v>1177</v>
      </c>
      <c r="AQ1778" s="7" t="s">
        <v>1177</v>
      </c>
      <c r="AR1778" s="29">
        <v>0</v>
      </c>
      <c r="AS1778" s="7" t="s">
        <v>1177</v>
      </c>
      <c r="AT1778" s="7" t="s">
        <v>1363</v>
      </c>
      <c r="AU1778" s="38">
        <v>46275</v>
      </c>
      <c r="AV1778" s="39">
        <v>0.62674768518518997</v>
      </c>
    </row>
    <row r="1779" spans="1:48" x14ac:dyDescent="0.35">
      <c r="A1779" t="str">
        <f t="shared" si="27"/>
        <v>GP616333B864</v>
      </c>
      <c r="B1779" s="7" t="s">
        <v>1037</v>
      </c>
      <c r="C1779" s="7" t="s">
        <v>1010</v>
      </c>
      <c r="D1779" s="7" t="s">
        <v>10</v>
      </c>
      <c r="E1779" s="7" t="s">
        <v>1177</v>
      </c>
      <c r="F1779" s="7" t="s">
        <v>128</v>
      </c>
      <c r="G1779" s="7" t="s">
        <v>130</v>
      </c>
      <c r="H1779" s="7" t="s">
        <v>129</v>
      </c>
      <c r="I1779" s="30">
        <v>2</v>
      </c>
      <c r="J1779" s="7" t="s">
        <v>1177</v>
      </c>
      <c r="K1779" s="7" t="s">
        <v>1178</v>
      </c>
      <c r="L1779" s="7" t="s">
        <v>132</v>
      </c>
      <c r="M1779" s="7" t="s">
        <v>133</v>
      </c>
      <c r="N1779" s="30">
        <v>0</v>
      </c>
      <c r="O1779" s="30">
        <v>0</v>
      </c>
      <c r="P1779" s="30">
        <v>0</v>
      </c>
      <c r="Q1779" s="30">
        <v>0</v>
      </c>
      <c r="R1779" s="29">
        <v>0</v>
      </c>
      <c r="S1779" s="36">
        <v>0</v>
      </c>
      <c r="T1779" s="7" t="s">
        <v>131</v>
      </c>
      <c r="U1779" s="7" t="s">
        <v>1011</v>
      </c>
      <c r="V1779" s="7" t="s">
        <v>1011</v>
      </c>
      <c r="W1779" s="7" t="s">
        <v>1177</v>
      </c>
      <c r="X1779" s="30">
        <v>1</v>
      </c>
      <c r="Y1779" s="7" t="s">
        <v>1177</v>
      </c>
      <c r="Z1779" s="7" t="s">
        <v>1178</v>
      </c>
      <c r="AA1779" s="30">
        <v>0</v>
      </c>
      <c r="AB1779" s="36">
        <v>0</v>
      </c>
      <c r="AC1779" s="7" t="s">
        <v>1177</v>
      </c>
      <c r="AD1779" s="37">
        <v>0</v>
      </c>
      <c r="AE1779" s="7" t="s">
        <v>1177</v>
      </c>
      <c r="AF1779" s="7" t="s">
        <v>1177</v>
      </c>
      <c r="AG1779" s="7" t="s">
        <v>1177</v>
      </c>
      <c r="AH1779" s="38"/>
      <c r="AI1779" s="36">
        <v>0</v>
      </c>
      <c r="AJ1779" s="7" t="s">
        <v>1193</v>
      </c>
      <c r="AK1779" s="7" t="s">
        <v>1177</v>
      </c>
      <c r="AL1779" s="7" t="s">
        <v>1177</v>
      </c>
      <c r="AM1779" s="7" t="s">
        <v>1177</v>
      </c>
      <c r="AN1779" s="7" t="s">
        <v>3212</v>
      </c>
      <c r="AO1779" s="7" t="s">
        <v>1177</v>
      </c>
      <c r="AP1779" s="7" t="s">
        <v>1177</v>
      </c>
      <c r="AQ1779" s="7" t="s">
        <v>1177</v>
      </c>
      <c r="AR1779" s="29">
        <v>0</v>
      </c>
      <c r="AS1779" s="7" t="s">
        <v>1177</v>
      </c>
      <c r="AT1779" s="7" t="s">
        <v>1363</v>
      </c>
      <c r="AU1779" s="38">
        <v>46275</v>
      </c>
      <c r="AV1779" s="39">
        <v>0.62631944444443999</v>
      </c>
    </row>
    <row r="1780" spans="1:48" x14ac:dyDescent="0.35">
      <c r="A1780" t="str">
        <f t="shared" si="27"/>
        <v>GP616335B865</v>
      </c>
      <c r="B1780" s="7" t="s">
        <v>1054</v>
      </c>
      <c r="C1780" s="7" t="s">
        <v>1039</v>
      </c>
      <c r="D1780" s="7" t="s">
        <v>7</v>
      </c>
      <c r="E1780" s="7" t="s">
        <v>1177</v>
      </c>
      <c r="F1780" s="7" t="s">
        <v>128</v>
      </c>
      <c r="G1780" s="7" t="s">
        <v>130</v>
      </c>
      <c r="H1780" s="7" t="s">
        <v>129</v>
      </c>
      <c r="I1780" s="30">
        <v>2</v>
      </c>
      <c r="J1780" s="7" t="s">
        <v>1177</v>
      </c>
      <c r="K1780" s="7" t="s">
        <v>1178</v>
      </c>
      <c r="L1780" s="7" t="s">
        <v>132</v>
      </c>
      <c r="M1780" s="7" t="s">
        <v>133</v>
      </c>
      <c r="N1780" s="30">
        <v>0</v>
      </c>
      <c r="O1780" s="30">
        <v>0</v>
      </c>
      <c r="P1780" s="30">
        <v>0</v>
      </c>
      <c r="Q1780" s="30">
        <v>0</v>
      </c>
      <c r="R1780" s="29">
        <v>0</v>
      </c>
      <c r="S1780" s="36">
        <v>0</v>
      </c>
      <c r="T1780" s="7" t="s">
        <v>131</v>
      </c>
      <c r="U1780" s="7" t="s">
        <v>1040</v>
      </c>
      <c r="V1780" s="7" t="s">
        <v>1040</v>
      </c>
      <c r="W1780" s="7" t="s">
        <v>1177</v>
      </c>
      <c r="X1780" s="30">
        <v>1</v>
      </c>
      <c r="Y1780" s="7" t="s">
        <v>1177</v>
      </c>
      <c r="Z1780" s="7" t="s">
        <v>1178</v>
      </c>
      <c r="AA1780" s="30">
        <v>0</v>
      </c>
      <c r="AB1780" s="36">
        <v>0</v>
      </c>
      <c r="AC1780" s="7" t="s">
        <v>1177</v>
      </c>
      <c r="AD1780" s="37">
        <v>0</v>
      </c>
      <c r="AE1780" s="7" t="s">
        <v>1177</v>
      </c>
      <c r="AF1780" s="7" t="s">
        <v>1177</v>
      </c>
      <c r="AG1780" s="7" t="s">
        <v>1177</v>
      </c>
      <c r="AH1780" s="38"/>
      <c r="AI1780" s="36">
        <v>0</v>
      </c>
      <c r="AJ1780" s="7" t="s">
        <v>1193</v>
      </c>
      <c r="AK1780" s="7" t="s">
        <v>1177</v>
      </c>
      <c r="AL1780" s="7" t="s">
        <v>1177</v>
      </c>
      <c r="AM1780" s="7" t="s">
        <v>1177</v>
      </c>
      <c r="AN1780" s="7" t="s">
        <v>3212</v>
      </c>
      <c r="AO1780" s="7" t="s">
        <v>1177</v>
      </c>
      <c r="AP1780" s="7" t="s">
        <v>1177</v>
      </c>
      <c r="AQ1780" s="7" t="s">
        <v>1177</v>
      </c>
      <c r="AR1780" s="29">
        <v>0</v>
      </c>
      <c r="AS1780" s="7" t="s">
        <v>1177</v>
      </c>
      <c r="AT1780" s="7" t="s">
        <v>1363</v>
      </c>
      <c r="AU1780" s="38">
        <v>46275</v>
      </c>
      <c r="AV1780" s="39">
        <v>0.62656250000000002</v>
      </c>
    </row>
    <row r="1781" spans="1:48" x14ac:dyDescent="0.35">
      <c r="A1781" t="str">
        <f t="shared" si="27"/>
        <v>GP616370B864</v>
      </c>
      <c r="B1781" s="7" t="s">
        <v>1038</v>
      </c>
      <c r="C1781" s="7" t="s">
        <v>1010</v>
      </c>
      <c r="D1781" s="7" t="s">
        <v>10</v>
      </c>
      <c r="E1781" s="7" t="s">
        <v>1177</v>
      </c>
      <c r="F1781" s="7" t="s">
        <v>128</v>
      </c>
      <c r="G1781" s="7" t="s">
        <v>130</v>
      </c>
      <c r="H1781" s="7" t="s">
        <v>129</v>
      </c>
      <c r="I1781" s="30">
        <v>2</v>
      </c>
      <c r="J1781" s="7" t="s">
        <v>1177</v>
      </c>
      <c r="K1781" s="7" t="s">
        <v>1178</v>
      </c>
      <c r="L1781" s="7" t="s">
        <v>132</v>
      </c>
      <c r="M1781" s="7" t="s">
        <v>133</v>
      </c>
      <c r="N1781" s="30">
        <v>0</v>
      </c>
      <c r="O1781" s="30">
        <v>0</v>
      </c>
      <c r="P1781" s="30">
        <v>0</v>
      </c>
      <c r="Q1781" s="30">
        <v>0</v>
      </c>
      <c r="R1781" s="29">
        <v>0</v>
      </c>
      <c r="S1781" s="36">
        <v>0</v>
      </c>
      <c r="T1781" s="7" t="s">
        <v>131</v>
      </c>
      <c r="U1781" s="7" t="s">
        <v>1011</v>
      </c>
      <c r="V1781" s="7" t="s">
        <v>1011</v>
      </c>
      <c r="W1781" s="7" t="s">
        <v>1177</v>
      </c>
      <c r="X1781" s="30">
        <v>1</v>
      </c>
      <c r="Y1781" s="7" t="s">
        <v>1177</v>
      </c>
      <c r="Z1781" s="7" t="s">
        <v>1178</v>
      </c>
      <c r="AA1781" s="30">
        <v>0</v>
      </c>
      <c r="AB1781" s="36">
        <v>0</v>
      </c>
      <c r="AC1781" s="7" t="s">
        <v>1177</v>
      </c>
      <c r="AD1781" s="37">
        <v>0</v>
      </c>
      <c r="AE1781" s="7" t="s">
        <v>1177</v>
      </c>
      <c r="AF1781" s="7" t="s">
        <v>1177</v>
      </c>
      <c r="AG1781" s="7" t="s">
        <v>1177</v>
      </c>
      <c r="AH1781" s="38"/>
      <c r="AI1781" s="36">
        <v>0</v>
      </c>
      <c r="AJ1781" s="7" t="s">
        <v>1193</v>
      </c>
      <c r="AK1781" s="7" t="s">
        <v>1177</v>
      </c>
      <c r="AL1781" s="7" t="s">
        <v>1177</v>
      </c>
      <c r="AM1781" s="7" t="s">
        <v>1177</v>
      </c>
      <c r="AN1781" s="7" t="s">
        <v>3212</v>
      </c>
      <c r="AO1781" s="7" t="s">
        <v>1177</v>
      </c>
      <c r="AP1781" s="7" t="s">
        <v>1177</v>
      </c>
      <c r="AQ1781" s="7" t="s">
        <v>1177</v>
      </c>
      <c r="AR1781" s="29">
        <v>0</v>
      </c>
      <c r="AS1781" s="7" t="s">
        <v>1177</v>
      </c>
      <c r="AT1781" s="7" t="s">
        <v>1363</v>
      </c>
      <c r="AU1781" s="38">
        <v>46275</v>
      </c>
      <c r="AV1781" s="39">
        <v>0.62631944444443999</v>
      </c>
    </row>
    <row r="1782" spans="1:48" x14ac:dyDescent="0.35">
      <c r="A1782" t="str">
        <f t="shared" si="27"/>
        <v>GP634923B864</v>
      </c>
      <c r="B1782" s="7" t="s">
        <v>433</v>
      </c>
      <c r="C1782" s="7" t="s">
        <v>1010</v>
      </c>
      <c r="D1782" s="7" t="s">
        <v>10</v>
      </c>
      <c r="E1782" s="7" t="s">
        <v>1177</v>
      </c>
      <c r="F1782" s="7" t="s">
        <v>128</v>
      </c>
      <c r="G1782" s="7" t="s">
        <v>130</v>
      </c>
      <c r="H1782" s="7" t="s">
        <v>129</v>
      </c>
      <c r="I1782" s="30">
        <v>2</v>
      </c>
      <c r="J1782" s="7" t="s">
        <v>1177</v>
      </c>
      <c r="K1782" s="7" t="s">
        <v>1178</v>
      </c>
      <c r="L1782" s="7" t="s">
        <v>132</v>
      </c>
      <c r="M1782" s="7" t="s">
        <v>133</v>
      </c>
      <c r="N1782" s="30">
        <v>0</v>
      </c>
      <c r="O1782" s="30">
        <v>0</v>
      </c>
      <c r="P1782" s="30">
        <v>0</v>
      </c>
      <c r="Q1782" s="30">
        <v>0</v>
      </c>
      <c r="R1782" s="29">
        <v>0</v>
      </c>
      <c r="S1782" s="36">
        <v>0</v>
      </c>
      <c r="T1782" s="7" t="s">
        <v>131</v>
      </c>
      <c r="U1782" s="7" t="s">
        <v>1011</v>
      </c>
      <c r="V1782" s="7" t="s">
        <v>1011</v>
      </c>
      <c r="W1782" s="7" t="s">
        <v>1177</v>
      </c>
      <c r="X1782" s="30">
        <v>1</v>
      </c>
      <c r="Y1782" s="7" t="s">
        <v>1177</v>
      </c>
      <c r="Z1782" s="7" t="s">
        <v>1178</v>
      </c>
      <c r="AA1782" s="30">
        <v>0</v>
      </c>
      <c r="AB1782" s="36">
        <v>0</v>
      </c>
      <c r="AC1782" s="7" t="s">
        <v>1177</v>
      </c>
      <c r="AD1782" s="37">
        <v>0</v>
      </c>
      <c r="AE1782" s="7" t="s">
        <v>1177</v>
      </c>
      <c r="AF1782" s="7" t="s">
        <v>1177</v>
      </c>
      <c r="AG1782" s="7" t="s">
        <v>1177</v>
      </c>
      <c r="AH1782" s="38"/>
      <c r="AI1782" s="36">
        <v>0</v>
      </c>
      <c r="AJ1782" s="7" t="s">
        <v>1193</v>
      </c>
      <c r="AK1782" s="7" t="s">
        <v>1177</v>
      </c>
      <c r="AL1782" s="7" t="s">
        <v>1177</v>
      </c>
      <c r="AM1782" s="7" t="s">
        <v>1177</v>
      </c>
      <c r="AN1782" s="7" t="s">
        <v>3212</v>
      </c>
      <c r="AO1782" s="7" t="s">
        <v>1177</v>
      </c>
      <c r="AP1782" s="7" t="s">
        <v>1177</v>
      </c>
      <c r="AQ1782" s="7" t="s">
        <v>1177</v>
      </c>
      <c r="AR1782" s="29">
        <v>0</v>
      </c>
      <c r="AS1782" s="7" t="s">
        <v>1177</v>
      </c>
      <c r="AT1782" s="7" t="s">
        <v>1363</v>
      </c>
      <c r="AU1782" s="38">
        <v>46275</v>
      </c>
      <c r="AV1782" s="39">
        <v>0.62631944444443999</v>
      </c>
    </row>
    <row r="1783" spans="1:48" x14ac:dyDescent="0.35">
      <c r="A1783" t="str">
        <f t="shared" si="27"/>
        <v>INT0427B856</v>
      </c>
      <c r="B1783" s="7" t="s">
        <v>851</v>
      </c>
      <c r="C1783" s="7" t="s">
        <v>852</v>
      </c>
      <c r="D1783" s="7" t="s">
        <v>21</v>
      </c>
      <c r="E1783" s="7" t="s">
        <v>1177</v>
      </c>
      <c r="F1783" s="7" t="s">
        <v>128</v>
      </c>
      <c r="G1783" s="7" t="s">
        <v>130</v>
      </c>
      <c r="H1783" s="7" t="s">
        <v>129</v>
      </c>
      <c r="I1783" s="30">
        <v>2</v>
      </c>
      <c r="J1783" s="7" t="s">
        <v>1177</v>
      </c>
      <c r="K1783" s="7" t="s">
        <v>1178</v>
      </c>
      <c r="L1783" s="7" t="s">
        <v>132</v>
      </c>
      <c r="M1783" s="7" t="s">
        <v>133</v>
      </c>
      <c r="N1783" s="30">
        <v>0</v>
      </c>
      <c r="O1783" s="30">
        <v>0</v>
      </c>
      <c r="P1783" s="30">
        <v>0</v>
      </c>
      <c r="Q1783" s="30">
        <v>0</v>
      </c>
      <c r="R1783" s="29">
        <v>0</v>
      </c>
      <c r="S1783" s="36">
        <v>0</v>
      </c>
      <c r="T1783" s="7" t="s">
        <v>131</v>
      </c>
      <c r="U1783" s="7" t="s">
        <v>853</v>
      </c>
      <c r="V1783" s="7" t="s">
        <v>853</v>
      </c>
      <c r="W1783" s="7" t="s">
        <v>1177</v>
      </c>
      <c r="X1783" s="30">
        <v>1</v>
      </c>
      <c r="Y1783" s="7" t="s">
        <v>1177</v>
      </c>
      <c r="Z1783" s="7" t="s">
        <v>1178</v>
      </c>
      <c r="AA1783" s="30">
        <v>0</v>
      </c>
      <c r="AB1783" s="36">
        <v>0</v>
      </c>
      <c r="AC1783" s="7" t="s">
        <v>1177</v>
      </c>
      <c r="AD1783" s="37">
        <v>0</v>
      </c>
      <c r="AE1783" s="7" t="s">
        <v>1177</v>
      </c>
      <c r="AF1783" s="7" t="s">
        <v>1177</v>
      </c>
      <c r="AG1783" s="7" t="s">
        <v>1177</v>
      </c>
      <c r="AH1783" s="38"/>
      <c r="AI1783" s="36">
        <v>0</v>
      </c>
      <c r="AJ1783" s="7" t="s">
        <v>1193</v>
      </c>
      <c r="AK1783" s="7" t="s">
        <v>1177</v>
      </c>
      <c r="AL1783" s="7" t="s">
        <v>1177</v>
      </c>
      <c r="AM1783" s="7" t="s">
        <v>1177</v>
      </c>
      <c r="AN1783" s="7" t="s">
        <v>3212</v>
      </c>
      <c r="AO1783" s="7" t="s">
        <v>1177</v>
      </c>
      <c r="AP1783" s="7" t="s">
        <v>1177</v>
      </c>
      <c r="AQ1783" s="7" t="s">
        <v>1177</v>
      </c>
      <c r="AR1783" s="29">
        <v>0</v>
      </c>
      <c r="AS1783" s="7" t="s">
        <v>1177</v>
      </c>
      <c r="AT1783" s="7" t="s">
        <v>1363</v>
      </c>
      <c r="AU1783" s="38">
        <v>46275</v>
      </c>
      <c r="AV1783" s="39">
        <v>0.62489583333332999</v>
      </c>
    </row>
    <row r="1784" spans="1:48" x14ac:dyDescent="0.35">
      <c r="A1784" t="str">
        <f t="shared" si="27"/>
        <v>KRM0083B833</v>
      </c>
      <c r="B1784" s="7" t="s">
        <v>727</v>
      </c>
      <c r="C1784" s="7" t="s">
        <v>698</v>
      </c>
      <c r="D1784" s="7" t="s">
        <v>697</v>
      </c>
      <c r="E1784" s="7" t="s">
        <v>1177</v>
      </c>
      <c r="F1784" s="7" t="s">
        <v>128</v>
      </c>
      <c r="G1784" s="7" t="s">
        <v>130</v>
      </c>
      <c r="H1784" s="7" t="s">
        <v>129</v>
      </c>
      <c r="I1784" s="30">
        <v>2</v>
      </c>
      <c r="J1784" s="7" t="s">
        <v>1177</v>
      </c>
      <c r="K1784" s="7" t="s">
        <v>1178</v>
      </c>
      <c r="L1784" s="7" t="s">
        <v>132</v>
      </c>
      <c r="M1784" s="7" t="s">
        <v>133</v>
      </c>
      <c r="N1784" s="30">
        <v>0</v>
      </c>
      <c r="O1784" s="30">
        <v>0</v>
      </c>
      <c r="P1784" s="30">
        <v>0</v>
      </c>
      <c r="Q1784" s="30">
        <v>0</v>
      </c>
      <c r="R1784" s="29">
        <v>0</v>
      </c>
      <c r="S1784" s="36">
        <v>0</v>
      </c>
      <c r="T1784" s="7" t="s">
        <v>131</v>
      </c>
      <c r="U1784" s="7" t="s">
        <v>699</v>
      </c>
      <c r="V1784" s="7" t="s">
        <v>699</v>
      </c>
      <c r="W1784" s="7" t="s">
        <v>1177</v>
      </c>
      <c r="X1784" s="30">
        <v>1</v>
      </c>
      <c r="Y1784" s="7" t="s">
        <v>1177</v>
      </c>
      <c r="Z1784" s="7" t="s">
        <v>1178</v>
      </c>
      <c r="AA1784" s="30">
        <v>0</v>
      </c>
      <c r="AB1784" s="36">
        <v>0</v>
      </c>
      <c r="AC1784" s="7" t="s">
        <v>1177</v>
      </c>
      <c r="AD1784" s="37">
        <v>0</v>
      </c>
      <c r="AE1784" s="7" t="s">
        <v>1177</v>
      </c>
      <c r="AF1784" s="7" t="s">
        <v>1177</v>
      </c>
      <c r="AG1784" s="7" t="s">
        <v>1177</v>
      </c>
      <c r="AH1784" s="38"/>
      <c r="AI1784" s="36">
        <v>0</v>
      </c>
      <c r="AJ1784" s="7" t="s">
        <v>1193</v>
      </c>
      <c r="AK1784" s="7" t="s">
        <v>1177</v>
      </c>
      <c r="AL1784" s="7" t="s">
        <v>1177</v>
      </c>
      <c r="AM1784" s="7" t="s">
        <v>1177</v>
      </c>
      <c r="AN1784" s="7" t="s">
        <v>3212</v>
      </c>
      <c r="AO1784" s="7" t="s">
        <v>1177</v>
      </c>
      <c r="AP1784" s="7" t="s">
        <v>1177</v>
      </c>
      <c r="AQ1784" s="7" t="s">
        <v>1177</v>
      </c>
      <c r="AR1784" s="29">
        <v>0</v>
      </c>
      <c r="AS1784" s="7" t="s">
        <v>1177</v>
      </c>
      <c r="AT1784" s="7" t="s">
        <v>1363</v>
      </c>
      <c r="AU1784" s="38">
        <v>46275</v>
      </c>
      <c r="AV1784" s="39">
        <v>0.62359953703703996</v>
      </c>
    </row>
    <row r="1785" spans="1:48" x14ac:dyDescent="0.35">
      <c r="A1785" t="str">
        <f t="shared" si="27"/>
        <v>NOR00058B838</v>
      </c>
      <c r="B1785" s="7" t="s">
        <v>738</v>
      </c>
      <c r="C1785" s="7" t="s">
        <v>744</v>
      </c>
      <c r="D1785" s="7" t="s">
        <v>48</v>
      </c>
      <c r="E1785" s="7" t="s">
        <v>1177</v>
      </c>
      <c r="F1785" s="7" t="s">
        <v>128</v>
      </c>
      <c r="G1785" s="7" t="s">
        <v>130</v>
      </c>
      <c r="H1785" s="7" t="s">
        <v>129</v>
      </c>
      <c r="I1785" s="30">
        <v>2</v>
      </c>
      <c r="J1785" s="7" t="s">
        <v>1177</v>
      </c>
      <c r="K1785" s="7" t="s">
        <v>1178</v>
      </c>
      <c r="L1785" s="7" t="s">
        <v>132</v>
      </c>
      <c r="M1785" s="7" t="s">
        <v>133</v>
      </c>
      <c r="N1785" s="30">
        <v>0</v>
      </c>
      <c r="O1785" s="30">
        <v>0</v>
      </c>
      <c r="P1785" s="30">
        <v>0</v>
      </c>
      <c r="Q1785" s="30">
        <v>0</v>
      </c>
      <c r="R1785" s="29">
        <v>0</v>
      </c>
      <c r="S1785" s="36">
        <v>0</v>
      </c>
      <c r="T1785" s="7" t="s">
        <v>131</v>
      </c>
      <c r="U1785" s="7" t="s">
        <v>745</v>
      </c>
      <c r="V1785" s="7" t="s">
        <v>745</v>
      </c>
      <c r="W1785" s="7" t="s">
        <v>1177</v>
      </c>
      <c r="X1785" s="30">
        <v>1</v>
      </c>
      <c r="Y1785" s="7" t="s">
        <v>1177</v>
      </c>
      <c r="Z1785" s="7" t="s">
        <v>1178</v>
      </c>
      <c r="AA1785" s="30">
        <v>0</v>
      </c>
      <c r="AB1785" s="36">
        <v>0</v>
      </c>
      <c r="AC1785" s="7" t="s">
        <v>1177</v>
      </c>
      <c r="AD1785" s="37">
        <v>0</v>
      </c>
      <c r="AE1785" s="7" t="s">
        <v>1177</v>
      </c>
      <c r="AF1785" s="7" t="s">
        <v>1177</v>
      </c>
      <c r="AG1785" s="7" t="s">
        <v>1177</v>
      </c>
      <c r="AH1785" s="38"/>
      <c r="AI1785" s="36">
        <v>0</v>
      </c>
      <c r="AJ1785" s="7" t="s">
        <v>1193</v>
      </c>
      <c r="AK1785" s="7" t="s">
        <v>1177</v>
      </c>
      <c r="AL1785" s="7" t="s">
        <v>1177</v>
      </c>
      <c r="AM1785" s="7" t="s">
        <v>1177</v>
      </c>
      <c r="AN1785" s="7" t="s">
        <v>3212</v>
      </c>
      <c r="AO1785" s="7" t="s">
        <v>1177</v>
      </c>
      <c r="AP1785" s="7" t="s">
        <v>1177</v>
      </c>
      <c r="AQ1785" s="7" t="s">
        <v>1177</v>
      </c>
      <c r="AR1785" s="29">
        <v>0</v>
      </c>
      <c r="AS1785" s="7" t="s">
        <v>1177</v>
      </c>
      <c r="AT1785" s="7" t="s">
        <v>1363</v>
      </c>
      <c r="AU1785" s="38">
        <v>46275</v>
      </c>
      <c r="AV1785" s="39">
        <v>0.62398148148148003</v>
      </c>
    </row>
    <row r="1786" spans="1:48" x14ac:dyDescent="0.35">
      <c r="A1786" t="str">
        <f t="shared" si="27"/>
        <v>P100035B857</v>
      </c>
      <c r="B1786" s="7" t="s">
        <v>1006</v>
      </c>
      <c r="C1786" s="7" t="s">
        <v>958</v>
      </c>
      <c r="D1786" s="7" t="s">
        <v>23</v>
      </c>
      <c r="E1786" s="7" t="s">
        <v>1177</v>
      </c>
      <c r="F1786" s="7" t="s">
        <v>128</v>
      </c>
      <c r="G1786" s="7" t="s">
        <v>130</v>
      </c>
      <c r="H1786" s="7" t="s">
        <v>129</v>
      </c>
      <c r="I1786" s="30">
        <v>2</v>
      </c>
      <c r="J1786" s="7" t="s">
        <v>1177</v>
      </c>
      <c r="K1786" s="7" t="s">
        <v>1178</v>
      </c>
      <c r="L1786" s="7" t="s">
        <v>132</v>
      </c>
      <c r="M1786" s="7" t="s">
        <v>133</v>
      </c>
      <c r="N1786" s="30">
        <v>0</v>
      </c>
      <c r="O1786" s="30">
        <v>0</v>
      </c>
      <c r="P1786" s="30">
        <v>0</v>
      </c>
      <c r="Q1786" s="30">
        <v>0</v>
      </c>
      <c r="R1786" s="29">
        <v>0</v>
      </c>
      <c r="S1786" s="36">
        <v>0</v>
      </c>
      <c r="T1786" s="7" t="s">
        <v>131</v>
      </c>
      <c r="U1786" s="7" t="s">
        <v>959</v>
      </c>
      <c r="V1786" s="7" t="s">
        <v>959</v>
      </c>
      <c r="W1786" s="7" t="s">
        <v>1177</v>
      </c>
      <c r="X1786" s="30">
        <v>1</v>
      </c>
      <c r="Y1786" s="7" t="s">
        <v>1177</v>
      </c>
      <c r="Z1786" s="7" t="s">
        <v>1178</v>
      </c>
      <c r="AA1786" s="30">
        <v>0</v>
      </c>
      <c r="AB1786" s="36">
        <v>0</v>
      </c>
      <c r="AC1786" s="7" t="s">
        <v>1177</v>
      </c>
      <c r="AD1786" s="37">
        <v>0</v>
      </c>
      <c r="AE1786" s="7" t="s">
        <v>1177</v>
      </c>
      <c r="AF1786" s="7" t="s">
        <v>1177</v>
      </c>
      <c r="AG1786" s="7" t="s">
        <v>1177</v>
      </c>
      <c r="AH1786" s="38"/>
      <c r="AI1786" s="36">
        <v>0</v>
      </c>
      <c r="AJ1786" s="7" t="s">
        <v>1193</v>
      </c>
      <c r="AK1786" s="7" t="s">
        <v>1177</v>
      </c>
      <c r="AL1786" s="7" t="s">
        <v>1177</v>
      </c>
      <c r="AM1786" s="7" t="s">
        <v>1177</v>
      </c>
      <c r="AN1786" s="7" t="s">
        <v>3212</v>
      </c>
      <c r="AO1786" s="7" t="s">
        <v>1177</v>
      </c>
      <c r="AP1786" s="7" t="s">
        <v>1177</v>
      </c>
      <c r="AQ1786" s="7" t="s">
        <v>1177</v>
      </c>
      <c r="AR1786" s="29">
        <v>0</v>
      </c>
      <c r="AS1786" s="7" t="s">
        <v>1177</v>
      </c>
      <c r="AT1786" s="7" t="s">
        <v>1363</v>
      </c>
      <c r="AU1786" s="38">
        <v>46275</v>
      </c>
      <c r="AV1786" s="39">
        <v>0.62511574074073994</v>
      </c>
    </row>
    <row r="1787" spans="1:48" x14ac:dyDescent="0.35">
      <c r="A1787" t="str">
        <f t="shared" si="27"/>
        <v>P100037B832</v>
      </c>
      <c r="B1787" s="7" t="s">
        <v>299</v>
      </c>
      <c r="C1787" s="7" t="s">
        <v>653</v>
      </c>
      <c r="D1787" s="7" t="s">
        <v>19</v>
      </c>
      <c r="E1787" s="7" t="s">
        <v>1177</v>
      </c>
      <c r="F1787" s="7" t="s">
        <v>128</v>
      </c>
      <c r="G1787" s="7" t="s">
        <v>130</v>
      </c>
      <c r="H1787" s="7" t="s">
        <v>129</v>
      </c>
      <c r="I1787" s="30">
        <v>2</v>
      </c>
      <c r="J1787" s="7" t="s">
        <v>1177</v>
      </c>
      <c r="K1787" s="7" t="s">
        <v>1178</v>
      </c>
      <c r="L1787" s="7" t="s">
        <v>132</v>
      </c>
      <c r="M1787" s="7" t="s">
        <v>133</v>
      </c>
      <c r="N1787" s="30">
        <v>0</v>
      </c>
      <c r="O1787" s="30">
        <v>0</v>
      </c>
      <c r="P1787" s="30">
        <v>0</v>
      </c>
      <c r="Q1787" s="30">
        <v>0</v>
      </c>
      <c r="R1787" s="29">
        <v>0</v>
      </c>
      <c r="S1787" s="36">
        <v>0</v>
      </c>
      <c r="T1787" s="7" t="s">
        <v>131</v>
      </c>
      <c r="U1787" s="7" t="s">
        <v>654</v>
      </c>
      <c r="V1787" s="7" t="s">
        <v>654</v>
      </c>
      <c r="W1787" s="7" t="s">
        <v>1177</v>
      </c>
      <c r="X1787" s="30">
        <v>1</v>
      </c>
      <c r="Y1787" s="7" t="s">
        <v>1177</v>
      </c>
      <c r="Z1787" s="7" t="s">
        <v>1178</v>
      </c>
      <c r="AA1787" s="30">
        <v>0</v>
      </c>
      <c r="AB1787" s="36">
        <v>0</v>
      </c>
      <c r="AC1787" s="7" t="s">
        <v>1177</v>
      </c>
      <c r="AD1787" s="37">
        <v>0</v>
      </c>
      <c r="AE1787" s="7" t="s">
        <v>1177</v>
      </c>
      <c r="AF1787" s="7" t="s">
        <v>1177</v>
      </c>
      <c r="AG1787" s="7" t="s">
        <v>1177</v>
      </c>
      <c r="AH1787" s="38"/>
      <c r="AI1787" s="36">
        <v>0</v>
      </c>
      <c r="AJ1787" s="7" t="s">
        <v>1193</v>
      </c>
      <c r="AK1787" s="7" t="s">
        <v>1177</v>
      </c>
      <c r="AL1787" s="7" t="s">
        <v>1177</v>
      </c>
      <c r="AM1787" s="7" t="s">
        <v>1177</v>
      </c>
      <c r="AN1787" s="7" t="s">
        <v>3212</v>
      </c>
      <c r="AO1787" s="7" t="s">
        <v>1177</v>
      </c>
      <c r="AP1787" s="7" t="s">
        <v>1177</v>
      </c>
      <c r="AQ1787" s="7" t="s">
        <v>1177</v>
      </c>
      <c r="AR1787" s="29">
        <v>0</v>
      </c>
      <c r="AS1787" s="7" t="s">
        <v>1177</v>
      </c>
      <c r="AT1787" s="7" t="s">
        <v>1363</v>
      </c>
      <c r="AU1787" s="38">
        <v>46275</v>
      </c>
      <c r="AV1787" s="39">
        <v>0.60384259259258999</v>
      </c>
    </row>
    <row r="1788" spans="1:48" x14ac:dyDescent="0.35">
      <c r="A1788" t="str">
        <f t="shared" si="27"/>
        <v>P300519B825</v>
      </c>
      <c r="B1788" s="7" t="s">
        <v>300</v>
      </c>
      <c r="C1788" s="7" t="s">
        <v>511</v>
      </c>
      <c r="D1788" s="7" t="s">
        <v>16</v>
      </c>
      <c r="E1788" s="7" t="s">
        <v>1177</v>
      </c>
      <c r="F1788" s="7" t="s">
        <v>128</v>
      </c>
      <c r="G1788" s="7" t="s">
        <v>130</v>
      </c>
      <c r="H1788" s="7" t="s">
        <v>129</v>
      </c>
      <c r="I1788" s="30">
        <v>2</v>
      </c>
      <c r="J1788" s="7" t="s">
        <v>1177</v>
      </c>
      <c r="K1788" s="7" t="s">
        <v>1178</v>
      </c>
      <c r="L1788" s="7" t="s">
        <v>132</v>
      </c>
      <c r="M1788" s="7" t="s">
        <v>133</v>
      </c>
      <c r="N1788" s="30">
        <v>0</v>
      </c>
      <c r="O1788" s="30">
        <v>0</v>
      </c>
      <c r="P1788" s="30">
        <v>0</v>
      </c>
      <c r="Q1788" s="30">
        <v>0</v>
      </c>
      <c r="R1788" s="29">
        <v>0</v>
      </c>
      <c r="S1788" s="36">
        <v>0</v>
      </c>
      <c r="T1788" s="7" t="s">
        <v>131</v>
      </c>
      <c r="U1788" s="7" t="s">
        <v>512</v>
      </c>
      <c r="V1788" s="7" t="s">
        <v>512</v>
      </c>
      <c r="W1788" s="7" t="s">
        <v>1177</v>
      </c>
      <c r="X1788" s="30">
        <v>1</v>
      </c>
      <c r="Y1788" s="7" t="s">
        <v>1177</v>
      </c>
      <c r="Z1788" s="7" t="s">
        <v>1178</v>
      </c>
      <c r="AA1788" s="30">
        <v>0</v>
      </c>
      <c r="AB1788" s="36">
        <v>0</v>
      </c>
      <c r="AC1788" s="7" t="s">
        <v>1177</v>
      </c>
      <c r="AD1788" s="37">
        <v>0</v>
      </c>
      <c r="AE1788" s="7" t="s">
        <v>1177</v>
      </c>
      <c r="AF1788" s="7" t="s">
        <v>1177</v>
      </c>
      <c r="AG1788" s="7" t="s">
        <v>1177</v>
      </c>
      <c r="AH1788" s="38"/>
      <c r="AI1788" s="36">
        <v>0</v>
      </c>
      <c r="AJ1788" s="7" t="s">
        <v>1193</v>
      </c>
      <c r="AK1788" s="7" t="s">
        <v>1177</v>
      </c>
      <c r="AL1788" s="7" t="s">
        <v>1177</v>
      </c>
      <c r="AM1788" s="7" t="s">
        <v>1177</v>
      </c>
      <c r="AN1788" s="7" t="s">
        <v>3212</v>
      </c>
      <c r="AO1788" s="7" t="s">
        <v>1177</v>
      </c>
      <c r="AP1788" s="7" t="s">
        <v>1177</v>
      </c>
      <c r="AQ1788" s="7" t="s">
        <v>1177</v>
      </c>
      <c r="AR1788" s="29">
        <v>0</v>
      </c>
      <c r="AS1788" s="7" t="s">
        <v>1177</v>
      </c>
      <c r="AT1788" s="7" t="s">
        <v>1363</v>
      </c>
      <c r="AU1788" s="38">
        <v>46275</v>
      </c>
      <c r="AV1788" s="39">
        <v>0.60349537037037004</v>
      </c>
    </row>
    <row r="1789" spans="1:48" x14ac:dyDescent="0.35">
      <c r="A1789" t="str">
        <f t="shared" si="27"/>
        <v>P370103B832</v>
      </c>
      <c r="B1789" s="7" t="s">
        <v>510</v>
      </c>
      <c r="C1789" s="7" t="s">
        <v>653</v>
      </c>
      <c r="D1789" s="7" t="s">
        <v>19</v>
      </c>
      <c r="E1789" s="7" t="s">
        <v>1177</v>
      </c>
      <c r="F1789" s="7" t="s">
        <v>128</v>
      </c>
      <c r="G1789" s="7" t="s">
        <v>130</v>
      </c>
      <c r="H1789" s="7" t="s">
        <v>129</v>
      </c>
      <c r="I1789" s="30">
        <v>2</v>
      </c>
      <c r="J1789" s="7" t="s">
        <v>1177</v>
      </c>
      <c r="K1789" s="7" t="s">
        <v>1178</v>
      </c>
      <c r="L1789" s="7" t="s">
        <v>132</v>
      </c>
      <c r="M1789" s="7" t="s">
        <v>133</v>
      </c>
      <c r="N1789" s="30">
        <v>0</v>
      </c>
      <c r="O1789" s="30">
        <v>0</v>
      </c>
      <c r="P1789" s="30">
        <v>0</v>
      </c>
      <c r="Q1789" s="30">
        <v>0</v>
      </c>
      <c r="R1789" s="29">
        <v>0</v>
      </c>
      <c r="S1789" s="36">
        <v>0</v>
      </c>
      <c r="T1789" s="7" t="s">
        <v>131</v>
      </c>
      <c r="U1789" s="7" t="s">
        <v>654</v>
      </c>
      <c r="V1789" s="7" t="s">
        <v>654</v>
      </c>
      <c r="W1789" s="7" t="s">
        <v>1177</v>
      </c>
      <c r="X1789" s="30">
        <v>1</v>
      </c>
      <c r="Y1789" s="7" t="s">
        <v>1177</v>
      </c>
      <c r="Z1789" s="7" t="s">
        <v>1178</v>
      </c>
      <c r="AA1789" s="30">
        <v>0</v>
      </c>
      <c r="AB1789" s="36">
        <v>0</v>
      </c>
      <c r="AC1789" s="7" t="s">
        <v>1177</v>
      </c>
      <c r="AD1789" s="37">
        <v>0</v>
      </c>
      <c r="AE1789" s="7" t="s">
        <v>1177</v>
      </c>
      <c r="AF1789" s="7" t="s">
        <v>1177</v>
      </c>
      <c r="AG1789" s="7" t="s">
        <v>1177</v>
      </c>
      <c r="AH1789" s="38"/>
      <c r="AI1789" s="36">
        <v>0</v>
      </c>
      <c r="AJ1789" s="7" t="s">
        <v>1193</v>
      </c>
      <c r="AK1789" s="7" t="s">
        <v>1177</v>
      </c>
      <c r="AL1789" s="7" t="s">
        <v>1177</v>
      </c>
      <c r="AM1789" s="7" t="s">
        <v>1177</v>
      </c>
      <c r="AN1789" s="7" t="s">
        <v>3212</v>
      </c>
      <c r="AO1789" s="7" t="s">
        <v>1177</v>
      </c>
      <c r="AP1789" s="7" t="s">
        <v>1177</v>
      </c>
      <c r="AQ1789" s="7" t="s">
        <v>1177</v>
      </c>
      <c r="AR1789" s="29">
        <v>0</v>
      </c>
      <c r="AS1789" s="7" t="s">
        <v>1177</v>
      </c>
      <c r="AT1789" s="7" t="s">
        <v>1363</v>
      </c>
      <c r="AU1789" s="38">
        <v>46275</v>
      </c>
      <c r="AV1789" s="39">
        <v>0.60384259259258999</v>
      </c>
    </row>
    <row r="1790" spans="1:48" x14ac:dyDescent="0.35">
      <c r="A1790" t="str">
        <f t="shared" si="27"/>
        <v>P370104B833</v>
      </c>
      <c r="B1790" s="7" t="s">
        <v>301</v>
      </c>
      <c r="C1790" s="7" t="s">
        <v>698</v>
      </c>
      <c r="D1790" s="7" t="s">
        <v>697</v>
      </c>
      <c r="E1790" s="7" t="s">
        <v>1177</v>
      </c>
      <c r="F1790" s="7" t="s">
        <v>128</v>
      </c>
      <c r="G1790" s="7" t="s">
        <v>130</v>
      </c>
      <c r="H1790" s="7" t="s">
        <v>129</v>
      </c>
      <c r="I1790" s="30">
        <v>1</v>
      </c>
      <c r="J1790" s="7" t="s">
        <v>1177</v>
      </c>
      <c r="K1790" s="7" t="s">
        <v>1178</v>
      </c>
      <c r="L1790" s="7" t="s">
        <v>132</v>
      </c>
      <c r="M1790" s="7" t="s">
        <v>133</v>
      </c>
      <c r="N1790" s="30">
        <v>0</v>
      </c>
      <c r="O1790" s="30">
        <v>0</v>
      </c>
      <c r="P1790" s="30">
        <v>0</v>
      </c>
      <c r="Q1790" s="30">
        <v>0</v>
      </c>
      <c r="R1790" s="29">
        <v>0</v>
      </c>
      <c r="S1790" s="36">
        <v>0</v>
      </c>
      <c r="T1790" s="7" t="s">
        <v>131</v>
      </c>
      <c r="U1790" s="7" t="s">
        <v>699</v>
      </c>
      <c r="V1790" s="7" t="s">
        <v>699</v>
      </c>
      <c r="W1790" s="7" t="s">
        <v>1177</v>
      </c>
      <c r="X1790" s="30">
        <v>1</v>
      </c>
      <c r="Y1790" s="7" t="s">
        <v>1177</v>
      </c>
      <c r="Z1790" s="7" t="s">
        <v>1178</v>
      </c>
      <c r="AA1790" s="30">
        <v>0</v>
      </c>
      <c r="AB1790" s="36">
        <v>0</v>
      </c>
      <c r="AC1790" s="7" t="s">
        <v>1177</v>
      </c>
      <c r="AD1790" s="37">
        <v>0</v>
      </c>
      <c r="AE1790" s="7" t="s">
        <v>1177</v>
      </c>
      <c r="AF1790" s="7" t="s">
        <v>1177</v>
      </c>
      <c r="AG1790" s="7" t="s">
        <v>1177</v>
      </c>
      <c r="AH1790" s="38"/>
      <c r="AI1790" s="36">
        <v>0</v>
      </c>
      <c r="AJ1790" s="7" t="s">
        <v>1193</v>
      </c>
      <c r="AK1790" s="7" t="s">
        <v>1177</v>
      </c>
      <c r="AL1790" s="7" t="s">
        <v>1177</v>
      </c>
      <c r="AM1790" s="7" t="s">
        <v>1177</v>
      </c>
      <c r="AN1790" s="7" t="s">
        <v>3212</v>
      </c>
      <c r="AO1790" s="7" t="s">
        <v>1177</v>
      </c>
      <c r="AP1790" s="7" t="s">
        <v>1177</v>
      </c>
      <c r="AQ1790" s="7" t="s">
        <v>1177</v>
      </c>
      <c r="AR1790" s="29">
        <v>0</v>
      </c>
      <c r="AS1790" s="7" t="s">
        <v>1177</v>
      </c>
      <c r="AT1790" s="7" t="s">
        <v>1363</v>
      </c>
      <c r="AU1790" s="38">
        <v>46275</v>
      </c>
      <c r="AV1790" s="39">
        <v>0.60396990740740997</v>
      </c>
    </row>
    <row r="1791" spans="1:48" x14ac:dyDescent="0.35">
      <c r="A1791" t="str">
        <f t="shared" si="27"/>
        <v>P370104B856</v>
      </c>
      <c r="B1791" s="7" t="s">
        <v>301</v>
      </c>
      <c r="C1791" s="7" t="s">
        <v>852</v>
      </c>
      <c r="D1791" s="7" t="s">
        <v>21</v>
      </c>
      <c r="E1791" s="7" t="s">
        <v>1177</v>
      </c>
      <c r="F1791" s="7" t="s">
        <v>128</v>
      </c>
      <c r="G1791" s="7" t="s">
        <v>130</v>
      </c>
      <c r="H1791" s="7" t="s">
        <v>129</v>
      </c>
      <c r="I1791" s="30">
        <v>2</v>
      </c>
      <c r="J1791" s="7" t="s">
        <v>1177</v>
      </c>
      <c r="K1791" s="7" t="s">
        <v>1178</v>
      </c>
      <c r="L1791" s="7" t="s">
        <v>132</v>
      </c>
      <c r="M1791" s="7" t="s">
        <v>133</v>
      </c>
      <c r="N1791" s="30">
        <v>0</v>
      </c>
      <c r="O1791" s="30">
        <v>0</v>
      </c>
      <c r="P1791" s="30">
        <v>0</v>
      </c>
      <c r="Q1791" s="30">
        <v>0</v>
      </c>
      <c r="R1791" s="29">
        <v>0</v>
      </c>
      <c r="S1791" s="36">
        <v>0</v>
      </c>
      <c r="T1791" s="7" t="s">
        <v>131</v>
      </c>
      <c r="U1791" s="7" t="s">
        <v>853</v>
      </c>
      <c r="V1791" s="7" t="s">
        <v>853</v>
      </c>
      <c r="W1791" s="7" t="s">
        <v>1177</v>
      </c>
      <c r="X1791" s="30">
        <v>1</v>
      </c>
      <c r="Y1791" s="7" t="s">
        <v>1177</v>
      </c>
      <c r="Z1791" s="7" t="s">
        <v>1178</v>
      </c>
      <c r="AA1791" s="30">
        <v>0</v>
      </c>
      <c r="AB1791" s="36">
        <v>0</v>
      </c>
      <c r="AC1791" s="7" t="s">
        <v>1177</v>
      </c>
      <c r="AD1791" s="37">
        <v>0</v>
      </c>
      <c r="AE1791" s="7" t="s">
        <v>1177</v>
      </c>
      <c r="AF1791" s="7" t="s">
        <v>1177</v>
      </c>
      <c r="AG1791" s="7" t="s">
        <v>1177</v>
      </c>
      <c r="AH1791" s="38"/>
      <c r="AI1791" s="36">
        <v>0</v>
      </c>
      <c r="AJ1791" s="7" t="s">
        <v>1193</v>
      </c>
      <c r="AK1791" s="7" t="s">
        <v>1177</v>
      </c>
      <c r="AL1791" s="7" t="s">
        <v>1177</v>
      </c>
      <c r="AM1791" s="7" t="s">
        <v>1177</v>
      </c>
      <c r="AN1791" s="7" t="s">
        <v>3212</v>
      </c>
      <c r="AO1791" s="7" t="s">
        <v>1177</v>
      </c>
      <c r="AP1791" s="7" t="s">
        <v>1177</v>
      </c>
      <c r="AQ1791" s="7" t="s">
        <v>1177</v>
      </c>
      <c r="AR1791" s="29">
        <v>0</v>
      </c>
      <c r="AS1791" s="7" t="s">
        <v>1177</v>
      </c>
      <c r="AT1791" s="7" t="s">
        <v>1363</v>
      </c>
      <c r="AU1791" s="38">
        <v>46275</v>
      </c>
      <c r="AV1791" s="39">
        <v>0.60523148148147998</v>
      </c>
    </row>
    <row r="1792" spans="1:48" x14ac:dyDescent="0.35">
      <c r="A1792" t="str">
        <f t="shared" si="27"/>
        <v>P370104B857</v>
      </c>
      <c r="B1792" s="7" t="s">
        <v>301</v>
      </c>
      <c r="C1792" s="7" t="s">
        <v>958</v>
      </c>
      <c r="D1792" s="7" t="s">
        <v>23</v>
      </c>
      <c r="E1792" s="7" t="s">
        <v>1177</v>
      </c>
      <c r="F1792" s="7" t="s">
        <v>128</v>
      </c>
      <c r="G1792" s="7" t="s">
        <v>130</v>
      </c>
      <c r="H1792" s="7" t="s">
        <v>129</v>
      </c>
      <c r="I1792" s="30">
        <v>1</v>
      </c>
      <c r="J1792" s="7" t="s">
        <v>1177</v>
      </c>
      <c r="K1792" s="7" t="s">
        <v>1178</v>
      </c>
      <c r="L1792" s="7" t="s">
        <v>132</v>
      </c>
      <c r="M1792" s="7" t="s">
        <v>133</v>
      </c>
      <c r="N1792" s="30">
        <v>0</v>
      </c>
      <c r="O1792" s="30">
        <v>0</v>
      </c>
      <c r="P1792" s="30">
        <v>0</v>
      </c>
      <c r="Q1792" s="30">
        <v>0</v>
      </c>
      <c r="R1792" s="29">
        <v>0</v>
      </c>
      <c r="S1792" s="36">
        <v>0</v>
      </c>
      <c r="T1792" s="7" t="s">
        <v>131</v>
      </c>
      <c r="U1792" s="7" t="s">
        <v>959</v>
      </c>
      <c r="V1792" s="7" t="s">
        <v>959</v>
      </c>
      <c r="W1792" s="7" t="s">
        <v>1177</v>
      </c>
      <c r="X1792" s="30">
        <v>1</v>
      </c>
      <c r="Y1792" s="7" t="s">
        <v>1177</v>
      </c>
      <c r="Z1792" s="7" t="s">
        <v>1178</v>
      </c>
      <c r="AA1792" s="30">
        <v>0</v>
      </c>
      <c r="AB1792" s="36">
        <v>0</v>
      </c>
      <c r="AC1792" s="7" t="s">
        <v>1177</v>
      </c>
      <c r="AD1792" s="37">
        <v>0</v>
      </c>
      <c r="AE1792" s="7" t="s">
        <v>1177</v>
      </c>
      <c r="AF1792" s="7" t="s">
        <v>1177</v>
      </c>
      <c r="AG1792" s="7" t="s">
        <v>1177</v>
      </c>
      <c r="AH1792" s="38"/>
      <c r="AI1792" s="36">
        <v>0</v>
      </c>
      <c r="AJ1792" s="7" t="s">
        <v>1193</v>
      </c>
      <c r="AK1792" s="7" t="s">
        <v>1177</v>
      </c>
      <c r="AL1792" s="7" t="s">
        <v>1177</v>
      </c>
      <c r="AM1792" s="7" t="s">
        <v>1177</v>
      </c>
      <c r="AN1792" s="7" t="s">
        <v>3212</v>
      </c>
      <c r="AO1792" s="7" t="s">
        <v>1177</v>
      </c>
      <c r="AP1792" s="7" t="s">
        <v>1177</v>
      </c>
      <c r="AQ1792" s="7" t="s">
        <v>1177</v>
      </c>
      <c r="AR1792" s="29">
        <v>0</v>
      </c>
      <c r="AS1792" s="7" t="s">
        <v>1177</v>
      </c>
      <c r="AT1792" s="7" t="s">
        <v>1363</v>
      </c>
      <c r="AU1792" s="38">
        <v>46275</v>
      </c>
      <c r="AV1792" s="39">
        <v>0.60526620370369999</v>
      </c>
    </row>
    <row r="1793" spans="1:48" x14ac:dyDescent="0.35">
      <c r="A1793" t="str">
        <f t="shared" si="27"/>
        <v>P390050B825</v>
      </c>
      <c r="B1793" s="7" t="s">
        <v>621</v>
      </c>
      <c r="C1793" s="7" t="s">
        <v>511</v>
      </c>
      <c r="D1793" s="7" t="s">
        <v>16</v>
      </c>
      <c r="E1793" s="7" t="s">
        <v>1177</v>
      </c>
      <c r="F1793" s="7" t="s">
        <v>128</v>
      </c>
      <c r="G1793" s="7" t="s">
        <v>130</v>
      </c>
      <c r="H1793" s="7" t="s">
        <v>129</v>
      </c>
      <c r="I1793" s="30">
        <v>7</v>
      </c>
      <c r="J1793" s="7" t="s">
        <v>1177</v>
      </c>
      <c r="K1793" s="7" t="s">
        <v>1178</v>
      </c>
      <c r="L1793" s="7" t="s">
        <v>132</v>
      </c>
      <c r="M1793" s="7" t="s">
        <v>133</v>
      </c>
      <c r="N1793" s="30">
        <v>0</v>
      </c>
      <c r="O1793" s="30">
        <v>0</v>
      </c>
      <c r="P1793" s="30">
        <v>0</v>
      </c>
      <c r="Q1793" s="30">
        <v>0</v>
      </c>
      <c r="R1793" s="29">
        <v>0</v>
      </c>
      <c r="S1793" s="36">
        <v>0</v>
      </c>
      <c r="T1793" s="7" t="s">
        <v>131</v>
      </c>
      <c r="U1793" s="7" t="s">
        <v>512</v>
      </c>
      <c r="V1793" s="7" t="s">
        <v>512</v>
      </c>
      <c r="W1793" s="7" t="s">
        <v>1177</v>
      </c>
      <c r="X1793" s="30">
        <v>2</v>
      </c>
      <c r="Y1793" s="7" t="s">
        <v>1177</v>
      </c>
      <c r="Z1793" s="7" t="s">
        <v>1178</v>
      </c>
      <c r="AA1793" s="30">
        <v>0</v>
      </c>
      <c r="AB1793" s="36">
        <v>0</v>
      </c>
      <c r="AC1793" s="7" t="s">
        <v>1177</v>
      </c>
      <c r="AD1793" s="37">
        <v>0</v>
      </c>
      <c r="AE1793" s="7" t="s">
        <v>1177</v>
      </c>
      <c r="AF1793" s="7" t="s">
        <v>1177</v>
      </c>
      <c r="AG1793" s="7" t="s">
        <v>1177</v>
      </c>
      <c r="AH1793" s="38"/>
      <c r="AI1793" s="36">
        <v>0</v>
      </c>
      <c r="AJ1793" s="7" t="s">
        <v>1193</v>
      </c>
      <c r="AK1793" s="7" t="s">
        <v>1177</v>
      </c>
      <c r="AL1793" s="7" t="s">
        <v>1177</v>
      </c>
      <c r="AM1793" s="7" t="s">
        <v>1177</v>
      </c>
      <c r="AN1793" s="7" t="s">
        <v>3212</v>
      </c>
      <c r="AO1793" s="7" t="s">
        <v>1177</v>
      </c>
      <c r="AP1793" s="7" t="s">
        <v>1177</v>
      </c>
      <c r="AQ1793" s="7" t="s">
        <v>1177</v>
      </c>
      <c r="AR1793" s="29">
        <v>0</v>
      </c>
      <c r="AS1793" s="7" t="s">
        <v>1177</v>
      </c>
      <c r="AT1793" s="7" t="s">
        <v>1363</v>
      </c>
      <c r="AU1793" s="38">
        <v>46275</v>
      </c>
      <c r="AV1793" s="39">
        <v>0.62305555555556003</v>
      </c>
    </row>
    <row r="1794" spans="1:48" x14ac:dyDescent="0.35">
      <c r="A1794" t="str">
        <f t="shared" si="27"/>
        <v>P390054B825</v>
      </c>
      <c r="B1794" s="7" t="s">
        <v>434</v>
      </c>
      <c r="C1794" s="7" t="s">
        <v>511</v>
      </c>
      <c r="D1794" s="7" t="s">
        <v>16</v>
      </c>
      <c r="E1794" s="7" t="s">
        <v>1177</v>
      </c>
      <c r="F1794" s="7" t="s">
        <v>128</v>
      </c>
      <c r="G1794" s="7" t="s">
        <v>130</v>
      </c>
      <c r="H1794" s="7" t="s">
        <v>129</v>
      </c>
      <c r="I1794" s="30">
        <v>9</v>
      </c>
      <c r="J1794" s="7" t="s">
        <v>1177</v>
      </c>
      <c r="K1794" s="7" t="s">
        <v>1178</v>
      </c>
      <c r="L1794" s="7" t="s">
        <v>132</v>
      </c>
      <c r="M1794" s="7" t="s">
        <v>133</v>
      </c>
      <c r="N1794" s="30">
        <v>0</v>
      </c>
      <c r="O1794" s="30">
        <v>0</v>
      </c>
      <c r="P1794" s="30">
        <v>0</v>
      </c>
      <c r="Q1794" s="30">
        <v>0</v>
      </c>
      <c r="R1794" s="29">
        <v>0</v>
      </c>
      <c r="S1794" s="36">
        <v>0</v>
      </c>
      <c r="T1794" s="7" t="s">
        <v>131</v>
      </c>
      <c r="U1794" s="7" t="s">
        <v>512</v>
      </c>
      <c r="V1794" s="7" t="s">
        <v>512</v>
      </c>
      <c r="W1794" s="7" t="s">
        <v>1177</v>
      </c>
      <c r="X1794" s="30">
        <v>2</v>
      </c>
      <c r="Y1794" s="7" t="s">
        <v>1177</v>
      </c>
      <c r="Z1794" s="7" t="s">
        <v>1178</v>
      </c>
      <c r="AA1794" s="30">
        <v>0</v>
      </c>
      <c r="AB1794" s="36">
        <v>0</v>
      </c>
      <c r="AC1794" s="7" t="s">
        <v>1177</v>
      </c>
      <c r="AD1794" s="37">
        <v>0</v>
      </c>
      <c r="AE1794" s="7" t="s">
        <v>1177</v>
      </c>
      <c r="AF1794" s="7" t="s">
        <v>1177</v>
      </c>
      <c r="AG1794" s="7" t="s">
        <v>1177</v>
      </c>
      <c r="AH1794" s="38"/>
      <c r="AI1794" s="36">
        <v>0</v>
      </c>
      <c r="AJ1794" s="7" t="s">
        <v>1193</v>
      </c>
      <c r="AK1794" s="7" t="s">
        <v>1177</v>
      </c>
      <c r="AL1794" s="7" t="s">
        <v>1177</v>
      </c>
      <c r="AM1794" s="7" t="s">
        <v>1177</v>
      </c>
      <c r="AN1794" s="7" t="s">
        <v>3212</v>
      </c>
      <c r="AO1794" s="7" t="s">
        <v>1177</v>
      </c>
      <c r="AP1794" s="7" t="s">
        <v>1177</v>
      </c>
      <c r="AQ1794" s="7" t="s">
        <v>1177</v>
      </c>
      <c r="AR1794" s="29">
        <v>0</v>
      </c>
      <c r="AS1794" s="7" t="s">
        <v>1177</v>
      </c>
      <c r="AT1794" s="7" t="s">
        <v>1363</v>
      </c>
      <c r="AU1794" s="38">
        <v>46275</v>
      </c>
      <c r="AV1794" s="39">
        <v>0.60349537037037004</v>
      </c>
    </row>
    <row r="1795" spans="1:48" x14ac:dyDescent="0.35">
      <c r="A1795" t="str">
        <f t="shared" ref="A1795:A1850" si="28">_xlfn.CONCAT(B1795,D1795)</f>
        <v>P390110B856</v>
      </c>
      <c r="B1795" s="7" t="s">
        <v>198</v>
      </c>
      <c r="C1795" s="7" t="s">
        <v>852</v>
      </c>
      <c r="D1795" s="7" t="s">
        <v>21</v>
      </c>
      <c r="E1795" s="7" t="s">
        <v>1177</v>
      </c>
      <c r="F1795" s="7" t="s">
        <v>128</v>
      </c>
      <c r="G1795" s="7" t="s">
        <v>130</v>
      </c>
      <c r="H1795" s="7" t="s">
        <v>129</v>
      </c>
      <c r="I1795" s="30">
        <v>2</v>
      </c>
      <c r="J1795" s="7" t="s">
        <v>1177</v>
      </c>
      <c r="K1795" s="7" t="s">
        <v>1178</v>
      </c>
      <c r="L1795" s="7" t="s">
        <v>132</v>
      </c>
      <c r="M1795" s="7" t="s">
        <v>133</v>
      </c>
      <c r="N1795" s="30">
        <v>0</v>
      </c>
      <c r="O1795" s="30">
        <v>0</v>
      </c>
      <c r="P1795" s="30">
        <v>0</v>
      </c>
      <c r="Q1795" s="30">
        <v>0</v>
      </c>
      <c r="R1795" s="29">
        <v>0</v>
      </c>
      <c r="S1795" s="36">
        <v>0</v>
      </c>
      <c r="T1795" s="7" t="s">
        <v>131</v>
      </c>
      <c r="U1795" s="7" t="s">
        <v>853</v>
      </c>
      <c r="V1795" s="7" t="s">
        <v>853</v>
      </c>
      <c r="W1795" s="7" t="s">
        <v>1177</v>
      </c>
      <c r="X1795" s="30">
        <v>1</v>
      </c>
      <c r="Y1795" s="7" t="s">
        <v>1177</v>
      </c>
      <c r="Z1795" s="7" t="s">
        <v>1178</v>
      </c>
      <c r="AA1795" s="30">
        <v>0</v>
      </c>
      <c r="AB1795" s="36">
        <v>0</v>
      </c>
      <c r="AC1795" s="7" t="s">
        <v>1177</v>
      </c>
      <c r="AD1795" s="37">
        <v>0</v>
      </c>
      <c r="AE1795" s="7" t="s">
        <v>1177</v>
      </c>
      <c r="AF1795" s="7" t="s">
        <v>1177</v>
      </c>
      <c r="AG1795" s="7" t="s">
        <v>1177</v>
      </c>
      <c r="AH1795" s="38"/>
      <c r="AI1795" s="36">
        <v>0</v>
      </c>
      <c r="AJ1795" s="7" t="s">
        <v>1193</v>
      </c>
      <c r="AK1795" s="7" t="s">
        <v>1177</v>
      </c>
      <c r="AL1795" s="7" t="s">
        <v>1177</v>
      </c>
      <c r="AM1795" s="7" t="s">
        <v>1177</v>
      </c>
      <c r="AN1795" s="7" t="s">
        <v>3212</v>
      </c>
      <c r="AO1795" s="7" t="s">
        <v>1177</v>
      </c>
      <c r="AP1795" s="7" t="s">
        <v>1177</v>
      </c>
      <c r="AQ1795" s="7" t="s">
        <v>1177</v>
      </c>
      <c r="AR1795" s="29">
        <v>0</v>
      </c>
      <c r="AS1795" s="7" t="s">
        <v>1177</v>
      </c>
      <c r="AT1795" s="7" t="s">
        <v>1363</v>
      </c>
      <c r="AU1795" s="38">
        <v>46275</v>
      </c>
      <c r="AV1795" s="39">
        <v>0.60523148148147998</v>
      </c>
    </row>
    <row r="1796" spans="1:48" x14ac:dyDescent="0.35">
      <c r="A1796" t="str">
        <f t="shared" si="28"/>
        <v>P390110B857</v>
      </c>
      <c r="B1796" s="7" t="s">
        <v>198</v>
      </c>
      <c r="C1796" s="7" t="s">
        <v>958</v>
      </c>
      <c r="D1796" s="7" t="s">
        <v>23</v>
      </c>
      <c r="E1796" s="7" t="s">
        <v>1177</v>
      </c>
      <c r="F1796" s="7" t="s">
        <v>128</v>
      </c>
      <c r="G1796" s="7" t="s">
        <v>130</v>
      </c>
      <c r="H1796" s="7" t="s">
        <v>129</v>
      </c>
      <c r="I1796" s="30">
        <v>2</v>
      </c>
      <c r="J1796" s="7" t="s">
        <v>1177</v>
      </c>
      <c r="K1796" s="7" t="s">
        <v>1178</v>
      </c>
      <c r="L1796" s="7" t="s">
        <v>132</v>
      </c>
      <c r="M1796" s="7" t="s">
        <v>133</v>
      </c>
      <c r="N1796" s="30">
        <v>0</v>
      </c>
      <c r="O1796" s="30">
        <v>0</v>
      </c>
      <c r="P1796" s="30">
        <v>0</v>
      </c>
      <c r="Q1796" s="30">
        <v>0</v>
      </c>
      <c r="R1796" s="29">
        <v>0</v>
      </c>
      <c r="S1796" s="36">
        <v>0</v>
      </c>
      <c r="T1796" s="7" t="s">
        <v>131</v>
      </c>
      <c r="U1796" s="7" t="s">
        <v>959</v>
      </c>
      <c r="V1796" s="7" t="s">
        <v>959</v>
      </c>
      <c r="W1796" s="7" t="s">
        <v>1177</v>
      </c>
      <c r="X1796" s="30">
        <v>1</v>
      </c>
      <c r="Y1796" s="7" t="s">
        <v>1177</v>
      </c>
      <c r="Z1796" s="7" t="s">
        <v>1178</v>
      </c>
      <c r="AA1796" s="30">
        <v>0</v>
      </c>
      <c r="AB1796" s="36">
        <v>0</v>
      </c>
      <c r="AC1796" s="7" t="s">
        <v>1177</v>
      </c>
      <c r="AD1796" s="37">
        <v>0</v>
      </c>
      <c r="AE1796" s="7" t="s">
        <v>1177</v>
      </c>
      <c r="AF1796" s="7" t="s">
        <v>1177</v>
      </c>
      <c r="AG1796" s="7" t="s">
        <v>1177</v>
      </c>
      <c r="AH1796" s="38"/>
      <c r="AI1796" s="36">
        <v>0</v>
      </c>
      <c r="AJ1796" s="7" t="s">
        <v>1193</v>
      </c>
      <c r="AK1796" s="7" t="s">
        <v>1177</v>
      </c>
      <c r="AL1796" s="7" t="s">
        <v>1177</v>
      </c>
      <c r="AM1796" s="7" t="s">
        <v>1177</v>
      </c>
      <c r="AN1796" s="7" t="s">
        <v>3212</v>
      </c>
      <c r="AO1796" s="7" t="s">
        <v>1177</v>
      </c>
      <c r="AP1796" s="7" t="s">
        <v>1177</v>
      </c>
      <c r="AQ1796" s="7" t="s">
        <v>1177</v>
      </c>
      <c r="AR1796" s="29">
        <v>0</v>
      </c>
      <c r="AS1796" s="7" t="s">
        <v>1177</v>
      </c>
      <c r="AT1796" s="7" t="s">
        <v>1363</v>
      </c>
      <c r="AU1796" s="38">
        <v>46275</v>
      </c>
      <c r="AV1796" s="39">
        <v>0.60527777777778002</v>
      </c>
    </row>
    <row r="1797" spans="1:48" x14ac:dyDescent="0.35">
      <c r="A1797" t="str">
        <f t="shared" si="28"/>
        <v>P390117B825</v>
      </c>
      <c r="B1797" s="7" t="s">
        <v>302</v>
      </c>
      <c r="C1797" s="7" t="s">
        <v>511</v>
      </c>
      <c r="D1797" s="7" t="s">
        <v>16</v>
      </c>
      <c r="E1797" s="7" t="s">
        <v>1177</v>
      </c>
      <c r="F1797" s="7" t="s">
        <v>128</v>
      </c>
      <c r="G1797" s="7" t="s">
        <v>130</v>
      </c>
      <c r="H1797" s="7" t="s">
        <v>129</v>
      </c>
      <c r="I1797" s="30">
        <v>2</v>
      </c>
      <c r="J1797" s="7" t="s">
        <v>1177</v>
      </c>
      <c r="K1797" s="7" t="s">
        <v>1178</v>
      </c>
      <c r="L1797" s="7" t="s">
        <v>132</v>
      </c>
      <c r="M1797" s="7" t="s">
        <v>133</v>
      </c>
      <c r="N1797" s="30">
        <v>0</v>
      </c>
      <c r="O1797" s="30">
        <v>0</v>
      </c>
      <c r="P1797" s="30">
        <v>0</v>
      </c>
      <c r="Q1797" s="30">
        <v>0</v>
      </c>
      <c r="R1797" s="29">
        <v>0</v>
      </c>
      <c r="S1797" s="36">
        <v>0</v>
      </c>
      <c r="T1797" s="7" t="s">
        <v>131</v>
      </c>
      <c r="U1797" s="7" t="s">
        <v>512</v>
      </c>
      <c r="V1797" s="7" t="s">
        <v>512</v>
      </c>
      <c r="W1797" s="7" t="s">
        <v>1177</v>
      </c>
      <c r="X1797" s="30">
        <v>1</v>
      </c>
      <c r="Y1797" s="7" t="s">
        <v>1177</v>
      </c>
      <c r="Z1797" s="7" t="s">
        <v>1178</v>
      </c>
      <c r="AA1797" s="30">
        <v>0</v>
      </c>
      <c r="AB1797" s="36">
        <v>0</v>
      </c>
      <c r="AC1797" s="7" t="s">
        <v>1177</v>
      </c>
      <c r="AD1797" s="37">
        <v>0</v>
      </c>
      <c r="AE1797" s="7" t="s">
        <v>1177</v>
      </c>
      <c r="AF1797" s="7" t="s">
        <v>1177</v>
      </c>
      <c r="AG1797" s="7" t="s">
        <v>1177</v>
      </c>
      <c r="AH1797" s="38"/>
      <c r="AI1797" s="36">
        <v>0</v>
      </c>
      <c r="AJ1797" s="7" t="s">
        <v>1193</v>
      </c>
      <c r="AK1797" s="7" t="s">
        <v>1177</v>
      </c>
      <c r="AL1797" s="7" t="s">
        <v>1177</v>
      </c>
      <c r="AM1797" s="7" t="s">
        <v>1177</v>
      </c>
      <c r="AN1797" s="7" t="s">
        <v>3212</v>
      </c>
      <c r="AO1797" s="7" t="s">
        <v>1177</v>
      </c>
      <c r="AP1797" s="7" t="s">
        <v>1177</v>
      </c>
      <c r="AQ1797" s="7" t="s">
        <v>1177</v>
      </c>
      <c r="AR1797" s="29">
        <v>0</v>
      </c>
      <c r="AS1797" s="7" t="s">
        <v>1177</v>
      </c>
      <c r="AT1797" s="7" t="s">
        <v>1363</v>
      </c>
      <c r="AU1797" s="38">
        <v>46275</v>
      </c>
      <c r="AV1797" s="39">
        <v>0.60349537037037004</v>
      </c>
    </row>
    <row r="1798" spans="1:48" x14ac:dyDescent="0.35">
      <c r="A1798" t="str">
        <f t="shared" si="28"/>
        <v>P390117B832</v>
      </c>
      <c r="B1798" s="7" t="s">
        <v>302</v>
      </c>
      <c r="C1798" s="7" t="s">
        <v>653</v>
      </c>
      <c r="D1798" s="7" t="s">
        <v>19</v>
      </c>
      <c r="E1798" s="7" t="s">
        <v>1177</v>
      </c>
      <c r="F1798" s="7" t="s">
        <v>128</v>
      </c>
      <c r="G1798" s="7" t="s">
        <v>130</v>
      </c>
      <c r="H1798" s="7" t="s">
        <v>129</v>
      </c>
      <c r="I1798" s="30">
        <v>2</v>
      </c>
      <c r="J1798" s="7" t="s">
        <v>1177</v>
      </c>
      <c r="K1798" s="7" t="s">
        <v>1178</v>
      </c>
      <c r="L1798" s="7" t="s">
        <v>132</v>
      </c>
      <c r="M1798" s="7" t="s">
        <v>133</v>
      </c>
      <c r="N1798" s="30">
        <v>0</v>
      </c>
      <c r="O1798" s="30">
        <v>0</v>
      </c>
      <c r="P1798" s="30">
        <v>0</v>
      </c>
      <c r="Q1798" s="30">
        <v>0</v>
      </c>
      <c r="R1798" s="29">
        <v>0</v>
      </c>
      <c r="S1798" s="36">
        <v>0</v>
      </c>
      <c r="T1798" s="7" t="s">
        <v>131</v>
      </c>
      <c r="U1798" s="7" t="s">
        <v>654</v>
      </c>
      <c r="V1798" s="7" t="s">
        <v>654</v>
      </c>
      <c r="W1798" s="7" t="s">
        <v>1177</v>
      </c>
      <c r="X1798" s="30">
        <v>1</v>
      </c>
      <c r="Y1798" s="7" t="s">
        <v>1177</v>
      </c>
      <c r="Z1798" s="7" t="s">
        <v>1178</v>
      </c>
      <c r="AA1798" s="30">
        <v>0</v>
      </c>
      <c r="AB1798" s="36">
        <v>0</v>
      </c>
      <c r="AC1798" s="7" t="s">
        <v>1177</v>
      </c>
      <c r="AD1798" s="37">
        <v>0</v>
      </c>
      <c r="AE1798" s="7" t="s">
        <v>1177</v>
      </c>
      <c r="AF1798" s="7" t="s">
        <v>1177</v>
      </c>
      <c r="AG1798" s="7" t="s">
        <v>1177</v>
      </c>
      <c r="AH1798" s="38"/>
      <c r="AI1798" s="36">
        <v>0</v>
      </c>
      <c r="AJ1798" s="7" t="s">
        <v>1193</v>
      </c>
      <c r="AK1798" s="7" t="s">
        <v>1177</v>
      </c>
      <c r="AL1798" s="7" t="s">
        <v>1177</v>
      </c>
      <c r="AM1798" s="7" t="s">
        <v>1177</v>
      </c>
      <c r="AN1798" s="7" t="s">
        <v>3212</v>
      </c>
      <c r="AO1798" s="7" t="s">
        <v>1177</v>
      </c>
      <c r="AP1798" s="7" t="s">
        <v>1177</v>
      </c>
      <c r="AQ1798" s="7" t="s">
        <v>1177</v>
      </c>
      <c r="AR1798" s="29">
        <v>0</v>
      </c>
      <c r="AS1798" s="7" t="s">
        <v>1177</v>
      </c>
      <c r="AT1798" s="7" t="s">
        <v>1363</v>
      </c>
      <c r="AU1798" s="38">
        <v>46275</v>
      </c>
      <c r="AV1798" s="39">
        <v>0.60384259259258999</v>
      </c>
    </row>
    <row r="1799" spans="1:48" x14ac:dyDescent="0.35">
      <c r="A1799" t="str">
        <f t="shared" si="28"/>
        <v>P390117B838</v>
      </c>
      <c r="B1799" s="7" t="s">
        <v>302</v>
      </c>
      <c r="C1799" s="7" t="s">
        <v>744</v>
      </c>
      <c r="D1799" s="7" t="s">
        <v>48</v>
      </c>
      <c r="E1799" s="7" t="s">
        <v>1177</v>
      </c>
      <c r="F1799" s="7" t="s">
        <v>128</v>
      </c>
      <c r="G1799" s="7" t="s">
        <v>130</v>
      </c>
      <c r="H1799" s="7" t="s">
        <v>129</v>
      </c>
      <c r="I1799" s="30">
        <v>2</v>
      </c>
      <c r="J1799" s="7" t="s">
        <v>1177</v>
      </c>
      <c r="K1799" s="7" t="s">
        <v>1178</v>
      </c>
      <c r="L1799" s="7" t="s">
        <v>132</v>
      </c>
      <c r="M1799" s="7" t="s">
        <v>133</v>
      </c>
      <c r="N1799" s="30">
        <v>0</v>
      </c>
      <c r="O1799" s="30">
        <v>0</v>
      </c>
      <c r="P1799" s="30">
        <v>0</v>
      </c>
      <c r="Q1799" s="30">
        <v>0</v>
      </c>
      <c r="R1799" s="29">
        <v>0</v>
      </c>
      <c r="S1799" s="36">
        <v>0</v>
      </c>
      <c r="T1799" s="7" t="s">
        <v>131</v>
      </c>
      <c r="U1799" s="7" t="s">
        <v>745</v>
      </c>
      <c r="V1799" s="7" t="s">
        <v>745</v>
      </c>
      <c r="W1799" s="7" t="s">
        <v>1177</v>
      </c>
      <c r="X1799" s="30">
        <v>1</v>
      </c>
      <c r="Y1799" s="7" t="s">
        <v>1177</v>
      </c>
      <c r="Z1799" s="7" t="s">
        <v>1178</v>
      </c>
      <c r="AA1799" s="30">
        <v>0</v>
      </c>
      <c r="AB1799" s="36">
        <v>0</v>
      </c>
      <c r="AC1799" s="7" t="s">
        <v>1177</v>
      </c>
      <c r="AD1799" s="37">
        <v>0</v>
      </c>
      <c r="AE1799" s="7" t="s">
        <v>1177</v>
      </c>
      <c r="AF1799" s="7" t="s">
        <v>1177</v>
      </c>
      <c r="AG1799" s="7" t="s">
        <v>1177</v>
      </c>
      <c r="AH1799" s="38"/>
      <c r="AI1799" s="36">
        <v>0</v>
      </c>
      <c r="AJ1799" s="7" t="s">
        <v>1193</v>
      </c>
      <c r="AK1799" s="7" t="s">
        <v>1177</v>
      </c>
      <c r="AL1799" s="7" t="s">
        <v>1177</v>
      </c>
      <c r="AM1799" s="7" t="s">
        <v>1177</v>
      </c>
      <c r="AN1799" s="7" t="s">
        <v>3212</v>
      </c>
      <c r="AO1799" s="7" t="s">
        <v>1177</v>
      </c>
      <c r="AP1799" s="7" t="s">
        <v>1177</v>
      </c>
      <c r="AQ1799" s="7" t="s">
        <v>1177</v>
      </c>
      <c r="AR1799" s="29">
        <v>0</v>
      </c>
      <c r="AS1799" s="7" t="s">
        <v>1177</v>
      </c>
      <c r="AT1799" s="7" t="s">
        <v>1363</v>
      </c>
      <c r="AU1799" s="38">
        <v>46275</v>
      </c>
      <c r="AV1799" s="39">
        <v>0.60472222222222005</v>
      </c>
    </row>
    <row r="1800" spans="1:48" x14ac:dyDescent="0.35">
      <c r="A1800" t="str">
        <f t="shared" si="28"/>
        <v>P390256B857</v>
      </c>
      <c r="B1800" s="7" t="s">
        <v>651</v>
      </c>
      <c r="C1800" s="7" t="s">
        <v>958</v>
      </c>
      <c r="D1800" s="7" t="s">
        <v>23</v>
      </c>
      <c r="E1800" s="7" t="s">
        <v>1177</v>
      </c>
      <c r="F1800" s="7" t="s">
        <v>128</v>
      </c>
      <c r="G1800" s="7" t="s">
        <v>130</v>
      </c>
      <c r="H1800" s="7" t="s">
        <v>129</v>
      </c>
      <c r="I1800" s="30">
        <v>2</v>
      </c>
      <c r="J1800" s="7" t="s">
        <v>1177</v>
      </c>
      <c r="K1800" s="7" t="s">
        <v>1178</v>
      </c>
      <c r="L1800" s="7" t="s">
        <v>132</v>
      </c>
      <c r="M1800" s="7" t="s">
        <v>133</v>
      </c>
      <c r="N1800" s="30">
        <v>0</v>
      </c>
      <c r="O1800" s="30">
        <v>0</v>
      </c>
      <c r="P1800" s="30">
        <v>0</v>
      </c>
      <c r="Q1800" s="30">
        <v>0</v>
      </c>
      <c r="R1800" s="29">
        <v>0</v>
      </c>
      <c r="S1800" s="36">
        <v>0</v>
      </c>
      <c r="T1800" s="7" t="s">
        <v>131</v>
      </c>
      <c r="U1800" s="7" t="s">
        <v>959</v>
      </c>
      <c r="V1800" s="7" t="s">
        <v>959</v>
      </c>
      <c r="W1800" s="7" t="s">
        <v>1177</v>
      </c>
      <c r="X1800" s="30">
        <v>1</v>
      </c>
      <c r="Y1800" s="7" t="s">
        <v>1177</v>
      </c>
      <c r="Z1800" s="7" t="s">
        <v>1178</v>
      </c>
      <c r="AA1800" s="30">
        <v>0</v>
      </c>
      <c r="AB1800" s="36">
        <v>0</v>
      </c>
      <c r="AC1800" s="7" t="s">
        <v>1177</v>
      </c>
      <c r="AD1800" s="37">
        <v>0</v>
      </c>
      <c r="AE1800" s="7" t="s">
        <v>1177</v>
      </c>
      <c r="AF1800" s="7" t="s">
        <v>1177</v>
      </c>
      <c r="AG1800" s="7" t="s">
        <v>1177</v>
      </c>
      <c r="AH1800" s="38"/>
      <c r="AI1800" s="36">
        <v>0</v>
      </c>
      <c r="AJ1800" s="7" t="s">
        <v>1193</v>
      </c>
      <c r="AK1800" s="7" t="s">
        <v>1177</v>
      </c>
      <c r="AL1800" s="7" t="s">
        <v>1177</v>
      </c>
      <c r="AM1800" s="7" t="s">
        <v>1177</v>
      </c>
      <c r="AN1800" s="7" t="s">
        <v>3212</v>
      </c>
      <c r="AO1800" s="7" t="s">
        <v>1177</v>
      </c>
      <c r="AP1800" s="7" t="s">
        <v>1177</v>
      </c>
      <c r="AQ1800" s="7" t="s">
        <v>1177</v>
      </c>
      <c r="AR1800" s="29">
        <v>0</v>
      </c>
      <c r="AS1800" s="7" t="s">
        <v>1177</v>
      </c>
      <c r="AT1800" s="7" t="s">
        <v>1363</v>
      </c>
      <c r="AU1800" s="38">
        <v>46275</v>
      </c>
      <c r="AV1800" s="39">
        <v>0.60525462962962995</v>
      </c>
    </row>
    <row r="1801" spans="1:48" x14ac:dyDescent="0.35">
      <c r="A1801" t="str">
        <f t="shared" si="28"/>
        <v>P390350B825</v>
      </c>
      <c r="B1801" s="7" t="s">
        <v>199</v>
      </c>
      <c r="C1801" s="7" t="s">
        <v>511</v>
      </c>
      <c r="D1801" s="7" t="s">
        <v>16</v>
      </c>
      <c r="E1801" s="7" t="s">
        <v>1177</v>
      </c>
      <c r="F1801" s="7" t="s">
        <v>134</v>
      </c>
      <c r="G1801" s="7" t="s">
        <v>130</v>
      </c>
      <c r="H1801" s="7" t="s">
        <v>129</v>
      </c>
      <c r="I1801" s="30">
        <v>200</v>
      </c>
      <c r="J1801" s="7" t="s">
        <v>1177</v>
      </c>
      <c r="K1801" s="7" t="s">
        <v>1178</v>
      </c>
      <c r="L1801" s="7" t="s">
        <v>132</v>
      </c>
      <c r="M1801" s="7" t="s">
        <v>200</v>
      </c>
      <c r="N1801" s="30">
        <v>0</v>
      </c>
      <c r="O1801" s="30">
        <v>0</v>
      </c>
      <c r="P1801" s="30">
        <v>0</v>
      </c>
      <c r="Q1801" s="30">
        <v>0</v>
      </c>
      <c r="R1801" s="29">
        <v>0</v>
      </c>
      <c r="S1801" s="36">
        <v>0</v>
      </c>
      <c r="T1801" s="7" t="s">
        <v>131</v>
      </c>
      <c r="U1801" s="7" t="s">
        <v>512</v>
      </c>
      <c r="V1801" s="7" t="s">
        <v>512</v>
      </c>
      <c r="W1801" s="7" t="s">
        <v>1177</v>
      </c>
      <c r="X1801" s="30">
        <v>200</v>
      </c>
      <c r="Y1801" s="7" t="s">
        <v>1177</v>
      </c>
      <c r="Z1801" s="7" t="s">
        <v>1178</v>
      </c>
      <c r="AA1801" s="30">
        <v>0</v>
      </c>
      <c r="AB1801" s="36">
        <v>0</v>
      </c>
      <c r="AC1801" s="7" t="s">
        <v>1177</v>
      </c>
      <c r="AD1801" s="37">
        <v>0</v>
      </c>
      <c r="AE1801" s="7" t="s">
        <v>1177</v>
      </c>
      <c r="AF1801" s="7" t="s">
        <v>1177</v>
      </c>
      <c r="AG1801" s="7" t="s">
        <v>1177</v>
      </c>
      <c r="AH1801" s="38"/>
      <c r="AI1801" s="36">
        <v>0</v>
      </c>
      <c r="AJ1801" s="7" t="s">
        <v>1193</v>
      </c>
      <c r="AK1801" s="7" t="s">
        <v>1177</v>
      </c>
      <c r="AL1801" s="7" t="s">
        <v>1177</v>
      </c>
      <c r="AM1801" s="7" t="s">
        <v>1177</v>
      </c>
      <c r="AN1801" s="7" t="s">
        <v>3212</v>
      </c>
      <c r="AO1801" s="7" t="s">
        <v>1177</v>
      </c>
      <c r="AP1801" s="7" t="s">
        <v>1177</v>
      </c>
      <c r="AQ1801" s="7" t="s">
        <v>1177</v>
      </c>
      <c r="AR1801" s="29">
        <v>0</v>
      </c>
      <c r="AS1801" s="7" t="s">
        <v>1177</v>
      </c>
      <c r="AT1801" s="7" t="s">
        <v>1363</v>
      </c>
      <c r="AU1801" s="38">
        <v>46275</v>
      </c>
      <c r="AV1801" s="39">
        <v>0.60350694444443997</v>
      </c>
    </row>
    <row r="1802" spans="1:48" x14ac:dyDescent="0.35">
      <c r="A1802" t="str">
        <f t="shared" si="28"/>
        <v>P390350B832</v>
      </c>
      <c r="B1802" s="7" t="s">
        <v>199</v>
      </c>
      <c r="C1802" s="7" t="s">
        <v>653</v>
      </c>
      <c r="D1802" s="7" t="s">
        <v>19</v>
      </c>
      <c r="E1802" s="7" t="s">
        <v>1177</v>
      </c>
      <c r="F1802" s="7" t="s">
        <v>134</v>
      </c>
      <c r="G1802" s="7" t="s">
        <v>130</v>
      </c>
      <c r="H1802" s="7" t="s">
        <v>129</v>
      </c>
      <c r="I1802" s="30">
        <v>200</v>
      </c>
      <c r="J1802" s="7" t="s">
        <v>1177</v>
      </c>
      <c r="K1802" s="7" t="s">
        <v>1178</v>
      </c>
      <c r="L1802" s="7" t="s">
        <v>132</v>
      </c>
      <c r="M1802" s="7" t="s">
        <v>200</v>
      </c>
      <c r="N1802" s="30">
        <v>0</v>
      </c>
      <c r="O1802" s="30">
        <v>0</v>
      </c>
      <c r="P1802" s="30">
        <v>0</v>
      </c>
      <c r="Q1802" s="30">
        <v>0</v>
      </c>
      <c r="R1802" s="29">
        <v>0</v>
      </c>
      <c r="S1802" s="36">
        <v>0</v>
      </c>
      <c r="T1802" s="7" t="s">
        <v>131</v>
      </c>
      <c r="U1802" s="7" t="s">
        <v>654</v>
      </c>
      <c r="V1802" s="7" t="s">
        <v>654</v>
      </c>
      <c r="W1802" s="7" t="s">
        <v>1177</v>
      </c>
      <c r="X1802" s="30">
        <v>200</v>
      </c>
      <c r="Y1802" s="7" t="s">
        <v>1177</v>
      </c>
      <c r="Z1802" s="7" t="s">
        <v>1178</v>
      </c>
      <c r="AA1802" s="30">
        <v>0</v>
      </c>
      <c r="AB1802" s="36">
        <v>0</v>
      </c>
      <c r="AC1802" s="7" t="s">
        <v>1177</v>
      </c>
      <c r="AD1802" s="37">
        <v>0</v>
      </c>
      <c r="AE1802" s="7" t="s">
        <v>1177</v>
      </c>
      <c r="AF1802" s="7" t="s">
        <v>1177</v>
      </c>
      <c r="AG1802" s="7" t="s">
        <v>1177</v>
      </c>
      <c r="AH1802" s="38"/>
      <c r="AI1802" s="36">
        <v>0</v>
      </c>
      <c r="AJ1802" s="7" t="s">
        <v>1193</v>
      </c>
      <c r="AK1802" s="7" t="s">
        <v>1177</v>
      </c>
      <c r="AL1802" s="7" t="s">
        <v>1177</v>
      </c>
      <c r="AM1802" s="7" t="s">
        <v>1177</v>
      </c>
      <c r="AN1802" s="7" t="s">
        <v>3212</v>
      </c>
      <c r="AO1802" s="7" t="s">
        <v>1177</v>
      </c>
      <c r="AP1802" s="7" t="s">
        <v>1177</v>
      </c>
      <c r="AQ1802" s="7" t="s">
        <v>1177</v>
      </c>
      <c r="AR1802" s="29">
        <v>0</v>
      </c>
      <c r="AS1802" s="7" t="s">
        <v>1177</v>
      </c>
      <c r="AT1802" s="7" t="s">
        <v>1363</v>
      </c>
      <c r="AU1802" s="38">
        <v>46275</v>
      </c>
      <c r="AV1802" s="39">
        <v>0.60391203703703999</v>
      </c>
    </row>
    <row r="1803" spans="1:48" x14ac:dyDescent="0.35">
      <c r="A1803" t="str">
        <f t="shared" si="28"/>
        <v>P390350B833</v>
      </c>
      <c r="B1803" s="7" t="s">
        <v>199</v>
      </c>
      <c r="C1803" s="7" t="s">
        <v>698</v>
      </c>
      <c r="D1803" s="7" t="s">
        <v>697</v>
      </c>
      <c r="E1803" s="7" t="s">
        <v>1177</v>
      </c>
      <c r="F1803" s="7" t="s">
        <v>134</v>
      </c>
      <c r="G1803" s="7" t="s">
        <v>130</v>
      </c>
      <c r="H1803" s="7" t="s">
        <v>129</v>
      </c>
      <c r="I1803" s="30">
        <v>200</v>
      </c>
      <c r="J1803" s="7" t="s">
        <v>1177</v>
      </c>
      <c r="K1803" s="7" t="s">
        <v>1178</v>
      </c>
      <c r="L1803" s="7" t="s">
        <v>132</v>
      </c>
      <c r="M1803" s="7" t="s">
        <v>200</v>
      </c>
      <c r="N1803" s="30">
        <v>0</v>
      </c>
      <c r="O1803" s="30">
        <v>0</v>
      </c>
      <c r="P1803" s="30">
        <v>0</v>
      </c>
      <c r="Q1803" s="30">
        <v>0</v>
      </c>
      <c r="R1803" s="29">
        <v>0</v>
      </c>
      <c r="S1803" s="36">
        <v>0</v>
      </c>
      <c r="T1803" s="7" t="s">
        <v>131</v>
      </c>
      <c r="U1803" s="7" t="s">
        <v>699</v>
      </c>
      <c r="V1803" s="7" t="s">
        <v>699</v>
      </c>
      <c r="W1803" s="7" t="s">
        <v>1177</v>
      </c>
      <c r="X1803" s="30">
        <v>200</v>
      </c>
      <c r="Y1803" s="7" t="s">
        <v>1177</v>
      </c>
      <c r="Z1803" s="7" t="s">
        <v>1178</v>
      </c>
      <c r="AA1803" s="30">
        <v>0</v>
      </c>
      <c r="AB1803" s="36">
        <v>0</v>
      </c>
      <c r="AC1803" s="7" t="s">
        <v>1177</v>
      </c>
      <c r="AD1803" s="37">
        <v>0</v>
      </c>
      <c r="AE1803" s="7" t="s">
        <v>1177</v>
      </c>
      <c r="AF1803" s="7" t="s">
        <v>1177</v>
      </c>
      <c r="AG1803" s="7" t="s">
        <v>1177</v>
      </c>
      <c r="AH1803" s="38"/>
      <c r="AI1803" s="36">
        <v>0</v>
      </c>
      <c r="AJ1803" s="7" t="s">
        <v>1193</v>
      </c>
      <c r="AK1803" s="7" t="s">
        <v>1177</v>
      </c>
      <c r="AL1803" s="7" t="s">
        <v>1177</v>
      </c>
      <c r="AM1803" s="7" t="s">
        <v>1177</v>
      </c>
      <c r="AN1803" s="7" t="s">
        <v>3212</v>
      </c>
      <c r="AO1803" s="7" t="s">
        <v>1177</v>
      </c>
      <c r="AP1803" s="7" t="s">
        <v>1177</v>
      </c>
      <c r="AQ1803" s="7" t="s">
        <v>1177</v>
      </c>
      <c r="AR1803" s="29">
        <v>0</v>
      </c>
      <c r="AS1803" s="7" t="s">
        <v>1177</v>
      </c>
      <c r="AT1803" s="7" t="s">
        <v>1363</v>
      </c>
      <c r="AU1803" s="38">
        <v>46275</v>
      </c>
      <c r="AV1803" s="39">
        <v>0.60396990740740997</v>
      </c>
    </row>
    <row r="1804" spans="1:48" x14ac:dyDescent="0.35">
      <c r="A1804" t="str">
        <f t="shared" si="28"/>
        <v>P390350B838</v>
      </c>
      <c r="B1804" s="7" t="s">
        <v>199</v>
      </c>
      <c r="C1804" s="7" t="s">
        <v>744</v>
      </c>
      <c r="D1804" s="7" t="s">
        <v>48</v>
      </c>
      <c r="E1804" s="7" t="s">
        <v>1177</v>
      </c>
      <c r="F1804" s="7" t="s">
        <v>134</v>
      </c>
      <c r="G1804" s="7" t="s">
        <v>130</v>
      </c>
      <c r="H1804" s="7" t="s">
        <v>129</v>
      </c>
      <c r="I1804" s="30">
        <v>700</v>
      </c>
      <c r="J1804" s="7" t="s">
        <v>1177</v>
      </c>
      <c r="K1804" s="7" t="s">
        <v>1178</v>
      </c>
      <c r="L1804" s="7" t="s">
        <v>132</v>
      </c>
      <c r="M1804" s="7" t="s">
        <v>200</v>
      </c>
      <c r="N1804" s="30">
        <v>0</v>
      </c>
      <c r="O1804" s="30">
        <v>0</v>
      </c>
      <c r="P1804" s="30">
        <v>0</v>
      </c>
      <c r="Q1804" s="30">
        <v>0</v>
      </c>
      <c r="R1804" s="29">
        <v>0</v>
      </c>
      <c r="S1804" s="36">
        <v>0</v>
      </c>
      <c r="T1804" s="7" t="s">
        <v>131</v>
      </c>
      <c r="U1804" s="7" t="s">
        <v>745</v>
      </c>
      <c r="V1804" s="7" t="s">
        <v>745</v>
      </c>
      <c r="W1804" s="7" t="s">
        <v>1177</v>
      </c>
      <c r="X1804" s="30">
        <v>700</v>
      </c>
      <c r="Y1804" s="7" t="s">
        <v>1177</v>
      </c>
      <c r="Z1804" s="7" t="s">
        <v>1178</v>
      </c>
      <c r="AA1804" s="30">
        <v>0</v>
      </c>
      <c r="AB1804" s="36">
        <v>0</v>
      </c>
      <c r="AC1804" s="7" t="s">
        <v>1177</v>
      </c>
      <c r="AD1804" s="37">
        <v>0</v>
      </c>
      <c r="AE1804" s="7" t="s">
        <v>1177</v>
      </c>
      <c r="AF1804" s="7" t="s">
        <v>1177</v>
      </c>
      <c r="AG1804" s="7" t="s">
        <v>1177</v>
      </c>
      <c r="AH1804" s="38"/>
      <c r="AI1804" s="36">
        <v>0</v>
      </c>
      <c r="AJ1804" s="7" t="s">
        <v>1193</v>
      </c>
      <c r="AK1804" s="7" t="s">
        <v>1177</v>
      </c>
      <c r="AL1804" s="7" t="s">
        <v>1177</v>
      </c>
      <c r="AM1804" s="7" t="s">
        <v>1177</v>
      </c>
      <c r="AN1804" s="7" t="s">
        <v>3212</v>
      </c>
      <c r="AO1804" s="7" t="s">
        <v>1177</v>
      </c>
      <c r="AP1804" s="7" t="s">
        <v>1177</v>
      </c>
      <c r="AQ1804" s="7" t="s">
        <v>1177</v>
      </c>
      <c r="AR1804" s="29">
        <v>0</v>
      </c>
      <c r="AS1804" s="7" t="s">
        <v>1177</v>
      </c>
      <c r="AT1804" s="7" t="s">
        <v>1363</v>
      </c>
      <c r="AU1804" s="38">
        <v>46275</v>
      </c>
      <c r="AV1804" s="39">
        <v>0.60445601851852004</v>
      </c>
    </row>
    <row r="1805" spans="1:48" x14ac:dyDescent="0.35">
      <c r="A1805" t="str">
        <f t="shared" si="28"/>
        <v>P390350B856</v>
      </c>
      <c r="B1805" s="7" t="s">
        <v>199</v>
      </c>
      <c r="C1805" s="7" t="s">
        <v>852</v>
      </c>
      <c r="D1805" s="7" t="s">
        <v>21</v>
      </c>
      <c r="E1805" s="7" t="s">
        <v>1177</v>
      </c>
      <c r="F1805" s="7" t="s">
        <v>134</v>
      </c>
      <c r="G1805" s="7" t="s">
        <v>130</v>
      </c>
      <c r="H1805" s="7" t="s">
        <v>129</v>
      </c>
      <c r="I1805" s="30">
        <v>300</v>
      </c>
      <c r="J1805" s="7" t="s">
        <v>1177</v>
      </c>
      <c r="K1805" s="7" t="s">
        <v>1178</v>
      </c>
      <c r="L1805" s="7" t="s">
        <v>132</v>
      </c>
      <c r="M1805" s="7" t="s">
        <v>200</v>
      </c>
      <c r="N1805" s="30">
        <v>0</v>
      </c>
      <c r="O1805" s="30">
        <v>0</v>
      </c>
      <c r="P1805" s="30">
        <v>0</v>
      </c>
      <c r="Q1805" s="30">
        <v>0</v>
      </c>
      <c r="R1805" s="29">
        <v>0</v>
      </c>
      <c r="S1805" s="36">
        <v>0</v>
      </c>
      <c r="T1805" s="7" t="s">
        <v>131</v>
      </c>
      <c r="U1805" s="7" t="s">
        <v>853</v>
      </c>
      <c r="V1805" s="7" t="s">
        <v>853</v>
      </c>
      <c r="W1805" s="7" t="s">
        <v>1177</v>
      </c>
      <c r="X1805" s="30">
        <v>300</v>
      </c>
      <c r="Y1805" s="7" t="s">
        <v>1177</v>
      </c>
      <c r="Z1805" s="7" t="s">
        <v>1178</v>
      </c>
      <c r="AA1805" s="30">
        <v>0</v>
      </c>
      <c r="AB1805" s="36">
        <v>0</v>
      </c>
      <c r="AC1805" s="7" t="s">
        <v>1177</v>
      </c>
      <c r="AD1805" s="37">
        <v>0</v>
      </c>
      <c r="AE1805" s="7" t="s">
        <v>1177</v>
      </c>
      <c r="AF1805" s="7" t="s">
        <v>1177</v>
      </c>
      <c r="AG1805" s="7" t="s">
        <v>1177</v>
      </c>
      <c r="AH1805" s="38"/>
      <c r="AI1805" s="36">
        <v>0</v>
      </c>
      <c r="AJ1805" s="7" t="s">
        <v>1193</v>
      </c>
      <c r="AK1805" s="7" t="s">
        <v>1177</v>
      </c>
      <c r="AL1805" s="7" t="s">
        <v>1177</v>
      </c>
      <c r="AM1805" s="7" t="s">
        <v>1177</v>
      </c>
      <c r="AN1805" s="7" t="s">
        <v>3212</v>
      </c>
      <c r="AO1805" s="7" t="s">
        <v>1177</v>
      </c>
      <c r="AP1805" s="7" t="s">
        <v>1177</v>
      </c>
      <c r="AQ1805" s="7" t="s">
        <v>1177</v>
      </c>
      <c r="AR1805" s="29">
        <v>0</v>
      </c>
      <c r="AS1805" s="7" t="s">
        <v>1177</v>
      </c>
      <c r="AT1805" s="7" t="s">
        <v>1363</v>
      </c>
      <c r="AU1805" s="38">
        <v>46275</v>
      </c>
      <c r="AV1805" s="39">
        <v>0.60524305555556002</v>
      </c>
    </row>
    <row r="1806" spans="1:48" x14ac:dyDescent="0.35">
      <c r="A1806" t="str">
        <f t="shared" si="28"/>
        <v>P390350B864</v>
      </c>
      <c r="B1806" s="7" t="s">
        <v>199</v>
      </c>
      <c r="C1806" s="7" t="s">
        <v>1010</v>
      </c>
      <c r="D1806" s="7" t="s">
        <v>10</v>
      </c>
      <c r="E1806" s="7" t="s">
        <v>1177</v>
      </c>
      <c r="F1806" s="7" t="s">
        <v>134</v>
      </c>
      <c r="G1806" s="7" t="s">
        <v>130</v>
      </c>
      <c r="H1806" s="7" t="s">
        <v>129</v>
      </c>
      <c r="I1806" s="30">
        <v>200</v>
      </c>
      <c r="J1806" s="7" t="s">
        <v>1177</v>
      </c>
      <c r="K1806" s="7" t="s">
        <v>1178</v>
      </c>
      <c r="L1806" s="7" t="s">
        <v>132</v>
      </c>
      <c r="M1806" s="7" t="s">
        <v>200</v>
      </c>
      <c r="N1806" s="30">
        <v>0</v>
      </c>
      <c r="O1806" s="30">
        <v>0</v>
      </c>
      <c r="P1806" s="30">
        <v>0</v>
      </c>
      <c r="Q1806" s="30">
        <v>0</v>
      </c>
      <c r="R1806" s="29">
        <v>0</v>
      </c>
      <c r="S1806" s="36">
        <v>0</v>
      </c>
      <c r="T1806" s="7" t="s">
        <v>131</v>
      </c>
      <c r="U1806" s="7" t="s">
        <v>1011</v>
      </c>
      <c r="V1806" s="7" t="s">
        <v>1011</v>
      </c>
      <c r="W1806" s="7" t="s">
        <v>1177</v>
      </c>
      <c r="X1806" s="30">
        <v>200</v>
      </c>
      <c r="Y1806" s="7" t="s">
        <v>1177</v>
      </c>
      <c r="Z1806" s="7" t="s">
        <v>1178</v>
      </c>
      <c r="AA1806" s="30">
        <v>0</v>
      </c>
      <c r="AB1806" s="36">
        <v>0</v>
      </c>
      <c r="AC1806" s="7" t="s">
        <v>1177</v>
      </c>
      <c r="AD1806" s="37">
        <v>0</v>
      </c>
      <c r="AE1806" s="7" t="s">
        <v>1177</v>
      </c>
      <c r="AF1806" s="7" t="s">
        <v>1177</v>
      </c>
      <c r="AG1806" s="7" t="s">
        <v>1177</v>
      </c>
      <c r="AH1806" s="38"/>
      <c r="AI1806" s="36">
        <v>0</v>
      </c>
      <c r="AJ1806" s="7" t="s">
        <v>1193</v>
      </c>
      <c r="AK1806" s="7" t="s">
        <v>1177</v>
      </c>
      <c r="AL1806" s="7" t="s">
        <v>1177</v>
      </c>
      <c r="AM1806" s="7" t="s">
        <v>1177</v>
      </c>
      <c r="AN1806" s="7" t="s">
        <v>3212</v>
      </c>
      <c r="AO1806" s="7" t="s">
        <v>1177</v>
      </c>
      <c r="AP1806" s="7" t="s">
        <v>1177</v>
      </c>
      <c r="AQ1806" s="7" t="s">
        <v>1177</v>
      </c>
      <c r="AR1806" s="29">
        <v>0</v>
      </c>
      <c r="AS1806" s="7" t="s">
        <v>1177</v>
      </c>
      <c r="AT1806" s="7" t="s">
        <v>1363</v>
      </c>
      <c r="AU1806" s="38">
        <v>46275</v>
      </c>
      <c r="AV1806" s="39">
        <v>0.60542824074073998</v>
      </c>
    </row>
    <row r="1807" spans="1:48" x14ac:dyDescent="0.35">
      <c r="A1807" t="str">
        <f t="shared" si="28"/>
        <v>P390350B865</v>
      </c>
      <c r="B1807" s="7" t="s">
        <v>199</v>
      </c>
      <c r="C1807" s="7" t="s">
        <v>1039</v>
      </c>
      <c r="D1807" s="7" t="s">
        <v>7</v>
      </c>
      <c r="E1807" s="7" t="s">
        <v>1177</v>
      </c>
      <c r="F1807" s="7" t="s">
        <v>134</v>
      </c>
      <c r="G1807" s="7" t="s">
        <v>130</v>
      </c>
      <c r="H1807" s="7" t="s">
        <v>129</v>
      </c>
      <c r="I1807" s="30">
        <v>200</v>
      </c>
      <c r="J1807" s="7" t="s">
        <v>1177</v>
      </c>
      <c r="K1807" s="7" t="s">
        <v>1178</v>
      </c>
      <c r="L1807" s="7" t="s">
        <v>132</v>
      </c>
      <c r="M1807" s="7" t="s">
        <v>200</v>
      </c>
      <c r="N1807" s="30">
        <v>0</v>
      </c>
      <c r="O1807" s="30">
        <v>0</v>
      </c>
      <c r="P1807" s="30">
        <v>0</v>
      </c>
      <c r="Q1807" s="30">
        <v>0</v>
      </c>
      <c r="R1807" s="29">
        <v>0</v>
      </c>
      <c r="S1807" s="36">
        <v>0</v>
      </c>
      <c r="T1807" s="7" t="s">
        <v>131</v>
      </c>
      <c r="U1807" s="7" t="s">
        <v>1040</v>
      </c>
      <c r="V1807" s="7" t="s">
        <v>1040</v>
      </c>
      <c r="W1807" s="7" t="s">
        <v>1177</v>
      </c>
      <c r="X1807" s="30">
        <v>200</v>
      </c>
      <c r="Y1807" s="7" t="s">
        <v>1177</v>
      </c>
      <c r="Z1807" s="7" t="s">
        <v>1178</v>
      </c>
      <c r="AA1807" s="30">
        <v>0</v>
      </c>
      <c r="AB1807" s="36">
        <v>0</v>
      </c>
      <c r="AC1807" s="7" t="s">
        <v>1177</v>
      </c>
      <c r="AD1807" s="37">
        <v>0</v>
      </c>
      <c r="AE1807" s="7" t="s">
        <v>1177</v>
      </c>
      <c r="AF1807" s="7" t="s">
        <v>1177</v>
      </c>
      <c r="AG1807" s="7" t="s">
        <v>1177</v>
      </c>
      <c r="AH1807" s="38"/>
      <c r="AI1807" s="36">
        <v>0</v>
      </c>
      <c r="AJ1807" s="7" t="s">
        <v>1193</v>
      </c>
      <c r="AK1807" s="7" t="s">
        <v>1177</v>
      </c>
      <c r="AL1807" s="7" t="s">
        <v>1177</v>
      </c>
      <c r="AM1807" s="7" t="s">
        <v>1177</v>
      </c>
      <c r="AN1807" s="7" t="s">
        <v>3212</v>
      </c>
      <c r="AO1807" s="7" t="s">
        <v>1177</v>
      </c>
      <c r="AP1807" s="7" t="s">
        <v>1177</v>
      </c>
      <c r="AQ1807" s="7" t="s">
        <v>1177</v>
      </c>
      <c r="AR1807" s="29">
        <v>0</v>
      </c>
      <c r="AS1807" s="7" t="s">
        <v>1177</v>
      </c>
      <c r="AT1807" s="7" t="s">
        <v>1363</v>
      </c>
      <c r="AU1807" s="38">
        <v>46275</v>
      </c>
      <c r="AV1807" s="39">
        <v>0.60555555555555995</v>
      </c>
    </row>
    <row r="1808" spans="1:48" x14ac:dyDescent="0.35">
      <c r="A1808" t="str">
        <f t="shared" si="28"/>
        <v>P390350B867</v>
      </c>
      <c r="B1808" s="7" t="s">
        <v>199</v>
      </c>
      <c r="C1808" s="7" t="s">
        <v>1059</v>
      </c>
      <c r="D1808" s="7" t="s">
        <v>25</v>
      </c>
      <c r="E1808" s="7" t="s">
        <v>1177</v>
      </c>
      <c r="F1808" s="7" t="s">
        <v>134</v>
      </c>
      <c r="G1808" s="7" t="s">
        <v>130</v>
      </c>
      <c r="H1808" s="7" t="s">
        <v>129</v>
      </c>
      <c r="I1808" s="30">
        <v>200</v>
      </c>
      <c r="J1808" s="7" t="s">
        <v>1177</v>
      </c>
      <c r="K1808" s="7" t="s">
        <v>1178</v>
      </c>
      <c r="L1808" s="7" t="s">
        <v>132</v>
      </c>
      <c r="M1808" s="7" t="s">
        <v>200</v>
      </c>
      <c r="N1808" s="30">
        <v>0</v>
      </c>
      <c r="O1808" s="30">
        <v>0</v>
      </c>
      <c r="P1808" s="30">
        <v>0</v>
      </c>
      <c r="Q1808" s="30">
        <v>0</v>
      </c>
      <c r="R1808" s="29">
        <v>0</v>
      </c>
      <c r="S1808" s="36">
        <v>0</v>
      </c>
      <c r="T1808" s="7" t="s">
        <v>131</v>
      </c>
      <c r="U1808" s="7" t="s">
        <v>1060</v>
      </c>
      <c r="V1808" s="7" t="s">
        <v>1060</v>
      </c>
      <c r="W1808" s="7" t="s">
        <v>1177</v>
      </c>
      <c r="X1808" s="30">
        <v>200</v>
      </c>
      <c r="Y1808" s="7" t="s">
        <v>1177</v>
      </c>
      <c r="Z1808" s="7" t="s">
        <v>1178</v>
      </c>
      <c r="AA1808" s="30">
        <v>0</v>
      </c>
      <c r="AB1808" s="36">
        <v>0</v>
      </c>
      <c r="AC1808" s="7" t="s">
        <v>1177</v>
      </c>
      <c r="AD1808" s="37">
        <v>0</v>
      </c>
      <c r="AE1808" s="7" t="s">
        <v>1177</v>
      </c>
      <c r="AF1808" s="7" t="s">
        <v>1177</v>
      </c>
      <c r="AG1808" s="7" t="s">
        <v>1177</v>
      </c>
      <c r="AH1808" s="38"/>
      <c r="AI1808" s="36">
        <v>0</v>
      </c>
      <c r="AJ1808" s="7" t="s">
        <v>1193</v>
      </c>
      <c r="AK1808" s="7" t="s">
        <v>1177</v>
      </c>
      <c r="AL1808" s="7" t="s">
        <v>1177</v>
      </c>
      <c r="AM1808" s="7" t="s">
        <v>1177</v>
      </c>
      <c r="AN1808" s="7" t="s">
        <v>3212</v>
      </c>
      <c r="AO1808" s="7" t="s">
        <v>1177</v>
      </c>
      <c r="AP1808" s="7" t="s">
        <v>1177</v>
      </c>
      <c r="AQ1808" s="7" t="s">
        <v>1177</v>
      </c>
      <c r="AR1808" s="29">
        <v>0</v>
      </c>
      <c r="AS1808" s="7" t="s">
        <v>1177</v>
      </c>
      <c r="AT1808" s="7" t="s">
        <v>1363</v>
      </c>
      <c r="AU1808" s="38">
        <v>46275</v>
      </c>
      <c r="AV1808" s="39">
        <v>0.60565972222221998</v>
      </c>
    </row>
    <row r="1809" spans="1:48" x14ac:dyDescent="0.35">
      <c r="A1809" t="str">
        <f t="shared" si="28"/>
        <v>P390351B825</v>
      </c>
      <c r="B1809" s="7" t="s">
        <v>201</v>
      </c>
      <c r="C1809" s="7" t="s">
        <v>511</v>
      </c>
      <c r="D1809" s="7" t="s">
        <v>16</v>
      </c>
      <c r="E1809" s="7" t="s">
        <v>1177</v>
      </c>
      <c r="F1809" s="7" t="s">
        <v>134</v>
      </c>
      <c r="G1809" s="7" t="s">
        <v>130</v>
      </c>
      <c r="H1809" s="7" t="s">
        <v>129</v>
      </c>
      <c r="I1809" s="30">
        <v>400</v>
      </c>
      <c r="J1809" s="7" t="s">
        <v>1177</v>
      </c>
      <c r="K1809" s="7" t="s">
        <v>1178</v>
      </c>
      <c r="L1809" s="7" t="s">
        <v>132</v>
      </c>
      <c r="M1809" s="7" t="s">
        <v>200</v>
      </c>
      <c r="N1809" s="30">
        <v>0</v>
      </c>
      <c r="O1809" s="30">
        <v>0</v>
      </c>
      <c r="P1809" s="30">
        <v>0</v>
      </c>
      <c r="Q1809" s="30">
        <v>0</v>
      </c>
      <c r="R1809" s="29">
        <v>0</v>
      </c>
      <c r="S1809" s="36">
        <v>0</v>
      </c>
      <c r="T1809" s="7" t="s">
        <v>131</v>
      </c>
      <c r="U1809" s="7" t="s">
        <v>512</v>
      </c>
      <c r="V1809" s="7" t="s">
        <v>512</v>
      </c>
      <c r="W1809" s="7" t="s">
        <v>1177</v>
      </c>
      <c r="X1809" s="30">
        <v>400</v>
      </c>
      <c r="Y1809" s="7" t="s">
        <v>1177</v>
      </c>
      <c r="Z1809" s="7" t="s">
        <v>1178</v>
      </c>
      <c r="AA1809" s="30">
        <v>0</v>
      </c>
      <c r="AB1809" s="36">
        <v>0</v>
      </c>
      <c r="AC1809" s="7" t="s">
        <v>1177</v>
      </c>
      <c r="AD1809" s="37">
        <v>0</v>
      </c>
      <c r="AE1809" s="7" t="s">
        <v>1177</v>
      </c>
      <c r="AF1809" s="7" t="s">
        <v>1177</v>
      </c>
      <c r="AG1809" s="7" t="s">
        <v>1177</v>
      </c>
      <c r="AH1809" s="38"/>
      <c r="AI1809" s="36">
        <v>0</v>
      </c>
      <c r="AJ1809" s="7" t="s">
        <v>1193</v>
      </c>
      <c r="AK1809" s="7" t="s">
        <v>1177</v>
      </c>
      <c r="AL1809" s="7" t="s">
        <v>1177</v>
      </c>
      <c r="AM1809" s="7" t="s">
        <v>1177</v>
      </c>
      <c r="AN1809" s="7" t="s">
        <v>3212</v>
      </c>
      <c r="AO1809" s="7" t="s">
        <v>1177</v>
      </c>
      <c r="AP1809" s="7" t="s">
        <v>1177</v>
      </c>
      <c r="AQ1809" s="7" t="s">
        <v>1177</v>
      </c>
      <c r="AR1809" s="29">
        <v>0</v>
      </c>
      <c r="AS1809" s="7" t="s">
        <v>1177</v>
      </c>
      <c r="AT1809" s="7" t="s">
        <v>1363</v>
      </c>
      <c r="AU1809" s="38">
        <v>46275</v>
      </c>
      <c r="AV1809" s="39">
        <v>0.60350694444443997</v>
      </c>
    </row>
    <row r="1810" spans="1:48" x14ac:dyDescent="0.35">
      <c r="A1810" t="str">
        <f t="shared" si="28"/>
        <v>P390351B832</v>
      </c>
      <c r="B1810" s="7" t="s">
        <v>201</v>
      </c>
      <c r="C1810" s="7" t="s">
        <v>653</v>
      </c>
      <c r="D1810" s="7" t="s">
        <v>19</v>
      </c>
      <c r="E1810" s="7" t="s">
        <v>1177</v>
      </c>
      <c r="F1810" s="7" t="s">
        <v>134</v>
      </c>
      <c r="G1810" s="7" t="s">
        <v>130</v>
      </c>
      <c r="H1810" s="7" t="s">
        <v>129</v>
      </c>
      <c r="I1810" s="30">
        <v>200</v>
      </c>
      <c r="J1810" s="7" t="s">
        <v>1177</v>
      </c>
      <c r="K1810" s="7" t="s">
        <v>1178</v>
      </c>
      <c r="L1810" s="7" t="s">
        <v>132</v>
      </c>
      <c r="M1810" s="7" t="s">
        <v>200</v>
      </c>
      <c r="N1810" s="30">
        <v>0</v>
      </c>
      <c r="O1810" s="30">
        <v>0</v>
      </c>
      <c r="P1810" s="30">
        <v>0</v>
      </c>
      <c r="Q1810" s="30">
        <v>0</v>
      </c>
      <c r="R1810" s="29">
        <v>0</v>
      </c>
      <c r="S1810" s="36">
        <v>0</v>
      </c>
      <c r="T1810" s="7" t="s">
        <v>131</v>
      </c>
      <c r="U1810" s="7" t="s">
        <v>654</v>
      </c>
      <c r="V1810" s="7" t="s">
        <v>654</v>
      </c>
      <c r="W1810" s="7" t="s">
        <v>1177</v>
      </c>
      <c r="X1810" s="30">
        <v>200</v>
      </c>
      <c r="Y1810" s="7" t="s">
        <v>1177</v>
      </c>
      <c r="Z1810" s="7" t="s">
        <v>1178</v>
      </c>
      <c r="AA1810" s="30">
        <v>0</v>
      </c>
      <c r="AB1810" s="36">
        <v>0</v>
      </c>
      <c r="AC1810" s="7" t="s">
        <v>1177</v>
      </c>
      <c r="AD1810" s="37">
        <v>0</v>
      </c>
      <c r="AE1810" s="7" t="s">
        <v>1177</v>
      </c>
      <c r="AF1810" s="7" t="s">
        <v>1177</v>
      </c>
      <c r="AG1810" s="7" t="s">
        <v>1177</v>
      </c>
      <c r="AH1810" s="38"/>
      <c r="AI1810" s="36">
        <v>0</v>
      </c>
      <c r="AJ1810" s="7" t="s">
        <v>1193</v>
      </c>
      <c r="AK1810" s="7" t="s">
        <v>1177</v>
      </c>
      <c r="AL1810" s="7" t="s">
        <v>1177</v>
      </c>
      <c r="AM1810" s="7" t="s">
        <v>1177</v>
      </c>
      <c r="AN1810" s="7" t="s">
        <v>3212</v>
      </c>
      <c r="AO1810" s="7" t="s">
        <v>1177</v>
      </c>
      <c r="AP1810" s="7" t="s">
        <v>1177</v>
      </c>
      <c r="AQ1810" s="7" t="s">
        <v>1177</v>
      </c>
      <c r="AR1810" s="29">
        <v>0</v>
      </c>
      <c r="AS1810" s="7" t="s">
        <v>1177</v>
      </c>
      <c r="AT1810" s="7" t="s">
        <v>1363</v>
      </c>
      <c r="AU1810" s="38">
        <v>46275</v>
      </c>
      <c r="AV1810" s="39">
        <v>0.60385416666667002</v>
      </c>
    </row>
    <row r="1811" spans="1:48" x14ac:dyDescent="0.35">
      <c r="A1811" t="str">
        <f t="shared" si="28"/>
        <v>P390351B833</v>
      </c>
      <c r="B1811" s="7" t="s">
        <v>201</v>
      </c>
      <c r="C1811" s="7" t="s">
        <v>698</v>
      </c>
      <c r="D1811" s="7" t="s">
        <v>697</v>
      </c>
      <c r="E1811" s="7" t="s">
        <v>1177</v>
      </c>
      <c r="F1811" s="7" t="s">
        <v>134</v>
      </c>
      <c r="G1811" s="7" t="s">
        <v>130</v>
      </c>
      <c r="H1811" s="7" t="s">
        <v>129</v>
      </c>
      <c r="I1811" s="30">
        <v>200</v>
      </c>
      <c r="J1811" s="7" t="s">
        <v>1177</v>
      </c>
      <c r="K1811" s="7" t="s">
        <v>1178</v>
      </c>
      <c r="L1811" s="7" t="s">
        <v>132</v>
      </c>
      <c r="M1811" s="7" t="s">
        <v>200</v>
      </c>
      <c r="N1811" s="30">
        <v>0</v>
      </c>
      <c r="O1811" s="30">
        <v>0</v>
      </c>
      <c r="P1811" s="30">
        <v>0</v>
      </c>
      <c r="Q1811" s="30">
        <v>0</v>
      </c>
      <c r="R1811" s="29">
        <v>0</v>
      </c>
      <c r="S1811" s="36">
        <v>0</v>
      </c>
      <c r="T1811" s="7" t="s">
        <v>131</v>
      </c>
      <c r="U1811" s="7" t="s">
        <v>699</v>
      </c>
      <c r="V1811" s="7" t="s">
        <v>699</v>
      </c>
      <c r="W1811" s="7" t="s">
        <v>1177</v>
      </c>
      <c r="X1811" s="30">
        <v>200</v>
      </c>
      <c r="Y1811" s="7" t="s">
        <v>1177</v>
      </c>
      <c r="Z1811" s="7" t="s">
        <v>1178</v>
      </c>
      <c r="AA1811" s="30">
        <v>0</v>
      </c>
      <c r="AB1811" s="36">
        <v>0</v>
      </c>
      <c r="AC1811" s="7" t="s">
        <v>1177</v>
      </c>
      <c r="AD1811" s="37">
        <v>0</v>
      </c>
      <c r="AE1811" s="7" t="s">
        <v>1177</v>
      </c>
      <c r="AF1811" s="7" t="s">
        <v>1177</v>
      </c>
      <c r="AG1811" s="7" t="s">
        <v>1177</v>
      </c>
      <c r="AH1811" s="38"/>
      <c r="AI1811" s="36">
        <v>0</v>
      </c>
      <c r="AJ1811" s="7" t="s">
        <v>1193</v>
      </c>
      <c r="AK1811" s="7" t="s">
        <v>1177</v>
      </c>
      <c r="AL1811" s="7" t="s">
        <v>1177</v>
      </c>
      <c r="AM1811" s="7" t="s">
        <v>1177</v>
      </c>
      <c r="AN1811" s="7" t="s">
        <v>3212</v>
      </c>
      <c r="AO1811" s="7" t="s">
        <v>1177</v>
      </c>
      <c r="AP1811" s="7" t="s">
        <v>1177</v>
      </c>
      <c r="AQ1811" s="7" t="s">
        <v>1177</v>
      </c>
      <c r="AR1811" s="29">
        <v>0</v>
      </c>
      <c r="AS1811" s="7" t="s">
        <v>1177</v>
      </c>
      <c r="AT1811" s="7" t="s">
        <v>1363</v>
      </c>
      <c r="AU1811" s="38">
        <v>46275</v>
      </c>
      <c r="AV1811" s="39">
        <v>0.60396990740740997</v>
      </c>
    </row>
    <row r="1812" spans="1:48" x14ac:dyDescent="0.35">
      <c r="A1812" t="str">
        <f t="shared" si="28"/>
        <v>P390351B838</v>
      </c>
      <c r="B1812" s="7" t="s">
        <v>201</v>
      </c>
      <c r="C1812" s="7" t="s">
        <v>744</v>
      </c>
      <c r="D1812" s="7" t="s">
        <v>48</v>
      </c>
      <c r="E1812" s="7" t="s">
        <v>1177</v>
      </c>
      <c r="F1812" s="7" t="s">
        <v>134</v>
      </c>
      <c r="G1812" s="7" t="s">
        <v>130</v>
      </c>
      <c r="H1812" s="7" t="s">
        <v>129</v>
      </c>
      <c r="I1812" s="30">
        <v>200</v>
      </c>
      <c r="J1812" s="7" t="s">
        <v>1177</v>
      </c>
      <c r="K1812" s="7" t="s">
        <v>1178</v>
      </c>
      <c r="L1812" s="7" t="s">
        <v>132</v>
      </c>
      <c r="M1812" s="7" t="s">
        <v>200</v>
      </c>
      <c r="N1812" s="30">
        <v>0</v>
      </c>
      <c r="O1812" s="30">
        <v>0</v>
      </c>
      <c r="P1812" s="30">
        <v>0</v>
      </c>
      <c r="Q1812" s="30">
        <v>0</v>
      </c>
      <c r="R1812" s="29">
        <v>0</v>
      </c>
      <c r="S1812" s="36">
        <v>0</v>
      </c>
      <c r="T1812" s="7" t="s">
        <v>131</v>
      </c>
      <c r="U1812" s="7" t="s">
        <v>745</v>
      </c>
      <c r="V1812" s="7" t="s">
        <v>745</v>
      </c>
      <c r="W1812" s="7" t="s">
        <v>1177</v>
      </c>
      <c r="X1812" s="30">
        <v>200</v>
      </c>
      <c r="Y1812" s="7" t="s">
        <v>1177</v>
      </c>
      <c r="Z1812" s="7" t="s">
        <v>1178</v>
      </c>
      <c r="AA1812" s="30">
        <v>0</v>
      </c>
      <c r="AB1812" s="36">
        <v>0</v>
      </c>
      <c r="AC1812" s="7" t="s">
        <v>1177</v>
      </c>
      <c r="AD1812" s="37">
        <v>0</v>
      </c>
      <c r="AE1812" s="7" t="s">
        <v>1177</v>
      </c>
      <c r="AF1812" s="7" t="s">
        <v>1177</v>
      </c>
      <c r="AG1812" s="7" t="s">
        <v>1177</v>
      </c>
      <c r="AH1812" s="38"/>
      <c r="AI1812" s="36">
        <v>0</v>
      </c>
      <c r="AJ1812" s="7" t="s">
        <v>1193</v>
      </c>
      <c r="AK1812" s="7" t="s">
        <v>1177</v>
      </c>
      <c r="AL1812" s="7" t="s">
        <v>1177</v>
      </c>
      <c r="AM1812" s="7" t="s">
        <v>1177</v>
      </c>
      <c r="AN1812" s="7" t="s">
        <v>3212</v>
      </c>
      <c r="AO1812" s="7" t="s">
        <v>1177</v>
      </c>
      <c r="AP1812" s="7" t="s">
        <v>1177</v>
      </c>
      <c r="AQ1812" s="7" t="s">
        <v>1177</v>
      </c>
      <c r="AR1812" s="29">
        <v>0</v>
      </c>
      <c r="AS1812" s="7" t="s">
        <v>1177</v>
      </c>
      <c r="AT1812" s="7" t="s">
        <v>1363</v>
      </c>
      <c r="AU1812" s="38">
        <v>46275</v>
      </c>
      <c r="AV1812" s="39">
        <v>0.60438657407407004</v>
      </c>
    </row>
    <row r="1813" spans="1:48" x14ac:dyDescent="0.35">
      <c r="A1813" t="str">
        <f t="shared" si="28"/>
        <v>P390351B856</v>
      </c>
      <c r="B1813" s="7" t="s">
        <v>201</v>
      </c>
      <c r="C1813" s="7" t="s">
        <v>852</v>
      </c>
      <c r="D1813" s="7" t="s">
        <v>21</v>
      </c>
      <c r="E1813" s="7" t="s">
        <v>1177</v>
      </c>
      <c r="F1813" s="7" t="s">
        <v>134</v>
      </c>
      <c r="G1813" s="7" t="s">
        <v>130</v>
      </c>
      <c r="H1813" s="7" t="s">
        <v>129</v>
      </c>
      <c r="I1813" s="30">
        <v>200</v>
      </c>
      <c r="J1813" s="7" t="s">
        <v>1177</v>
      </c>
      <c r="K1813" s="7" t="s">
        <v>1178</v>
      </c>
      <c r="L1813" s="7" t="s">
        <v>132</v>
      </c>
      <c r="M1813" s="7" t="s">
        <v>200</v>
      </c>
      <c r="N1813" s="30">
        <v>0</v>
      </c>
      <c r="O1813" s="30">
        <v>0</v>
      </c>
      <c r="P1813" s="30">
        <v>0</v>
      </c>
      <c r="Q1813" s="30">
        <v>0</v>
      </c>
      <c r="R1813" s="29">
        <v>0</v>
      </c>
      <c r="S1813" s="36">
        <v>0</v>
      </c>
      <c r="T1813" s="7" t="s">
        <v>131</v>
      </c>
      <c r="U1813" s="7" t="s">
        <v>853</v>
      </c>
      <c r="V1813" s="7" t="s">
        <v>853</v>
      </c>
      <c r="W1813" s="7" t="s">
        <v>1177</v>
      </c>
      <c r="X1813" s="30">
        <v>200</v>
      </c>
      <c r="Y1813" s="7" t="s">
        <v>1177</v>
      </c>
      <c r="Z1813" s="7" t="s">
        <v>1178</v>
      </c>
      <c r="AA1813" s="30">
        <v>0</v>
      </c>
      <c r="AB1813" s="36">
        <v>0</v>
      </c>
      <c r="AC1813" s="7" t="s">
        <v>1177</v>
      </c>
      <c r="AD1813" s="37">
        <v>0</v>
      </c>
      <c r="AE1813" s="7" t="s">
        <v>1177</v>
      </c>
      <c r="AF1813" s="7" t="s">
        <v>1177</v>
      </c>
      <c r="AG1813" s="7" t="s">
        <v>1177</v>
      </c>
      <c r="AH1813" s="38"/>
      <c r="AI1813" s="36">
        <v>0</v>
      </c>
      <c r="AJ1813" s="7" t="s">
        <v>1193</v>
      </c>
      <c r="AK1813" s="7" t="s">
        <v>1177</v>
      </c>
      <c r="AL1813" s="7" t="s">
        <v>1177</v>
      </c>
      <c r="AM1813" s="7" t="s">
        <v>1177</v>
      </c>
      <c r="AN1813" s="7" t="s">
        <v>3212</v>
      </c>
      <c r="AO1813" s="7" t="s">
        <v>1177</v>
      </c>
      <c r="AP1813" s="7" t="s">
        <v>1177</v>
      </c>
      <c r="AQ1813" s="7" t="s">
        <v>1177</v>
      </c>
      <c r="AR1813" s="29">
        <v>0</v>
      </c>
      <c r="AS1813" s="7" t="s">
        <v>1177</v>
      </c>
      <c r="AT1813" s="7" t="s">
        <v>1363</v>
      </c>
      <c r="AU1813" s="38">
        <v>46275</v>
      </c>
      <c r="AV1813" s="39">
        <v>0.60524305555556002</v>
      </c>
    </row>
    <row r="1814" spans="1:48" x14ac:dyDescent="0.35">
      <c r="A1814" t="str">
        <f t="shared" si="28"/>
        <v>P390351B864</v>
      </c>
      <c r="B1814" s="7" t="s">
        <v>201</v>
      </c>
      <c r="C1814" s="7" t="s">
        <v>1010</v>
      </c>
      <c r="D1814" s="7" t="s">
        <v>10</v>
      </c>
      <c r="E1814" s="7" t="s">
        <v>1177</v>
      </c>
      <c r="F1814" s="7" t="s">
        <v>134</v>
      </c>
      <c r="G1814" s="7" t="s">
        <v>130</v>
      </c>
      <c r="H1814" s="7" t="s">
        <v>129</v>
      </c>
      <c r="I1814" s="30">
        <v>200</v>
      </c>
      <c r="J1814" s="7" t="s">
        <v>1177</v>
      </c>
      <c r="K1814" s="7" t="s">
        <v>1178</v>
      </c>
      <c r="L1814" s="7" t="s">
        <v>132</v>
      </c>
      <c r="M1814" s="7" t="s">
        <v>200</v>
      </c>
      <c r="N1814" s="30">
        <v>0</v>
      </c>
      <c r="O1814" s="30">
        <v>0</v>
      </c>
      <c r="P1814" s="30">
        <v>0</v>
      </c>
      <c r="Q1814" s="30">
        <v>0</v>
      </c>
      <c r="R1814" s="29">
        <v>0</v>
      </c>
      <c r="S1814" s="36">
        <v>0</v>
      </c>
      <c r="T1814" s="7" t="s">
        <v>131</v>
      </c>
      <c r="U1814" s="7" t="s">
        <v>1011</v>
      </c>
      <c r="V1814" s="7" t="s">
        <v>1011</v>
      </c>
      <c r="W1814" s="7" t="s">
        <v>1177</v>
      </c>
      <c r="X1814" s="30">
        <v>200</v>
      </c>
      <c r="Y1814" s="7" t="s">
        <v>1177</v>
      </c>
      <c r="Z1814" s="7" t="s">
        <v>1178</v>
      </c>
      <c r="AA1814" s="30">
        <v>0</v>
      </c>
      <c r="AB1814" s="36">
        <v>0</v>
      </c>
      <c r="AC1814" s="7" t="s">
        <v>1177</v>
      </c>
      <c r="AD1814" s="37">
        <v>0</v>
      </c>
      <c r="AE1814" s="7" t="s">
        <v>1177</v>
      </c>
      <c r="AF1814" s="7" t="s">
        <v>1177</v>
      </c>
      <c r="AG1814" s="7" t="s">
        <v>1177</v>
      </c>
      <c r="AH1814" s="38"/>
      <c r="AI1814" s="36">
        <v>0</v>
      </c>
      <c r="AJ1814" s="7" t="s">
        <v>1193</v>
      </c>
      <c r="AK1814" s="7" t="s">
        <v>1177</v>
      </c>
      <c r="AL1814" s="7" t="s">
        <v>1177</v>
      </c>
      <c r="AM1814" s="7" t="s">
        <v>1177</v>
      </c>
      <c r="AN1814" s="7" t="s">
        <v>3212</v>
      </c>
      <c r="AO1814" s="7" t="s">
        <v>1177</v>
      </c>
      <c r="AP1814" s="7" t="s">
        <v>1177</v>
      </c>
      <c r="AQ1814" s="7" t="s">
        <v>1177</v>
      </c>
      <c r="AR1814" s="29">
        <v>0</v>
      </c>
      <c r="AS1814" s="7" t="s">
        <v>1177</v>
      </c>
      <c r="AT1814" s="7" t="s">
        <v>1363</v>
      </c>
      <c r="AU1814" s="38">
        <v>46275</v>
      </c>
      <c r="AV1814" s="39">
        <v>0.60542824074073998</v>
      </c>
    </row>
    <row r="1815" spans="1:48" x14ac:dyDescent="0.35">
      <c r="A1815" t="str">
        <f t="shared" si="28"/>
        <v>P390351B865</v>
      </c>
      <c r="B1815" s="7" t="s">
        <v>201</v>
      </c>
      <c r="C1815" s="7" t="s">
        <v>1039</v>
      </c>
      <c r="D1815" s="7" t="s">
        <v>7</v>
      </c>
      <c r="E1815" s="7" t="s">
        <v>1177</v>
      </c>
      <c r="F1815" s="7" t="s">
        <v>134</v>
      </c>
      <c r="G1815" s="7" t="s">
        <v>130</v>
      </c>
      <c r="H1815" s="7" t="s">
        <v>129</v>
      </c>
      <c r="I1815" s="30">
        <v>200</v>
      </c>
      <c r="J1815" s="7" t="s">
        <v>1177</v>
      </c>
      <c r="K1815" s="7" t="s">
        <v>1178</v>
      </c>
      <c r="L1815" s="7" t="s">
        <v>132</v>
      </c>
      <c r="M1815" s="7" t="s">
        <v>200</v>
      </c>
      <c r="N1815" s="30">
        <v>0</v>
      </c>
      <c r="O1815" s="30">
        <v>0</v>
      </c>
      <c r="P1815" s="30">
        <v>0</v>
      </c>
      <c r="Q1815" s="30">
        <v>0</v>
      </c>
      <c r="R1815" s="29">
        <v>0</v>
      </c>
      <c r="S1815" s="36">
        <v>0</v>
      </c>
      <c r="T1815" s="7" t="s">
        <v>131</v>
      </c>
      <c r="U1815" s="7" t="s">
        <v>1040</v>
      </c>
      <c r="V1815" s="7" t="s">
        <v>1040</v>
      </c>
      <c r="W1815" s="7" t="s">
        <v>1177</v>
      </c>
      <c r="X1815" s="30">
        <v>200</v>
      </c>
      <c r="Y1815" s="7" t="s">
        <v>1177</v>
      </c>
      <c r="Z1815" s="7" t="s">
        <v>1178</v>
      </c>
      <c r="AA1815" s="30">
        <v>0</v>
      </c>
      <c r="AB1815" s="36">
        <v>0</v>
      </c>
      <c r="AC1815" s="7" t="s">
        <v>1177</v>
      </c>
      <c r="AD1815" s="37">
        <v>0</v>
      </c>
      <c r="AE1815" s="7" t="s">
        <v>1177</v>
      </c>
      <c r="AF1815" s="7" t="s">
        <v>1177</v>
      </c>
      <c r="AG1815" s="7" t="s">
        <v>1177</v>
      </c>
      <c r="AH1815" s="38"/>
      <c r="AI1815" s="36">
        <v>0</v>
      </c>
      <c r="AJ1815" s="7" t="s">
        <v>1193</v>
      </c>
      <c r="AK1815" s="7" t="s">
        <v>1177</v>
      </c>
      <c r="AL1815" s="7" t="s">
        <v>1177</v>
      </c>
      <c r="AM1815" s="7" t="s">
        <v>1177</v>
      </c>
      <c r="AN1815" s="7" t="s">
        <v>3212</v>
      </c>
      <c r="AO1815" s="7" t="s">
        <v>1177</v>
      </c>
      <c r="AP1815" s="7" t="s">
        <v>1177</v>
      </c>
      <c r="AQ1815" s="7" t="s">
        <v>1177</v>
      </c>
      <c r="AR1815" s="29">
        <v>0</v>
      </c>
      <c r="AS1815" s="7" t="s">
        <v>1177</v>
      </c>
      <c r="AT1815" s="7" t="s">
        <v>1363</v>
      </c>
      <c r="AU1815" s="38">
        <v>46275</v>
      </c>
      <c r="AV1815" s="39">
        <v>0.60554398148148003</v>
      </c>
    </row>
    <row r="1816" spans="1:48" x14ac:dyDescent="0.35">
      <c r="A1816" t="str">
        <f t="shared" si="28"/>
        <v>P390351B867</v>
      </c>
      <c r="B1816" s="7" t="s">
        <v>201</v>
      </c>
      <c r="C1816" s="7" t="s">
        <v>1059</v>
      </c>
      <c r="D1816" s="7" t="s">
        <v>25</v>
      </c>
      <c r="E1816" s="7" t="s">
        <v>1177</v>
      </c>
      <c r="F1816" s="7" t="s">
        <v>134</v>
      </c>
      <c r="G1816" s="7" t="s">
        <v>130</v>
      </c>
      <c r="H1816" s="7" t="s">
        <v>129</v>
      </c>
      <c r="I1816" s="30">
        <v>200</v>
      </c>
      <c r="J1816" s="7" t="s">
        <v>1177</v>
      </c>
      <c r="K1816" s="7" t="s">
        <v>1178</v>
      </c>
      <c r="L1816" s="7" t="s">
        <v>132</v>
      </c>
      <c r="M1816" s="7" t="s">
        <v>200</v>
      </c>
      <c r="N1816" s="30">
        <v>0</v>
      </c>
      <c r="O1816" s="30">
        <v>0</v>
      </c>
      <c r="P1816" s="30">
        <v>0</v>
      </c>
      <c r="Q1816" s="30">
        <v>0</v>
      </c>
      <c r="R1816" s="29">
        <v>0</v>
      </c>
      <c r="S1816" s="36">
        <v>0</v>
      </c>
      <c r="T1816" s="7" t="s">
        <v>131</v>
      </c>
      <c r="U1816" s="7" t="s">
        <v>1060</v>
      </c>
      <c r="V1816" s="7" t="s">
        <v>1060</v>
      </c>
      <c r="W1816" s="7" t="s">
        <v>1177</v>
      </c>
      <c r="X1816" s="30">
        <v>200</v>
      </c>
      <c r="Y1816" s="7" t="s">
        <v>1177</v>
      </c>
      <c r="Z1816" s="7" t="s">
        <v>1178</v>
      </c>
      <c r="AA1816" s="30">
        <v>0</v>
      </c>
      <c r="AB1816" s="36">
        <v>0</v>
      </c>
      <c r="AC1816" s="7" t="s">
        <v>1177</v>
      </c>
      <c r="AD1816" s="37">
        <v>0</v>
      </c>
      <c r="AE1816" s="7" t="s">
        <v>1177</v>
      </c>
      <c r="AF1816" s="7" t="s">
        <v>1177</v>
      </c>
      <c r="AG1816" s="7" t="s">
        <v>1177</v>
      </c>
      <c r="AH1816" s="38"/>
      <c r="AI1816" s="36">
        <v>0</v>
      </c>
      <c r="AJ1816" s="7" t="s">
        <v>1193</v>
      </c>
      <c r="AK1816" s="7" t="s">
        <v>1177</v>
      </c>
      <c r="AL1816" s="7" t="s">
        <v>1177</v>
      </c>
      <c r="AM1816" s="7" t="s">
        <v>1177</v>
      </c>
      <c r="AN1816" s="7" t="s">
        <v>3212</v>
      </c>
      <c r="AO1816" s="7" t="s">
        <v>1177</v>
      </c>
      <c r="AP1816" s="7" t="s">
        <v>1177</v>
      </c>
      <c r="AQ1816" s="7" t="s">
        <v>1177</v>
      </c>
      <c r="AR1816" s="29">
        <v>0</v>
      </c>
      <c r="AS1816" s="7" t="s">
        <v>1177</v>
      </c>
      <c r="AT1816" s="7" t="s">
        <v>1363</v>
      </c>
      <c r="AU1816" s="38">
        <v>46275</v>
      </c>
      <c r="AV1816" s="39">
        <v>0.60565972222221998</v>
      </c>
    </row>
    <row r="1817" spans="1:48" x14ac:dyDescent="0.35">
      <c r="A1817" t="str">
        <f t="shared" si="28"/>
        <v>P390352B825</v>
      </c>
      <c r="B1817" s="7" t="s">
        <v>435</v>
      </c>
      <c r="C1817" s="7" t="s">
        <v>511</v>
      </c>
      <c r="D1817" s="7" t="s">
        <v>16</v>
      </c>
      <c r="E1817" s="7" t="s">
        <v>1177</v>
      </c>
      <c r="F1817" s="7" t="s">
        <v>134</v>
      </c>
      <c r="G1817" s="7" t="s">
        <v>130</v>
      </c>
      <c r="H1817" s="7" t="s">
        <v>129</v>
      </c>
      <c r="I1817" s="30">
        <v>10</v>
      </c>
      <c r="J1817" s="7" t="s">
        <v>1177</v>
      </c>
      <c r="K1817" s="7" t="s">
        <v>1178</v>
      </c>
      <c r="L1817" s="7" t="s">
        <v>132</v>
      </c>
      <c r="M1817" s="7" t="s">
        <v>133</v>
      </c>
      <c r="N1817" s="30">
        <v>0</v>
      </c>
      <c r="O1817" s="30">
        <v>0</v>
      </c>
      <c r="P1817" s="30">
        <v>0</v>
      </c>
      <c r="Q1817" s="30">
        <v>0</v>
      </c>
      <c r="R1817" s="29">
        <v>0</v>
      </c>
      <c r="S1817" s="36">
        <v>0</v>
      </c>
      <c r="T1817" s="7" t="s">
        <v>131</v>
      </c>
      <c r="U1817" s="7" t="s">
        <v>512</v>
      </c>
      <c r="V1817" s="7" t="s">
        <v>512</v>
      </c>
      <c r="W1817" s="7" t="s">
        <v>1177</v>
      </c>
      <c r="X1817" s="30">
        <v>10</v>
      </c>
      <c r="Y1817" s="7" t="s">
        <v>1177</v>
      </c>
      <c r="Z1817" s="7" t="s">
        <v>1178</v>
      </c>
      <c r="AA1817" s="30">
        <v>0</v>
      </c>
      <c r="AB1817" s="36">
        <v>0</v>
      </c>
      <c r="AC1817" s="7" t="s">
        <v>1177</v>
      </c>
      <c r="AD1817" s="37">
        <v>0</v>
      </c>
      <c r="AE1817" s="7" t="s">
        <v>1177</v>
      </c>
      <c r="AF1817" s="7" t="s">
        <v>1177</v>
      </c>
      <c r="AG1817" s="7" t="s">
        <v>1177</v>
      </c>
      <c r="AH1817" s="38"/>
      <c r="AI1817" s="36">
        <v>0</v>
      </c>
      <c r="AJ1817" s="7" t="s">
        <v>1193</v>
      </c>
      <c r="AK1817" s="7" t="s">
        <v>1177</v>
      </c>
      <c r="AL1817" s="7" t="s">
        <v>1177</v>
      </c>
      <c r="AM1817" s="7" t="s">
        <v>1177</v>
      </c>
      <c r="AN1817" s="7" t="s">
        <v>3212</v>
      </c>
      <c r="AO1817" s="7" t="s">
        <v>1177</v>
      </c>
      <c r="AP1817" s="7" t="s">
        <v>1177</v>
      </c>
      <c r="AQ1817" s="7" t="s">
        <v>1177</v>
      </c>
      <c r="AR1817" s="29">
        <v>0</v>
      </c>
      <c r="AS1817" s="7" t="s">
        <v>1177</v>
      </c>
      <c r="AT1817" s="7" t="s">
        <v>1363</v>
      </c>
      <c r="AU1817" s="38">
        <v>46275</v>
      </c>
      <c r="AV1817" s="39">
        <v>0.60351851851852001</v>
      </c>
    </row>
    <row r="1818" spans="1:48" x14ac:dyDescent="0.35">
      <c r="A1818" t="str">
        <f t="shared" si="28"/>
        <v>P390352B832</v>
      </c>
      <c r="B1818" s="7" t="s">
        <v>435</v>
      </c>
      <c r="C1818" s="7" t="s">
        <v>653</v>
      </c>
      <c r="D1818" s="7" t="s">
        <v>19</v>
      </c>
      <c r="E1818" s="7" t="s">
        <v>1177</v>
      </c>
      <c r="F1818" s="7" t="s">
        <v>134</v>
      </c>
      <c r="G1818" s="7" t="s">
        <v>130</v>
      </c>
      <c r="H1818" s="7" t="s">
        <v>129</v>
      </c>
      <c r="I1818" s="30">
        <v>100</v>
      </c>
      <c r="J1818" s="7" t="s">
        <v>1177</v>
      </c>
      <c r="K1818" s="7" t="s">
        <v>1178</v>
      </c>
      <c r="L1818" s="7" t="s">
        <v>132</v>
      </c>
      <c r="M1818" s="7" t="s">
        <v>133</v>
      </c>
      <c r="N1818" s="30">
        <v>0</v>
      </c>
      <c r="O1818" s="30">
        <v>0</v>
      </c>
      <c r="P1818" s="30">
        <v>0</v>
      </c>
      <c r="Q1818" s="30">
        <v>0</v>
      </c>
      <c r="R1818" s="29">
        <v>0</v>
      </c>
      <c r="S1818" s="36">
        <v>0</v>
      </c>
      <c r="T1818" s="7" t="s">
        <v>131</v>
      </c>
      <c r="U1818" s="7" t="s">
        <v>654</v>
      </c>
      <c r="V1818" s="7" t="s">
        <v>654</v>
      </c>
      <c r="W1818" s="7" t="s">
        <v>1177</v>
      </c>
      <c r="X1818" s="30">
        <v>100</v>
      </c>
      <c r="Y1818" s="7" t="s">
        <v>1177</v>
      </c>
      <c r="Z1818" s="7" t="s">
        <v>1178</v>
      </c>
      <c r="AA1818" s="30">
        <v>0</v>
      </c>
      <c r="AB1818" s="36">
        <v>0</v>
      </c>
      <c r="AC1818" s="7" t="s">
        <v>1177</v>
      </c>
      <c r="AD1818" s="37">
        <v>0</v>
      </c>
      <c r="AE1818" s="7" t="s">
        <v>1177</v>
      </c>
      <c r="AF1818" s="7" t="s">
        <v>1177</v>
      </c>
      <c r="AG1818" s="7" t="s">
        <v>1177</v>
      </c>
      <c r="AH1818" s="38"/>
      <c r="AI1818" s="36">
        <v>0</v>
      </c>
      <c r="AJ1818" s="7" t="s">
        <v>1193</v>
      </c>
      <c r="AK1818" s="7" t="s">
        <v>1177</v>
      </c>
      <c r="AL1818" s="7" t="s">
        <v>1177</v>
      </c>
      <c r="AM1818" s="7" t="s">
        <v>1177</v>
      </c>
      <c r="AN1818" s="7" t="s">
        <v>3212</v>
      </c>
      <c r="AO1818" s="7" t="s">
        <v>1177</v>
      </c>
      <c r="AP1818" s="7" t="s">
        <v>1177</v>
      </c>
      <c r="AQ1818" s="7" t="s">
        <v>1177</v>
      </c>
      <c r="AR1818" s="29">
        <v>0</v>
      </c>
      <c r="AS1818" s="7" t="s">
        <v>1177</v>
      </c>
      <c r="AT1818" s="7" t="s">
        <v>1363</v>
      </c>
      <c r="AU1818" s="38">
        <v>46275</v>
      </c>
      <c r="AV1818" s="39">
        <v>0.60385416666667002</v>
      </c>
    </row>
    <row r="1819" spans="1:48" x14ac:dyDescent="0.35">
      <c r="A1819" t="str">
        <f t="shared" si="28"/>
        <v>P390352B838</v>
      </c>
      <c r="B1819" s="7" t="s">
        <v>435</v>
      </c>
      <c r="C1819" s="7" t="s">
        <v>744</v>
      </c>
      <c r="D1819" s="7" t="s">
        <v>48</v>
      </c>
      <c r="E1819" s="7" t="s">
        <v>1177</v>
      </c>
      <c r="F1819" s="7" t="s">
        <v>134</v>
      </c>
      <c r="G1819" s="7" t="s">
        <v>130</v>
      </c>
      <c r="H1819" s="7" t="s">
        <v>129</v>
      </c>
      <c r="I1819" s="30">
        <v>200</v>
      </c>
      <c r="J1819" s="7" t="s">
        <v>1177</v>
      </c>
      <c r="K1819" s="7" t="s">
        <v>1178</v>
      </c>
      <c r="L1819" s="7" t="s">
        <v>132</v>
      </c>
      <c r="M1819" s="7" t="s">
        <v>133</v>
      </c>
      <c r="N1819" s="30">
        <v>0</v>
      </c>
      <c r="O1819" s="30">
        <v>0</v>
      </c>
      <c r="P1819" s="30">
        <v>0</v>
      </c>
      <c r="Q1819" s="30">
        <v>0</v>
      </c>
      <c r="R1819" s="29">
        <v>0</v>
      </c>
      <c r="S1819" s="36">
        <v>0</v>
      </c>
      <c r="T1819" s="7" t="s">
        <v>131</v>
      </c>
      <c r="U1819" s="7" t="s">
        <v>745</v>
      </c>
      <c r="V1819" s="7" t="s">
        <v>745</v>
      </c>
      <c r="W1819" s="7" t="s">
        <v>1177</v>
      </c>
      <c r="X1819" s="30">
        <v>200</v>
      </c>
      <c r="Y1819" s="7" t="s">
        <v>1177</v>
      </c>
      <c r="Z1819" s="7" t="s">
        <v>1178</v>
      </c>
      <c r="AA1819" s="30">
        <v>0</v>
      </c>
      <c r="AB1819" s="36">
        <v>0</v>
      </c>
      <c r="AC1819" s="7" t="s">
        <v>1177</v>
      </c>
      <c r="AD1819" s="37">
        <v>0</v>
      </c>
      <c r="AE1819" s="7" t="s">
        <v>1177</v>
      </c>
      <c r="AF1819" s="7" t="s">
        <v>1177</v>
      </c>
      <c r="AG1819" s="7" t="s">
        <v>1177</v>
      </c>
      <c r="AH1819" s="38"/>
      <c r="AI1819" s="36">
        <v>0</v>
      </c>
      <c r="AJ1819" s="7" t="s">
        <v>1193</v>
      </c>
      <c r="AK1819" s="7" t="s">
        <v>1177</v>
      </c>
      <c r="AL1819" s="7" t="s">
        <v>1177</v>
      </c>
      <c r="AM1819" s="7" t="s">
        <v>1177</v>
      </c>
      <c r="AN1819" s="7" t="s">
        <v>3212</v>
      </c>
      <c r="AO1819" s="7" t="s">
        <v>1177</v>
      </c>
      <c r="AP1819" s="7" t="s">
        <v>1177</v>
      </c>
      <c r="AQ1819" s="7" t="s">
        <v>1177</v>
      </c>
      <c r="AR1819" s="29">
        <v>0</v>
      </c>
      <c r="AS1819" s="7" t="s">
        <v>1177</v>
      </c>
      <c r="AT1819" s="7" t="s">
        <v>1363</v>
      </c>
      <c r="AU1819" s="38">
        <v>46275</v>
      </c>
      <c r="AV1819" s="39">
        <v>0.60447916666667001</v>
      </c>
    </row>
    <row r="1820" spans="1:48" x14ac:dyDescent="0.35">
      <c r="A1820" t="str">
        <f t="shared" si="28"/>
        <v>P390363B856</v>
      </c>
      <c r="B1820" s="7" t="s">
        <v>956</v>
      </c>
      <c r="C1820" s="7" t="s">
        <v>852</v>
      </c>
      <c r="D1820" s="7" t="s">
        <v>21</v>
      </c>
      <c r="E1820" s="7" t="s">
        <v>1177</v>
      </c>
      <c r="F1820" s="7" t="s">
        <v>128</v>
      </c>
      <c r="G1820" s="7" t="s">
        <v>130</v>
      </c>
      <c r="H1820" s="7" t="s">
        <v>129</v>
      </c>
      <c r="I1820" s="30">
        <v>1</v>
      </c>
      <c r="J1820" s="7" t="s">
        <v>1177</v>
      </c>
      <c r="K1820" s="7" t="s">
        <v>1178</v>
      </c>
      <c r="L1820" s="7" t="s">
        <v>132</v>
      </c>
      <c r="M1820" s="7" t="s">
        <v>133</v>
      </c>
      <c r="N1820" s="30">
        <v>0</v>
      </c>
      <c r="O1820" s="30">
        <v>0</v>
      </c>
      <c r="P1820" s="30">
        <v>0</v>
      </c>
      <c r="Q1820" s="30">
        <v>0</v>
      </c>
      <c r="R1820" s="29">
        <v>0</v>
      </c>
      <c r="S1820" s="36">
        <v>0</v>
      </c>
      <c r="T1820" s="7" t="s">
        <v>131</v>
      </c>
      <c r="U1820" s="7" t="s">
        <v>853</v>
      </c>
      <c r="V1820" s="7" t="s">
        <v>853</v>
      </c>
      <c r="W1820" s="7" t="s">
        <v>1177</v>
      </c>
      <c r="X1820" s="30">
        <v>1</v>
      </c>
      <c r="Y1820" s="7" t="s">
        <v>1177</v>
      </c>
      <c r="Z1820" s="7" t="s">
        <v>1178</v>
      </c>
      <c r="AA1820" s="30">
        <v>0</v>
      </c>
      <c r="AB1820" s="36">
        <v>0</v>
      </c>
      <c r="AC1820" s="7" t="s">
        <v>1177</v>
      </c>
      <c r="AD1820" s="37">
        <v>0</v>
      </c>
      <c r="AE1820" s="7" t="s">
        <v>1177</v>
      </c>
      <c r="AF1820" s="7" t="s">
        <v>1177</v>
      </c>
      <c r="AG1820" s="7" t="s">
        <v>1177</v>
      </c>
      <c r="AH1820" s="38"/>
      <c r="AI1820" s="36">
        <v>0</v>
      </c>
      <c r="AJ1820" s="7" t="s">
        <v>1193</v>
      </c>
      <c r="AK1820" s="7" t="s">
        <v>1177</v>
      </c>
      <c r="AL1820" s="7" t="s">
        <v>1177</v>
      </c>
      <c r="AM1820" s="7" t="s">
        <v>1177</v>
      </c>
      <c r="AN1820" s="7" t="s">
        <v>3212</v>
      </c>
      <c r="AO1820" s="7" t="s">
        <v>1177</v>
      </c>
      <c r="AP1820" s="7" t="s">
        <v>1177</v>
      </c>
      <c r="AQ1820" s="7" t="s">
        <v>1177</v>
      </c>
      <c r="AR1820" s="29">
        <v>0</v>
      </c>
      <c r="AS1820" s="7" t="s">
        <v>1177</v>
      </c>
      <c r="AT1820" s="7" t="s">
        <v>1363</v>
      </c>
      <c r="AU1820" s="38">
        <v>46275</v>
      </c>
      <c r="AV1820" s="39">
        <v>0.62490740740741002</v>
      </c>
    </row>
    <row r="1821" spans="1:48" x14ac:dyDescent="0.35">
      <c r="A1821" t="str">
        <f t="shared" si="28"/>
        <v>P390363B857</v>
      </c>
      <c r="B1821" s="7" t="s">
        <v>956</v>
      </c>
      <c r="C1821" s="7" t="s">
        <v>958</v>
      </c>
      <c r="D1821" s="7" t="s">
        <v>23</v>
      </c>
      <c r="E1821" s="7" t="s">
        <v>1177</v>
      </c>
      <c r="F1821" s="7" t="s">
        <v>128</v>
      </c>
      <c r="G1821" s="7" t="s">
        <v>130</v>
      </c>
      <c r="H1821" s="7" t="s">
        <v>129</v>
      </c>
      <c r="I1821" s="30">
        <v>1</v>
      </c>
      <c r="J1821" s="7" t="s">
        <v>1177</v>
      </c>
      <c r="K1821" s="7" t="s">
        <v>1178</v>
      </c>
      <c r="L1821" s="7" t="s">
        <v>132</v>
      </c>
      <c r="M1821" s="7" t="s">
        <v>133</v>
      </c>
      <c r="N1821" s="30">
        <v>0</v>
      </c>
      <c r="O1821" s="30">
        <v>0</v>
      </c>
      <c r="P1821" s="30">
        <v>0</v>
      </c>
      <c r="Q1821" s="30">
        <v>0</v>
      </c>
      <c r="R1821" s="29">
        <v>0</v>
      </c>
      <c r="S1821" s="36">
        <v>0</v>
      </c>
      <c r="T1821" s="7" t="s">
        <v>131</v>
      </c>
      <c r="U1821" s="7" t="s">
        <v>959</v>
      </c>
      <c r="V1821" s="7" t="s">
        <v>959</v>
      </c>
      <c r="W1821" s="7" t="s">
        <v>1177</v>
      </c>
      <c r="X1821" s="30">
        <v>1</v>
      </c>
      <c r="Y1821" s="7" t="s">
        <v>1177</v>
      </c>
      <c r="Z1821" s="7" t="s">
        <v>1178</v>
      </c>
      <c r="AA1821" s="30">
        <v>0</v>
      </c>
      <c r="AB1821" s="36">
        <v>0</v>
      </c>
      <c r="AC1821" s="7" t="s">
        <v>1177</v>
      </c>
      <c r="AD1821" s="37">
        <v>0</v>
      </c>
      <c r="AE1821" s="7" t="s">
        <v>1177</v>
      </c>
      <c r="AF1821" s="7" t="s">
        <v>1177</v>
      </c>
      <c r="AG1821" s="7" t="s">
        <v>1177</v>
      </c>
      <c r="AH1821" s="38"/>
      <c r="AI1821" s="36">
        <v>0</v>
      </c>
      <c r="AJ1821" s="7" t="s">
        <v>1193</v>
      </c>
      <c r="AK1821" s="7" t="s">
        <v>1177</v>
      </c>
      <c r="AL1821" s="7" t="s">
        <v>1177</v>
      </c>
      <c r="AM1821" s="7" t="s">
        <v>1177</v>
      </c>
      <c r="AN1821" s="7" t="s">
        <v>3212</v>
      </c>
      <c r="AO1821" s="7" t="s">
        <v>1177</v>
      </c>
      <c r="AP1821" s="7" t="s">
        <v>1177</v>
      </c>
      <c r="AQ1821" s="7" t="s">
        <v>1177</v>
      </c>
      <c r="AR1821" s="29">
        <v>0</v>
      </c>
      <c r="AS1821" s="7" t="s">
        <v>1177</v>
      </c>
      <c r="AT1821" s="7" t="s">
        <v>1363</v>
      </c>
      <c r="AU1821" s="38">
        <v>46275</v>
      </c>
      <c r="AV1821" s="39">
        <v>0.62511574074073994</v>
      </c>
    </row>
    <row r="1822" spans="1:48" x14ac:dyDescent="0.35">
      <c r="A1822" t="str">
        <f t="shared" si="28"/>
        <v>P392748B833</v>
      </c>
      <c r="B1822" s="7" t="s">
        <v>728</v>
      </c>
      <c r="C1822" s="7" t="s">
        <v>698</v>
      </c>
      <c r="D1822" s="7" t="s">
        <v>697</v>
      </c>
      <c r="E1822" s="7" t="s">
        <v>1177</v>
      </c>
      <c r="F1822" s="7" t="s">
        <v>128</v>
      </c>
      <c r="G1822" s="7" t="s">
        <v>130</v>
      </c>
      <c r="H1822" s="7" t="s">
        <v>129</v>
      </c>
      <c r="I1822" s="30">
        <v>2</v>
      </c>
      <c r="J1822" s="7" t="s">
        <v>1177</v>
      </c>
      <c r="K1822" s="7" t="s">
        <v>1178</v>
      </c>
      <c r="L1822" s="7" t="s">
        <v>132</v>
      </c>
      <c r="M1822" s="7" t="s">
        <v>133</v>
      </c>
      <c r="N1822" s="30">
        <v>0</v>
      </c>
      <c r="O1822" s="30">
        <v>0</v>
      </c>
      <c r="P1822" s="30">
        <v>0</v>
      </c>
      <c r="Q1822" s="30">
        <v>0</v>
      </c>
      <c r="R1822" s="29">
        <v>0</v>
      </c>
      <c r="S1822" s="36">
        <v>0</v>
      </c>
      <c r="T1822" s="7" t="s">
        <v>131</v>
      </c>
      <c r="U1822" s="7" t="s">
        <v>699</v>
      </c>
      <c r="V1822" s="7" t="s">
        <v>699</v>
      </c>
      <c r="W1822" s="7" t="s">
        <v>1177</v>
      </c>
      <c r="X1822" s="30">
        <v>1</v>
      </c>
      <c r="Y1822" s="7" t="s">
        <v>1177</v>
      </c>
      <c r="Z1822" s="7" t="s">
        <v>1178</v>
      </c>
      <c r="AA1822" s="30">
        <v>0</v>
      </c>
      <c r="AB1822" s="36">
        <v>0</v>
      </c>
      <c r="AC1822" s="7" t="s">
        <v>1177</v>
      </c>
      <c r="AD1822" s="37">
        <v>0</v>
      </c>
      <c r="AE1822" s="7" t="s">
        <v>1177</v>
      </c>
      <c r="AF1822" s="7" t="s">
        <v>1177</v>
      </c>
      <c r="AG1822" s="7" t="s">
        <v>1177</v>
      </c>
      <c r="AH1822" s="38"/>
      <c r="AI1822" s="36">
        <v>0</v>
      </c>
      <c r="AJ1822" s="7" t="s">
        <v>1193</v>
      </c>
      <c r="AK1822" s="7" t="s">
        <v>1177</v>
      </c>
      <c r="AL1822" s="7" t="s">
        <v>1177</v>
      </c>
      <c r="AM1822" s="7" t="s">
        <v>1177</v>
      </c>
      <c r="AN1822" s="7" t="s">
        <v>3212</v>
      </c>
      <c r="AO1822" s="7" t="s">
        <v>1177</v>
      </c>
      <c r="AP1822" s="7" t="s">
        <v>1177</v>
      </c>
      <c r="AQ1822" s="7" t="s">
        <v>1177</v>
      </c>
      <c r="AR1822" s="29">
        <v>0</v>
      </c>
      <c r="AS1822" s="7" t="s">
        <v>1177</v>
      </c>
      <c r="AT1822" s="7" t="s">
        <v>1363</v>
      </c>
      <c r="AU1822" s="38">
        <v>46275</v>
      </c>
      <c r="AV1822" s="39">
        <v>0.62359953703703996</v>
      </c>
    </row>
    <row r="1823" spans="1:48" x14ac:dyDescent="0.35">
      <c r="A1823" t="str">
        <f t="shared" si="28"/>
        <v>P393060B833</v>
      </c>
      <c r="B1823" s="7" t="s">
        <v>729</v>
      </c>
      <c r="C1823" s="7" t="s">
        <v>698</v>
      </c>
      <c r="D1823" s="7" t="s">
        <v>697</v>
      </c>
      <c r="E1823" s="7" t="s">
        <v>1177</v>
      </c>
      <c r="F1823" s="7" t="s">
        <v>128</v>
      </c>
      <c r="G1823" s="7" t="s">
        <v>130</v>
      </c>
      <c r="H1823" s="7" t="s">
        <v>129</v>
      </c>
      <c r="I1823" s="30">
        <v>2</v>
      </c>
      <c r="J1823" s="7" t="s">
        <v>1177</v>
      </c>
      <c r="K1823" s="7" t="s">
        <v>1178</v>
      </c>
      <c r="L1823" s="7" t="s">
        <v>132</v>
      </c>
      <c r="M1823" s="7" t="s">
        <v>133</v>
      </c>
      <c r="N1823" s="30">
        <v>0</v>
      </c>
      <c r="O1823" s="30">
        <v>0</v>
      </c>
      <c r="P1823" s="30">
        <v>0</v>
      </c>
      <c r="Q1823" s="30">
        <v>0</v>
      </c>
      <c r="R1823" s="29">
        <v>0</v>
      </c>
      <c r="S1823" s="36">
        <v>0</v>
      </c>
      <c r="T1823" s="7" t="s">
        <v>131</v>
      </c>
      <c r="U1823" s="7" t="s">
        <v>699</v>
      </c>
      <c r="V1823" s="7" t="s">
        <v>699</v>
      </c>
      <c r="W1823" s="7" t="s">
        <v>1177</v>
      </c>
      <c r="X1823" s="30">
        <v>1</v>
      </c>
      <c r="Y1823" s="7" t="s">
        <v>1177</v>
      </c>
      <c r="Z1823" s="7" t="s">
        <v>1178</v>
      </c>
      <c r="AA1823" s="30">
        <v>0</v>
      </c>
      <c r="AB1823" s="36">
        <v>0</v>
      </c>
      <c r="AC1823" s="7" t="s">
        <v>1177</v>
      </c>
      <c r="AD1823" s="37">
        <v>0</v>
      </c>
      <c r="AE1823" s="7" t="s">
        <v>1177</v>
      </c>
      <c r="AF1823" s="7" t="s">
        <v>1177</v>
      </c>
      <c r="AG1823" s="7" t="s">
        <v>1177</v>
      </c>
      <c r="AH1823" s="38"/>
      <c r="AI1823" s="36">
        <v>0</v>
      </c>
      <c r="AJ1823" s="7" t="s">
        <v>1193</v>
      </c>
      <c r="AK1823" s="7" t="s">
        <v>1177</v>
      </c>
      <c r="AL1823" s="7" t="s">
        <v>1177</v>
      </c>
      <c r="AM1823" s="7" t="s">
        <v>1177</v>
      </c>
      <c r="AN1823" s="7" t="s">
        <v>3212</v>
      </c>
      <c r="AO1823" s="7" t="s">
        <v>1177</v>
      </c>
      <c r="AP1823" s="7" t="s">
        <v>1177</v>
      </c>
      <c r="AQ1823" s="7" t="s">
        <v>1177</v>
      </c>
      <c r="AR1823" s="29">
        <v>0</v>
      </c>
      <c r="AS1823" s="7" t="s">
        <v>1177</v>
      </c>
      <c r="AT1823" s="7" t="s">
        <v>1363</v>
      </c>
      <c r="AU1823" s="38">
        <v>46275</v>
      </c>
      <c r="AV1823" s="39">
        <v>0.62359953703703996</v>
      </c>
    </row>
    <row r="1824" spans="1:48" x14ac:dyDescent="0.35">
      <c r="A1824" t="str">
        <f t="shared" si="28"/>
        <v>P393070B825</v>
      </c>
      <c r="B1824" s="7" t="s">
        <v>436</v>
      </c>
      <c r="C1824" s="7" t="s">
        <v>511</v>
      </c>
      <c r="D1824" s="7" t="s">
        <v>16</v>
      </c>
      <c r="E1824" s="7" t="s">
        <v>1177</v>
      </c>
      <c r="F1824" s="7" t="s">
        <v>128</v>
      </c>
      <c r="G1824" s="7" t="s">
        <v>130</v>
      </c>
      <c r="H1824" s="7" t="s">
        <v>129</v>
      </c>
      <c r="I1824" s="30">
        <v>2</v>
      </c>
      <c r="J1824" s="7" t="s">
        <v>1177</v>
      </c>
      <c r="K1824" s="7" t="s">
        <v>1178</v>
      </c>
      <c r="L1824" s="7" t="s">
        <v>132</v>
      </c>
      <c r="M1824" s="7" t="s">
        <v>133</v>
      </c>
      <c r="N1824" s="30">
        <v>0</v>
      </c>
      <c r="O1824" s="30">
        <v>0</v>
      </c>
      <c r="P1824" s="30">
        <v>0</v>
      </c>
      <c r="Q1824" s="30">
        <v>0</v>
      </c>
      <c r="R1824" s="29">
        <v>0</v>
      </c>
      <c r="S1824" s="36">
        <v>0</v>
      </c>
      <c r="T1824" s="7" t="s">
        <v>131</v>
      </c>
      <c r="U1824" s="7" t="s">
        <v>512</v>
      </c>
      <c r="V1824" s="7" t="s">
        <v>512</v>
      </c>
      <c r="W1824" s="7" t="s">
        <v>1177</v>
      </c>
      <c r="X1824" s="30">
        <v>1</v>
      </c>
      <c r="Y1824" s="7" t="s">
        <v>1177</v>
      </c>
      <c r="Z1824" s="7" t="s">
        <v>1178</v>
      </c>
      <c r="AA1824" s="30">
        <v>0</v>
      </c>
      <c r="AB1824" s="36">
        <v>0</v>
      </c>
      <c r="AC1824" s="7" t="s">
        <v>1177</v>
      </c>
      <c r="AD1824" s="37">
        <v>0</v>
      </c>
      <c r="AE1824" s="7" t="s">
        <v>1177</v>
      </c>
      <c r="AF1824" s="7" t="s">
        <v>1177</v>
      </c>
      <c r="AG1824" s="7" t="s">
        <v>1177</v>
      </c>
      <c r="AH1824" s="38"/>
      <c r="AI1824" s="36">
        <v>0</v>
      </c>
      <c r="AJ1824" s="7" t="s">
        <v>1193</v>
      </c>
      <c r="AK1824" s="7" t="s">
        <v>1177</v>
      </c>
      <c r="AL1824" s="7" t="s">
        <v>1177</v>
      </c>
      <c r="AM1824" s="7" t="s">
        <v>1177</v>
      </c>
      <c r="AN1824" s="7" t="s">
        <v>3212</v>
      </c>
      <c r="AO1824" s="7" t="s">
        <v>1177</v>
      </c>
      <c r="AP1824" s="7" t="s">
        <v>1177</v>
      </c>
      <c r="AQ1824" s="7" t="s">
        <v>1177</v>
      </c>
      <c r="AR1824" s="29">
        <v>0</v>
      </c>
      <c r="AS1824" s="7" t="s">
        <v>1177</v>
      </c>
      <c r="AT1824" s="7" t="s">
        <v>1363</v>
      </c>
      <c r="AU1824" s="38">
        <v>46275</v>
      </c>
      <c r="AV1824" s="39">
        <v>0.62305555555556003</v>
      </c>
    </row>
    <row r="1825" spans="1:48" x14ac:dyDescent="0.35">
      <c r="A1825" t="str">
        <f t="shared" si="28"/>
        <v>P393073B825</v>
      </c>
      <c r="B1825" s="7" t="s">
        <v>303</v>
      </c>
      <c r="C1825" s="7" t="s">
        <v>511</v>
      </c>
      <c r="D1825" s="7" t="s">
        <v>16</v>
      </c>
      <c r="E1825" s="7" t="s">
        <v>1177</v>
      </c>
      <c r="F1825" s="7" t="s">
        <v>128</v>
      </c>
      <c r="G1825" s="7" t="s">
        <v>130</v>
      </c>
      <c r="H1825" s="7" t="s">
        <v>129</v>
      </c>
      <c r="I1825" s="30">
        <v>2</v>
      </c>
      <c r="J1825" s="7" t="s">
        <v>1177</v>
      </c>
      <c r="K1825" s="7" t="s">
        <v>1178</v>
      </c>
      <c r="L1825" s="7" t="s">
        <v>132</v>
      </c>
      <c r="M1825" s="7" t="s">
        <v>133</v>
      </c>
      <c r="N1825" s="30">
        <v>0</v>
      </c>
      <c r="O1825" s="30">
        <v>0</v>
      </c>
      <c r="P1825" s="30">
        <v>0</v>
      </c>
      <c r="Q1825" s="30">
        <v>0</v>
      </c>
      <c r="R1825" s="29">
        <v>0</v>
      </c>
      <c r="S1825" s="36">
        <v>0</v>
      </c>
      <c r="T1825" s="7" t="s">
        <v>131</v>
      </c>
      <c r="U1825" s="7" t="s">
        <v>512</v>
      </c>
      <c r="V1825" s="7" t="s">
        <v>512</v>
      </c>
      <c r="W1825" s="7" t="s">
        <v>1177</v>
      </c>
      <c r="X1825" s="30">
        <v>1</v>
      </c>
      <c r="Y1825" s="7" t="s">
        <v>1177</v>
      </c>
      <c r="Z1825" s="7" t="s">
        <v>1178</v>
      </c>
      <c r="AA1825" s="30">
        <v>0</v>
      </c>
      <c r="AB1825" s="36">
        <v>0</v>
      </c>
      <c r="AC1825" s="7" t="s">
        <v>1177</v>
      </c>
      <c r="AD1825" s="37">
        <v>0</v>
      </c>
      <c r="AE1825" s="7" t="s">
        <v>1177</v>
      </c>
      <c r="AF1825" s="7" t="s">
        <v>1177</v>
      </c>
      <c r="AG1825" s="7" t="s">
        <v>1177</v>
      </c>
      <c r="AH1825" s="38"/>
      <c r="AI1825" s="36">
        <v>0</v>
      </c>
      <c r="AJ1825" s="7" t="s">
        <v>1193</v>
      </c>
      <c r="AK1825" s="7" t="s">
        <v>1177</v>
      </c>
      <c r="AL1825" s="7" t="s">
        <v>1177</v>
      </c>
      <c r="AM1825" s="7" t="s">
        <v>1177</v>
      </c>
      <c r="AN1825" s="7" t="s">
        <v>3212</v>
      </c>
      <c r="AO1825" s="7" t="s">
        <v>1177</v>
      </c>
      <c r="AP1825" s="7" t="s">
        <v>1177</v>
      </c>
      <c r="AQ1825" s="7" t="s">
        <v>1177</v>
      </c>
      <c r="AR1825" s="29">
        <v>0</v>
      </c>
      <c r="AS1825" s="7" t="s">
        <v>1177</v>
      </c>
      <c r="AT1825" s="7" t="s">
        <v>1363</v>
      </c>
      <c r="AU1825" s="38">
        <v>46275</v>
      </c>
      <c r="AV1825" s="39">
        <v>0.60349537037037004</v>
      </c>
    </row>
    <row r="1826" spans="1:48" x14ac:dyDescent="0.35">
      <c r="A1826" t="str">
        <f t="shared" si="28"/>
        <v>P393073B833</v>
      </c>
      <c r="B1826" s="7" t="s">
        <v>303</v>
      </c>
      <c r="C1826" s="7" t="s">
        <v>698</v>
      </c>
      <c r="D1826" s="7" t="s">
        <v>697</v>
      </c>
      <c r="E1826" s="7" t="s">
        <v>1177</v>
      </c>
      <c r="F1826" s="7" t="s">
        <v>128</v>
      </c>
      <c r="G1826" s="7" t="s">
        <v>130</v>
      </c>
      <c r="H1826" s="7" t="s">
        <v>129</v>
      </c>
      <c r="I1826" s="30">
        <v>2</v>
      </c>
      <c r="J1826" s="7" t="s">
        <v>1177</v>
      </c>
      <c r="K1826" s="7" t="s">
        <v>1178</v>
      </c>
      <c r="L1826" s="7" t="s">
        <v>132</v>
      </c>
      <c r="M1826" s="7" t="s">
        <v>133</v>
      </c>
      <c r="N1826" s="30">
        <v>0</v>
      </c>
      <c r="O1826" s="30">
        <v>0</v>
      </c>
      <c r="P1826" s="30">
        <v>0</v>
      </c>
      <c r="Q1826" s="30">
        <v>0</v>
      </c>
      <c r="R1826" s="29">
        <v>0</v>
      </c>
      <c r="S1826" s="36">
        <v>0</v>
      </c>
      <c r="T1826" s="7" t="s">
        <v>131</v>
      </c>
      <c r="U1826" s="7" t="s">
        <v>699</v>
      </c>
      <c r="V1826" s="7" t="s">
        <v>699</v>
      </c>
      <c r="W1826" s="7" t="s">
        <v>1177</v>
      </c>
      <c r="X1826" s="30">
        <v>1</v>
      </c>
      <c r="Y1826" s="7" t="s">
        <v>1177</v>
      </c>
      <c r="Z1826" s="7" t="s">
        <v>1178</v>
      </c>
      <c r="AA1826" s="30">
        <v>0</v>
      </c>
      <c r="AB1826" s="36">
        <v>0</v>
      </c>
      <c r="AC1826" s="7" t="s">
        <v>1177</v>
      </c>
      <c r="AD1826" s="37">
        <v>0</v>
      </c>
      <c r="AE1826" s="7" t="s">
        <v>1177</v>
      </c>
      <c r="AF1826" s="7" t="s">
        <v>1177</v>
      </c>
      <c r="AG1826" s="7" t="s">
        <v>1177</v>
      </c>
      <c r="AH1826" s="38"/>
      <c r="AI1826" s="36">
        <v>0</v>
      </c>
      <c r="AJ1826" s="7" t="s">
        <v>1193</v>
      </c>
      <c r="AK1826" s="7" t="s">
        <v>1177</v>
      </c>
      <c r="AL1826" s="7" t="s">
        <v>1177</v>
      </c>
      <c r="AM1826" s="7" t="s">
        <v>1177</v>
      </c>
      <c r="AN1826" s="7" t="s">
        <v>3212</v>
      </c>
      <c r="AO1826" s="7" t="s">
        <v>1177</v>
      </c>
      <c r="AP1826" s="7" t="s">
        <v>1177</v>
      </c>
      <c r="AQ1826" s="7" t="s">
        <v>1177</v>
      </c>
      <c r="AR1826" s="29">
        <v>0</v>
      </c>
      <c r="AS1826" s="7" t="s">
        <v>1177</v>
      </c>
      <c r="AT1826" s="7" t="s">
        <v>1363</v>
      </c>
      <c r="AU1826" s="38">
        <v>46275</v>
      </c>
      <c r="AV1826" s="39">
        <v>0.60396990740740997</v>
      </c>
    </row>
    <row r="1827" spans="1:48" x14ac:dyDescent="0.35">
      <c r="A1827" t="str">
        <f t="shared" si="28"/>
        <v>P393073B838</v>
      </c>
      <c r="B1827" s="7" t="s">
        <v>303</v>
      </c>
      <c r="C1827" s="7" t="s">
        <v>744</v>
      </c>
      <c r="D1827" s="7" t="s">
        <v>48</v>
      </c>
      <c r="E1827" s="7" t="s">
        <v>1177</v>
      </c>
      <c r="F1827" s="7" t="s">
        <v>128</v>
      </c>
      <c r="G1827" s="7" t="s">
        <v>130</v>
      </c>
      <c r="H1827" s="7" t="s">
        <v>129</v>
      </c>
      <c r="I1827" s="30">
        <v>2</v>
      </c>
      <c r="J1827" s="7" t="s">
        <v>1177</v>
      </c>
      <c r="K1827" s="7" t="s">
        <v>1178</v>
      </c>
      <c r="L1827" s="7" t="s">
        <v>132</v>
      </c>
      <c r="M1827" s="7" t="s">
        <v>133</v>
      </c>
      <c r="N1827" s="30">
        <v>0</v>
      </c>
      <c r="O1827" s="30">
        <v>0</v>
      </c>
      <c r="P1827" s="30">
        <v>0</v>
      </c>
      <c r="Q1827" s="30">
        <v>0</v>
      </c>
      <c r="R1827" s="29">
        <v>0</v>
      </c>
      <c r="S1827" s="36">
        <v>0</v>
      </c>
      <c r="T1827" s="7" t="s">
        <v>131</v>
      </c>
      <c r="U1827" s="7" t="s">
        <v>745</v>
      </c>
      <c r="V1827" s="7" t="s">
        <v>745</v>
      </c>
      <c r="W1827" s="7" t="s">
        <v>1177</v>
      </c>
      <c r="X1827" s="30">
        <v>1</v>
      </c>
      <c r="Y1827" s="7" t="s">
        <v>1177</v>
      </c>
      <c r="Z1827" s="7" t="s">
        <v>1178</v>
      </c>
      <c r="AA1827" s="30">
        <v>0</v>
      </c>
      <c r="AB1827" s="36">
        <v>0</v>
      </c>
      <c r="AC1827" s="7" t="s">
        <v>1177</v>
      </c>
      <c r="AD1827" s="37">
        <v>0</v>
      </c>
      <c r="AE1827" s="7" t="s">
        <v>1177</v>
      </c>
      <c r="AF1827" s="7" t="s">
        <v>1177</v>
      </c>
      <c r="AG1827" s="7" t="s">
        <v>1177</v>
      </c>
      <c r="AH1827" s="38"/>
      <c r="AI1827" s="36">
        <v>0</v>
      </c>
      <c r="AJ1827" s="7" t="s">
        <v>1193</v>
      </c>
      <c r="AK1827" s="7" t="s">
        <v>1177</v>
      </c>
      <c r="AL1827" s="7" t="s">
        <v>1177</v>
      </c>
      <c r="AM1827" s="7" t="s">
        <v>1177</v>
      </c>
      <c r="AN1827" s="7" t="s">
        <v>3212</v>
      </c>
      <c r="AO1827" s="7" t="s">
        <v>1177</v>
      </c>
      <c r="AP1827" s="7" t="s">
        <v>1177</v>
      </c>
      <c r="AQ1827" s="7" t="s">
        <v>1177</v>
      </c>
      <c r="AR1827" s="29">
        <v>0</v>
      </c>
      <c r="AS1827" s="7" t="s">
        <v>1177</v>
      </c>
      <c r="AT1827" s="7" t="s">
        <v>1363</v>
      </c>
      <c r="AU1827" s="38">
        <v>46275</v>
      </c>
      <c r="AV1827" s="39">
        <v>0.60446759259258998</v>
      </c>
    </row>
    <row r="1828" spans="1:48" x14ac:dyDescent="0.35">
      <c r="A1828" t="str">
        <f t="shared" si="28"/>
        <v>P393126B825</v>
      </c>
      <c r="B1828" s="7" t="s">
        <v>202</v>
      </c>
      <c r="C1828" s="7" t="s">
        <v>511</v>
      </c>
      <c r="D1828" s="7" t="s">
        <v>16</v>
      </c>
      <c r="E1828" s="7" t="s">
        <v>1177</v>
      </c>
      <c r="F1828" s="7" t="s">
        <v>128</v>
      </c>
      <c r="G1828" s="7" t="s">
        <v>130</v>
      </c>
      <c r="H1828" s="7" t="s">
        <v>129</v>
      </c>
      <c r="I1828" s="30">
        <v>1</v>
      </c>
      <c r="J1828" s="7" t="s">
        <v>1177</v>
      </c>
      <c r="K1828" s="7" t="s">
        <v>1178</v>
      </c>
      <c r="L1828" s="7" t="s">
        <v>132</v>
      </c>
      <c r="M1828" s="7" t="s">
        <v>133</v>
      </c>
      <c r="N1828" s="30">
        <v>0</v>
      </c>
      <c r="O1828" s="30">
        <v>0</v>
      </c>
      <c r="P1828" s="30">
        <v>0</v>
      </c>
      <c r="Q1828" s="30">
        <v>0</v>
      </c>
      <c r="R1828" s="29">
        <v>0</v>
      </c>
      <c r="S1828" s="36">
        <v>0</v>
      </c>
      <c r="T1828" s="7" t="s">
        <v>131</v>
      </c>
      <c r="U1828" s="7" t="s">
        <v>512</v>
      </c>
      <c r="V1828" s="7" t="s">
        <v>512</v>
      </c>
      <c r="W1828" s="7" t="s">
        <v>1177</v>
      </c>
      <c r="X1828" s="30">
        <v>1</v>
      </c>
      <c r="Y1828" s="7" t="s">
        <v>1177</v>
      </c>
      <c r="Z1828" s="7" t="s">
        <v>1178</v>
      </c>
      <c r="AA1828" s="30">
        <v>0</v>
      </c>
      <c r="AB1828" s="36">
        <v>0</v>
      </c>
      <c r="AC1828" s="7" t="s">
        <v>1177</v>
      </c>
      <c r="AD1828" s="37">
        <v>0</v>
      </c>
      <c r="AE1828" s="7" t="s">
        <v>1177</v>
      </c>
      <c r="AF1828" s="7" t="s">
        <v>1177</v>
      </c>
      <c r="AG1828" s="7" t="s">
        <v>1177</v>
      </c>
      <c r="AH1828" s="38"/>
      <c r="AI1828" s="36">
        <v>0</v>
      </c>
      <c r="AJ1828" s="7" t="s">
        <v>1193</v>
      </c>
      <c r="AK1828" s="7" t="s">
        <v>1177</v>
      </c>
      <c r="AL1828" s="7" t="s">
        <v>1177</v>
      </c>
      <c r="AM1828" s="7" t="s">
        <v>1177</v>
      </c>
      <c r="AN1828" s="7" t="s">
        <v>3212</v>
      </c>
      <c r="AO1828" s="7" t="s">
        <v>1177</v>
      </c>
      <c r="AP1828" s="7" t="s">
        <v>1177</v>
      </c>
      <c r="AQ1828" s="7" t="s">
        <v>1177</v>
      </c>
      <c r="AR1828" s="29">
        <v>0</v>
      </c>
      <c r="AS1828" s="7" t="s">
        <v>1177</v>
      </c>
      <c r="AT1828" s="7" t="s">
        <v>1363</v>
      </c>
      <c r="AU1828" s="38">
        <v>46275</v>
      </c>
      <c r="AV1828" s="39">
        <v>0.60349537037037004</v>
      </c>
    </row>
    <row r="1829" spans="1:48" x14ac:dyDescent="0.35">
      <c r="A1829" t="str">
        <f t="shared" si="28"/>
        <v>P393183B867</v>
      </c>
      <c r="B1829" s="7" t="s">
        <v>652</v>
      </c>
      <c r="C1829" s="7" t="s">
        <v>1059</v>
      </c>
      <c r="D1829" s="7" t="s">
        <v>25</v>
      </c>
      <c r="E1829" s="7" t="s">
        <v>1177</v>
      </c>
      <c r="F1829" s="7" t="s">
        <v>128</v>
      </c>
      <c r="G1829" s="7" t="s">
        <v>130</v>
      </c>
      <c r="H1829" s="7" t="s">
        <v>129</v>
      </c>
      <c r="I1829" s="30">
        <v>1</v>
      </c>
      <c r="J1829" s="7" t="s">
        <v>1177</v>
      </c>
      <c r="K1829" s="7" t="s">
        <v>1178</v>
      </c>
      <c r="L1829" s="7" t="s">
        <v>132</v>
      </c>
      <c r="M1829" s="7" t="s">
        <v>133</v>
      </c>
      <c r="N1829" s="30">
        <v>0</v>
      </c>
      <c r="O1829" s="30">
        <v>0</v>
      </c>
      <c r="P1829" s="30">
        <v>0</v>
      </c>
      <c r="Q1829" s="30">
        <v>0</v>
      </c>
      <c r="R1829" s="29">
        <v>0</v>
      </c>
      <c r="S1829" s="36">
        <v>0</v>
      </c>
      <c r="T1829" s="7" t="s">
        <v>131</v>
      </c>
      <c r="U1829" s="7" t="s">
        <v>1060</v>
      </c>
      <c r="V1829" s="7" t="s">
        <v>1060</v>
      </c>
      <c r="W1829" s="7" t="s">
        <v>1177</v>
      </c>
      <c r="X1829" s="30">
        <v>1</v>
      </c>
      <c r="Y1829" s="7" t="s">
        <v>1177</v>
      </c>
      <c r="Z1829" s="7" t="s">
        <v>1178</v>
      </c>
      <c r="AA1829" s="30">
        <v>0</v>
      </c>
      <c r="AB1829" s="36">
        <v>0</v>
      </c>
      <c r="AC1829" s="7" t="s">
        <v>1177</v>
      </c>
      <c r="AD1829" s="37">
        <v>0</v>
      </c>
      <c r="AE1829" s="7" t="s">
        <v>1177</v>
      </c>
      <c r="AF1829" s="7" t="s">
        <v>1177</v>
      </c>
      <c r="AG1829" s="7" t="s">
        <v>1177</v>
      </c>
      <c r="AH1829" s="38"/>
      <c r="AI1829" s="36">
        <v>0</v>
      </c>
      <c r="AJ1829" s="7" t="s">
        <v>1193</v>
      </c>
      <c r="AK1829" s="7" t="s">
        <v>1177</v>
      </c>
      <c r="AL1829" s="7" t="s">
        <v>1177</v>
      </c>
      <c r="AM1829" s="7" t="s">
        <v>1177</v>
      </c>
      <c r="AN1829" s="7" t="s">
        <v>3212</v>
      </c>
      <c r="AO1829" s="7" t="s">
        <v>1177</v>
      </c>
      <c r="AP1829" s="7" t="s">
        <v>1177</v>
      </c>
      <c r="AQ1829" s="7" t="s">
        <v>1177</v>
      </c>
      <c r="AR1829" s="29">
        <v>0</v>
      </c>
      <c r="AS1829" s="7" t="s">
        <v>1177</v>
      </c>
      <c r="AT1829" s="7" t="s">
        <v>1363</v>
      </c>
      <c r="AU1829" s="38">
        <v>46275</v>
      </c>
      <c r="AV1829" s="39">
        <v>0.60563657407407001</v>
      </c>
    </row>
    <row r="1830" spans="1:48" x14ac:dyDescent="0.35">
      <c r="A1830" t="str">
        <f t="shared" si="28"/>
        <v>P393220B856</v>
      </c>
      <c r="B1830" s="7" t="s">
        <v>336</v>
      </c>
      <c r="C1830" s="7" t="s">
        <v>852</v>
      </c>
      <c r="D1830" s="7" t="s">
        <v>21</v>
      </c>
      <c r="E1830" s="7" t="s">
        <v>1177</v>
      </c>
      <c r="F1830" s="7" t="s">
        <v>128</v>
      </c>
      <c r="G1830" s="7" t="s">
        <v>130</v>
      </c>
      <c r="H1830" s="7" t="s">
        <v>129</v>
      </c>
      <c r="I1830" s="30">
        <v>2</v>
      </c>
      <c r="J1830" s="7" t="s">
        <v>1177</v>
      </c>
      <c r="K1830" s="7" t="s">
        <v>1178</v>
      </c>
      <c r="L1830" s="7" t="s">
        <v>132</v>
      </c>
      <c r="M1830" s="7" t="s">
        <v>133</v>
      </c>
      <c r="N1830" s="30">
        <v>0</v>
      </c>
      <c r="O1830" s="30">
        <v>0</v>
      </c>
      <c r="P1830" s="30">
        <v>0</v>
      </c>
      <c r="Q1830" s="30">
        <v>0</v>
      </c>
      <c r="R1830" s="29">
        <v>0</v>
      </c>
      <c r="S1830" s="36">
        <v>0</v>
      </c>
      <c r="T1830" s="7" t="s">
        <v>131</v>
      </c>
      <c r="U1830" s="7" t="s">
        <v>853</v>
      </c>
      <c r="V1830" s="7" t="s">
        <v>853</v>
      </c>
      <c r="W1830" s="7" t="s">
        <v>1177</v>
      </c>
      <c r="X1830" s="30">
        <v>1</v>
      </c>
      <c r="Y1830" s="7" t="s">
        <v>1177</v>
      </c>
      <c r="Z1830" s="7" t="s">
        <v>1178</v>
      </c>
      <c r="AA1830" s="30">
        <v>0</v>
      </c>
      <c r="AB1830" s="36">
        <v>0</v>
      </c>
      <c r="AC1830" s="7" t="s">
        <v>1177</v>
      </c>
      <c r="AD1830" s="37">
        <v>0</v>
      </c>
      <c r="AE1830" s="7" t="s">
        <v>1177</v>
      </c>
      <c r="AF1830" s="7" t="s">
        <v>1177</v>
      </c>
      <c r="AG1830" s="7" t="s">
        <v>1177</v>
      </c>
      <c r="AH1830" s="38"/>
      <c r="AI1830" s="36">
        <v>0</v>
      </c>
      <c r="AJ1830" s="7" t="s">
        <v>1193</v>
      </c>
      <c r="AK1830" s="7" t="s">
        <v>1177</v>
      </c>
      <c r="AL1830" s="7" t="s">
        <v>1177</v>
      </c>
      <c r="AM1830" s="7" t="s">
        <v>1177</v>
      </c>
      <c r="AN1830" s="7" t="s">
        <v>3212</v>
      </c>
      <c r="AO1830" s="7" t="s">
        <v>1177</v>
      </c>
      <c r="AP1830" s="7" t="s">
        <v>1177</v>
      </c>
      <c r="AQ1830" s="7" t="s">
        <v>1177</v>
      </c>
      <c r="AR1830" s="29">
        <v>0</v>
      </c>
      <c r="AS1830" s="7" t="s">
        <v>1177</v>
      </c>
      <c r="AT1830" s="7" t="s">
        <v>1363</v>
      </c>
      <c r="AU1830" s="38">
        <v>46275</v>
      </c>
      <c r="AV1830" s="39">
        <v>0.60523148148147998</v>
      </c>
    </row>
    <row r="1831" spans="1:48" x14ac:dyDescent="0.35">
      <c r="A1831" t="str">
        <f t="shared" si="28"/>
        <v>P422660B838</v>
      </c>
      <c r="B1831" s="7" t="s">
        <v>437</v>
      </c>
      <c r="C1831" s="7" t="s">
        <v>744</v>
      </c>
      <c r="D1831" s="7" t="s">
        <v>48</v>
      </c>
      <c r="E1831" s="7" t="s">
        <v>1177</v>
      </c>
      <c r="F1831" s="7" t="s">
        <v>128</v>
      </c>
      <c r="G1831" s="7" t="s">
        <v>130</v>
      </c>
      <c r="H1831" s="7" t="s">
        <v>129</v>
      </c>
      <c r="I1831" s="30">
        <v>2</v>
      </c>
      <c r="J1831" s="7" t="s">
        <v>1177</v>
      </c>
      <c r="K1831" s="7" t="s">
        <v>1178</v>
      </c>
      <c r="L1831" s="7" t="s">
        <v>132</v>
      </c>
      <c r="M1831" s="7" t="s">
        <v>133</v>
      </c>
      <c r="N1831" s="30">
        <v>0</v>
      </c>
      <c r="O1831" s="30">
        <v>0</v>
      </c>
      <c r="P1831" s="30">
        <v>0</v>
      </c>
      <c r="Q1831" s="30">
        <v>0</v>
      </c>
      <c r="R1831" s="29">
        <v>0</v>
      </c>
      <c r="S1831" s="36">
        <v>0</v>
      </c>
      <c r="T1831" s="7" t="s">
        <v>131</v>
      </c>
      <c r="U1831" s="7" t="s">
        <v>745</v>
      </c>
      <c r="V1831" s="7" t="s">
        <v>745</v>
      </c>
      <c r="W1831" s="7" t="s">
        <v>1177</v>
      </c>
      <c r="X1831" s="30">
        <v>1</v>
      </c>
      <c r="Y1831" s="7" t="s">
        <v>1177</v>
      </c>
      <c r="Z1831" s="7" t="s">
        <v>1178</v>
      </c>
      <c r="AA1831" s="30">
        <v>0</v>
      </c>
      <c r="AB1831" s="36">
        <v>0</v>
      </c>
      <c r="AC1831" s="7" t="s">
        <v>1177</v>
      </c>
      <c r="AD1831" s="37">
        <v>0</v>
      </c>
      <c r="AE1831" s="7" t="s">
        <v>1177</v>
      </c>
      <c r="AF1831" s="7" t="s">
        <v>1177</v>
      </c>
      <c r="AG1831" s="7" t="s">
        <v>1177</v>
      </c>
      <c r="AH1831" s="38"/>
      <c r="AI1831" s="36">
        <v>0</v>
      </c>
      <c r="AJ1831" s="7" t="s">
        <v>1193</v>
      </c>
      <c r="AK1831" s="7" t="s">
        <v>1177</v>
      </c>
      <c r="AL1831" s="7" t="s">
        <v>1177</v>
      </c>
      <c r="AM1831" s="7" t="s">
        <v>1177</v>
      </c>
      <c r="AN1831" s="7" t="s">
        <v>3212</v>
      </c>
      <c r="AO1831" s="7" t="s">
        <v>1177</v>
      </c>
      <c r="AP1831" s="7" t="s">
        <v>1177</v>
      </c>
      <c r="AQ1831" s="7" t="s">
        <v>1177</v>
      </c>
      <c r="AR1831" s="29">
        <v>0</v>
      </c>
      <c r="AS1831" s="7" t="s">
        <v>1177</v>
      </c>
      <c r="AT1831" s="7" t="s">
        <v>1363</v>
      </c>
      <c r="AU1831" s="38">
        <v>46275</v>
      </c>
      <c r="AV1831" s="39">
        <v>0.60445601851852004</v>
      </c>
    </row>
    <row r="1832" spans="1:48" x14ac:dyDescent="0.35">
      <c r="A1832" t="str">
        <f t="shared" si="28"/>
        <v>P422730B857</v>
      </c>
      <c r="B1832" s="7" t="s">
        <v>453</v>
      </c>
      <c r="C1832" s="7" t="s">
        <v>958</v>
      </c>
      <c r="D1832" s="7" t="s">
        <v>23</v>
      </c>
      <c r="E1832" s="7" t="s">
        <v>1177</v>
      </c>
      <c r="F1832" s="7" t="s">
        <v>128</v>
      </c>
      <c r="G1832" s="7" t="s">
        <v>130</v>
      </c>
      <c r="H1832" s="7" t="s">
        <v>129</v>
      </c>
      <c r="I1832" s="30">
        <v>2</v>
      </c>
      <c r="J1832" s="7" t="s">
        <v>1177</v>
      </c>
      <c r="K1832" s="7" t="s">
        <v>1178</v>
      </c>
      <c r="L1832" s="7" t="s">
        <v>132</v>
      </c>
      <c r="M1832" s="7" t="s">
        <v>133</v>
      </c>
      <c r="N1832" s="30">
        <v>0</v>
      </c>
      <c r="O1832" s="30">
        <v>0</v>
      </c>
      <c r="P1832" s="30">
        <v>0</v>
      </c>
      <c r="Q1832" s="30">
        <v>0</v>
      </c>
      <c r="R1832" s="29">
        <v>0</v>
      </c>
      <c r="S1832" s="36">
        <v>0</v>
      </c>
      <c r="T1832" s="7" t="s">
        <v>131</v>
      </c>
      <c r="U1832" s="7" t="s">
        <v>959</v>
      </c>
      <c r="V1832" s="7" t="s">
        <v>959</v>
      </c>
      <c r="W1832" s="7" t="s">
        <v>1177</v>
      </c>
      <c r="X1832" s="30">
        <v>1</v>
      </c>
      <c r="Y1832" s="7" t="s">
        <v>1177</v>
      </c>
      <c r="Z1832" s="7" t="s">
        <v>1178</v>
      </c>
      <c r="AA1832" s="30">
        <v>0</v>
      </c>
      <c r="AB1832" s="36">
        <v>0</v>
      </c>
      <c r="AC1832" s="7" t="s">
        <v>1177</v>
      </c>
      <c r="AD1832" s="37">
        <v>0</v>
      </c>
      <c r="AE1832" s="7" t="s">
        <v>1177</v>
      </c>
      <c r="AF1832" s="7" t="s">
        <v>1177</v>
      </c>
      <c r="AG1832" s="7" t="s">
        <v>1177</v>
      </c>
      <c r="AH1832" s="38"/>
      <c r="AI1832" s="36">
        <v>0</v>
      </c>
      <c r="AJ1832" s="7" t="s">
        <v>1193</v>
      </c>
      <c r="AK1832" s="7" t="s">
        <v>1177</v>
      </c>
      <c r="AL1832" s="7" t="s">
        <v>1177</v>
      </c>
      <c r="AM1832" s="7" t="s">
        <v>1177</v>
      </c>
      <c r="AN1832" s="7" t="s">
        <v>3212</v>
      </c>
      <c r="AO1832" s="7" t="s">
        <v>1177</v>
      </c>
      <c r="AP1832" s="7" t="s">
        <v>1177</v>
      </c>
      <c r="AQ1832" s="7" t="s">
        <v>1177</v>
      </c>
      <c r="AR1832" s="29">
        <v>0</v>
      </c>
      <c r="AS1832" s="7" t="s">
        <v>1177</v>
      </c>
      <c r="AT1832" s="7" t="s">
        <v>1363</v>
      </c>
      <c r="AU1832" s="38">
        <v>46275</v>
      </c>
      <c r="AV1832" s="39">
        <v>0.62511574074073994</v>
      </c>
    </row>
    <row r="1833" spans="1:48" x14ac:dyDescent="0.35">
      <c r="A1833" t="str">
        <f t="shared" si="28"/>
        <v>P422731B825</v>
      </c>
      <c r="B1833" s="7" t="s">
        <v>438</v>
      </c>
      <c r="C1833" s="7" t="s">
        <v>511</v>
      </c>
      <c r="D1833" s="7" t="s">
        <v>16</v>
      </c>
      <c r="E1833" s="7" t="s">
        <v>1177</v>
      </c>
      <c r="F1833" s="7" t="s">
        <v>128</v>
      </c>
      <c r="G1833" s="7" t="s">
        <v>130</v>
      </c>
      <c r="H1833" s="7" t="s">
        <v>129</v>
      </c>
      <c r="I1833" s="30">
        <v>1</v>
      </c>
      <c r="J1833" s="7" t="s">
        <v>1177</v>
      </c>
      <c r="K1833" s="7" t="s">
        <v>1178</v>
      </c>
      <c r="L1833" s="7" t="s">
        <v>132</v>
      </c>
      <c r="M1833" s="7" t="s">
        <v>133</v>
      </c>
      <c r="N1833" s="30">
        <v>0</v>
      </c>
      <c r="O1833" s="30">
        <v>0</v>
      </c>
      <c r="P1833" s="30">
        <v>0</v>
      </c>
      <c r="Q1833" s="30">
        <v>0</v>
      </c>
      <c r="R1833" s="29">
        <v>0</v>
      </c>
      <c r="S1833" s="36">
        <v>0</v>
      </c>
      <c r="T1833" s="7" t="s">
        <v>131</v>
      </c>
      <c r="U1833" s="7" t="s">
        <v>512</v>
      </c>
      <c r="V1833" s="7" t="s">
        <v>512</v>
      </c>
      <c r="W1833" s="7" t="s">
        <v>1177</v>
      </c>
      <c r="X1833" s="30">
        <v>1</v>
      </c>
      <c r="Y1833" s="7" t="s">
        <v>1177</v>
      </c>
      <c r="Z1833" s="7" t="s">
        <v>1178</v>
      </c>
      <c r="AA1833" s="30">
        <v>0</v>
      </c>
      <c r="AB1833" s="36">
        <v>0</v>
      </c>
      <c r="AC1833" s="7" t="s">
        <v>1177</v>
      </c>
      <c r="AD1833" s="37">
        <v>0</v>
      </c>
      <c r="AE1833" s="7" t="s">
        <v>1177</v>
      </c>
      <c r="AF1833" s="7" t="s">
        <v>1177</v>
      </c>
      <c r="AG1833" s="7" t="s">
        <v>1177</v>
      </c>
      <c r="AH1833" s="38"/>
      <c r="AI1833" s="36">
        <v>0</v>
      </c>
      <c r="AJ1833" s="7" t="s">
        <v>1193</v>
      </c>
      <c r="AK1833" s="7" t="s">
        <v>1177</v>
      </c>
      <c r="AL1833" s="7" t="s">
        <v>1177</v>
      </c>
      <c r="AM1833" s="7" t="s">
        <v>1177</v>
      </c>
      <c r="AN1833" s="7" t="s">
        <v>3212</v>
      </c>
      <c r="AO1833" s="7" t="s">
        <v>1177</v>
      </c>
      <c r="AP1833" s="7" t="s">
        <v>1177</v>
      </c>
      <c r="AQ1833" s="7" t="s">
        <v>1177</v>
      </c>
      <c r="AR1833" s="29">
        <v>0</v>
      </c>
      <c r="AS1833" s="7" t="s">
        <v>1177</v>
      </c>
      <c r="AT1833" s="7" t="s">
        <v>1363</v>
      </c>
      <c r="AU1833" s="38">
        <v>46275</v>
      </c>
      <c r="AV1833" s="39">
        <v>0.60349537037037004</v>
      </c>
    </row>
    <row r="1834" spans="1:48" x14ac:dyDescent="0.35">
      <c r="A1834" t="str">
        <f t="shared" si="28"/>
        <v>P610123B856</v>
      </c>
      <c r="B1834" s="7" t="s">
        <v>957</v>
      </c>
      <c r="C1834" s="7" t="s">
        <v>852</v>
      </c>
      <c r="D1834" s="7" t="s">
        <v>21</v>
      </c>
      <c r="E1834" s="7" t="s">
        <v>1177</v>
      </c>
      <c r="F1834" s="7" t="s">
        <v>128</v>
      </c>
      <c r="G1834" s="7" t="s">
        <v>130</v>
      </c>
      <c r="H1834" s="7" t="s">
        <v>129</v>
      </c>
      <c r="I1834" s="30">
        <v>2</v>
      </c>
      <c r="J1834" s="7" t="s">
        <v>1177</v>
      </c>
      <c r="K1834" s="7" t="s">
        <v>1178</v>
      </c>
      <c r="L1834" s="7" t="s">
        <v>132</v>
      </c>
      <c r="M1834" s="7" t="s">
        <v>133</v>
      </c>
      <c r="N1834" s="30">
        <v>0</v>
      </c>
      <c r="O1834" s="30">
        <v>0</v>
      </c>
      <c r="P1834" s="30">
        <v>0</v>
      </c>
      <c r="Q1834" s="30">
        <v>0</v>
      </c>
      <c r="R1834" s="29">
        <v>0</v>
      </c>
      <c r="S1834" s="36">
        <v>0</v>
      </c>
      <c r="T1834" s="7" t="s">
        <v>131</v>
      </c>
      <c r="U1834" s="7" t="s">
        <v>853</v>
      </c>
      <c r="V1834" s="7" t="s">
        <v>853</v>
      </c>
      <c r="W1834" s="7" t="s">
        <v>1177</v>
      </c>
      <c r="X1834" s="30">
        <v>1</v>
      </c>
      <c r="Y1834" s="7" t="s">
        <v>1177</v>
      </c>
      <c r="Z1834" s="7" t="s">
        <v>1178</v>
      </c>
      <c r="AA1834" s="30">
        <v>0</v>
      </c>
      <c r="AB1834" s="36">
        <v>0</v>
      </c>
      <c r="AC1834" s="7" t="s">
        <v>1177</v>
      </c>
      <c r="AD1834" s="37">
        <v>0</v>
      </c>
      <c r="AE1834" s="7" t="s">
        <v>1177</v>
      </c>
      <c r="AF1834" s="7" t="s">
        <v>1177</v>
      </c>
      <c r="AG1834" s="7" t="s">
        <v>1177</v>
      </c>
      <c r="AH1834" s="38"/>
      <c r="AI1834" s="36">
        <v>0</v>
      </c>
      <c r="AJ1834" s="7" t="s">
        <v>1193</v>
      </c>
      <c r="AK1834" s="7" t="s">
        <v>1177</v>
      </c>
      <c r="AL1834" s="7" t="s">
        <v>1177</v>
      </c>
      <c r="AM1834" s="7" t="s">
        <v>1177</v>
      </c>
      <c r="AN1834" s="7" t="s">
        <v>3212</v>
      </c>
      <c r="AO1834" s="7" t="s">
        <v>1177</v>
      </c>
      <c r="AP1834" s="7" t="s">
        <v>1177</v>
      </c>
      <c r="AQ1834" s="7" t="s">
        <v>1177</v>
      </c>
      <c r="AR1834" s="29">
        <v>0</v>
      </c>
      <c r="AS1834" s="7" t="s">
        <v>1177</v>
      </c>
      <c r="AT1834" s="7" t="s">
        <v>1363</v>
      </c>
      <c r="AU1834" s="38">
        <v>46275</v>
      </c>
      <c r="AV1834" s="39">
        <v>0.62484953703704005</v>
      </c>
    </row>
    <row r="1835" spans="1:48" x14ac:dyDescent="0.35">
      <c r="A1835" t="str">
        <f t="shared" si="28"/>
        <v>P611356B857</v>
      </c>
      <c r="B1835" s="7" t="s">
        <v>1007</v>
      </c>
      <c r="C1835" s="7" t="s">
        <v>958</v>
      </c>
      <c r="D1835" s="7" t="s">
        <v>23</v>
      </c>
      <c r="E1835" s="7" t="s">
        <v>1177</v>
      </c>
      <c r="F1835" s="7" t="s">
        <v>128</v>
      </c>
      <c r="G1835" s="7" t="s">
        <v>130</v>
      </c>
      <c r="H1835" s="7" t="s">
        <v>129</v>
      </c>
      <c r="I1835" s="30">
        <v>5</v>
      </c>
      <c r="J1835" s="7" t="s">
        <v>1177</v>
      </c>
      <c r="K1835" s="7" t="s">
        <v>1178</v>
      </c>
      <c r="L1835" s="7" t="s">
        <v>132</v>
      </c>
      <c r="M1835" s="7" t="s">
        <v>133</v>
      </c>
      <c r="N1835" s="30">
        <v>0</v>
      </c>
      <c r="O1835" s="30">
        <v>0</v>
      </c>
      <c r="P1835" s="30">
        <v>0</v>
      </c>
      <c r="Q1835" s="30">
        <v>0</v>
      </c>
      <c r="R1835" s="29">
        <v>0</v>
      </c>
      <c r="S1835" s="36">
        <v>0</v>
      </c>
      <c r="T1835" s="7" t="s">
        <v>131</v>
      </c>
      <c r="U1835" s="7" t="s">
        <v>959</v>
      </c>
      <c r="V1835" s="7" t="s">
        <v>959</v>
      </c>
      <c r="W1835" s="7" t="s">
        <v>1177</v>
      </c>
      <c r="X1835" s="30">
        <v>1</v>
      </c>
      <c r="Y1835" s="7" t="s">
        <v>1177</v>
      </c>
      <c r="Z1835" s="7" t="s">
        <v>1178</v>
      </c>
      <c r="AA1835" s="30">
        <v>0</v>
      </c>
      <c r="AB1835" s="36">
        <v>0</v>
      </c>
      <c r="AC1835" s="7" t="s">
        <v>1177</v>
      </c>
      <c r="AD1835" s="37">
        <v>0</v>
      </c>
      <c r="AE1835" s="7" t="s">
        <v>1177</v>
      </c>
      <c r="AF1835" s="7" t="s">
        <v>1177</v>
      </c>
      <c r="AG1835" s="7" t="s">
        <v>1177</v>
      </c>
      <c r="AH1835" s="38"/>
      <c r="AI1835" s="36">
        <v>0</v>
      </c>
      <c r="AJ1835" s="7" t="s">
        <v>1193</v>
      </c>
      <c r="AK1835" s="7" t="s">
        <v>1177</v>
      </c>
      <c r="AL1835" s="7" t="s">
        <v>1177</v>
      </c>
      <c r="AM1835" s="7" t="s">
        <v>1177</v>
      </c>
      <c r="AN1835" s="7" t="s">
        <v>3212</v>
      </c>
      <c r="AO1835" s="7" t="s">
        <v>1177</v>
      </c>
      <c r="AP1835" s="7" t="s">
        <v>1177</v>
      </c>
      <c r="AQ1835" s="7" t="s">
        <v>1177</v>
      </c>
      <c r="AR1835" s="29">
        <v>0</v>
      </c>
      <c r="AS1835" s="7" t="s">
        <v>1177</v>
      </c>
      <c r="AT1835" s="7" t="s">
        <v>1363</v>
      </c>
      <c r="AU1835" s="38">
        <v>46275</v>
      </c>
      <c r="AV1835" s="39">
        <v>0.60528935185184995</v>
      </c>
    </row>
    <row r="1836" spans="1:48" x14ac:dyDescent="0.35">
      <c r="A1836" t="str">
        <f t="shared" si="28"/>
        <v>P670143B857</v>
      </c>
      <c r="B1836" s="7" t="s">
        <v>440</v>
      </c>
      <c r="C1836" s="7" t="s">
        <v>958</v>
      </c>
      <c r="D1836" s="7" t="s">
        <v>23</v>
      </c>
      <c r="E1836" s="7" t="s">
        <v>1177</v>
      </c>
      <c r="F1836" s="7" t="s">
        <v>128</v>
      </c>
      <c r="G1836" s="7" t="s">
        <v>130</v>
      </c>
      <c r="H1836" s="7" t="s">
        <v>129</v>
      </c>
      <c r="I1836" s="30">
        <v>5</v>
      </c>
      <c r="J1836" s="7" t="s">
        <v>1177</v>
      </c>
      <c r="K1836" s="7" t="s">
        <v>1178</v>
      </c>
      <c r="L1836" s="7" t="s">
        <v>132</v>
      </c>
      <c r="M1836" s="7" t="s">
        <v>133</v>
      </c>
      <c r="N1836" s="30">
        <v>0</v>
      </c>
      <c r="O1836" s="30">
        <v>0</v>
      </c>
      <c r="P1836" s="30">
        <v>0</v>
      </c>
      <c r="Q1836" s="30">
        <v>0</v>
      </c>
      <c r="R1836" s="29">
        <v>0</v>
      </c>
      <c r="S1836" s="36">
        <v>0</v>
      </c>
      <c r="T1836" s="7" t="s">
        <v>131</v>
      </c>
      <c r="U1836" s="7" t="s">
        <v>959</v>
      </c>
      <c r="V1836" s="7" t="s">
        <v>959</v>
      </c>
      <c r="W1836" s="7" t="s">
        <v>1177</v>
      </c>
      <c r="X1836" s="30">
        <v>1</v>
      </c>
      <c r="Y1836" s="7" t="s">
        <v>1177</v>
      </c>
      <c r="Z1836" s="7" t="s">
        <v>1178</v>
      </c>
      <c r="AA1836" s="30">
        <v>0</v>
      </c>
      <c r="AB1836" s="36">
        <v>0</v>
      </c>
      <c r="AC1836" s="7" t="s">
        <v>1177</v>
      </c>
      <c r="AD1836" s="37">
        <v>0</v>
      </c>
      <c r="AE1836" s="7" t="s">
        <v>1177</v>
      </c>
      <c r="AF1836" s="7" t="s">
        <v>1177</v>
      </c>
      <c r="AG1836" s="7" t="s">
        <v>1177</v>
      </c>
      <c r="AH1836" s="38"/>
      <c r="AI1836" s="36">
        <v>0</v>
      </c>
      <c r="AJ1836" s="7" t="s">
        <v>1193</v>
      </c>
      <c r="AK1836" s="7" t="s">
        <v>1177</v>
      </c>
      <c r="AL1836" s="7" t="s">
        <v>1177</v>
      </c>
      <c r="AM1836" s="7" t="s">
        <v>1177</v>
      </c>
      <c r="AN1836" s="7" t="s">
        <v>3212</v>
      </c>
      <c r="AO1836" s="7" t="s">
        <v>1177</v>
      </c>
      <c r="AP1836" s="7" t="s">
        <v>1177</v>
      </c>
      <c r="AQ1836" s="7" t="s">
        <v>1177</v>
      </c>
      <c r="AR1836" s="29">
        <v>0</v>
      </c>
      <c r="AS1836" s="7" t="s">
        <v>1177</v>
      </c>
      <c r="AT1836" s="7" t="s">
        <v>1363</v>
      </c>
      <c r="AU1836" s="38">
        <v>46275</v>
      </c>
      <c r="AV1836" s="39">
        <v>0.60528935185184995</v>
      </c>
    </row>
    <row r="1837" spans="1:48" x14ac:dyDescent="0.35">
      <c r="A1837" t="str">
        <f t="shared" si="28"/>
        <v>P670143B867</v>
      </c>
      <c r="B1837" s="7" t="s">
        <v>440</v>
      </c>
      <c r="C1837" s="7" t="s">
        <v>1059</v>
      </c>
      <c r="D1837" s="7" t="s">
        <v>25</v>
      </c>
      <c r="E1837" s="7" t="s">
        <v>1177</v>
      </c>
      <c r="F1837" s="7" t="s">
        <v>128</v>
      </c>
      <c r="G1837" s="7" t="s">
        <v>130</v>
      </c>
      <c r="H1837" s="7" t="s">
        <v>129</v>
      </c>
      <c r="I1837" s="30">
        <v>4</v>
      </c>
      <c r="J1837" s="7" t="s">
        <v>1177</v>
      </c>
      <c r="K1837" s="7" t="s">
        <v>1178</v>
      </c>
      <c r="L1837" s="7" t="s">
        <v>132</v>
      </c>
      <c r="M1837" s="7" t="s">
        <v>133</v>
      </c>
      <c r="N1837" s="30">
        <v>0</v>
      </c>
      <c r="O1837" s="30">
        <v>0</v>
      </c>
      <c r="P1837" s="30">
        <v>0</v>
      </c>
      <c r="Q1837" s="30">
        <v>0</v>
      </c>
      <c r="R1837" s="29">
        <v>0</v>
      </c>
      <c r="S1837" s="36">
        <v>0</v>
      </c>
      <c r="T1837" s="7" t="s">
        <v>131</v>
      </c>
      <c r="U1837" s="7" t="s">
        <v>1060</v>
      </c>
      <c r="V1837" s="7" t="s">
        <v>1060</v>
      </c>
      <c r="W1837" s="7" t="s">
        <v>1177</v>
      </c>
      <c r="X1837" s="30">
        <v>1</v>
      </c>
      <c r="Y1837" s="7" t="s">
        <v>1177</v>
      </c>
      <c r="Z1837" s="7" t="s">
        <v>1178</v>
      </c>
      <c r="AA1837" s="30">
        <v>0</v>
      </c>
      <c r="AB1837" s="36">
        <v>0</v>
      </c>
      <c r="AC1837" s="7" t="s">
        <v>1177</v>
      </c>
      <c r="AD1837" s="37">
        <v>0</v>
      </c>
      <c r="AE1837" s="7" t="s">
        <v>1177</v>
      </c>
      <c r="AF1837" s="7" t="s">
        <v>1177</v>
      </c>
      <c r="AG1837" s="7" t="s">
        <v>1177</v>
      </c>
      <c r="AH1837" s="38"/>
      <c r="AI1837" s="36">
        <v>0</v>
      </c>
      <c r="AJ1837" s="7" t="s">
        <v>1193</v>
      </c>
      <c r="AK1837" s="7" t="s">
        <v>1177</v>
      </c>
      <c r="AL1837" s="7" t="s">
        <v>1177</v>
      </c>
      <c r="AM1837" s="7" t="s">
        <v>1177</v>
      </c>
      <c r="AN1837" s="7" t="s">
        <v>3212</v>
      </c>
      <c r="AO1837" s="7" t="s">
        <v>1177</v>
      </c>
      <c r="AP1837" s="7" t="s">
        <v>1177</v>
      </c>
      <c r="AQ1837" s="7" t="s">
        <v>1177</v>
      </c>
      <c r="AR1837" s="29">
        <v>0</v>
      </c>
      <c r="AS1837" s="7" t="s">
        <v>1177</v>
      </c>
      <c r="AT1837" s="7" t="s">
        <v>1363</v>
      </c>
      <c r="AU1837" s="38">
        <v>46275</v>
      </c>
      <c r="AV1837" s="39">
        <v>0.60563657407407001</v>
      </c>
    </row>
    <row r="1838" spans="1:48" x14ac:dyDescent="0.35">
      <c r="A1838" t="str">
        <f t="shared" si="28"/>
        <v>PLE0690B825</v>
      </c>
      <c r="B1838" s="7" t="s">
        <v>304</v>
      </c>
      <c r="C1838" s="7" t="s">
        <v>511</v>
      </c>
      <c r="D1838" s="7" t="s">
        <v>16</v>
      </c>
      <c r="E1838" s="7" t="s">
        <v>1177</v>
      </c>
      <c r="F1838" s="7" t="s">
        <v>128</v>
      </c>
      <c r="G1838" s="7" t="s">
        <v>130</v>
      </c>
      <c r="H1838" s="7" t="s">
        <v>129</v>
      </c>
      <c r="I1838" s="30">
        <v>1</v>
      </c>
      <c r="J1838" s="7" t="s">
        <v>1177</v>
      </c>
      <c r="K1838" s="7" t="s">
        <v>1178</v>
      </c>
      <c r="L1838" s="7" t="s">
        <v>132</v>
      </c>
      <c r="M1838" s="7" t="s">
        <v>133</v>
      </c>
      <c r="N1838" s="30">
        <v>0</v>
      </c>
      <c r="O1838" s="30">
        <v>0</v>
      </c>
      <c r="P1838" s="30">
        <v>0</v>
      </c>
      <c r="Q1838" s="30">
        <v>0</v>
      </c>
      <c r="R1838" s="29">
        <v>0</v>
      </c>
      <c r="S1838" s="36">
        <v>0</v>
      </c>
      <c r="T1838" s="7" t="s">
        <v>131</v>
      </c>
      <c r="U1838" s="7" t="s">
        <v>512</v>
      </c>
      <c r="V1838" s="7" t="s">
        <v>512</v>
      </c>
      <c r="W1838" s="7" t="s">
        <v>1177</v>
      </c>
      <c r="X1838" s="30">
        <v>1</v>
      </c>
      <c r="Y1838" s="7" t="s">
        <v>1177</v>
      </c>
      <c r="Z1838" s="7" t="s">
        <v>1178</v>
      </c>
      <c r="AA1838" s="30">
        <v>0</v>
      </c>
      <c r="AB1838" s="36">
        <v>0</v>
      </c>
      <c r="AC1838" s="7" t="s">
        <v>1177</v>
      </c>
      <c r="AD1838" s="37">
        <v>0</v>
      </c>
      <c r="AE1838" s="7" t="s">
        <v>1177</v>
      </c>
      <c r="AF1838" s="7" t="s">
        <v>1177</v>
      </c>
      <c r="AG1838" s="7" t="s">
        <v>1177</v>
      </c>
      <c r="AH1838" s="38"/>
      <c r="AI1838" s="36">
        <v>0</v>
      </c>
      <c r="AJ1838" s="7" t="s">
        <v>1193</v>
      </c>
      <c r="AK1838" s="7" t="s">
        <v>1177</v>
      </c>
      <c r="AL1838" s="7" t="s">
        <v>1177</v>
      </c>
      <c r="AM1838" s="7" t="s">
        <v>1177</v>
      </c>
      <c r="AN1838" s="7" t="s">
        <v>3212</v>
      </c>
      <c r="AO1838" s="7" t="s">
        <v>1177</v>
      </c>
      <c r="AP1838" s="7" t="s">
        <v>1177</v>
      </c>
      <c r="AQ1838" s="7" t="s">
        <v>1177</v>
      </c>
      <c r="AR1838" s="29">
        <v>0</v>
      </c>
      <c r="AS1838" s="7" t="s">
        <v>1177</v>
      </c>
      <c r="AT1838" s="7" t="s">
        <v>1363</v>
      </c>
      <c r="AU1838" s="38">
        <v>46275</v>
      </c>
      <c r="AV1838" s="39">
        <v>0.60349537037037004</v>
      </c>
    </row>
    <row r="1839" spans="1:48" x14ac:dyDescent="0.35">
      <c r="A1839" t="str">
        <f t="shared" si="28"/>
        <v>PLE0690B832</v>
      </c>
      <c r="B1839" s="7" t="s">
        <v>304</v>
      </c>
      <c r="C1839" s="7" t="s">
        <v>653</v>
      </c>
      <c r="D1839" s="7" t="s">
        <v>19</v>
      </c>
      <c r="E1839" s="7" t="s">
        <v>1177</v>
      </c>
      <c r="F1839" s="7" t="s">
        <v>128</v>
      </c>
      <c r="G1839" s="7" t="s">
        <v>130</v>
      </c>
      <c r="H1839" s="7" t="s">
        <v>129</v>
      </c>
      <c r="I1839" s="30">
        <v>1</v>
      </c>
      <c r="J1839" s="7" t="s">
        <v>1177</v>
      </c>
      <c r="K1839" s="7" t="s">
        <v>1178</v>
      </c>
      <c r="L1839" s="7" t="s">
        <v>132</v>
      </c>
      <c r="M1839" s="7" t="s">
        <v>133</v>
      </c>
      <c r="N1839" s="30">
        <v>0</v>
      </c>
      <c r="O1839" s="30">
        <v>0</v>
      </c>
      <c r="P1839" s="30">
        <v>0</v>
      </c>
      <c r="Q1839" s="30">
        <v>0</v>
      </c>
      <c r="R1839" s="29">
        <v>0</v>
      </c>
      <c r="S1839" s="36">
        <v>0</v>
      </c>
      <c r="T1839" s="7" t="s">
        <v>131</v>
      </c>
      <c r="U1839" s="7" t="s">
        <v>654</v>
      </c>
      <c r="V1839" s="7" t="s">
        <v>654</v>
      </c>
      <c r="W1839" s="7" t="s">
        <v>1177</v>
      </c>
      <c r="X1839" s="30">
        <v>1</v>
      </c>
      <c r="Y1839" s="7" t="s">
        <v>1177</v>
      </c>
      <c r="Z1839" s="7" t="s">
        <v>1178</v>
      </c>
      <c r="AA1839" s="30">
        <v>0</v>
      </c>
      <c r="AB1839" s="36">
        <v>0</v>
      </c>
      <c r="AC1839" s="7" t="s">
        <v>1177</v>
      </c>
      <c r="AD1839" s="37">
        <v>0</v>
      </c>
      <c r="AE1839" s="7" t="s">
        <v>1177</v>
      </c>
      <c r="AF1839" s="7" t="s">
        <v>1177</v>
      </c>
      <c r="AG1839" s="7" t="s">
        <v>1177</v>
      </c>
      <c r="AH1839" s="38"/>
      <c r="AI1839" s="36">
        <v>0</v>
      </c>
      <c r="AJ1839" s="7" t="s">
        <v>1193</v>
      </c>
      <c r="AK1839" s="7" t="s">
        <v>1177</v>
      </c>
      <c r="AL1839" s="7" t="s">
        <v>1177</v>
      </c>
      <c r="AM1839" s="7" t="s">
        <v>1177</v>
      </c>
      <c r="AN1839" s="7" t="s">
        <v>3212</v>
      </c>
      <c r="AO1839" s="7" t="s">
        <v>1177</v>
      </c>
      <c r="AP1839" s="7" t="s">
        <v>1177</v>
      </c>
      <c r="AQ1839" s="7" t="s">
        <v>1177</v>
      </c>
      <c r="AR1839" s="29">
        <v>0</v>
      </c>
      <c r="AS1839" s="7" t="s">
        <v>1177</v>
      </c>
      <c r="AT1839" s="7" t="s">
        <v>1363</v>
      </c>
      <c r="AU1839" s="38">
        <v>46275</v>
      </c>
      <c r="AV1839" s="39">
        <v>0.60384259259258999</v>
      </c>
    </row>
    <row r="1840" spans="1:48" x14ac:dyDescent="0.35">
      <c r="A1840" t="str">
        <f t="shared" si="28"/>
        <v>R9B0405P35B825</v>
      </c>
      <c r="B1840" s="7" t="s">
        <v>442</v>
      </c>
      <c r="C1840" s="7" t="s">
        <v>511</v>
      </c>
      <c r="D1840" s="7" t="s">
        <v>16</v>
      </c>
      <c r="E1840" s="7" t="s">
        <v>1177</v>
      </c>
      <c r="F1840" s="7" t="s">
        <v>128</v>
      </c>
      <c r="G1840" s="7" t="s">
        <v>130</v>
      </c>
      <c r="H1840" s="7" t="s">
        <v>129</v>
      </c>
      <c r="I1840" s="30">
        <v>2</v>
      </c>
      <c r="J1840" s="7" t="s">
        <v>1177</v>
      </c>
      <c r="K1840" s="7" t="s">
        <v>1178</v>
      </c>
      <c r="L1840" s="7" t="s">
        <v>132</v>
      </c>
      <c r="M1840" s="7" t="s">
        <v>133</v>
      </c>
      <c r="N1840" s="30">
        <v>0</v>
      </c>
      <c r="O1840" s="30">
        <v>0</v>
      </c>
      <c r="P1840" s="30">
        <v>0</v>
      </c>
      <c r="Q1840" s="30">
        <v>0</v>
      </c>
      <c r="R1840" s="29">
        <v>0</v>
      </c>
      <c r="S1840" s="36">
        <v>0</v>
      </c>
      <c r="T1840" s="7" t="s">
        <v>131</v>
      </c>
      <c r="U1840" s="7" t="s">
        <v>512</v>
      </c>
      <c r="V1840" s="7" t="s">
        <v>512</v>
      </c>
      <c r="W1840" s="7" t="s">
        <v>1177</v>
      </c>
      <c r="X1840" s="30">
        <v>1</v>
      </c>
      <c r="Y1840" s="7" t="s">
        <v>1177</v>
      </c>
      <c r="Z1840" s="7" t="s">
        <v>1178</v>
      </c>
      <c r="AA1840" s="30">
        <v>0</v>
      </c>
      <c r="AB1840" s="36">
        <v>0</v>
      </c>
      <c r="AC1840" s="7" t="s">
        <v>1177</v>
      </c>
      <c r="AD1840" s="37">
        <v>0</v>
      </c>
      <c r="AE1840" s="7" t="s">
        <v>1177</v>
      </c>
      <c r="AF1840" s="7" t="s">
        <v>1177</v>
      </c>
      <c r="AG1840" s="7" t="s">
        <v>1177</v>
      </c>
      <c r="AH1840" s="38"/>
      <c r="AI1840" s="36">
        <v>0</v>
      </c>
      <c r="AJ1840" s="7" t="s">
        <v>1193</v>
      </c>
      <c r="AK1840" s="7" t="s">
        <v>1177</v>
      </c>
      <c r="AL1840" s="7" t="s">
        <v>1177</v>
      </c>
      <c r="AM1840" s="7" t="s">
        <v>1177</v>
      </c>
      <c r="AN1840" s="7" t="s">
        <v>3212</v>
      </c>
      <c r="AO1840" s="7" t="s">
        <v>1177</v>
      </c>
      <c r="AP1840" s="7" t="s">
        <v>1177</v>
      </c>
      <c r="AQ1840" s="7" t="s">
        <v>1177</v>
      </c>
      <c r="AR1840" s="29">
        <v>0</v>
      </c>
      <c r="AS1840" s="7" t="s">
        <v>1177</v>
      </c>
      <c r="AT1840" s="7" t="s">
        <v>1363</v>
      </c>
      <c r="AU1840" s="38">
        <v>46275</v>
      </c>
      <c r="AV1840" s="39">
        <v>0.60349537037037004</v>
      </c>
    </row>
    <row r="1841" spans="1:48" x14ac:dyDescent="0.35">
      <c r="A1841" t="str">
        <f t="shared" si="28"/>
        <v>R9B0405P35B833</v>
      </c>
      <c r="B1841" s="7" t="s">
        <v>442</v>
      </c>
      <c r="C1841" s="7" t="s">
        <v>698</v>
      </c>
      <c r="D1841" s="7" t="s">
        <v>697</v>
      </c>
      <c r="E1841" s="7" t="s">
        <v>1177</v>
      </c>
      <c r="F1841" s="7" t="s">
        <v>128</v>
      </c>
      <c r="G1841" s="7" t="s">
        <v>130</v>
      </c>
      <c r="H1841" s="7" t="s">
        <v>129</v>
      </c>
      <c r="I1841" s="30">
        <v>2</v>
      </c>
      <c r="J1841" s="7" t="s">
        <v>1177</v>
      </c>
      <c r="K1841" s="7" t="s">
        <v>1178</v>
      </c>
      <c r="L1841" s="7" t="s">
        <v>132</v>
      </c>
      <c r="M1841" s="7" t="s">
        <v>133</v>
      </c>
      <c r="N1841" s="30">
        <v>0</v>
      </c>
      <c r="O1841" s="30">
        <v>0</v>
      </c>
      <c r="P1841" s="30">
        <v>0</v>
      </c>
      <c r="Q1841" s="30">
        <v>0</v>
      </c>
      <c r="R1841" s="29">
        <v>0</v>
      </c>
      <c r="S1841" s="36">
        <v>0</v>
      </c>
      <c r="T1841" s="7" t="s">
        <v>131</v>
      </c>
      <c r="U1841" s="7" t="s">
        <v>699</v>
      </c>
      <c r="V1841" s="7" t="s">
        <v>699</v>
      </c>
      <c r="W1841" s="7" t="s">
        <v>1177</v>
      </c>
      <c r="X1841" s="30">
        <v>1</v>
      </c>
      <c r="Y1841" s="7" t="s">
        <v>1177</v>
      </c>
      <c r="Z1841" s="7" t="s">
        <v>1178</v>
      </c>
      <c r="AA1841" s="30">
        <v>0</v>
      </c>
      <c r="AB1841" s="36">
        <v>0</v>
      </c>
      <c r="AC1841" s="7" t="s">
        <v>1177</v>
      </c>
      <c r="AD1841" s="37">
        <v>0</v>
      </c>
      <c r="AE1841" s="7" t="s">
        <v>1177</v>
      </c>
      <c r="AF1841" s="7" t="s">
        <v>1177</v>
      </c>
      <c r="AG1841" s="7" t="s">
        <v>1177</v>
      </c>
      <c r="AH1841" s="38"/>
      <c r="AI1841" s="36">
        <v>0</v>
      </c>
      <c r="AJ1841" s="7" t="s">
        <v>1193</v>
      </c>
      <c r="AK1841" s="7" t="s">
        <v>1177</v>
      </c>
      <c r="AL1841" s="7" t="s">
        <v>1177</v>
      </c>
      <c r="AM1841" s="7" t="s">
        <v>1177</v>
      </c>
      <c r="AN1841" s="7" t="s">
        <v>3212</v>
      </c>
      <c r="AO1841" s="7" t="s">
        <v>1177</v>
      </c>
      <c r="AP1841" s="7" t="s">
        <v>1177</v>
      </c>
      <c r="AQ1841" s="7" t="s">
        <v>1177</v>
      </c>
      <c r="AR1841" s="29">
        <v>0</v>
      </c>
      <c r="AS1841" s="7" t="s">
        <v>1177</v>
      </c>
      <c r="AT1841" s="7" t="s">
        <v>1363</v>
      </c>
      <c r="AU1841" s="38">
        <v>46275</v>
      </c>
      <c r="AV1841" s="39">
        <v>0.60396990740740997</v>
      </c>
    </row>
    <row r="1842" spans="1:48" x14ac:dyDescent="0.35">
      <c r="A1842" t="str">
        <f t="shared" si="28"/>
        <v>R9B0405P37B825</v>
      </c>
      <c r="B1842" s="7" t="s">
        <v>305</v>
      </c>
      <c r="C1842" s="7" t="s">
        <v>511</v>
      </c>
      <c r="D1842" s="7" t="s">
        <v>16</v>
      </c>
      <c r="E1842" s="7" t="s">
        <v>1177</v>
      </c>
      <c r="F1842" s="7" t="s">
        <v>128</v>
      </c>
      <c r="G1842" s="7" t="s">
        <v>130</v>
      </c>
      <c r="H1842" s="7" t="s">
        <v>129</v>
      </c>
      <c r="I1842" s="30">
        <v>2</v>
      </c>
      <c r="J1842" s="7" t="s">
        <v>1177</v>
      </c>
      <c r="K1842" s="7" t="s">
        <v>1178</v>
      </c>
      <c r="L1842" s="7" t="s">
        <v>132</v>
      </c>
      <c r="M1842" s="7" t="s">
        <v>133</v>
      </c>
      <c r="N1842" s="30">
        <v>0</v>
      </c>
      <c r="O1842" s="30">
        <v>0</v>
      </c>
      <c r="P1842" s="30">
        <v>0</v>
      </c>
      <c r="Q1842" s="30">
        <v>0</v>
      </c>
      <c r="R1842" s="29">
        <v>0</v>
      </c>
      <c r="S1842" s="36">
        <v>0</v>
      </c>
      <c r="T1842" s="7" t="s">
        <v>131</v>
      </c>
      <c r="U1842" s="7" t="s">
        <v>512</v>
      </c>
      <c r="V1842" s="7" t="s">
        <v>512</v>
      </c>
      <c r="W1842" s="7" t="s">
        <v>1177</v>
      </c>
      <c r="X1842" s="30">
        <v>1</v>
      </c>
      <c r="Y1842" s="7" t="s">
        <v>1177</v>
      </c>
      <c r="Z1842" s="7" t="s">
        <v>1178</v>
      </c>
      <c r="AA1842" s="30">
        <v>0</v>
      </c>
      <c r="AB1842" s="36">
        <v>0</v>
      </c>
      <c r="AC1842" s="7" t="s">
        <v>1177</v>
      </c>
      <c r="AD1842" s="37">
        <v>0</v>
      </c>
      <c r="AE1842" s="7" t="s">
        <v>1177</v>
      </c>
      <c r="AF1842" s="7" t="s">
        <v>1177</v>
      </c>
      <c r="AG1842" s="7" t="s">
        <v>1177</v>
      </c>
      <c r="AH1842" s="38"/>
      <c r="AI1842" s="36">
        <v>0</v>
      </c>
      <c r="AJ1842" s="7" t="s">
        <v>1193</v>
      </c>
      <c r="AK1842" s="7" t="s">
        <v>1177</v>
      </c>
      <c r="AL1842" s="7" t="s">
        <v>1177</v>
      </c>
      <c r="AM1842" s="7" t="s">
        <v>1177</v>
      </c>
      <c r="AN1842" s="7" t="s">
        <v>3212</v>
      </c>
      <c r="AO1842" s="7" t="s">
        <v>1177</v>
      </c>
      <c r="AP1842" s="7" t="s">
        <v>1177</v>
      </c>
      <c r="AQ1842" s="7" t="s">
        <v>1177</v>
      </c>
      <c r="AR1842" s="29">
        <v>0</v>
      </c>
      <c r="AS1842" s="7" t="s">
        <v>1177</v>
      </c>
      <c r="AT1842" s="7" t="s">
        <v>1363</v>
      </c>
      <c r="AU1842" s="38">
        <v>46275</v>
      </c>
      <c r="AV1842" s="39">
        <v>0.60349537037037004</v>
      </c>
    </row>
    <row r="1843" spans="1:48" x14ac:dyDescent="0.35">
      <c r="A1843" t="str">
        <f t="shared" si="28"/>
        <v>R9B0405P37B832</v>
      </c>
      <c r="B1843" s="7" t="s">
        <v>305</v>
      </c>
      <c r="C1843" s="7" t="s">
        <v>653</v>
      </c>
      <c r="D1843" s="7" t="s">
        <v>19</v>
      </c>
      <c r="E1843" s="7" t="s">
        <v>1177</v>
      </c>
      <c r="F1843" s="7" t="s">
        <v>128</v>
      </c>
      <c r="G1843" s="7" t="s">
        <v>130</v>
      </c>
      <c r="H1843" s="7" t="s">
        <v>129</v>
      </c>
      <c r="I1843" s="30">
        <v>2</v>
      </c>
      <c r="J1843" s="7" t="s">
        <v>1177</v>
      </c>
      <c r="K1843" s="7" t="s">
        <v>1178</v>
      </c>
      <c r="L1843" s="7" t="s">
        <v>132</v>
      </c>
      <c r="M1843" s="7" t="s">
        <v>133</v>
      </c>
      <c r="N1843" s="30">
        <v>0</v>
      </c>
      <c r="O1843" s="30">
        <v>0</v>
      </c>
      <c r="P1843" s="30">
        <v>0</v>
      </c>
      <c r="Q1843" s="30">
        <v>0</v>
      </c>
      <c r="R1843" s="29">
        <v>0</v>
      </c>
      <c r="S1843" s="36">
        <v>0</v>
      </c>
      <c r="T1843" s="7" t="s">
        <v>131</v>
      </c>
      <c r="U1843" s="7" t="s">
        <v>654</v>
      </c>
      <c r="V1843" s="7" t="s">
        <v>654</v>
      </c>
      <c r="W1843" s="7" t="s">
        <v>1177</v>
      </c>
      <c r="X1843" s="30">
        <v>1</v>
      </c>
      <c r="Y1843" s="7" t="s">
        <v>1177</v>
      </c>
      <c r="Z1843" s="7" t="s">
        <v>1178</v>
      </c>
      <c r="AA1843" s="30">
        <v>0</v>
      </c>
      <c r="AB1843" s="36">
        <v>0</v>
      </c>
      <c r="AC1843" s="7" t="s">
        <v>1177</v>
      </c>
      <c r="AD1843" s="37">
        <v>0</v>
      </c>
      <c r="AE1843" s="7" t="s">
        <v>1177</v>
      </c>
      <c r="AF1843" s="7" t="s">
        <v>1177</v>
      </c>
      <c r="AG1843" s="7" t="s">
        <v>1177</v>
      </c>
      <c r="AH1843" s="38"/>
      <c r="AI1843" s="36">
        <v>0</v>
      </c>
      <c r="AJ1843" s="7" t="s">
        <v>1193</v>
      </c>
      <c r="AK1843" s="7" t="s">
        <v>1177</v>
      </c>
      <c r="AL1843" s="7" t="s">
        <v>1177</v>
      </c>
      <c r="AM1843" s="7" t="s">
        <v>1177</v>
      </c>
      <c r="AN1843" s="7" t="s">
        <v>3212</v>
      </c>
      <c r="AO1843" s="7" t="s">
        <v>1177</v>
      </c>
      <c r="AP1843" s="7" t="s">
        <v>1177</v>
      </c>
      <c r="AQ1843" s="7" t="s">
        <v>1177</v>
      </c>
      <c r="AR1843" s="29">
        <v>0</v>
      </c>
      <c r="AS1843" s="7" t="s">
        <v>1177</v>
      </c>
      <c r="AT1843" s="7" t="s">
        <v>1363</v>
      </c>
      <c r="AU1843" s="38">
        <v>46275</v>
      </c>
      <c r="AV1843" s="39">
        <v>0.60384259259258999</v>
      </c>
    </row>
    <row r="1844" spans="1:48" x14ac:dyDescent="0.35">
      <c r="A1844" t="str">
        <f t="shared" si="28"/>
        <v>R9B0405P38B825</v>
      </c>
      <c r="B1844" s="7" t="s">
        <v>306</v>
      </c>
      <c r="C1844" s="7" t="s">
        <v>511</v>
      </c>
      <c r="D1844" s="7" t="s">
        <v>16</v>
      </c>
      <c r="E1844" s="7" t="s">
        <v>1177</v>
      </c>
      <c r="F1844" s="7" t="s">
        <v>128</v>
      </c>
      <c r="G1844" s="7" t="s">
        <v>130</v>
      </c>
      <c r="H1844" s="7" t="s">
        <v>129</v>
      </c>
      <c r="I1844" s="30">
        <v>2</v>
      </c>
      <c r="J1844" s="7" t="s">
        <v>1177</v>
      </c>
      <c r="K1844" s="7" t="s">
        <v>1178</v>
      </c>
      <c r="L1844" s="7" t="s">
        <v>132</v>
      </c>
      <c r="M1844" s="7" t="s">
        <v>133</v>
      </c>
      <c r="N1844" s="30">
        <v>0</v>
      </c>
      <c r="O1844" s="30">
        <v>0</v>
      </c>
      <c r="P1844" s="30">
        <v>0</v>
      </c>
      <c r="Q1844" s="30">
        <v>0</v>
      </c>
      <c r="R1844" s="29">
        <v>0</v>
      </c>
      <c r="S1844" s="36">
        <v>0</v>
      </c>
      <c r="T1844" s="7" t="s">
        <v>131</v>
      </c>
      <c r="U1844" s="7" t="s">
        <v>512</v>
      </c>
      <c r="V1844" s="7" t="s">
        <v>512</v>
      </c>
      <c r="W1844" s="7" t="s">
        <v>1177</v>
      </c>
      <c r="X1844" s="30">
        <v>1</v>
      </c>
      <c r="Y1844" s="7" t="s">
        <v>1177</v>
      </c>
      <c r="Z1844" s="7" t="s">
        <v>1178</v>
      </c>
      <c r="AA1844" s="30">
        <v>0</v>
      </c>
      <c r="AB1844" s="36">
        <v>0</v>
      </c>
      <c r="AC1844" s="7" t="s">
        <v>1177</v>
      </c>
      <c r="AD1844" s="37">
        <v>0</v>
      </c>
      <c r="AE1844" s="7" t="s">
        <v>1177</v>
      </c>
      <c r="AF1844" s="7" t="s">
        <v>1177</v>
      </c>
      <c r="AG1844" s="7" t="s">
        <v>1177</v>
      </c>
      <c r="AH1844" s="38"/>
      <c r="AI1844" s="36">
        <v>0</v>
      </c>
      <c r="AJ1844" s="7" t="s">
        <v>1193</v>
      </c>
      <c r="AK1844" s="7" t="s">
        <v>1177</v>
      </c>
      <c r="AL1844" s="7" t="s">
        <v>1177</v>
      </c>
      <c r="AM1844" s="7" t="s">
        <v>1177</v>
      </c>
      <c r="AN1844" s="7" t="s">
        <v>3212</v>
      </c>
      <c r="AO1844" s="7" t="s">
        <v>1177</v>
      </c>
      <c r="AP1844" s="7" t="s">
        <v>1177</v>
      </c>
      <c r="AQ1844" s="7" t="s">
        <v>1177</v>
      </c>
      <c r="AR1844" s="29">
        <v>0</v>
      </c>
      <c r="AS1844" s="7" t="s">
        <v>1177</v>
      </c>
      <c r="AT1844" s="7" t="s">
        <v>1363</v>
      </c>
      <c r="AU1844" s="38">
        <v>46275</v>
      </c>
      <c r="AV1844" s="39">
        <v>0.60349537037037004</v>
      </c>
    </row>
    <row r="1845" spans="1:48" x14ac:dyDescent="0.35">
      <c r="A1845" t="str">
        <f t="shared" si="28"/>
        <v>R9B0405P38B832</v>
      </c>
      <c r="B1845" s="7" t="s">
        <v>306</v>
      </c>
      <c r="C1845" s="7" t="s">
        <v>653</v>
      </c>
      <c r="D1845" s="7" t="s">
        <v>19</v>
      </c>
      <c r="E1845" s="7" t="s">
        <v>1177</v>
      </c>
      <c r="F1845" s="7" t="s">
        <v>128</v>
      </c>
      <c r="G1845" s="7" t="s">
        <v>130</v>
      </c>
      <c r="H1845" s="7" t="s">
        <v>129</v>
      </c>
      <c r="I1845" s="30">
        <v>2</v>
      </c>
      <c r="J1845" s="7" t="s">
        <v>1177</v>
      </c>
      <c r="K1845" s="7" t="s">
        <v>1178</v>
      </c>
      <c r="L1845" s="7" t="s">
        <v>132</v>
      </c>
      <c r="M1845" s="7" t="s">
        <v>133</v>
      </c>
      <c r="N1845" s="30">
        <v>0</v>
      </c>
      <c r="O1845" s="30">
        <v>0</v>
      </c>
      <c r="P1845" s="30">
        <v>0</v>
      </c>
      <c r="Q1845" s="30">
        <v>0</v>
      </c>
      <c r="R1845" s="29">
        <v>0</v>
      </c>
      <c r="S1845" s="36">
        <v>0</v>
      </c>
      <c r="T1845" s="7" t="s">
        <v>131</v>
      </c>
      <c r="U1845" s="7" t="s">
        <v>654</v>
      </c>
      <c r="V1845" s="7" t="s">
        <v>654</v>
      </c>
      <c r="W1845" s="7" t="s">
        <v>1177</v>
      </c>
      <c r="X1845" s="30">
        <v>1</v>
      </c>
      <c r="Y1845" s="7" t="s">
        <v>1177</v>
      </c>
      <c r="Z1845" s="7" t="s">
        <v>1178</v>
      </c>
      <c r="AA1845" s="30">
        <v>0</v>
      </c>
      <c r="AB1845" s="36">
        <v>0</v>
      </c>
      <c r="AC1845" s="7" t="s">
        <v>1177</v>
      </c>
      <c r="AD1845" s="37">
        <v>0</v>
      </c>
      <c r="AE1845" s="7" t="s">
        <v>1177</v>
      </c>
      <c r="AF1845" s="7" t="s">
        <v>1177</v>
      </c>
      <c r="AG1845" s="7" t="s">
        <v>1177</v>
      </c>
      <c r="AH1845" s="38"/>
      <c r="AI1845" s="36">
        <v>0</v>
      </c>
      <c r="AJ1845" s="7" t="s">
        <v>1193</v>
      </c>
      <c r="AK1845" s="7" t="s">
        <v>1177</v>
      </c>
      <c r="AL1845" s="7" t="s">
        <v>1177</v>
      </c>
      <c r="AM1845" s="7" t="s">
        <v>1177</v>
      </c>
      <c r="AN1845" s="7" t="s">
        <v>3212</v>
      </c>
      <c r="AO1845" s="7" t="s">
        <v>1177</v>
      </c>
      <c r="AP1845" s="7" t="s">
        <v>1177</v>
      </c>
      <c r="AQ1845" s="7" t="s">
        <v>1177</v>
      </c>
      <c r="AR1845" s="29">
        <v>0</v>
      </c>
      <c r="AS1845" s="7" t="s">
        <v>1177</v>
      </c>
      <c r="AT1845" s="7" t="s">
        <v>1363</v>
      </c>
      <c r="AU1845" s="38">
        <v>46275</v>
      </c>
      <c r="AV1845" s="39">
        <v>0.60384259259258999</v>
      </c>
    </row>
    <row r="1846" spans="1:48" x14ac:dyDescent="0.35">
      <c r="A1846" t="str">
        <f t="shared" si="28"/>
        <v>R9E1495P01B832</v>
      </c>
      <c r="B1846" s="7" t="s">
        <v>203</v>
      </c>
      <c r="C1846" s="7" t="s">
        <v>653</v>
      </c>
      <c r="D1846" s="7" t="s">
        <v>19</v>
      </c>
      <c r="E1846" s="7" t="s">
        <v>1177</v>
      </c>
      <c r="F1846" s="7" t="s">
        <v>128</v>
      </c>
      <c r="G1846" s="7" t="s">
        <v>130</v>
      </c>
      <c r="H1846" s="7" t="s">
        <v>129</v>
      </c>
      <c r="I1846" s="30">
        <v>2</v>
      </c>
      <c r="J1846" s="7" t="s">
        <v>1177</v>
      </c>
      <c r="K1846" s="7" t="s">
        <v>1178</v>
      </c>
      <c r="L1846" s="7" t="s">
        <v>132</v>
      </c>
      <c r="M1846" s="7" t="s">
        <v>133</v>
      </c>
      <c r="N1846" s="30">
        <v>0</v>
      </c>
      <c r="O1846" s="30">
        <v>0</v>
      </c>
      <c r="P1846" s="30">
        <v>0</v>
      </c>
      <c r="Q1846" s="30">
        <v>0</v>
      </c>
      <c r="R1846" s="29">
        <v>0</v>
      </c>
      <c r="S1846" s="36">
        <v>0</v>
      </c>
      <c r="T1846" s="7" t="s">
        <v>131</v>
      </c>
      <c r="U1846" s="7" t="s">
        <v>654</v>
      </c>
      <c r="V1846" s="7" t="s">
        <v>654</v>
      </c>
      <c r="W1846" s="7" t="s">
        <v>1177</v>
      </c>
      <c r="X1846" s="30">
        <v>1</v>
      </c>
      <c r="Y1846" s="7" t="s">
        <v>1177</v>
      </c>
      <c r="Z1846" s="7" t="s">
        <v>1178</v>
      </c>
      <c r="AA1846" s="30">
        <v>0</v>
      </c>
      <c r="AB1846" s="36">
        <v>0</v>
      </c>
      <c r="AC1846" s="7" t="s">
        <v>1177</v>
      </c>
      <c r="AD1846" s="37">
        <v>0</v>
      </c>
      <c r="AE1846" s="7" t="s">
        <v>1177</v>
      </c>
      <c r="AF1846" s="7" t="s">
        <v>1177</v>
      </c>
      <c r="AG1846" s="7" t="s">
        <v>1177</v>
      </c>
      <c r="AH1846" s="38"/>
      <c r="AI1846" s="36">
        <v>0</v>
      </c>
      <c r="AJ1846" s="7" t="s">
        <v>1193</v>
      </c>
      <c r="AK1846" s="7" t="s">
        <v>1177</v>
      </c>
      <c r="AL1846" s="7" t="s">
        <v>1177</v>
      </c>
      <c r="AM1846" s="7" t="s">
        <v>1177</v>
      </c>
      <c r="AN1846" s="7" t="s">
        <v>3212</v>
      </c>
      <c r="AO1846" s="7" t="s">
        <v>1177</v>
      </c>
      <c r="AP1846" s="7" t="s">
        <v>1177</v>
      </c>
      <c r="AQ1846" s="7" t="s">
        <v>1177</v>
      </c>
      <c r="AR1846" s="29">
        <v>0</v>
      </c>
      <c r="AS1846" s="7" t="s">
        <v>1177</v>
      </c>
      <c r="AT1846" s="7" t="s">
        <v>1363</v>
      </c>
      <c r="AU1846" s="38">
        <v>46275</v>
      </c>
      <c r="AV1846" s="39">
        <v>0.60384259259258999</v>
      </c>
    </row>
    <row r="1847" spans="1:48" x14ac:dyDescent="0.35">
      <c r="A1847" t="str">
        <f t="shared" si="28"/>
        <v>R9E1495P01B856</v>
      </c>
      <c r="B1847" s="7" t="s">
        <v>203</v>
      </c>
      <c r="C1847" s="7" t="s">
        <v>852</v>
      </c>
      <c r="D1847" s="7" t="s">
        <v>21</v>
      </c>
      <c r="E1847" s="7" t="s">
        <v>1177</v>
      </c>
      <c r="F1847" s="7" t="s">
        <v>128</v>
      </c>
      <c r="G1847" s="7" t="s">
        <v>130</v>
      </c>
      <c r="H1847" s="7" t="s">
        <v>129</v>
      </c>
      <c r="I1847" s="30">
        <v>1</v>
      </c>
      <c r="J1847" s="7" t="s">
        <v>1177</v>
      </c>
      <c r="K1847" s="7" t="s">
        <v>1178</v>
      </c>
      <c r="L1847" s="7" t="s">
        <v>132</v>
      </c>
      <c r="M1847" s="7" t="s">
        <v>133</v>
      </c>
      <c r="N1847" s="30">
        <v>0</v>
      </c>
      <c r="O1847" s="30">
        <v>0</v>
      </c>
      <c r="P1847" s="30">
        <v>0</v>
      </c>
      <c r="Q1847" s="30">
        <v>0</v>
      </c>
      <c r="R1847" s="29">
        <v>0</v>
      </c>
      <c r="S1847" s="36">
        <v>0</v>
      </c>
      <c r="T1847" s="7" t="s">
        <v>131</v>
      </c>
      <c r="U1847" s="7" t="s">
        <v>853</v>
      </c>
      <c r="V1847" s="7" t="s">
        <v>853</v>
      </c>
      <c r="W1847" s="7" t="s">
        <v>1177</v>
      </c>
      <c r="X1847" s="30">
        <v>1</v>
      </c>
      <c r="Y1847" s="7" t="s">
        <v>1177</v>
      </c>
      <c r="Z1847" s="7" t="s">
        <v>1178</v>
      </c>
      <c r="AA1847" s="30">
        <v>0</v>
      </c>
      <c r="AB1847" s="36">
        <v>0</v>
      </c>
      <c r="AC1847" s="7" t="s">
        <v>1177</v>
      </c>
      <c r="AD1847" s="37">
        <v>0</v>
      </c>
      <c r="AE1847" s="7" t="s">
        <v>1177</v>
      </c>
      <c r="AF1847" s="7" t="s">
        <v>1177</v>
      </c>
      <c r="AG1847" s="7" t="s">
        <v>1177</v>
      </c>
      <c r="AH1847" s="38"/>
      <c r="AI1847" s="36">
        <v>0</v>
      </c>
      <c r="AJ1847" s="7" t="s">
        <v>1193</v>
      </c>
      <c r="AK1847" s="7" t="s">
        <v>1177</v>
      </c>
      <c r="AL1847" s="7" t="s">
        <v>1177</v>
      </c>
      <c r="AM1847" s="7" t="s">
        <v>1177</v>
      </c>
      <c r="AN1847" s="7" t="s">
        <v>3212</v>
      </c>
      <c r="AO1847" s="7" t="s">
        <v>1177</v>
      </c>
      <c r="AP1847" s="7" t="s">
        <v>1177</v>
      </c>
      <c r="AQ1847" s="7" t="s">
        <v>1177</v>
      </c>
      <c r="AR1847" s="29">
        <v>0</v>
      </c>
      <c r="AS1847" s="7" t="s">
        <v>1177</v>
      </c>
      <c r="AT1847" s="7" t="s">
        <v>1363</v>
      </c>
      <c r="AU1847" s="38">
        <v>46275</v>
      </c>
      <c r="AV1847" s="39">
        <v>0.60523148148147998</v>
      </c>
    </row>
    <row r="1848" spans="1:48" x14ac:dyDescent="0.35">
      <c r="A1848" t="str">
        <f t="shared" si="28"/>
        <v>R9E1766P01B825</v>
      </c>
      <c r="B1848" s="7" t="s">
        <v>307</v>
      </c>
      <c r="C1848" s="7" t="s">
        <v>511</v>
      </c>
      <c r="D1848" s="7" t="s">
        <v>16</v>
      </c>
      <c r="E1848" s="7" t="s">
        <v>1177</v>
      </c>
      <c r="F1848" s="7" t="s">
        <v>128</v>
      </c>
      <c r="G1848" s="7" t="s">
        <v>130</v>
      </c>
      <c r="H1848" s="7" t="s">
        <v>129</v>
      </c>
      <c r="I1848" s="30">
        <v>2</v>
      </c>
      <c r="J1848" s="7" t="s">
        <v>1177</v>
      </c>
      <c r="K1848" s="7" t="s">
        <v>1178</v>
      </c>
      <c r="L1848" s="7" t="s">
        <v>132</v>
      </c>
      <c r="M1848" s="7" t="s">
        <v>133</v>
      </c>
      <c r="N1848" s="30">
        <v>0</v>
      </c>
      <c r="O1848" s="30">
        <v>0</v>
      </c>
      <c r="P1848" s="30">
        <v>0</v>
      </c>
      <c r="Q1848" s="30">
        <v>0</v>
      </c>
      <c r="R1848" s="29">
        <v>0</v>
      </c>
      <c r="S1848" s="36">
        <v>0</v>
      </c>
      <c r="T1848" s="7" t="s">
        <v>131</v>
      </c>
      <c r="U1848" s="7" t="s">
        <v>512</v>
      </c>
      <c r="V1848" s="7" t="s">
        <v>512</v>
      </c>
      <c r="W1848" s="7" t="s">
        <v>1177</v>
      </c>
      <c r="X1848" s="30">
        <v>1</v>
      </c>
      <c r="Y1848" s="7" t="s">
        <v>1177</v>
      </c>
      <c r="Z1848" s="7" t="s">
        <v>1178</v>
      </c>
      <c r="AA1848" s="30">
        <v>0</v>
      </c>
      <c r="AB1848" s="36">
        <v>0</v>
      </c>
      <c r="AC1848" s="7" t="s">
        <v>1177</v>
      </c>
      <c r="AD1848" s="37">
        <v>0</v>
      </c>
      <c r="AE1848" s="7" t="s">
        <v>1177</v>
      </c>
      <c r="AF1848" s="7" t="s">
        <v>1177</v>
      </c>
      <c r="AG1848" s="7" t="s">
        <v>1177</v>
      </c>
      <c r="AH1848" s="38"/>
      <c r="AI1848" s="36">
        <v>0</v>
      </c>
      <c r="AJ1848" s="7" t="s">
        <v>1193</v>
      </c>
      <c r="AK1848" s="7" t="s">
        <v>1177</v>
      </c>
      <c r="AL1848" s="7" t="s">
        <v>1177</v>
      </c>
      <c r="AM1848" s="7" t="s">
        <v>1177</v>
      </c>
      <c r="AN1848" s="7" t="s">
        <v>3212</v>
      </c>
      <c r="AO1848" s="7" t="s">
        <v>1177</v>
      </c>
      <c r="AP1848" s="7" t="s">
        <v>1177</v>
      </c>
      <c r="AQ1848" s="7" t="s">
        <v>1177</v>
      </c>
      <c r="AR1848" s="29">
        <v>0</v>
      </c>
      <c r="AS1848" s="7" t="s">
        <v>1177</v>
      </c>
      <c r="AT1848" s="7" t="s">
        <v>1363</v>
      </c>
      <c r="AU1848" s="38">
        <v>46275</v>
      </c>
      <c r="AV1848" s="39">
        <v>0.62305555555556003</v>
      </c>
    </row>
    <row r="1849" spans="1:48" x14ac:dyDescent="0.35">
      <c r="A1849" t="str">
        <f t="shared" si="28"/>
        <v>R9E1766P01B832</v>
      </c>
      <c r="B1849" s="7" t="s">
        <v>307</v>
      </c>
      <c r="C1849" s="7" t="s">
        <v>653</v>
      </c>
      <c r="D1849" s="7" t="s">
        <v>19</v>
      </c>
      <c r="E1849" s="7" t="s">
        <v>1177</v>
      </c>
      <c r="F1849" s="7" t="s">
        <v>128</v>
      </c>
      <c r="G1849" s="7" t="s">
        <v>130</v>
      </c>
      <c r="H1849" s="7" t="s">
        <v>129</v>
      </c>
      <c r="I1849" s="30">
        <v>2</v>
      </c>
      <c r="J1849" s="7" t="s">
        <v>1177</v>
      </c>
      <c r="K1849" s="7" t="s">
        <v>1178</v>
      </c>
      <c r="L1849" s="7" t="s">
        <v>132</v>
      </c>
      <c r="M1849" s="7" t="s">
        <v>133</v>
      </c>
      <c r="N1849" s="30">
        <v>0</v>
      </c>
      <c r="O1849" s="30">
        <v>0</v>
      </c>
      <c r="P1849" s="30">
        <v>0</v>
      </c>
      <c r="Q1849" s="30">
        <v>0</v>
      </c>
      <c r="R1849" s="29">
        <v>0</v>
      </c>
      <c r="S1849" s="36">
        <v>0</v>
      </c>
      <c r="T1849" s="7" t="s">
        <v>131</v>
      </c>
      <c r="U1849" s="7" t="s">
        <v>654</v>
      </c>
      <c r="V1849" s="7" t="s">
        <v>654</v>
      </c>
      <c r="W1849" s="7" t="s">
        <v>1177</v>
      </c>
      <c r="X1849" s="30">
        <v>1</v>
      </c>
      <c r="Y1849" s="7" t="s">
        <v>1177</v>
      </c>
      <c r="Z1849" s="7" t="s">
        <v>1178</v>
      </c>
      <c r="AA1849" s="30">
        <v>0</v>
      </c>
      <c r="AB1849" s="36">
        <v>0</v>
      </c>
      <c r="AC1849" s="7" t="s">
        <v>1177</v>
      </c>
      <c r="AD1849" s="37">
        <v>0</v>
      </c>
      <c r="AE1849" s="7" t="s">
        <v>1177</v>
      </c>
      <c r="AF1849" s="7" t="s">
        <v>1177</v>
      </c>
      <c r="AG1849" s="7" t="s">
        <v>1177</v>
      </c>
      <c r="AH1849" s="38"/>
      <c r="AI1849" s="36">
        <v>0</v>
      </c>
      <c r="AJ1849" s="7" t="s">
        <v>1193</v>
      </c>
      <c r="AK1849" s="7" t="s">
        <v>1177</v>
      </c>
      <c r="AL1849" s="7" t="s">
        <v>1177</v>
      </c>
      <c r="AM1849" s="7" t="s">
        <v>1177</v>
      </c>
      <c r="AN1849" s="7" t="s">
        <v>3212</v>
      </c>
      <c r="AO1849" s="7" t="s">
        <v>1177</v>
      </c>
      <c r="AP1849" s="7" t="s">
        <v>1177</v>
      </c>
      <c r="AQ1849" s="7" t="s">
        <v>1177</v>
      </c>
      <c r="AR1849" s="29">
        <v>0</v>
      </c>
      <c r="AS1849" s="7" t="s">
        <v>1177</v>
      </c>
      <c r="AT1849" s="7" t="s">
        <v>1363</v>
      </c>
      <c r="AU1849" s="38">
        <v>46275</v>
      </c>
      <c r="AV1849" s="39">
        <v>0.62334490740741</v>
      </c>
    </row>
    <row r="1850" spans="1:48" x14ac:dyDescent="0.35">
      <c r="A1850" t="str">
        <f t="shared" si="28"/>
        <v>R9E1766P01B856</v>
      </c>
      <c r="B1850" s="7" t="s">
        <v>307</v>
      </c>
      <c r="C1850" s="7" t="s">
        <v>852</v>
      </c>
      <c r="D1850" s="7" t="s">
        <v>21</v>
      </c>
      <c r="E1850" s="7" t="s">
        <v>1177</v>
      </c>
      <c r="F1850" s="7" t="s">
        <v>128</v>
      </c>
      <c r="G1850" s="7" t="s">
        <v>130</v>
      </c>
      <c r="H1850" s="7" t="s">
        <v>129</v>
      </c>
      <c r="I1850" s="30">
        <v>2</v>
      </c>
      <c r="J1850" s="7" t="s">
        <v>1177</v>
      </c>
      <c r="K1850" s="7" t="s">
        <v>1178</v>
      </c>
      <c r="L1850" s="7" t="s">
        <v>132</v>
      </c>
      <c r="M1850" s="7" t="s">
        <v>133</v>
      </c>
      <c r="N1850" s="30">
        <v>0</v>
      </c>
      <c r="O1850" s="30">
        <v>0</v>
      </c>
      <c r="P1850" s="30">
        <v>0</v>
      </c>
      <c r="Q1850" s="30">
        <v>0</v>
      </c>
      <c r="R1850" s="29">
        <v>0</v>
      </c>
      <c r="S1850" s="36">
        <v>0</v>
      </c>
      <c r="T1850" s="7" t="s">
        <v>131</v>
      </c>
      <c r="U1850" s="7" t="s">
        <v>853</v>
      </c>
      <c r="V1850" s="7" t="s">
        <v>853</v>
      </c>
      <c r="W1850" s="7" t="s">
        <v>1177</v>
      </c>
      <c r="X1850" s="30">
        <v>1</v>
      </c>
      <c r="Y1850" s="7" t="s">
        <v>1177</v>
      </c>
      <c r="Z1850" s="7" t="s">
        <v>1178</v>
      </c>
      <c r="AA1850" s="30">
        <v>0</v>
      </c>
      <c r="AB1850" s="36">
        <v>0</v>
      </c>
      <c r="AC1850" s="7" t="s">
        <v>1177</v>
      </c>
      <c r="AD1850" s="37">
        <v>0</v>
      </c>
      <c r="AE1850" s="7" t="s">
        <v>1177</v>
      </c>
      <c r="AF1850" s="7" t="s">
        <v>1177</v>
      </c>
      <c r="AG1850" s="7" t="s">
        <v>1177</v>
      </c>
      <c r="AH1850" s="38"/>
      <c r="AI1850" s="36">
        <v>0</v>
      </c>
      <c r="AJ1850" s="7" t="s">
        <v>1193</v>
      </c>
      <c r="AK1850" s="7" t="s">
        <v>1177</v>
      </c>
      <c r="AL1850" s="7" t="s">
        <v>1177</v>
      </c>
      <c r="AM1850" s="7" t="s">
        <v>1177</v>
      </c>
      <c r="AN1850" s="7" t="s">
        <v>3212</v>
      </c>
      <c r="AO1850" s="7" t="s">
        <v>1177</v>
      </c>
      <c r="AP1850" s="7" t="s">
        <v>1177</v>
      </c>
      <c r="AQ1850" s="7" t="s">
        <v>1177</v>
      </c>
      <c r="AR1850" s="29">
        <v>0</v>
      </c>
      <c r="AS1850" s="7" t="s">
        <v>1177</v>
      </c>
      <c r="AT1850" s="7" t="s">
        <v>1363</v>
      </c>
      <c r="AU1850" s="38">
        <v>46275</v>
      </c>
      <c r="AV1850" s="39">
        <v>0.62484953703704005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555B-81A8-4910-BAB1-A3B1E6F0739D}">
  <dimension ref="A1:M328"/>
  <sheetViews>
    <sheetView workbookViewId="0">
      <selection activeCell="F6" sqref="F6"/>
    </sheetView>
  </sheetViews>
  <sheetFormatPr defaultColWidth="8.54296875" defaultRowHeight="14.5" x14ac:dyDescent="0.35"/>
  <cols>
    <col min="1" max="1" width="17" bestFit="1" customWidth="1"/>
    <col min="2" max="2" width="6.26953125" bestFit="1" customWidth="1"/>
    <col min="3" max="3" width="27" bestFit="1" customWidth="1"/>
    <col min="4" max="4" width="7.90625" bestFit="1" customWidth="1"/>
    <col min="5" max="5" width="18.54296875" bestFit="1" customWidth="1"/>
    <col min="6" max="6" width="12.7265625" bestFit="1" customWidth="1"/>
    <col min="7" max="7" width="40.453125" bestFit="1" customWidth="1"/>
    <col min="8" max="8" width="9.1796875" bestFit="1" customWidth="1"/>
    <col min="9" max="9" width="6.54296875" bestFit="1" customWidth="1"/>
    <col min="10" max="10" width="12.54296875" bestFit="1" customWidth="1"/>
    <col min="11" max="11" width="8.7265625" bestFit="1" customWidth="1"/>
    <col min="12" max="12" width="8.36328125" bestFit="1" customWidth="1"/>
    <col min="13" max="13" width="9.26953125" bestFit="1" customWidth="1"/>
  </cols>
  <sheetData>
    <row r="1" spans="1:13" ht="43.5" x14ac:dyDescent="0.35">
      <c r="A1" s="7"/>
      <c r="B1" s="27" t="s">
        <v>3114</v>
      </c>
      <c r="C1" s="27" t="s">
        <v>3115</v>
      </c>
      <c r="D1" s="27" t="s">
        <v>3116</v>
      </c>
      <c r="E1" s="27" t="s">
        <v>3117</v>
      </c>
      <c r="F1" s="27" t="s">
        <v>127</v>
      </c>
      <c r="G1" s="27" t="s">
        <v>3118</v>
      </c>
      <c r="H1" s="27" t="s">
        <v>3119</v>
      </c>
      <c r="I1" s="27" t="s">
        <v>3120</v>
      </c>
      <c r="J1" s="27" t="s">
        <v>3121</v>
      </c>
      <c r="K1" s="28" t="s">
        <v>3122</v>
      </c>
      <c r="L1" s="28" t="s">
        <v>3123</v>
      </c>
      <c r="M1" s="27" t="s">
        <v>3124</v>
      </c>
    </row>
    <row r="2" spans="1:13" x14ac:dyDescent="0.35">
      <c r="A2" s="7" t="str">
        <f>_xlfn.CONCAT(F2,B2)</f>
        <v>GP127960B838</v>
      </c>
      <c r="B2" s="7" t="s">
        <v>48</v>
      </c>
      <c r="C2" s="7" t="s">
        <v>3137</v>
      </c>
      <c r="D2" s="7" t="s">
        <v>745</v>
      </c>
      <c r="E2" s="7" t="s">
        <v>3138</v>
      </c>
      <c r="F2" s="7" t="s">
        <v>60</v>
      </c>
      <c r="G2" s="7" t="s">
        <v>61</v>
      </c>
      <c r="H2" s="7" t="s">
        <v>1262</v>
      </c>
      <c r="I2" s="7" t="s">
        <v>1276</v>
      </c>
      <c r="J2" s="29">
        <v>1</v>
      </c>
      <c r="K2" s="29">
        <v>0</v>
      </c>
      <c r="L2" s="29">
        <v>2</v>
      </c>
      <c r="M2" s="29">
        <v>0</v>
      </c>
    </row>
    <row r="3" spans="1:13" x14ac:dyDescent="0.35">
      <c r="A3" s="7" t="str">
        <f t="shared" ref="A3:A55" si="0">_xlfn.CONCAT(F3,B3)</f>
        <v>GP127960B832</v>
      </c>
      <c r="B3" s="7" t="s">
        <v>19</v>
      </c>
      <c r="C3" s="7" t="s">
        <v>3125</v>
      </c>
      <c r="D3" s="7" t="s">
        <v>654</v>
      </c>
      <c r="E3" s="7" t="s">
        <v>3126</v>
      </c>
      <c r="F3" s="7" t="s">
        <v>60</v>
      </c>
      <c r="G3" s="7" t="s">
        <v>61</v>
      </c>
      <c r="H3" s="7" t="s">
        <v>1262</v>
      </c>
      <c r="I3" s="7" t="s">
        <v>1276</v>
      </c>
      <c r="J3" s="29">
        <v>6</v>
      </c>
      <c r="K3" s="29">
        <v>0</v>
      </c>
      <c r="L3" s="29">
        <v>1</v>
      </c>
      <c r="M3" s="29">
        <v>0</v>
      </c>
    </row>
    <row r="4" spans="1:13" x14ac:dyDescent="0.35">
      <c r="A4" s="7" t="str">
        <f t="shared" si="0"/>
        <v>109534B825</v>
      </c>
      <c r="B4" s="7" t="s">
        <v>16</v>
      </c>
      <c r="C4" s="7" t="s">
        <v>3127</v>
      </c>
      <c r="D4" s="7" t="s">
        <v>512</v>
      </c>
      <c r="E4" s="7" t="s">
        <v>3128</v>
      </c>
      <c r="F4" s="7">
        <v>109534</v>
      </c>
      <c r="G4" s="7" t="s">
        <v>6</v>
      </c>
      <c r="H4" s="7" t="s">
        <v>1262</v>
      </c>
      <c r="I4" s="7" t="s">
        <v>1276</v>
      </c>
      <c r="J4" s="29">
        <v>2</v>
      </c>
      <c r="K4" s="29">
        <v>0</v>
      </c>
      <c r="L4" s="29">
        <v>0</v>
      </c>
      <c r="M4" s="29">
        <v>0</v>
      </c>
    </row>
    <row r="5" spans="1:13" x14ac:dyDescent="0.35">
      <c r="A5" s="7" t="str">
        <f t="shared" si="0"/>
        <v>109534B833</v>
      </c>
      <c r="B5" s="7" t="s">
        <v>697</v>
      </c>
      <c r="C5" s="7" t="s">
        <v>3129</v>
      </c>
      <c r="D5" s="7" t="s">
        <v>699</v>
      </c>
      <c r="E5" s="7" t="s">
        <v>3130</v>
      </c>
      <c r="F5" s="7">
        <v>109534</v>
      </c>
      <c r="G5" s="7" t="s">
        <v>6</v>
      </c>
      <c r="H5" s="7" t="s">
        <v>1262</v>
      </c>
      <c r="I5" s="7" t="s">
        <v>1276</v>
      </c>
      <c r="J5" s="29">
        <v>10</v>
      </c>
      <c r="K5" s="29">
        <v>0</v>
      </c>
      <c r="L5" s="29">
        <v>0</v>
      </c>
      <c r="M5" s="29">
        <v>0</v>
      </c>
    </row>
    <row r="6" spans="1:13" x14ac:dyDescent="0.35">
      <c r="A6" s="7" t="str">
        <f t="shared" si="0"/>
        <v>109534B856</v>
      </c>
      <c r="B6" s="7" t="s">
        <v>21</v>
      </c>
      <c r="C6" s="7" t="s">
        <v>3131</v>
      </c>
      <c r="D6" s="7" t="s">
        <v>853</v>
      </c>
      <c r="E6" s="7" t="s">
        <v>3132</v>
      </c>
      <c r="F6" s="7">
        <v>109534</v>
      </c>
      <c r="G6" s="7" t="s">
        <v>6</v>
      </c>
      <c r="H6" s="7" t="s">
        <v>1262</v>
      </c>
      <c r="I6" s="7" t="s">
        <v>1276</v>
      </c>
      <c r="J6" s="29">
        <v>2</v>
      </c>
      <c r="K6" s="29">
        <v>0</v>
      </c>
      <c r="L6" s="29">
        <v>0</v>
      </c>
      <c r="M6" s="29">
        <v>0</v>
      </c>
    </row>
    <row r="7" spans="1:13" x14ac:dyDescent="0.35">
      <c r="A7" s="7" t="str">
        <f t="shared" si="0"/>
        <v>109534B857</v>
      </c>
      <c r="B7" s="7" t="s">
        <v>23</v>
      </c>
      <c r="C7" s="7" t="s">
        <v>3131</v>
      </c>
      <c r="D7" s="7" t="s">
        <v>959</v>
      </c>
      <c r="E7" s="7" t="s">
        <v>3133</v>
      </c>
      <c r="F7" s="7">
        <v>109534</v>
      </c>
      <c r="G7" s="7" t="s">
        <v>6</v>
      </c>
      <c r="H7" s="7" t="s">
        <v>1262</v>
      </c>
      <c r="I7" s="7" t="s">
        <v>1276</v>
      </c>
      <c r="J7" s="29">
        <v>2</v>
      </c>
      <c r="K7" s="29">
        <v>0</v>
      </c>
      <c r="L7" s="29">
        <v>0</v>
      </c>
      <c r="M7" s="29">
        <v>0</v>
      </c>
    </row>
    <row r="8" spans="1:13" x14ac:dyDescent="0.35">
      <c r="A8" s="7" t="str">
        <f t="shared" si="0"/>
        <v>109534B864</v>
      </c>
      <c r="B8" s="7" t="s">
        <v>10</v>
      </c>
      <c r="C8" s="7" t="s">
        <v>3134</v>
      </c>
      <c r="D8" s="7" t="s">
        <v>1011</v>
      </c>
      <c r="E8" s="7" t="s">
        <v>3135</v>
      </c>
      <c r="F8" s="7">
        <v>109534</v>
      </c>
      <c r="G8" s="7" t="s">
        <v>6</v>
      </c>
      <c r="H8" s="7" t="s">
        <v>1262</v>
      </c>
      <c r="I8" s="7" t="s">
        <v>1276</v>
      </c>
      <c r="J8" s="29">
        <v>5</v>
      </c>
      <c r="K8" s="29">
        <v>0</v>
      </c>
      <c r="L8" s="29">
        <v>0</v>
      </c>
      <c r="M8" s="29">
        <v>0</v>
      </c>
    </row>
    <row r="9" spans="1:13" x14ac:dyDescent="0.35">
      <c r="A9" s="7" t="str">
        <f t="shared" si="0"/>
        <v>109534B865</v>
      </c>
      <c r="B9" s="7" t="s">
        <v>7</v>
      </c>
      <c r="C9" s="7" t="s">
        <v>3139</v>
      </c>
      <c r="D9" s="7" t="s">
        <v>1177</v>
      </c>
      <c r="E9" s="7" t="s">
        <v>1177</v>
      </c>
      <c r="F9" s="7">
        <v>109534</v>
      </c>
      <c r="G9" s="7" t="s">
        <v>6</v>
      </c>
      <c r="H9" s="7" t="s">
        <v>1262</v>
      </c>
      <c r="I9" s="7" t="s">
        <v>1177</v>
      </c>
      <c r="J9" s="29">
        <v>0</v>
      </c>
      <c r="K9" s="29">
        <v>2</v>
      </c>
      <c r="L9" s="29">
        <v>0</v>
      </c>
      <c r="M9" s="29">
        <v>0</v>
      </c>
    </row>
    <row r="10" spans="1:13" x14ac:dyDescent="0.35">
      <c r="A10" s="7" t="str">
        <f t="shared" si="0"/>
        <v>109534B867</v>
      </c>
      <c r="B10" s="7" t="s">
        <v>25</v>
      </c>
      <c r="C10" s="7" t="s">
        <v>3131</v>
      </c>
      <c r="D10" s="7" t="s">
        <v>1060</v>
      </c>
      <c r="E10" s="7" t="s">
        <v>3136</v>
      </c>
      <c r="F10" s="7">
        <v>109534</v>
      </c>
      <c r="G10" s="7" t="s">
        <v>6</v>
      </c>
      <c r="H10" s="7" t="s">
        <v>1262</v>
      </c>
      <c r="I10" s="7" t="s">
        <v>1276</v>
      </c>
      <c r="J10" s="29">
        <v>2</v>
      </c>
      <c r="K10" s="29">
        <v>0</v>
      </c>
      <c r="L10" s="29">
        <v>0</v>
      </c>
      <c r="M10" s="29">
        <v>0</v>
      </c>
    </row>
    <row r="11" spans="1:13" x14ac:dyDescent="0.35">
      <c r="A11" s="7" t="str">
        <f t="shared" si="0"/>
        <v>GP127960B825</v>
      </c>
      <c r="B11" s="7" t="s">
        <v>16</v>
      </c>
      <c r="C11" s="7" t="s">
        <v>3127</v>
      </c>
      <c r="D11" s="7" t="s">
        <v>512</v>
      </c>
      <c r="E11" s="7" t="s">
        <v>3128</v>
      </c>
      <c r="F11" s="7" t="s">
        <v>60</v>
      </c>
      <c r="G11" s="7" t="s">
        <v>61</v>
      </c>
      <c r="H11" s="7" t="s">
        <v>1262</v>
      </c>
      <c r="I11" s="7" t="s">
        <v>2591</v>
      </c>
      <c r="J11" s="29">
        <v>2</v>
      </c>
      <c r="K11" s="29">
        <v>0</v>
      </c>
      <c r="L11" s="29">
        <v>0</v>
      </c>
      <c r="M11" s="29">
        <v>0</v>
      </c>
    </row>
    <row r="12" spans="1:13" x14ac:dyDescent="0.35">
      <c r="A12" s="7" t="str">
        <f t="shared" si="0"/>
        <v>GP127960B825</v>
      </c>
      <c r="B12" s="7" t="s">
        <v>16</v>
      </c>
      <c r="C12" s="7" t="s">
        <v>3127</v>
      </c>
      <c r="D12" s="7" t="s">
        <v>512</v>
      </c>
      <c r="E12" s="7" t="s">
        <v>3128</v>
      </c>
      <c r="F12" s="7" t="s">
        <v>60</v>
      </c>
      <c r="G12" s="7" t="s">
        <v>61</v>
      </c>
      <c r="H12" s="7" t="s">
        <v>1262</v>
      </c>
      <c r="I12" s="7" t="s">
        <v>1276</v>
      </c>
      <c r="J12" s="29">
        <v>8</v>
      </c>
      <c r="K12" s="29">
        <v>0</v>
      </c>
      <c r="L12" s="29">
        <v>0</v>
      </c>
      <c r="M12" s="29">
        <v>0</v>
      </c>
    </row>
    <row r="13" spans="1:13" x14ac:dyDescent="0.35">
      <c r="A13" s="7" t="str">
        <f t="shared" si="0"/>
        <v>GP127960B832</v>
      </c>
      <c r="B13" s="7" t="s">
        <v>19</v>
      </c>
      <c r="C13" s="7" t="s">
        <v>3125</v>
      </c>
      <c r="D13" s="7" t="s">
        <v>654</v>
      </c>
      <c r="E13" s="7" t="s">
        <v>3126</v>
      </c>
      <c r="F13" s="7" t="s">
        <v>60</v>
      </c>
      <c r="G13" s="7" t="s">
        <v>61</v>
      </c>
      <c r="H13" s="7" t="s">
        <v>1262</v>
      </c>
      <c r="I13" s="7" t="s">
        <v>2591</v>
      </c>
      <c r="J13" s="29">
        <v>1</v>
      </c>
      <c r="K13" s="29">
        <v>0</v>
      </c>
      <c r="L13" s="29">
        <v>0</v>
      </c>
      <c r="M13" s="29">
        <v>0</v>
      </c>
    </row>
    <row r="14" spans="1:13" x14ac:dyDescent="0.35">
      <c r="A14" s="7" t="str">
        <f t="shared" si="0"/>
        <v>GP127960B833</v>
      </c>
      <c r="B14" s="7" t="s">
        <v>697</v>
      </c>
      <c r="C14" s="7" t="s">
        <v>3129</v>
      </c>
      <c r="D14" s="7" t="s">
        <v>699</v>
      </c>
      <c r="E14" s="7" t="s">
        <v>3130</v>
      </c>
      <c r="F14" s="7" t="s">
        <v>60</v>
      </c>
      <c r="G14" s="7" t="s">
        <v>61</v>
      </c>
      <c r="H14" s="7" t="s">
        <v>1262</v>
      </c>
      <c r="I14" s="7" t="s">
        <v>1276</v>
      </c>
      <c r="J14" s="29">
        <v>2</v>
      </c>
      <c r="K14" s="29">
        <v>0</v>
      </c>
      <c r="L14" s="29">
        <v>0</v>
      </c>
      <c r="M14" s="29">
        <v>0</v>
      </c>
    </row>
    <row r="15" spans="1:13" x14ac:dyDescent="0.35">
      <c r="A15" s="7" t="str">
        <f t="shared" si="0"/>
        <v>GP127960B838</v>
      </c>
      <c r="B15" s="7" t="s">
        <v>48</v>
      </c>
      <c r="C15" s="7" t="s">
        <v>3137</v>
      </c>
      <c r="D15" s="7" t="s">
        <v>745</v>
      </c>
      <c r="E15" s="7" t="s">
        <v>3138</v>
      </c>
      <c r="F15" s="7" t="s">
        <v>60</v>
      </c>
      <c r="G15" s="7" t="s">
        <v>61</v>
      </c>
      <c r="H15" s="7" t="s">
        <v>1262</v>
      </c>
      <c r="I15" s="7" t="s">
        <v>2591</v>
      </c>
      <c r="J15" s="29">
        <v>1</v>
      </c>
      <c r="K15" s="29">
        <v>0</v>
      </c>
      <c r="L15" s="29">
        <v>0</v>
      </c>
      <c r="M15" s="29">
        <v>0</v>
      </c>
    </row>
    <row r="16" spans="1:13" x14ac:dyDescent="0.35">
      <c r="A16" s="7" t="str">
        <f t="shared" si="0"/>
        <v>GP127960B856</v>
      </c>
      <c r="B16" s="7" t="s">
        <v>21</v>
      </c>
      <c r="C16" s="7" t="s">
        <v>3131</v>
      </c>
      <c r="D16" s="7" t="s">
        <v>853</v>
      </c>
      <c r="E16" s="7" t="s">
        <v>3132</v>
      </c>
      <c r="F16" s="7" t="s">
        <v>60</v>
      </c>
      <c r="G16" s="7" t="s">
        <v>61</v>
      </c>
      <c r="H16" s="7" t="s">
        <v>1262</v>
      </c>
      <c r="I16" s="7" t="s">
        <v>1276</v>
      </c>
      <c r="J16" s="29">
        <v>2</v>
      </c>
      <c r="K16" s="29">
        <v>0</v>
      </c>
      <c r="L16" s="29">
        <v>0</v>
      </c>
      <c r="M16" s="29">
        <v>0</v>
      </c>
    </row>
    <row r="17" spans="1:13" x14ac:dyDescent="0.35">
      <c r="A17" s="7" t="str">
        <f t="shared" si="0"/>
        <v>GP127960B857</v>
      </c>
      <c r="B17" s="7" t="s">
        <v>23</v>
      </c>
      <c r="C17" s="7" t="s">
        <v>3131</v>
      </c>
      <c r="D17" s="7" t="s">
        <v>959</v>
      </c>
      <c r="E17" s="7" t="s">
        <v>3133</v>
      </c>
      <c r="F17" s="7" t="s">
        <v>60</v>
      </c>
      <c r="G17" s="7" t="s">
        <v>61</v>
      </c>
      <c r="H17" s="7" t="s">
        <v>1262</v>
      </c>
      <c r="I17" s="7" t="s">
        <v>1276</v>
      </c>
      <c r="J17" s="29">
        <v>3</v>
      </c>
      <c r="K17" s="29">
        <v>0</v>
      </c>
      <c r="L17" s="29">
        <v>0</v>
      </c>
      <c r="M17" s="29">
        <v>0</v>
      </c>
    </row>
    <row r="18" spans="1:13" x14ac:dyDescent="0.35">
      <c r="A18" s="7" t="str">
        <f t="shared" si="0"/>
        <v>GP127960B864</v>
      </c>
      <c r="B18" s="7" t="s">
        <v>10</v>
      </c>
      <c r="C18" s="7" t="s">
        <v>3134</v>
      </c>
      <c r="D18" s="7" t="s">
        <v>1011</v>
      </c>
      <c r="E18" s="7" t="s">
        <v>3135</v>
      </c>
      <c r="F18" s="7" t="s">
        <v>60</v>
      </c>
      <c r="G18" s="7" t="s">
        <v>61</v>
      </c>
      <c r="H18" s="7" t="s">
        <v>1262</v>
      </c>
      <c r="I18" s="7" t="s">
        <v>2591</v>
      </c>
      <c r="J18" s="29">
        <v>0</v>
      </c>
      <c r="K18" s="29">
        <v>0</v>
      </c>
      <c r="L18" s="29">
        <v>0</v>
      </c>
      <c r="M18" s="29">
        <v>0</v>
      </c>
    </row>
    <row r="19" spans="1:13" x14ac:dyDescent="0.35">
      <c r="A19" s="7" t="str">
        <f t="shared" si="0"/>
        <v>GP127960B864</v>
      </c>
      <c r="B19" s="7" t="s">
        <v>10</v>
      </c>
      <c r="C19" s="7" t="s">
        <v>3134</v>
      </c>
      <c r="D19" s="7" t="s">
        <v>1011</v>
      </c>
      <c r="E19" s="7" t="s">
        <v>3135</v>
      </c>
      <c r="F19" s="7" t="s">
        <v>60</v>
      </c>
      <c r="G19" s="7" t="s">
        <v>61</v>
      </c>
      <c r="H19" s="7" t="s">
        <v>1262</v>
      </c>
      <c r="I19" s="7" t="s">
        <v>1276</v>
      </c>
      <c r="J19" s="29">
        <v>2</v>
      </c>
      <c r="K19" s="29">
        <v>0</v>
      </c>
      <c r="L19" s="29">
        <v>0</v>
      </c>
      <c r="M19" s="29">
        <v>0</v>
      </c>
    </row>
    <row r="20" spans="1:13" x14ac:dyDescent="0.35">
      <c r="A20" s="7" t="str">
        <f t="shared" si="0"/>
        <v>GP127960B865</v>
      </c>
      <c r="B20" s="7" t="s">
        <v>7</v>
      </c>
      <c r="C20" s="7" t="s">
        <v>3139</v>
      </c>
      <c r="D20" s="7" t="s">
        <v>1177</v>
      </c>
      <c r="E20" s="7" t="s">
        <v>1177</v>
      </c>
      <c r="F20" s="7" t="s">
        <v>60</v>
      </c>
      <c r="G20" s="7" t="s">
        <v>61</v>
      </c>
      <c r="H20" s="7" t="s">
        <v>1262</v>
      </c>
      <c r="I20" s="7" t="s">
        <v>1177</v>
      </c>
      <c r="J20" s="29">
        <v>0</v>
      </c>
      <c r="K20" s="29">
        <v>1</v>
      </c>
      <c r="L20" s="29">
        <v>0</v>
      </c>
      <c r="M20" s="29">
        <v>0</v>
      </c>
    </row>
    <row r="21" spans="1:13" x14ac:dyDescent="0.35">
      <c r="A21" s="7" t="str">
        <f t="shared" si="0"/>
        <v>GP127960B865</v>
      </c>
      <c r="B21" s="7" t="s">
        <v>7</v>
      </c>
      <c r="C21" s="7" t="s">
        <v>3139</v>
      </c>
      <c r="D21" s="7" t="s">
        <v>1040</v>
      </c>
      <c r="E21" s="7" t="s">
        <v>3140</v>
      </c>
      <c r="F21" s="7" t="s">
        <v>60</v>
      </c>
      <c r="G21" s="7" t="s">
        <v>61</v>
      </c>
      <c r="H21" s="7" t="s">
        <v>1262</v>
      </c>
      <c r="I21" s="7" t="s">
        <v>1276</v>
      </c>
      <c r="J21" s="29">
        <v>4</v>
      </c>
      <c r="K21" s="29">
        <v>0</v>
      </c>
      <c r="L21" s="29">
        <v>0</v>
      </c>
      <c r="M21" s="29">
        <v>0</v>
      </c>
    </row>
    <row r="22" spans="1:13" x14ac:dyDescent="0.35">
      <c r="A22" s="7" t="str">
        <f t="shared" si="0"/>
        <v>GP127960B867</v>
      </c>
      <c r="B22" s="7" t="s">
        <v>25</v>
      </c>
      <c r="C22" s="7" t="s">
        <v>3131</v>
      </c>
      <c r="D22" s="7" t="s">
        <v>1060</v>
      </c>
      <c r="E22" s="7" t="s">
        <v>3136</v>
      </c>
      <c r="F22" s="7" t="s">
        <v>60</v>
      </c>
      <c r="G22" s="7" t="s">
        <v>61</v>
      </c>
      <c r="H22" s="7" t="s">
        <v>1262</v>
      </c>
      <c r="I22" s="7" t="s">
        <v>2591</v>
      </c>
      <c r="J22" s="29">
        <v>1</v>
      </c>
      <c r="K22" s="29">
        <v>0</v>
      </c>
      <c r="L22" s="29">
        <v>0</v>
      </c>
      <c r="M22" s="29">
        <v>0</v>
      </c>
    </row>
    <row r="23" spans="1:13" x14ac:dyDescent="0.35">
      <c r="A23" s="7" t="str">
        <f t="shared" si="0"/>
        <v>GP127960B867</v>
      </c>
      <c r="B23" s="7" t="s">
        <v>25</v>
      </c>
      <c r="C23" s="7" t="s">
        <v>3131</v>
      </c>
      <c r="D23" s="7" t="s">
        <v>1060</v>
      </c>
      <c r="E23" s="7" t="s">
        <v>3136</v>
      </c>
      <c r="F23" s="7" t="s">
        <v>60</v>
      </c>
      <c r="G23" s="7" t="s">
        <v>61</v>
      </c>
      <c r="H23" s="7" t="s">
        <v>1262</v>
      </c>
      <c r="I23" s="7" t="s">
        <v>1276</v>
      </c>
      <c r="J23" s="29">
        <v>2</v>
      </c>
      <c r="K23" s="29">
        <v>0</v>
      </c>
      <c r="L23" s="29">
        <v>0</v>
      </c>
      <c r="M23" s="29">
        <v>0</v>
      </c>
    </row>
    <row r="24" spans="1:13" x14ac:dyDescent="0.35">
      <c r="A24" s="7" t="str">
        <f t="shared" si="0"/>
        <v>GP131157B825</v>
      </c>
      <c r="B24" s="7" t="s">
        <v>16</v>
      </c>
      <c r="C24" s="7" t="s">
        <v>3127</v>
      </c>
      <c r="D24" s="7" t="s">
        <v>1177</v>
      </c>
      <c r="E24" s="7" t="s">
        <v>1177</v>
      </c>
      <c r="F24" s="7" t="s">
        <v>62</v>
      </c>
      <c r="G24" s="7" t="s">
        <v>63</v>
      </c>
      <c r="H24" s="7" t="s">
        <v>1262</v>
      </c>
      <c r="I24" s="7" t="s">
        <v>1177</v>
      </c>
      <c r="J24" s="29">
        <v>0</v>
      </c>
      <c r="K24" s="29">
        <v>4000</v>
      </c>
      <c r="L24" s="29">
        <v>0</v>
      </c>
      <c r="M24" s="29">
        <v>0</v>
      </c>
    </row>
    <row r="25" spans="1:13" x14ac:dyDescent="0.35">
      <c r="A25" s="7" t="str">
        <f t="shared" si="0"/>
        <v>GP131157B825</v>
      </c>
      <c r="B25" s="7" t="s">
        <v>16</v>
      </c>
      <c r="C25" s="7" t="s">
        <v>3127</v>
      </c>
      <c r="D25" s="7" t="s">
        <v>512</v>
      </c>
      <c r="E25" s="7" t="s">
        <v>3128</v>
      </c>
      <c r="F25" s="7" t="s">
        <v>62</v>
      </c>
      <c r="G25" s="7" t="s">
        <v>63</v>
      </c>
      <c r="H25" s="7" t="s">
        <v>1262</v>
      </c>
      <c r="I25" s="7" t="s">
        <v>1177</v>
      </c>
      <c r="J25" s="30">
        <v>1946.9</v>
      </c>
      <c r="K25" s="29">
        <v>0</v>
      </c>
      <c r="L25" s="29">
        <v>0</v>
      </c>
      <c r="M25" s="29">
        <v>0</v>
      </c>
    </row>
    <row r="26" spans="1:13" x14ac:dyDescent="0.35">
      <c r="A26" s="7" t="str">
        <f t="shared" si="0"/>
        <v>GP131157B832</v>
      </c>
      <c r="B26" s="7" t="s">
        <v>19</v>
      </c>
      <c r="C26" s="7" t="s">
        <v>3125</v>
      </c>
      <c r="D26" s="7" t="s">
        <v>1177</v>
      </c>
      <c r="E26" s="7" t="s">
        <v>1177</v>
      </c>
      <c r="F26" s="7" t="s">
        <v>62</v>
      </c>
      <c r="G26" s="7" t="s">
        <v>63</v>
      </c>
      <c r="H26" s="7" t="s">
        <v>1262</v>
      </c>
      <c r="I26" s="7" t="s">
        <v>1177</v>
      </c>
      <c r="J26" s="29">
        <v>0</v>
      </c>
      <c r="K26" s="29">
        <v>25</v>
      </c>
      <c r="L26" s="29">
        <v>0</v>
      </c>
      <c r="M26" s="29">
        <v>0</v>
      </c>
    </row>
    <row r="27" spans="1:13" x14ac:dyDescent="0.35">
      <c r="A27" s="7" t="str">
        <f t="shared" si="0"/>
        <v>GP131157B832</v>
      </c>
      <c r="B27" s="7" t="s">
        <v>19</v>
      </c>
      <c r="C27" s="7" t="s">
        <v>3125</v>
      </c>
      <c r="D27" s="7" t="s">
        <v>654</v>
      </c>
      <c r="E27" s="7" t="s">
        <v>3126</v>
      </c>
      <c r="F27" s="7" t="s">
        <v>62</v>
      </c>
      <c r="G27" s="7" t="s">
        <v>63</v>
      </c>
      <c r="H27" s="7" t="s">
        <v>1262</v>
      </c>
      <c r="I27" s="7" t="s">
        <v>1177</v>
      </c>
      <c r="J27" s="29">
        <v>82</v>
      </c>
      <c r="K27" s="29">
        <v>0</v>
      </c>
      <c r="L27" s="29">
        <v>0</v>
      </c>
      <c r="M27" s="29">
        <v>0</v>
      </c>
    </row>
    <row r="28" spans="1:13" x14ac:dyDescent="0.35">
      <c r="A28" s="7" t="str">
        <f t="shared" si="0"/>
        <v>GP131157B833</v>
      </c>
      <c r="B28" s="7" t="s">
        <v>697</v>
      </c>
      <c r="C28" s="7" t="s">
        <v>3129</v>
      </c>
      <c r="D28" s="7" t="s">
        <v>699</v>
      </c>
      <c r="E28" s="7" t="s">
        <v>3130</v>
      </c>
      <c r="F28" s="7" t="s">
        <v>62</v>
      </c>
      <c r="G28" s="7" t="s">
        <v>63</v>
      </c>
      <c r="H28" s="7" t="s">
        <v>1262</v>
      </c>
      <c r="I28" s="7" t="s">
        <v>1177</v>
      </c>
      <c r="J28" s="30">
        <v>0.5</v>
      </c>
      <c r="K28" s="29">
        <v>0</v>
      </c>
      <c r="L28" s="29">
        <v>0</v>
      </c>
      <c r="M28" s="29">
        <v>0</v>
      </c>
    </row>
    <row r="29" spans="1:13" x14ac:dyDescent="0.35">
      <c r="A29" s="7" t="str">
        <f t="shared" si="0"/>
        <v>GP131157B838</v>
      </c>
      <c r="B29" s="7" t="s">
        <v>48</v>
      </c>
      <c r="C29" s="7" t="s">
        <v>3137</v>
      </c>
      <c r="D29" s="7" t="s">
        <v>745</v>
      </c>
      <c r="E29" s="7" t="s">
        <v>3138</v>
      </c>
      <c r="F29" s="7" t="s">
        <v>62</v>
      </c>
      <c r="G29" s="7" t="s">
        <v>63</v>
      </c>
      <c r="H29" s="7" t="s">
        <v>1262</v>
      </c>
      <c r="I29" s="7" t="s">
        <v>1177</v>
      </c>
      <c r="J29" s="30">
        <v>0.8</v>
      </c>
      <c r="K29" s="29">
        <v>0</v>
      </c>
      <c r="L29" s="29">
        <v>0</v>
      </c>
      <c r="M29" s="29">
        <v>0</v>
      </c>
    </row>
    <row r="30" spans="1:13" x14ac:dyDescent="0.35">
      <c r="A30" s="7" t="str">
        <f t="shared" si="0"/>
        <v>GP131157B856</v>
      </c>
      <c r="B30" s="7" t="s">
        <v>21</v>
      </c>
      <c r="C30" s="7" t="s">
        <v>3131</v>
      </c>
      <c r="D30" s="7" t="s">
        <v>853</v>
      </c>
      <c r="E30" s="7" t="s">
        <v>3132</v>
      </c>
      <c r="F30" s="7" t="s">
        <v>62</v>
      </c>
      <c r="G30" s="7" t="s">
        <v>63</v>
      </c>
      <c r="H30" s="7" t="s">
        <v>1262</v>
      </c>
      <c r="I30" s="7" t="s">
        <v>1177</v>
      </c>
      <c r="J30" s="30">
        <v>402.7</v>
      </c>
      <c r="K30" s="29">
        <v>0</v>
      </c>
      <c r="L30" s="29">
        <v>0</v>
      </c>
      <c r="M30" s="29">
        <v>0</v>
      </c>
    </row>
    <row r="31" spans="1:13" x14ac:dyDescent="0.35">
      <c r="A31" s="7" t="str">
        <f t="shared" si="0"/>
        <v>GP131157B857</v>
      </c>
      <c r="B31" s="7" t="s">
        <v>23</v>
      </c>
      <c r="C31" s="7" t="s">
        <v>3131</v>
      </c>
      <c r="D31" s="7" t="s">
        <v>1177</v>
      </c>
      <c r="E31" s="7" t="s">
        <v>1177</v>
      </c>
      <c r="F31" s="7" t="s">
        <v>62</v>
      </c>
      <c r="G31" s="7" t="s">
        <v>63</v>
      </c>
      <c r="H31" s="7" t="s">
        <v>1262</v>
      </c>
      <c r="I31" s="7" t="s">
        <v>1177</v>
      </c>
      <c r="J31" s="29">
        <v>0</v>
      </c>
      <c r="K31" s="29">
        <v>50</v>
      </c>
      <c r="L31" s="29">
        <v>0</v>
      </c>
      <c r="M31" s="29">
        <v>0</v>
      </c>
    </row>
    <row r="32" spans="1:13" x14ac:dyDescent="0.35">
      <c r="A32" s="7" t="str">
        <f t="shared" si="0"/>
        <v>GP131157B857</v>
      </c>
      <c r="B32" s="7" t="s">
        <v>23</v>
      </c>
      <c r="C32" s="7" t="s">
        <v>3131</v>
      </c>
      <c r="D32" s="7" t="s">
        <v>959</v>
      </c>
      <c r="E32" s="7" t="s">
        <v>3133</v>
      </c>
      <c r="F32" s="7" t="s">
        <v>62</v>
      </c>
      <c r="G32" s="7" t="s">
        <v>63</v>
      </c>
      <c r="H32" s="7" t="s">
        <v>1262</v>
      </c>
      <c r="I32" s="7" t="s">
        <v>1177</v>
      </c>
      <c r="J32" s="30">
        <v>381.8</v>
      </c>
      <c r="K32" s="29">
        <v>0</v>
      </c>
      <c r="L32" s="29">
        <v>0</v>
      </c>
      <c r="M32" s="29">
        <v>0</v>
      </c>
    </row>
    <row r="33" spans="1:13" x14ac:dyDescent="0.35">
      <c r="A33" s="7" t="str">
        <f t="shared" si="0"/>
        <v>GP131157B864</v>
      </c>
      <c r="B33" s="7" t="s">
        <v>10</v>
      </c>
      <c r="C33" s="7" t="s">
        <v>3134</v>
      </c>
      <c r="D33" s="7" t="s">
        <v>1011</v>
      </c>
      <c r="E33" s="7" t="s">
        <v>3135</v>
      </c>
      <c r="F33" s="7" t="s">
        <v>62</v>
      </c>
      <c r="G33" s="7" t="s">
        <v>63</v>
      </c>
      <c r="H33" s="7" t="s">
        <v>1262</v>
      </c>
      <c r="I33" s="7" t="s">
        <v>1177</v>
      </c>
      <c r="J33" s="29">
        <v>304</v>
      </c>
      <c r="K33" s="29">
        <v>0</v>
      </c>
      <c r="L33" s="29">
        <v>0</v>
      </c>
      <c r="M33" s="29">
        <v>0</v>
      </c>
    </row>
    <row r="34" spans="1:13" x14ac:dyDescent="0.35">
      <c r="A34" s="7" t="str">
        <f t="shared" si="0"/>
        <v>GP131157B865</v>
      </c>
      <c r="B34" s="7" t="s">
        <v>7</v>
      </c>
      <c r="C34" s="7" t="s">
        <v>3139</v>
      </c>
      <c r="D34" s="7" t="s">
        <v>1177</v>
      </c>
      <c r="E34" s="7" t="s">
        <v>1177</v>
      </c>
      <c r="F34" s="7" t="s">
        <v>62</v>
      </c>
      <c r="G34" s="7" t="s">
        <v>63</v>
      </c>
      <c r="H34" s="7" t="s">
        <v>1262</v>
      </c>
      <c r="I34" s="7" t="s">
        <v>1177</v>
      </c>
      <c r="J34" s="29">
        <v>0</v>
      </c>
      <c r="K34" s="29">
        <v>400</v>
      </c>
      <c r="L34" s="29">
        <v>0</v>
      </c>
      <c r="M34" s="29">
        <v>0</v>
      </c>
    </row>
    <row r="35" spans="1:13" x14ac:dyDescent="0.35">
      <c r="A35" s="7" t="str">
        <f t="shared" si="0"/>
        <v>GP131157B865</v>
      </c>
      <c r="B35" s="7" t="s">
        <v>7</v>
      </c>
      <c r="C35" s="7" t="s">
        <v>3139</v>
      </c>
      <c r="D35" s="7" t="s">
        <v>1040</v>
      </c>
      <c r="E35" s="7" t="s">
        <v>3140</v>
      </c>
      <c r="F35" s="7" t="s">
        <v>62</v>
      </c>
      <c r="G35" s="7" t="s">
        <v>63</v>
      </c>
      <c r="H35" s="7" t="s">
        <v>1262</v>
      </c>
      <c r="I35" s="7" t="s">
        <v>1177</v>
      </c>
      <c r="J35" s="29">
        <v>0</v>
      </c>
      <c r="K35" s="29">
        <v>0</v>
      </c>
      <c r="L35" s="29">
        <v>0</v>
      </c>
      <c r="M35" s="29">
        <v>0</v>
      </c>
    </row>
    <row r="36" spans="1:13" x14ac:dyDescent="0.35">
      <c r="A36" s="7" t="str">
        <f t="shared" si="0"/>
        <v>GP131157B867</v>
      </c>
      <c r="B36" s="7" t="s">
        <v>25</v>
      </c>
      <c r="C36" s="7" t="s">
        <v>3131</v>
      </c>
      <c r="D36" s="7" t="s">
        <v>1177</v>
      </c>
      <c r="E36" s="7" t="s">
        <v>1177</v>
      </c>
      <c r="F36" s="7" t="s">
        <v>62</v>
      </c>
      <c r="G36" s="7" t="s">
        <v>63</v>
      </c>
      <c r="H36" s="7" t="s">
        <v>1262</v>
      </c>
      <c r="I36" s="7" t="s">
        <v>1177</v>
      </c>
      <c r="J36" s="29">
        <v>0</v>
      </c>
      <c r="K36" s="29">
        <v>1225</v>
      </c>
      <c r="L36" s="29">
        <v>0</v>
      </c>
      <c r="M36" s="29">
        <v>0</v>
      </c>
    </row>
    <row r="37" spans="1:13" x14ac:dyDescent="0.35">
      <c r="A37" s="7" t="str">
        <f t="shared" si="0"/>
        <v>GP131157B867</v>
      </c>
      <c r="B37" s="7" t="s">
        <v>25</v>
      </c>
      <c r="C37" s="7" t="s">
        <v>3131</v>
      </c>
      <c r="D37" s="7" t="s">
        <v>1060</v>
      </c>
      <c r="E37" s="7" t="s">
        <v>3136</v>
      </c>
      <c r="F37" s="7" t="s">
        <v>62</v>
      </c>
      <c r="G37" s="7" t="s">
        <v>63</v>
      </c>
      <c r="H37" s="7" t="s">
        <v>1262</v>
      </c>
      <c r="I37" s="7" t="s">
        <v>1177</v>
      </c>
      <c r="J37" s="30">
        <v>0.1</v>
      </c>
      <c r="K37" s="29">
        <v>0</v>
      </c>
      <c r="L37" s="29">
        <v>0</v>
      </c>
      <c r="M37" s="29">
        <v>0</v>
      </c>
    </row>
    <row r="38" spans="1:13" x14ac:dyDescent="0.35">
      <c r="A38" s="7" t="str">
        <f t="shared" si="0"/>
        <v>GP241858B825</v>
      </c>
      <c r="B38" s="7" t="s">
        <v>16</v>
      </c>
      <c r="C38" s="7" t="s">
        <v>3127</v>
      </c>
      <c r="D38" s="7" t="s">
        <v>1177</v>
      </c>
      <c r="E38" s="7" t="s">
        <v>1177</v>
      </c>
      <c r="F38" s="7" t="s">
        <v>70</v>
      </c>
      <c r="G38" s="7" t="s">
        <v>71</v>
      </c>
      <c r="H38" s="7" t="s">
        <v>1262</v>
      </c>
      <c r="I38" s="7" t="s">
        <v>1177</v>
      </c>
      <c r="J38" s="29">
        <v>0</v>
      </c>
      <c r="K38" s="29">
        <v>11</v>
      </c>
      <c r="L38" s="29">
        <v>0</v>
      </c>
      <c r="M38" s="29">
        <v>0</v>
      </c>
    </row>
    <row r="39" spans="1:13" x14ac:dyDescent="0.35">
      <c r="A39" s="7" t="str">
        <f t="shared" si="0"/>
        <v>GP241858B825</v>
      </c>
      <c r="B39" s="7" t="s">
        <v>16</v>
      </c>
      <c r="C39" s="7" t="s">
        <v>3127</v>
      </c>
      <c r="D39" s="7" t="s">
        <v>512</v>
      </c>
      <c r="E39" s="7" t="s">
        <v>3128</v>
      </c>
      <c r="F39" s="7" t="s">
        <v>70</v>
      </c>
      <c r="G39" s="7" t="s">
        <v>71</v>
      </c>
      <c r="H39" s="7" t="s">
        <v>1262</v>
      </c>
      <c r="I39" s="7" t="s">
        <v>1276</v>
      </c>
      <c r="J39" s="29">
        <v>8</v>
      </c>
      <c r="K39" s="29">
        <v>0</v>
      </c>
      <c r="L39" s="29">
        <v>0</v>
      </c>
      <c r="M39" s="29">
        <v>0</v>
      </c>
    </row>
    <row r="40" spans="1:13" x14ac:dyDescent="0.35">
      <c r="A40" s="7" t="str">
        <f t="shared" si="0"/>
        <v>GP241858B832</v>
      </c>
      <c r="B40" s="7" t="s">
        <v>19</v>
      </c>
      <c r="C40" s="7" t="s">
        <v>3125</v>
      </c>
      <c r="D40" s="7" t="s">
        <v>654</v>
      </c>
      <c r="E40" s="7" t="s">
        <v>3126</v>
      </c>
      <c r="F40" s="7" t="s">
        <v>70</v>
      </c>
      <c r="G40" s="7" t="s">
        <v>71</v>
      </c>
      <c r="H40" s="7" t="s">
        <v>1262</v>
      </c>
      <c r="I40" s="7" t="s">
        <v>1276</v>
      </c>
      <c r="J40" s="29">
        <v>2</v>
      </c>
      <c r="K40" s="29">
        <v>0</v>
      </c>
      <c r="L40" s="29">
        <v>0</v>
      </c>
      <c r="M40" s="29">
        <v>0</v>
      </c>
    </row>
    <row r="41" spans="1:13" x14ac:dyDescent="0.35">
      <c r="A41" s="7" t="str">
        <f t="shared" si="0"/>
        <v>GP241858B833</v>
      </c>
      <c r="B41" s="7" t="s">
        <v>697</v>
      </c>
      <c r="C41" s="7" t="s">
        <v>3129</v>
      </c>
      <c r="D41" s="7" t="s">
        <v>699</v>
      </c>
      <c r="E41" s="7" t="s">
        <v>3130</v>
      </c>
      <c r="F41" s="7" t="s">
        <v>70</v>
      </c>
      <c r="G41" s="7" t="s">
        <v>71</v>
      </c>
      <c r="H41" s="7" t="s">
        <v>1262</v>
      </c>
      <c r="I41" s="7" t="s">
        <v>1276</v>
      </c>
      <c r="J41" s="29">
        <v>2</v>
      </c>
      <c r="K41" s="29">
        <v>0</v>
      </c>
      <c r="L41" s="29">
        <v>0</v>
      </c>
      <c r="M41" s="29">
        <v>0</v>
      </c>
    </row>
    <row r="42" spans="1:13" x14ac:dyDescent="0.35">
      <c r="A42" s="7" t="str">
        <f t="shared" si="0"/>
        <v>GP249817B825</v>
      </c>
      <c r="B42" s="7" t="s">
        <v>16</v>
      </c>
      <c r="C42" s="7" t="s">
        <v>3127</v>
      </c>
      <c r="D42" s="7" t="s">
        <v>512</v>
      </c>
      <c r="E42" s="7" t="s">
        <v>3128</v>
      </c>
      <c r="F42" s="7" t="s">
        <v>72</v>
      </c>
      <c r="G42" s="7" t="s">
        <v>73</v>
      </c>
      <c r="H42" s="7" t="s">
        <v>1262</v>
      </c>
      <c r="I42" s="7" t="s">
        <v>1276</v>
      </c>
      <c r="J42" s="29">
        <v>0</v>
      </c>
      <c r="K42" s="29">
        <v>0</v>
      </c>
      <c r="L42" s="29">
        <v>0</v>
      </c>
      <c r="M42" s="29">
        <v>0</v>
      </c>
    </row>
    <row r="43" spans="1:13" x14ac:dyDescent="0.35">
      <c r="A43" s="7" t="str">
        <f t="shared" si="0"/>
        <v>GP249817B832</v>
      </c>
      <c r="B43" s="7" t="s">
        <v>19</v>
      </c>
      <c r="C43" s="7" t="s">
        <v>3125</v>
      </c>
      <c r="D43" s="7" t="s">
        <v>654</v>
      </c>
      <c r="E43" s="7" t="s">
        <v>3126</v>
      </c>
      <c r="F43" s="7" t="s">
        <v>72</v>
      </c>
      <c r="G43" s="7" t="s">
        <v>73</v>
      </c>
      <c r="H43" s="7" t="s">
        <v>1262</v>
      </c>
      <c r="I43" s="7" t="s">
        <v>1276</v>
      </c>
      <c r="J43" s="29">
        <v>13</v>
      </c>
      <c r="K43" s="29">
        <v>0</v>
      </c>
      <c r="L43" s="29">
        <v>0</v>
      </c>
      <c r="M43" s="29">
        <v>0</v>
      </c>
    </row>
    <row r="44" spans="1:13" x14ac:dyDescent="0.35">
      <c r="A44" s="7" t="str">
        <f t="shared" si="0"/>
        <v>GP249817B838</v>
      </c>
      <c r="B44" s="7" t="s">
        <v>48</v>
      </c>
      <c r="C44" s="7" t="s">
        <v>3137</v>
      </c>
      <c r="D44" s="7" t="s">
        <v>745</v>
      </c>
      <c r="E44" s="7" t="s">
        <v>3138</v>
      </c>
      <c r="F44" s="7" t="s">
        <v>72</v>
      </c>
      <c r="G44" s="7" t="s">
        <v>73</v>
      </c>
      <c r="H44" s="7" t="s">
        <v>1262</v>
      </c>
      <c r="I44" s="7" t="s">
        <v>1276</v>
      </c>
      <c r="J44" s="29">
        <v>3</v>
      </c>
      <c r="K44" s="29">
        <v>0</v>
      </c>
      <c r="L44" s="29">
        <v>0</v>
      </c>
      <c r="M44" s="29">
        <v>0</v>
      </c>
    </row>
    <row r="45" spans="1:13" x14ac:dyDescent="0.35">
      <c r="A45" s="7" t="str">
        <f t="shared" si="0"/>
        <v>GP249817B856</v>
      </c>
      <c r="B45" s="7" t="s">
        <v>21</v>
      </c>
      <c r="C45" s="7" t="s">
        <v>3131</v>
      </c>
      <c r="D45" s="7" t="s">
        <v>853</v>
      </c>
      <c r="E45" s="7" t="s">
        <v>3132</v>
      </c>
      <c r="F45" s="7" t="s">
        <v>72</v>
      </c>
      <c r="G45" s="7" t="s">
        <v>73</v>
      </c>
      <c r="H45" s="7" t="s">
        <v>1262</v>
      </c>
      <c r="I45" s="7" t="s">
        <v>1276</v>
      </c>
      <c r="J45" s="29">
        <v>12</v>
      </c>
      <c r="K45" s="29">
        <v>0</v>
      </c>
      <c r="L45" s="29">
        <v>0</v>
      </c>
      <c r="M45" s="29">
        <v>0</v>
      </c>
    </row>
    <row r="46" spans="1:13" x14ac:dyDescent="0.35">
      <c r="A46" s="7" t="str">
        <f t="shared" si="0"/>
        <v>GP249817B857</v>
      </c>
      <c r="B46" s="7" t="s">
        <v>23</v>
      </c>
      <c r="C46" s="7" t="s">
        <v>3131</v>
      </c>
      <c r="D46" s="7" t="s">
        <v>959</v>
      </c>
      <c r="E46" s="7" t="s">
        <v>3133</v>
      </c>
      <c r="F46" s="7" t="s">
        <v>72</v>
      </c>
      <c r="G46" s="7" t="s">
        <v>73</v>
      </c>
      <c r="H46" s="7" t="s">
        <v>1262</v>
      </c>
      <c r="I46" s="7" t="s">
        <v>1276</v>
      </c>
      <c r="J46" s="29">
        <v>0</v>
      </c>
      <c r="K46" s="29">
        <v>0</v>
      </c>
      <c r="L46" s="29">
        <v>0</v>
      </c>
      <c r="M46" s="29">
        <v>0</v>
      </c>
    </row>
    <row r="47" spans="1:13" x14ac:dyDescent="0.35">
      <c r="A47" s="7" t="str">
        <f t="shared" si="0"/>
        <v>GP249817B864</v>
      </c>
      <c r="B47" s="7" t="s">
        <v>10</v>
      </c>
      <c r="C47" s="7" t="s">
        <v>3134</v>
      </c>
      <c r="D47" s="7" t="s">
        <v>1011</v>
      </c>
      <c r="E47" s="7" t="s">
        <v>3135</v>
      </c>
      <c r="F47" s="7" t="s">
        <v>72</v>
      </c>
      <c r="G47" s="7" t="s">
        <v>73</v>
      </c>
      <c r="H47" s="7" t="s">
        <v>1262</v>
      </c>
      <c r="I47" s="7" t="s">
        <v>1276</v>
      </c>
      <c r="J47" s="29">
        <v>20</v>
      </c>
      <c r="K47" s="29">
        <v>0</v>
      </c>
      <c r="L47" s="29">
        <v>0</v>
      </c>
      <c r="M47" s="29">
        <v>0</v>
      </c>
    </row>
    <row r="48" spans="1:13" x14ac:dyDescent="0.35">
      <c r="A48" s="7" t="str">
        <f t="shared" si="0"/>
        <v>GP249817B865</v>
      </c>
      <c r="B48" s="7" t="s">
        <v>7</v>
      </c>
      <c r="C48" s="7" t="s">
        <v>3139</v>
      </c>
      <c r="D48" s="7" t="s">
        <v>1177</v>
      </c>
      <c r="E48" s="7" t="s">
        <v>1177</v>
      </c>
      <c r="F48" s="7" t="s">
        <v>72</v>
      </c>
      <c r="G48" s="7" t="s">
        <v>73</v>
      </c>
      <c r="H48" s="7" t="s">
        <v>1262</v>
      </c>
      <c r="I48" s="7" t="s">
        <v>1177</v>
      </c>
      <c r="J48" s="29">
        <v>0</v>
      </c>
      <c r="K48" s="29">
        <v>26</v>
      </c>
      <c r="L48" s="29">
        <v>0</v>
      </c>
      <c r="M48" s="29">
        <v>0</v>
      </c>
    </row>
    <row r="49" spans="1:13" x14ac:dyDescent="0.35">
      <c r="A49" s="7" t="str">
        <f t="shared" si="0"/>
        <v>GP249817B865</v>
      </c>
      <c r="B49" s="7" t="s">
        <v>7</v>
      </c>
      <c r="C49" s="7" t="s">
        <v>3139</v>
      </c>
      <c r="D49" s="7" t="s">
        <v>1040</v>
      </c>
      <c r="E49" s="7" t="s">
        <v>3140</v>
      </c>
      <c r="F49" s="7" t="s">
        <v>72</v>
      </c>
      <c r="G49" s="7" t="s">
        <v>73</v>
      </c>
      <c r="H49" s="7" t="s">
        <v>1262</v>
      </c>
      <c r="I49" s="7" t="s">
        <v>1276</v>
      </c>
      <c r="J49" s="29">
        <v>3</v>
      </c>
      <c r="K49" s="29">
        <v>0</v>
      </c>
      <c r="L49" s="29">
        <v>0</v>
      </c>
      <c r="M49" s="29">
        <v>0</v>
      </c>
    </row>
    <row r="50" spans="1:13" x14ac:dyDescent="0.35">
      <c r="A50" s="7" t="str">
        <f t="shared" si="0"/>
        <v>GP249817B867</v>
      </c>
      <c r="B50" s="7" t="s">
        <v>25</v>
      </c>
      <c r="C50" s="7" t="s">
        <v>3131</v>
      </c>
      <c r="D50" s="7" t="s">
        <v>1060</v>
      </c>
      <c r="E50" s="7" t="s">
        <v>3136</v>
      </c>
      <c r="F50" s="7" t="s">
        <v>72</v>
      </c>
      <c r="G50" s="7" t="s">
        <v>73</v>
      </c>
      <c r="H50" s="7" t="s">
        <v>1262</v>
      </c>
      <c r="I50" s="7" t="s">
        <v>1276</v>
      </c>
      <c r="J50" s="29">
        <v>17</v>
      </c>
      <c r="K50" s="29">
        <v>0</v>
      </c>
      <c r="L50" s="29">
        <v>0</v>
      </c>
      <c r="M50" s="29">
        <v>0</v>
      </c>
    </row>
    <row r="51" spans="1:13" x14ac:dyDescent="0.35">
      <c r="A51" s="7" t="str">
        <f t="shared" si="0"/>
        <v>GP525859B856</v>
      </c>
      <c r="B51" s="7" t="s">
        <v>21</v>
      </c>
      <c r="C51" s="7" t="s">
        <v>3131</v>
      </c>
      <c r="D51" s="7" t="s">
        <v>853</v>
      </c>
      <c r="E51" s="7" t="s">
        <v>3132</v>
      </c>
      <c r="F51" s="7" t="s">
        <v>110</v>
      </c>
      <c r="G51" s="7" t="s">
        <v>111</v>
      </c>
      <c r="H51" s="7" t="s">
        <v>1262</v>
      </c>
      <c r="I51" s="7" t="s">
        <v>1276</v>
      </c>
      <c r="J51" s="29">
        <v>2</v>
      </c>
      <c r="K51" s="29">
        <v>0</v>
      </c>
      <c r="L51" s="29">
        <v>0</v>
      </c>
      <c r="M51" s="29">
        <v>0</v>
      </c>
    </row>
    <row r="52" spans="1:13" x14ac:dyDescent="0.35">
      <c r="A52" s="7" t="str">
        <f t="shared" si="0"/>
        <v>GP525859B857</v>
      </c>
      <c r="B52" s="7" t="s">
        <v>23</v>
      </c>
      <c r="C52" s="7" t="s">
        <v>3131</v>
      </c>
      <c r="D52" s="7" t="s">
        <v>959</v>
      </c>
      <c r="E52" s="7" t="s">
        <v>3133</v>
      </c>
      <c r="F52" s="7" t="s">
        <v>110</v>
      </c>
      <c r="G52" s="7" t="s">
        <v>111</v>
      </c>
      <c r="H52" s="7" t="s">
        <v>1262</v>
      </c>
      <c r="I52" s="7" t="s">
        <v>1276</v>
      </c>
      <c r="J52" s="29">
        <v>15</v>
      </c>
      <c r="K52" s="29">
        <v>0</v>
      </c>
      <c r="L52" s="29">
        <v>0</v>
      </c>
      <c r="M52" s="29">
        <v>0</v>
      </c>
    </row>
    <row r="53" spans="1:13" x14ac:dyDescent="0.35">
      <c r="A53" s="7" t="str">
        <f t="shared" si="0"/>
        <v>GP525859B864</v>
      </c>
      <c r="B53" s="7" t="s">
        <v>10</v>
      </c>
      <c r="C53" s="7" t="s">
        <v>3134</v>
      </c>
      <c r="D53" s="7" t="s">
        <v>1011</v>
      </c>
      <c r="E53" s="7" t="s">
        <v>3135</v>
      </c>
      <c r="F53" s="7" t="s">
        <v>110</v>
      </c>
      <c r="G53" s="7" t="s">
        <v>111</v>
      </c>
      <c r="H53" s="7" t="s">
        <v>1262</v>
      </c>
      <c r="I53" s="7" t="s">
        <v>1276</v>
      </c>
      <c r="J53" s="29">
        <v>13</v>
      </c>
      <c r="K53" s="29">
        <v>0</v>
      </c>
      <c r="L53" s="29">
        <v>0</v>
      </c>
      <c r="M53" s="29">
        <v>0</v>
      </c>
    </row>
    <row r="54" spans="1:13" x14ac:dyDescent="0.35">
      <c r="A54" s="7" t="str">
        <f t="shared" si="0"/>
        <v>GP525859B865</v>
      </c>
      <c r="B54" s="7" t="s">
        <v>7</v>
      </c>
      <c r="C54" s="7" t="s">
        <v>3139</v>
      </c>
      <c r="D54" s="7" t="s">
        <v>1040</v>
      </c>
      <c r="E54" s="7" t="s">
        <v>3140</v>
      </c>
      <c r="F54" s="7" t="s">
        <v>110</v>
      </c>
      <c r="G54" s="7" t="s">
        <v>111</v>
      </c>
      <c r="H54" s="7" t="s">
        <v>1262</v>
      </c>
      <c r="I54" s="7" t="s">
        <v>1276</v>
      </c>
      <c r="J54" s="29">
        <v>6</v>
      </c>
      <c r="K54" s="29">
        <v>0</v>
      </c>
      <c r="L54" s="29">
        <v>0</v>
      </c>
      <c r="M54" s="29">
        <v>0</v>
      </c>
    </row>
    <row r="55" spans="1:13" x14ac:dyDescent="0.35">
      <c r="A55" s="7" t="str">
        <f t="shared" si="0"/>
        <v>GP525859B867</v>
      </c>
      <c r="B55" s="7" t="s">
        <v>25</v>
      </c>
      <c r="C55" s="7" t="s">
        <v>3131</v>
      </c>
      <c r="D55" s="7" t="s">
        <v>1060</v>
      </c>
      <c r="E55" s="7" t="s">
        <v>3136</v>
      </c>
      <c r="F55" s="7" t="s">
        <v>110</v>
      </c>
      <c r="G55" s="7" t="s">
        <v>111</v>
      </c>
      <c r="H55" s="7" t="s">
        <v>1262</v>
      </c>
      <c r="I55" s="7" t="s">
        <v>1276</v>
      </c>
      <c r="J55" s="29">
        <v>0</v>
      </c>
      <c r="K55" s="29">
        <v>0</v>
      </c>
      <c r="L55" s="29">
        <v>0</v>
      </c>
      <c r="M55" s="29">
        <v>0</v>
      </c>
    </row>
    <row r="56" spans="1:13" x14ac:dyDescent="0.35">
      <c r="A56" s="7" t="str">
        <f t="shared" ref="A56:A66" si="1">_xlfn.CONCAT(F56,B56)</f>
        <v>GP004975B832</v>
      </c>
      <c r="B56" s="7" t="s">
        <v>19</v>
      </c>
      <c r="C56" s="7" t="s">
        <v>3125</v>
      </c>
      <c r="D56" s="7" t="s">
        <v>654</v>
      </c>
      <c r="E56" s="7" t="s">
        <v>3126</v>
      </c>
      <c r="F56" s="7" t="s">
        <v>32</v>
      </c>
      <c r="G56" s="7" t="s">
        <v>33</v>
      </c>
      <c r="H56" s="7" t="s">
        <v>1262</v>
      </c>
      <c r="I56" s="7" t="s">
        <v>1276</v>
      </c>
      <c r="J56" s="29">
        <v>0</v>
      </c>
      <c r="K56" s="29">
        <v>0</v>
      </c>
      <c r="L56" s="29">
        <v>0</v>
      </c>
      <c r="M56" s="29">
        <v>0</v>
      </c>
    </row>
    <row r="57" spans="1:13" x14ac:dyDescent="0.35">
      <c r="A57" s="7" t="str">
        <f t="shared" si="1"/>
        <v>GP004975B833</v>
      </c>
      <c r="B57" s="7" t="s">
        <v>697</v>
      </c>
      <c r="C57" s="7" t="s">
        <v>3129</v>
      </c>
      <c r="D57" s="7" t="s">
        <v>699</v>
      </c>
      <c r="E57" s="7" t="s">
        <v>3130</v>
      </c>
      <c r="F57" s="7" t="s">
        <v>32</v>
      </c>
      <c r="G57" s="7" t="s">
        <v>33</v>
      </c>
      <c r="H57" s="7" t="s">
        <v>1262</v>
      </c>
      <c r="I57" s="7" t="s">
        <v>1276</v>
      </c>
      <c r="J57" s="29">
        <v>2</v>
      </c>
      <c r="K57" s="29">
        <v>0</v>
      </c>
      <c r="L57" s="29">
        <v>0</v>
      </c>
      <c r="M57" s="29">
        <v>0</v>
      </c>
    </row>
    <row r="58" spans="1:13" x14ac:dyDescent="0.35">
      <c r="A58" s="7" t="str">
        <f t="shared" si="1"/>
        <v>GP004975B838</v>
      </c>
      <c r="B58" s="7" t="s">
        <v>48</v>
      </c>
      <c r="C58" s="7" t="s">
        <v>3137</v>
      </c>
      <c r="D58" s="7" t="s">
        <v>745</v>
      </c>
      <c r="E58" s="7" t="s">
        <v>3138</v>
      </c>
      <c r="F58" s="7" t="s">
        <v>32</v>
      </c>
      <c r="G58" s="7" t="s">
        <v>33</v>
      </c>
      <c r="H58" s="7" t="s">
        <v>1262</v>
      </c>
      <c r="I58" s="7" t="s">
        <v>1276</v>
      </c>
      <c r="J58" s="29">
        <v>4</v>
      </c>
      <c r="K58" s="29">
        <v>0</v>
      </c>
      <c r="L58" s="29">
        <v>0</v>
      </c>
      <c r="M58" s="29">
        <v>0</v>
      </c>
    </row>
    <row r="59" spans="1:13" x14ac:dyDescent="0.35">
      <c r="A59" s="7" t="str">
        <f t="shared" si="1"/>
        <v>GP008618B825</v>
      </c>
      <c r="B59" s="7" t="s">
        <v>16</v>
      </c>
      <c r="C59" s="7" t="s">
        <v>3127</v>
      </c>
      <c r="D59" s="7" t="s">
        <v>512</v>
      </c>
      <c r="E59" s="7" t="s">
        <v>3128</v>
      </c>
      <c r="F59" s="7" t="s">
        <v>35</v>
      </c>
      <c r="G59" s="7" t="s">
        <v>36</v>
      </c>
      <c r="H59" s="7" t="s">
        <v>1262</v>
      </c>
      <c r="I59" s="7" t="s">
        <v>1286</v>
      </c>
      <c r="J59" s="29">
        <v>2</v>
      </c>
      <c r="K59" s="29">
        <v>0</v>
      </c>
      <c r="L59" s="29">
        <v>0</v>
      </c>
      <c r="M59" s="29">
        <v>0</v>
      </c>
    </row>
    <row r="60" spans="1:13" x14ac:dyDescent="0.35">
      <c r="A60" s="7" t="str">
        <f t="shared" si="1"/>
        <v>GP008618B832</v>
      </c>
      <c r="B60" s="7" t="s">
        <v>19</v>
      </c>
      <c r="C60" s="7" t="s">
        <v>3125</v>
      </c>
      <c r="D60" s="7" t="s">
        <v>654</v>
      </c>
      <c r="E60" s="7" t="s">
        <v>3126</v>
      </c>
      <c r="F60" s="7" t="s">
        <v>35</v>
      </c>
      <c r="G60" s="7" t="s">
        <v>36</v>
      </c>
      <c r="H60" s="7" t="s">
        <v>1262</v>
      </c>
      <c r="I60" s="7" t="s">
        <v>1286</v>
      </c>
      <c r="J60" s="29">
        <v>5</v>
      </c>
      <c r="K60" s="29">
        <v>0</v>
      </c>
      <c r="L60" s="29">
        <v>0</v>
      </c>
      <c r="M60" s="29">
        <v>0</v>
      </c>
    </row>
    <row r="61" spans="1:13" x14ac:dyDescent="0.35">
      <c r="A61" s="7" t="str">
        <f t="shared" si="1"/>
        <v>GP008618B838</v>
      </c>
      <c r="B61" s="7" t="s">
        <v>48</v>
      </c>
      <c r="C61" s="7" t="s">
        <v>3137</v>
      </c>
      <c r="D61" s="7" t="s">
        <v>745</v>
      </c>
      <c r="E61" s="7" t="s">
        <v>3138</v>
      </c>
      <c r="F61" s="7" t="s">
        <v>35</v>
      </c>
      <c r="G61" s="7" t="s">
        <v>36</v>
      </c>
      <c r="H61" s="7" t="s">
        <v>1262</v>
      </c>
      <c r="I61" s="7" t="s">
        <v>1286</v>
      </c>
      <c r="J61" s="29">
        <v>2</v>
      </c>
      <c r="K61" s="29">
        <v>0</v>
      </c>
      <c r="L61" s="29">
        <v>0</v>
      </c>
      <c r="M61" s="29">
        <v>0</v>
      </c>
    </row>
    <row r="62" spans="1:13" x14ac:dyDescent="0.35">
      <c r="A62" s="7" t="str">
        <f t="shared" si="1"/>
        <v>GP008618B856</v>
      </c>
      <c r="B62" s="7" t="s">
        <v>21</v>
      </c>
      <c r="C62" s="7" t="s">
        <v>3131</v>
      </c>
      <c r="D62" s="7" t="s">
        <v>853</v>
      </c>
      <c r="E62" s="7" t="s">
        <v>3132</v>
      </c>
      <c r="F62" s="7" t="s">
        <v>35</v>
      </c>
      <c r="G62" s="7" t="s">
        <v>36</v>
      </c>
      <c r="H62" s="7" t="s">
        <v>1262</v>
      </c>
      <c r="I62" s="7" t="s">
        <v>1286</v>
      </c>
      <c r="J62" s="29">
        <v>2</v>
      </c>
      <c r="K62" s="29">
        <v>0</v>
      </c>
      <c r="L62" s="29">
        <v>0</v>
      </c>
      <c r="M62" s="29">
        <v>0</v>
      </c>
    </row>
    <row r="63" spans="1:13" x14ac:dyDescent="0.35">
      <c r="A63" s="7" t="str">
        <f t="shared" si="1"/>
        <v>GP008618B857</v>
      </c>
      <c r="B63" s="7" t="s">
        <v>23</v>
      </c>
      <c r="C63" s="7" t="s">
        <v>3131</v>
      </c>
      <c r="D63" s="7" t="s">
        <v>959</v>
      </c>
      <c r="E63" s="7" t="s">
        <v>3133</v>
      </c>
      <c r="F63" s="7" t="s">
        <v>35</v>
      </c>
      <c r="G63" s="7" t="s">
        <v>36</v>
      </c>
      <c r="H63" s="7" t="s">
        <v>1262</v>
      </c>
      <c r="I63" s="7" t="s">
        <v>1286</v>
      </c>
      <c r="J63" s="29">
        <v>4</v>
      </c>
      <c r="K63" s="29">
        <v>0</v>
      </c>
      <c r="L63" s="29">
        <v>0</v>
      </c>
      <c r="M63" s="29">
        <v>0</v>
      </c>
    </row>
    <row r="64" spans="1:13" x14ac:dyDescent="0.35">
      <c r="A64" s="7" t="str">
        <f t="shared" si="1"/>
        <v>GP008618B864</v>
      </c>
      <c r="B64" s="7" t="s">
        <v>10</v>
      </c>
      <c r="C64" s="7" t="s">
        <v>3134</v>
      </c>
      <c r="D64" s="7" t="s">
        <v>1011</v>
      </c>
      <c r="E64" s="7" t="s">
        <v>3135</v>
      </c>
      <c r="F64" s="7" t="s">
        <v>35</v>
      </c>
      <c r="G64" s="7" t="s">
        <v>36</v>
      </c>
      <c r="H64" s="7" t="s">
        <v>1262</v>
      </c>
      <c r="I64" s="7" t="s">
        <v>1286</v>
      </c>
      <c r="J64" s="29">
        <v>2</v>
      </c>
      <c r="K64" s="29">
        <v>0</v>
      </c>
      <c r="L64" s="29">
        <v>0</v>
      </c>
      <c r="M64" s="29">
        <v>0</v>
      </c>
    </row>
    <row r="65" spans="1:13" x14ac:dyDescent="0.35">
      <c r="A65" s="7" t="str">
        <f t="shared" si="1"/>
        <v>GP008618B865</v>
      </c>
      <c r="B65" s="7" t="s">
        <v>7</v>
      </c>
      <c r="C65" s="7" t="s">
        <v>3139</v>
      </c>
      <c r="D65" s="7" t="s">
        <v>1040</v>
      </c>
      <c r="E65" s="7" t="s">
        <v>3140</v>
      </c>
      <c r="F65" s="7" t="s">
        <v>35</v>
      </c>
      <c r="G65" s="7" t="s">
        <v>36</v>
      </c>
      <c r="H65" s="7" t="s">
        <v>1262</v>
      </c>
      <c r="I65" s="7" t="s">
        <v>1286</v>
      </c>
      <c r="J65" s="29">
        <v>2</v>
      </c>
      <c r="K65" s="29">
        <v>0</v>
      </c>
      <c r="L65" s="29">
        <v>0</v>
      </c>
      <c r="M65" s="29">
        <v>0</v>
      </c>
    </row>
    <row r="66" spans="1:13" x14ac:dyDescent="0.35">
      <c r="A66" s="7" t="str">
        <f t="shared" si="1"/>
        <v>GP008618B867</v>
      </c>
      <c r="B66" s="7" t="s">
        <v>25</v>
      </c>
      <c r="C66" s="7" t="s">
        <v>3131</v>
      </c>
      <c r="D66" s="7" t="s">
        <v>1060</v>
      </c>
      <c r="E66" s="7" t="s">
        <v>3136</v>
      </c>
      <c r="F66" s="7" t="s">
        <v>35</v>
      </c>
      <c r="G66" s="7" t="s">
        <v>36</v>
      </c>
      <c r="H66" s="7" t="s">
        <v>1262</v>
      </c>
      <c r="I66" s="7" t="s">
        <v>1286</v>
      </c>
      <c r="J66" s="29">
        <v>6</v>
      </c>
      <c r="K66" s="29">
        <v>0</v>
      </c>
      <c r="L66" s="29">
        <v>0</v>
      </c>
      <c r="M66" s="29">
        <v>0</v>
      </c>
    </row>
    <row r="67" spans="1:13" x14ac:dyDescent="0.35">
      <c r="A67" s="7" t="str">
        <f t="shared" ref="A67:A130" si="2">_xlfn.CONCAT(F67,B67)</f>
        <v>GP013211B825</v>
      </c>
      <c r="B67" s="7" t="s">
        <v>16</v>
      </c>
      <c r="C67" s="7" t="s">
        <v>3127</v>
      </c>
      <c r="D67" s="7" t="s">
        <v>512</v>
      </c>
      <c r="E67" s="7" t="s">
        <v>3128</v>
      </c>
      <c r="F67" s="7" t="s">
        <v>37</v>
      </c>
      <c r="G67" s="7" t="s">
        <v>38</v>
      </c>
      <c r="H67" s="7" t="s">
        <v>1185</v>
      </c>
      <c r="I67" s="7" t="s">
        <v>1177</v>
      </c>
      <c r="J67" s="29">
        <v>0</v>
      </c>
      <c r="K67" s="29">
        <v>0</v>
      </c>
      <c r="L67" s="29">
        <v>0</v>
      </c>
      <c r="M67" s="29">
        <v>0</v>
      </c>
    </row>
    <row r="68" spans="1:13" x14ac:dyDescent="0.35">
      <c r="A68" s="7" t="str">
        <f t="shared" si="2"/>
        <v>GP013211B832</v>
      </c>
      <c r="B68" s="7" t="s">
        <v>19</v>
      </c>
      <c r="C68" s="7" t="s">
        <v>3125</v>
      </c>
      <c r="D68" s="7" t="s">
        <v>654</v>
      </c>
      <c r="E68" s="7" t="s">
        <v>3126</v>
      </c>
      <c r="F68" s="7" t="s">
        <v>37</v>
      </c>
      <c r="G68" s="7" t="s">
        <v>38</v>
      </c>
      <c r="H68" s="7" t="s">
        <v>1185</v>
      </c>
      <c r="I68" s="7" t="s">
        <v>1177</v>
      </c>
      <c r="J68" s="29">
        <v>3</v>
      </c>
      <c r="K68" s="29">
        <v>0</v>
      </c>
      <c r="L68" s="29">
        <v>0</v>
      </c>
      <c r="M68" s="29">
        <v>0</v>
      </c>
    </row>
    <row r="69" spans="1:13" x14ac:dyDescent="0.35">
      <c r="A69" s="7" t="str">
        <f t="shared" si="2"/>
        <v>GP013211B833</v>
      </c>
      <c r="B69" s="7" t="s">
        <v>697</v>
      </c>
      <c r="C69" s="7" t="s">
        <v>3129</v>
      </c>
      <c r="D69" s="7" t="s">
        <v>699</v>
      </c>
      <c r="E69" s="7" t="s">
        <v>3130</v>
      </c>
      <c r="F69" s="7" t="s">
        <v>37</v>
      </c>
      <c r="G69" s="7" t="s">
        <v>38</v>
      </c>
      <c r="H69" s="7" t="s">
        <v>1185</v>
      </c>
      <c r="I69" s="7" t="s">
        <v>1177</v>
      </c>
      <c r="J69" s="29">
        <v>1045</v>
      </c>
      <c r="K69" s="29">
        <v>0</v>
      </c>
      <c r="L69" s="29">
        <v>0</v>
      </c>
      <c r="M69" s="29">
        <v>0</v>
      </c>
    </row>
    <row r="70" spans="1:13" x14ac:dyDescent="0.35">
      <c r="A70" s="7" t="str">
        <f t="shared" si="2"/>
        <v>GP013211B838</v>
      </c>
      <c r="B70" s="7" t="s">
        <v>48</v>
      </c>
      <c r="C70" s="7" t="s">
        <v>3137</v>
      </c>
      <c r="D70" s="7" t="s">
        <v>745</v>
      </c>
      <c r="E70" s="7" t="s">
        <v>3138</v>
      </c>
      <c r="F70" s="7" t="s">
        <v>37</v>
      </c>
      <c r="G70" s="7" t="s">
        <v>38</v>
      </c>
      <c r="H70" s="7" t="s">
        <v>1185</v>
      </c>
      <c r="I70" s="7" t="s">
        <v>1177</v>
      </c>
      <c r="J70" s="29">
        <v>0</v>
      </c>
      <c r="K70" s="29">
        <v>0</v>
      </c>
      <c r="L70" s="29">
        <v>0</v>
      </c>
      <c r="M70" s="29">
        <v>0</v>
      </c>
    </row>
    <row r="71" spans="1:13" x14ac:dyDescent="0.35">
      <c r="A71" s="7" t="str">
        <f t="shared" si="2"/>
        <v>GP013211B856</v>
      </c>
      <c r="B71" s="7" t="s">
        <v>21</v>
      </c>
      <c r="C71" s="7" t="s">
        <v>3131</v>
      </c>
      <c r="D71" s="7" t="s">
        <v>853</v>
      </c>
      <c r="E71" s="7" t="s">
        <v>3132</v>
      </c>
      <c r="F71" s="7" t="s">
        <v>37</v>
      </c>
      <c r="G71" s="7" t="s">
        <v>38</v>
      </c>
      <c r="H71" s="7" t="s">
        <v>1185</v>
      </c>
      <c r="I71" s="7" t="s">
        <v>1177</v>
      </c>
      <c r="J71" s="29">
        <v>374</v>
      </c>
      <c r="K71" s="29">
        <v>0</v>
      </c>
      <c r="L71" s="29">
        <v>0</v>
      </c>
      <c r="M71" s="29">
        <v>0</v>
      </c>
    </row>
    <row r="72" spans="1:13" x14ac:dyDescent="0.35">
      <c r="A72" s="7" t="str">
        <f t="shared" si="2"/>
        <v>GP013211B857</v>
      </c>
      <c r="B72" s="7" t="s">
        <v>23</v>
      </c>
      <c r="C72" s="7" t="s">
        <v>3131</v>
      </c>
      <c r="D72" s="7" t="s">
        <v>959</v>
      </c>
      <c r="E72" s="7" t="s">
        <v>3133</v>
      </c>
      <c r="F72" s="7" t="s">
        <v>37</v>
      </c>
      <c r="G72" s="7" t="s">
        <v>38</v>
      </c>
      <c r="H72" s="7" t="s">
        <v>1185</v>
      </c>
      <c r="I72" s="7" t="s">
        <v>1177</v>
      </c>
      <c r="J72" s="29">
        <v>50</v>
      </c>
      <c r="K72" s="29">
        <v>0</v>
      </c>
      <c r="L72" s="29">
        <v>0</v>
      </c>
      <c r="M72" s="29">
        <v>0</v>
      </c>
    </row>
    <row r="73" spans="1:13" x14ac:dyDescent="0.35">
      <c r="A73" s="7" t="str">
        <f t="shared" si="2"/>
        <v>GP013211B864</v>
      </c>
      <c r="B73" s="7" t="s">
        <v>10</v>
      </c>
      <c r="C73" s="7" t="s">
        <v>3134</v>
      </c>
      <c r="D73" s="7" t="s">
        <v>1011</v>
      </c>
      <c r="E73" s="7" t="s">
        <v>3135</v>
      </c>
      <c r="F73" s="7" t="s">
        <v>37</v>
      </c>
      <c r="G73" s="7" t="s">
        <v>38</v>
      </c>
      <c r="H73" s="7" t="s">
        <v>1185</v>
      </c>
      <c r="I73" s="7" t="s">
        <v>1177</v>
      </c>
      <c r="J73" s="29">
        <v>1094</v>
      </c>
      <c r="K73" s="29">
        <v>0</v>
      </c>
      <c r="L73" s="29">
        <v>0</v>
      </c>
      <c r="M73" s="29">
        <v>0</v>
      </c>
    </row>
    <row r="74" spans="1:13" x14ac:dyDescent="0.35">
      <c r="A74" s="7" t="str">
        <f t="shared" si="2"/>
        <v>GP013211B865</v>
      </c>
      <c r="B74" s="7" t="s">
        <v>7</v>
      </c>
      <c r="C74" s="7" t="s">
        <v>3139</v>
      </c>
      <c r="D74" s="7" t="s">
        <v>1040</v>
      </c>
      <c r="E74" s="7" t="s">
        <v>3140</v>
      </c>
      <c r="F74" s="7" t="s">
        <v>37</v>
      </c>
      <c r="G74" s="7" t="s">
        <v>38</v>
      </c>
      <c r="H74" s="7" t="s">
        <v>1185</v>
      </c>
      <c r="I74" s="7" t="s">
        <v>1177</v>
      </c>
      <c r="J74" s="29">
        <v>806</v>
      </c>
      <c r="K74" s="29">
        <v>0</v>
      </c>
      <c r="L74" s="29">
        <v>0</v>
      </c>
      <c r="M74" s="29">
        <v>0</v>
      </c>
    </row>
    <row r="75" spans="1:13" x14ac:dyDescent="0.35">
      <c r="A75" s="7" t="str">
        <f t="shared" si="2"/>
        <v>GP013211B867</v>
      </c>
      <c r="B75" s="7" t="s">
        <v>25</v>
      </c>
      <c r="C75" s="7" t="s">
        <v>3131</v>
      </c>
      <c r="D75" s="7" t="s">
        <v>1177</v>
      </c>
      <c r="E75" s="7" t="s">
        <v>1177</v>
      </c>
      <c r="F75" s="7" t="s">
        <v>37</v>
      </c>
      <c r="G75" s="7" t="s">
        <v>38</v>
      </c>
      <c r="H75" s="7" t="s">
        <v>1185</v>
      </c>
      <c r="I75" s="7" t="s">
        <v>1177</v>
      </c>
      <c r="J75" s="29">
        <v>0</v>
      </c>
      <c r="K75" s="29">
        <v>209</v>
      </c>
      <c r="L75" s="29">
        <v>0</v>
      </c>
      <c r="M75" s="29">
        <v>0</v>
      </c>
    </row>
    <row r="76" spans="1:13" x14ac:dyDescent="0.35">
      <c r="A76" s="7" t="str">
        <f t="shared" si="2"/>
        <v>GP013211B867</v>
      </c>
      <c r="B76" s="7" t="s">
        <v>25</v>
      </c>
      <c r="C76" s="7" t="s">
        <v>3131</v>
      </c>
      <c r="D76" s="7" t="s">
        <v>1060</v>
      </c>
      <c r="E76" s="7" t="s">
        <v>3136</v>
      </c>
      <c r="F76" s="7" t="s">
        <v>37</v>
      </c>
      <c r="G76" s="7" t="s">
        <v>38</v>
      </c>
      <c r="H76" s="7" t="s">
        <v>1185</v>
      </c>
      <c r="I76" s="7" t="s">
        <v>1177</v>
      </c>
      <c r="J76" s="29">
        <v>23</v>
      </c>
      <c r="K76" s="29">
        <v>0</v>
      </c>
      <c r="L76" s="29">
        <v>0</v>
      </c>
      <c r="M76" s="29">
        <v>0</v>
      </c>
    </row>
    <row r="77" spans="1:13" x14ac:dyDescent="0.35">
      <c r="A77" s="7" t="str">
        <f t="shared" si="2"/>
        <v>GP019518B832</v>
      </c>
      <c r="B77" s="7" t="s">
        <v>19</v>
      </c>
      <c r="C77" s="7" t="s">
        <v>3125</v>
      </c>
      <c r="D77" s="7" t="s">
        <v>654</v>
      </c>
      <c r="E77" s="7" t="s">
        <v>3126</v>
      </c>
      <c r="F77" s="7" t="s">
        <v>39</v>
      </c>
      <c r="G77" s="7" t="s">
        <v>40</v>
      </c>
      <c r="H77" s="7" t="s">
        <v>1262</v>
      </c>
      <c r="I77" s="7" t="s">
        <v>1276</v>
      </c>
      <c r="J77" s="29">
        <v>2</v>
      </c>
      <c r="K77" s="29">
        <v>0</v>
      </c>
      <c r="L77" s="29">
        <v>0</v>
      </c>
      <c r="M77" s="29">
        <v>0</v>
      </c>
    </row>
    <row r="78" spans="1:13" x14ac:dyDescent="0.35">
      <c r="A78" s="7" t="str">
        <f t="shared" si="2"/>
        <v>GP019518B833</v>
      </c>
      <c r="B78" s="7" t="s">
        <v>697</v>
      </c>
      <c r="C78" s="7" t="s">
        <v>3129</v>
      </c>
      <c r="D78" s="7" t="s">
        <v>699</v>
      </c>
      <c r="E78" s="7" t="s">
        <v>3130</v>
      </c>
      <c r="F78" s="7" t="s">
        <v>39</v>
      </c>
      <c r="G78" s="7" t="s">
        <v>40</v>
      </c>
      <c r="H78" s="7" t="s">
        <v>1262</v>
      </c>
      <c r="I78" s="7" t="s">
        <v>1276</v>
      </c>
      <c r="J78" s="29">
        <v>2</v>
      </c>
      <c r="K78" s="29">
        <v>0</v>
      </c>
      <c r="L78" s="29">
        <v>0</v>
      </c>
      <c r="M78" s="29">
        <v>0</v>
      </c>
    </row>
    <row r="79" spans="1:13" x14ac:dyDescent="0.35">
      <c r="A79" s="7" t="str">
        <f t="shared" si="2"/>
        <v>GP019518B856</v>
      </c>
      <c r="B79" s="7" t="s">
        <v>21</v>
      </c>
      <c r="C79" s="7" t="s">
        <v>3131</v>
      </c>
      <c r="D79" s="7" t="s">
        <v>1177</v>
      </c>
      <c r="E79" s="7" t="s">
        <v>1177</v>
      </c>
      <c r="F79" s="7" t="s">
        <v>39</v>
      </c>
      <c r="G79" s="7" t="s">
        <v>40</v>
      </c>
      <c r="H79" s="7" t="s">
        <v>1262</v>
      </c>
      <c r="I79" s="7" t="s">
        <v>1177</v>
      </c>
      <c r="J79" s="29">
        <v>0</v>
      </c>
      <c r="K79" s="29">
        <v>2</v>
      </c>
      <c r="L79" s="29">
        <v>0</v>
      </c>
      <c r="M79" s="29">
        <v>0</v>
      </c>
    </row>
    <row r="80" spans="1:13" x14ac:dyDescent="0.35">
      <c r="A80" s="7" t="str">
        <f t="shared" si="2"/>
        <v>GP023882B825</v>
      </c>
      <c r="B80" s="7" t="s">
        <v>16</v>
      </c>
      <c r="C80" s="7" t="s">
        <v>3127</v>
      </c>
      <c r="D80" s="7" t="s">
        <v>512</v>
      </c>
      <c r="E80" s="7" t="s">
        <v>3128</v>
      </c>
      <c r="F80" s="7" t="s">
        <v>41</v>
      </c>
      <c r="G80" s="7" t="s">
        <v>42</v>
      </c>
      <c r="H80" s="7" t="s">
        <v>1262</v>
      </c>
      <c r="I80" s="7" t="s">
        <v>1276</v>
      </c>
      <c r="J80" s="29">
        <v>0</v>
      </c>
      <c r="K80" s="29">
        <v>0</v>
      </c>
      <c r="L80" s="29">
        <v>0</v>
      </c>
      <c r="M80" s="29">
        <v>0</v>
      </c>
    </row>
    <row r="81" spans="1:13" x14ac:dyDescent="0.35">
      <c r="A81" s="7" t="str">
        <f t="shared" si="2"/>
        <v>GP023882B832</v>
      </c>
      <c r="B81" s="7" t="s">
        <v>19</v>
      </c>
      <c r="C81" s="7" t="s">
        <v>3125</v>
      </c>
      <c r="D81" s="7" t="s">
        <v>654</v>
      </c>
      <c r="E81" s="7" t="s">
        <v>3126</v>
      </c>
      <c r="F81" s="7" t="s">
        <v>41</v>
      </c>
      <c r="G81" s="7" t="s">
        <v>42</v>
      </c>
      <c r="H81" s="7" t="s">
        <v>1262</v>
      </c>
      <c r="I81" s="7" t="s">
        <v>1276</v>
      </c>
      <c r="J81" s="29">
        <v>1</v>
      </c>
      <c r="K81" s="29">
        <v>0</v>
      </c>
      <c r="L81" s="29">
        <v>0</v>
      </c>
      <c r="M81" s="29">
        <v>0</v>
      </c>
    </row>
    <row r="82" spans="1:13" x14ac:dyDescent="0.35">
      <c r="A82" s="7" t="str">
        <f t="shared" si="2"/>
        <v>GP023882B838</v>
      </c>
      <c r="B82" s="7" t="s">
        <v>48</v>
      </c>
      <c r="C82" s="7" t="s">
        <v>3137</v>
      </c>
      <c r="D82" s="7" t="s">
        <v>745</v>
      </c>
      <c r="E82" s="7" t="s">
        <v>3138</v>
      </c>
      <c r="F82" s="7" t="s">
        <v>41</v>
      </c>
      <c r="G82" s="7" t="s">
        <v>42</v>
      </c>
      <c r="H82" s="7" t="s">
        <v>1262</v>
      </c>
      <c r="I82" s="7" t="s">
        <v>1276</v>
      </c>
      <c r="J82" s="29">
        <v>3</v>
      </c>
      <c r="K82" s="29">
        <v>0</v>
      </c>
      <c r="L82" s="29">
        <v>0</v>
      </c>
      <c r="M82" s="29">
        <v>0</v>
      </c>
    </row>
    <row r="83" spans="1:13" x14ac:dyDescent="0.35">
      <c r="A83" s="7" t="str">
        <f t="shared" si="2"/>
        <v>GP069610B825</v>
      </c>
      <c r="B83" s="7" t="s">
        <v>16</v>
      </c>
      <c r="C83" s="7" t="s">
        <v>3127</v>
      </c>
      <c r="D83" s="7" t="s">
        <v>512</v>
      </c>
      <c r="E83" s="7" t="s">
        <v>3128</v>
      </c>
      <c r="F83" s="7" t="s">
        <v>43</v>
      </c>
      <c r="G83" s="7" t="s">
        <v>44</v>
      </c>
      <c r="H83" s="7" t="s">
        <v>1262</v>
      </c>
      <c r="I83" s="7" t="s">
        <v>1276</v>
      </c>
      <c r="J83" s="29">
        <v>1</v>
      </c>
      <c r="K83" s="29">
        <v>0</v>
      </c>
      <c r="L83" s="29">
        <v>0</v>
      </c>
      <c r="M83" s="29">
        <v>0</v>
      </c>
    </row>
    <row r="84" spans="1:13" x14ac:dyDescent="0.35">
      <c r="A84" s="7" t="str">
        <f t="shared" si="2"/>
        <v>GP069610B832</v>
      </c>
      <c r="B84" s="7" t="s">
        <v>19</v>
      </c>
      <c r="C84" s="7" t="s">
        <v>3125</v>
      </c>
      <c r="D84" s="7" t="s">
        <v>654</v>
      </c>
      <c r="E84" s="7" t="s">
        <v>3126</v>
      </c>
      <c r="F84" s="7" t="s">
        <v>43</v>
      </c>
      <c r="G84" s="7" t="s">
        <v>44</v>
      </c>
      <c r="H84" s="7" t="s">
        <v>1262</v>
      </c>
      <c r="I84" s="7" t="s">
        <v>1276</v>
      </c>
      <c r="J84" s="29">
        <v>3</v>
      </c>
      <c r="K84" s="29">
        <v>0</v>
      </c>
      <c r="L84" s="29">
        <v>0</v>
      </c>
      <c r="M84" s="29">
        <v>0</v>
      </c>
    </row>
    <row r="85" spans="1:13" x14ac:dyDescent="0.35">
      <c r="A85" s="7" t="str">
        <f t="shared" si="2"/>
        <v>GP069610B838</v>
      </c>
      <c r="B85" s="7" t="s">
        <v>48</v>
      </c>
      <c r="C85" s="7" t="s">
        <v>3137</v>
      </c>
      <c r="D85" s="7" t="s">
        <v>745</v>
      </c>
      <c r="E85" s="7" t="s">
        <v>3138</v>
      </c>
      <c r="F85" s="7" t="s">
        <v>43</v>
      </c>
      <c r="G85" s="7" t="s">
        <v>44</v>
      </c>
      <c r="H85" s="7" t="s">
        <v>1262</v>
      </c>
      <c r="I85" s="7" t="s">
        <v>1276</v>
      </c>
      <c r="J85" s="29">
        <v>3</v>
      </c>
      <c r="K85" s="29">
        <v>0</v>
      </c>
      <c r="L85" s="29">
        <v>0</v>
      </c>
      <c r="M85" s="29">
        <v>0</v>
      </c>
    </row>
    <row r="86" spans="1:13" x14ac:dyDescent="0.35">
      <c r="A86" s="7" t="str">
        <f t="shared" si="2"/>
        <v>GP069610B857</v>
      </c>
      <c r="B86" s="7" t="s">
        <v>23</v>
      </c>
      <c r="C86" s="7" t="s">
        <v>3131</v>
      </c>
      <c r="D86" s="7" t="s">
        <v>959</v>
      </c>
      <c r="E86" s="7" t="s">
        <v>3133</v>
      </c>
      <c r="F86" s="7" t="s">
        <v>43</v>
      </c>
      <c r="G86" s="7" t="s">
        <v>44</v>
      </c>
      <c r="H86" s="7" t="s">
        <v>1262</v>
      </c>
      <c r="I86" s="7" t="s">
        <v>1276</v>
      </c>
      <c r="J86" s="29">
        <v>1</v>
      </c>
      <c r="K86" s="29">
        <v>0</v>
      </c>
      <c r="L86" s="29">
        <v>0</v>
      </c>
      <c r="M86" s="29">
        <v>0</v>
      </c>
    </row>
    <row r="87" spans="1:13" x14ac:dyDescent="0.35">
      <c r="A87" s="7" t="str">
        <f t="shared" si="2"/>
        <v>GP069610B864</v>
      </c>
      <c r="B87" s="7" t="s">
        <v>10</v>
      </c>
      <c r="C87" s="7" t="s">
        <v>3134</v>
      </c>
      <c r="D87" s="7" t="s">
        <v>1011</v>
      </c>
      <c r="E87" s="7" t="s">
        <v>3135</v>
      </c>
      <c r="F87" s="7" t="s">
        <v>43</v>
      </c>
      <c r="G87" s="7" t="s">
        <v>44</v>
      </c>
      <c r="H87" s="7" t="s">
        <v>1262</v>
      </c>
      <c r="I87" s="7" t="s">
        <v>1276</v>
      </c>
      <c r="J87" s="29">
        <v>2</v>
      </c>
      <c r="K87" s="29">
        <v>0</v>
      </c>
      <c r="L87" s="29">
        <v>0</v>
      </c>
      <c r="M87" s="29">
        <v>0</v>
      </c>
    </row>
    <row r="88" spans="1:13" x14ac:dyDescent="0.35">
      <c r="A88" s="7" t="str">
        <f t="shared" si="2"/>
        <v>GP069610B865</v>
      </c>
      <c r="B88" s="7" t="s">
        <v>7</v>
      </c>
      <c r="C88" s="7" t="s">
        <v>3139</v>
      </c>
      <c r="D88" s="7" t="s">
        <v>1177</v>
      </c>
      <c r="E88" s="7" t="s">
        <v>1177</v>
      </c>
      <c r="F88" s="7" t="s">
        <v>43</v>
      </c>
      <c r="G88" s="7" t="s">
        <v>44</v>
      </c>
      <c r="H88" s="7" t="s">
        <v>1262</v>
      </c>
      <c r="I88" s="7" t="s">
        <v>1177</v>
      </c>
      <c r="J88" s="29">
        <v>0</v>
      </c>
      <c r="K88" s="29">
        <v>1</v>
      </c>
      <c r="L88" s="29">
        <v>0</v>
      </c>
      <c r="M88" s="29">
        <v>0</v>
      </c>
    </row>
    <row r="89" spans="1:13" x14ac:dyDescent="0.35">
      <c r="A89" s="7" t="str">
        <f t="shared" si="2"/>
        <v>GP069610B865</v>
      </c>
      <c r="B89" s="7" t="s">
        <v>7</v>
      </c>
      <c r="C89" s="7" t="s">
        <v>3139</v>
      </c>
      <c r="D89" s="7" t="s">
        <v>1040</v>
      </c>
      <c r="E89" s="7" t="s">
        <v>3140</v>
      </c>
      <c r="F89" s="7" t="s">
        <v>43</v>
      </c>
      <c r="G89" s="7" t="s">
        <v>44</v>
      </c>
      <c r="H89" s="7" t="s">
        <v>1262</v>
      </c>
      <c r="I89" s="7" t="s">
        <v>1276</v>
      </c>
      <c r="J89" s="29">
        <v>0</v>
      </c>
      <c r="K89" s="29">
        <v>0</v>
      </c>
      <c r="L89" s="29">
        <v>0</v>
      </c>
      <c r="M89" s="29">
        <v>0</v>
      </c>
    </row>
    <row r="90" spans="1:13" x14ac:dyDescent="0.35">
      <c r="A90" s="7" t="str">
        <f t="shared" si="2"/>
        <v>GP069610B867</v>
      </c>
      <c r="B90" s="7" t="s">
        <v>25</v>
      </c>
      <c r="C90" s="7" t="s">
        <v>3131</v>
      </c>
      <c r="D90" s="7" t="s">
        <v>1060</v>
      </c>
      <c r="E90" s="7" t="s">
        <v>3136</v>
      </c>
      <c r="F90" s="7" t="s">
        <v>43</v>
      </c>
      <c r="G90" s="7" t="s">
        <v>44</v>
      </c>
      <c r="H90" s="7" t="s">
        <v>1262</v>
      </c>
      <c r="I90" s="7" t="s">
        <v>1276</v>
      </c>
      <c r="J90" s="29">
        <v>3</v>
      </c>
      <c r="K90" s="29">
        <v>0</v>
      </c>
      <c r="L90" s="29">
        <v>0</v>
      </c>
      <c r="M90" s="29">
        <v>0</v>
      </c>
    </row>
    <row r="91" spans="1:13" x14ac:dyDescent="0.35">
      <c r="A91" s="7" t="str">
        <f t="shared" si="2"/>
        <v>GP078780B825</v>
      </c>
      <c r="B91" s="7" t="s">
        <v>16</v>
      </c>
      <c r="C91" s="7" t="s">
        <v>3127</v>
      </c>
      <c r="D91" s="7" t="s">
        <v>512</v>
      </c>
      <c r="E91" s="7" t="s">
        <v>3128</v>
      </c>
      <c r="F91" s="7" t="s">
        <v>46</v>
      </c>
      <c r="G91" s="7" t="s">
        <v>47</v>
      </c>
      <c r="H91" s="7" t="s">
        <v>1262</v>
      </c>
      <c r="I91" s="7" t="s">
        <v>1276</v>
      </c>
      <c r="J91" s="29">
        <v>1</v>
      </c>
      <c r="K91" s="29">
        <v>0</v>
      </c>
      <c r="L91" s="29">
        <v>0</v>
      </c>
      <c r="M91" s="29">
        <v>0</v>
      </c>
    </row>
    <row r="92" spans="1:13" x14ac:dyDescent="0.35">
      <c r="A92" s="7" t="str">
        <f t="shared" si="2"/>
        <v>GP078780B832</v>
      </c>
      <c r="B92" s="7" t="s">
        <v>19</v>
      </c>
      <c r="C92" s="7" t="s">
        <v>3125</v>
      </c>
      <c r="D92" s="7" t="s">
        <v>654</v>
      </c>
      <c r="E92" s="7" t="s">
        <v>3126</v>
      </c>
      <c r="F92" s="7" t="s">
        <v>46</v>
      </c>
      <c r="G92" s="7" t="s">
        <v>47</v>
      </c>
      <c r="H92" s="7" t="s">
        <v>1262</v>
      </c>
      <c r="I92" s="7" t="s">
        <v>1276</v>
      </c>
      <c r="J92" s="29">
        <v>3</v>
      </c>
      <c r="K92" s="29">
        <v>0</v>
      </c>
      <c r="L92" s="29">
        <v>0</v>
      </c>
      <c r="M92" s="29">
        <v>0</v>
      </c>
    </row>
    <row r="93" spans="1:13" x14ac:dyDescent="0.35">
      <c r="A93" s="7" t="str">
        <f t="shared" si="2"/>
        <v>GP078780B833</v>
      </c>
      <c r="B93" s="7" t="s">
        <v>697</v>
      </c>
      <c r="C93" s="7" t="s">
        <v>3129</v>
      </c>
      <c r="D93" s="7" t="s">
        <v>699</v>
      </c>
      <c r="E93" s="7" t="s">
        <v>3130</v>
      </c>
      <c r="F93" s="7" t="s">
        <v>46</v>
      </c>
      <c r="G93" s="7" t="s">
        <v>47</v>
      </c>
      <c r="H93" s="7" t="s">
        <v>1262</v>
      </c>
      <c r="I93" s="7" t="s">
        <v>1276</v>
      </c>
      <c r="J93" s="29">
        <v>1</v>
      </c>
      <c r="K93" s="29">
        <v>0</v>
      </c>
      <c r="L93" s="29">
        <v>0</v>
      </c>
      <c r="M93" s="29">
        <v>0</v>
      </c>
    </row>
    <row r="94" spans="1:13" x14ac:dyDescent="0.35">
      <c r="A94" s="7" t="str">
        <f t="shared" si="2"/>
        <v>GP078780B838</v>
      </c>
      <c r="B94" s="7" t="s">
        <v>48</v>
      </c>
      <c r="C94" s="7" t="s">
        <v>3137</v>
      </c>
      <c r="D94" s="7" t="s">
        <v>745</v>
      </c>
      <c r="E94" s="7" t="s">
        <v>3138</v>
      </c>
      <c r="F94" s="7" t="s">
        <v>46</v>
      </c>
      <c r="G94" s="7" t="s">
        <v>47</v>
      </c>
      <c r="H94" s="7" t="s">
        <v>1262</v>
      </c>
      <c r="I94" s="7" t="s">
        <v>1276</v>
      </c>
      <c r="J94" s="29">
        <v>0</v>
      </c>
      <c r="K94" s="29">
        <v>0</v>
      </c>
      <c r="L94" s="29">
        <v>0</v>
      </c>
      <c r="M94" s="29">
        <v>0</v>
      </c>
    </row>
    <row r="95" spans="1:13" x14ac:dyDescent="0.35">
      <c r="A95" s="7" t="str">
        <f t="shared" si="2"/>
        <v>GP078780B856</v>
      </c>
      <c r="B95" s="7" t="s">
        <v>21</v>
      </c>
      <c r="C95" s="7" t="s">
        <v>3131</v>
      </c>
      <c r="D95" s="7" t="s">
        <v>853</v>
      </c>
      <c r="E95" s="7" t="s">
        <v>3132</v>
      </c>
      <c r="F95" s="7" t="s">
        <v>46</v>
      </c>
      <c r="G95" s="7" t="s">
        <v>47</v>
      </c>
      <c r="H95" s="7" t="s">
        <v>1262</v>
      </c>
      <c r="I95" s="7" t="s">
        <v>2591</v>
      </c>
      <c r="J95" s="29">
        <v>2</v>
      </c>
      <c r="K95" s="29">
        <v>0</v>
      </c>
      <c r="L95" s="29">
        <v>0</v>
      </c>
      <c r="M95" s="29">
        <v>0</v>
      </c>
    </row>
    <row r="96" spans="1:13" x14ac:dyDescent="0.35">
      <c r="A96" s="7" t="str">
        <f t="shared" si="2"/>
        <v>GP078780B856</v>
      </c>
      <c r="B96" s="7" t="s">
        <v>21</v>
      </c>
      <c r="C96" s="7" t="s">
        <v>3131</v>
      </c>
      <c r="D96" s="7" t="s">
        <v>853</v>
      </c>
      <c r="E96" s="7" t="s">
        <v>3132</v>
      </c>
      <c r="F96" s="7" t="s">
        <v>46</v>
      </c>
      <c r="G96" s="7" t="s">
        <v>47</v>
      </c>
      <c r="H96" s="7" t="s">
        <v>1262</v>
      </c>
      <c r="I96" s="7" t="s">
        <v>1276</v>
      </c>
      <c r="J96" s="29">
        <v>0</v>
      </c>
      <c r="K96" s="29">
        <v>0</v>
      </c>
      <c r="L96" s="29">
        <v>0</v>
      </c>
      <c r="M96" s="29">
        <v>0</v>
      </c>
    </row>
    <row r="97" spans="1:13" x14ac:dyDescent="0.35">
      <c r="A97" s="7" t="str">
        <f t="shared" si="2"/>
        <v>GP078780B857</v>
      </c>
      <c r="B97" s="7" t="s">
        <v>23</v>
      </c>
      <c r="C97" s="7" t="s">
        <v>3131</v>
      </c>
      <c r="D97" s="7" t="s">
        <v>959</v>
      </c>
      <c r="E97" s="7" t="s">
        <v>3133</v>
      </c>
      <c r="F97" s="7" t="s">
        <v>46</v>
      </c>
      <c r="G97" s="7" t="s">
        <v>47</v>
      </c>
      <c r="H97" s="7" t="s">
        <v>1262</v>
      </c>
      <c r="I97" s="7" t="s">
        <v>1276</v>
      </c>
      <c r="J97" s="29">
        <v>1</v>
      </c>
      <c r="K97" s="29">
        <v>0</v>
      </c>
      <c r="L97" s="29">
        <v>0</v>
      </c>
      <c r="M97" s="29">
        <v>0</v>
      </c>
    </row>
    <row r="98" spans="1:13" x14ac:dyDescent="0.35">
      <c r="A98" s="7" t="str">
        <f t="shared" si="2"/>
        <v>GP078780B864</v>
      </c>
      <c r="B98" s="7" t="s">
        <v>10</v>
      </c>
      <c r="C98" s="7" t="s">
        <v>3134</v>
      </c>
      <c r="D98" s="7" t="s">
        <v>1011</v>
      </c>
      <c r="E98" s="7" t="s">
        <v>3135</v>
      </c>
      <c r="F98" s="7" t="s">
        <v>46</v>
      </c>
      <c r="G98" s="7" t="s">
        <v>47</v>
      </c>
      <c r="H98" s="7" t="s">
        <v>1262</v>
      </c>
      <c r="I98" s="7" t="s">
        <v>3112</v>
      </c>
      <c r="J98" s="29">
        <v>1</v>
      </c>
      <c r="K98" s="29">
        <v>0</v>
      </c>
      <c r="L98" s="29">
        <v>0</v>
      </c>
      <c r="M98" s="29">
        <v>0</v>
      </c>
    </row>
    <row r="99" spans="1:13" x14ac:dyDescent="0.35">
      <c r="A99" s="7" t="str">
        <f t="shared" si="2"/>
        <v>GP078780B864</v>
      </c>
      <c r="B99" s="7" t="s">
        <v>10</v>
      </c>
      <c r="C99" s="7" t="s">
        <v>3134</v>
      </c>
      <c r="D99" s="7" t="s">
        <v>1011</v>
      </c>
      <c r="E99" s="7" t="s">
        <v>3135</v>
      </c>
      <c r="F99" s="7" t="s">
        <v>46</v>
      </c>
      <c r="G99" s="7" t="s">
        <v>47</v>
      </c>
      <c r="H99" s="7" t="s">
        <v>1262</v>
      </c>
      <c r="I99" s="7" t="s">
        <v>1276</v>
      </c>
      <c r="J99" s="29">
        <v>1</v>
      </c>
      <c r="K99" s="29">
        <v>0</v>
      </c>
      <c r="L99" s="29">
        <v>0</v>
      </c>
      <c r="M99" s="29">
        <v>0</v>
      </c>
    </row>
    <row r="100" spans="1:13" x14ac:dyDescent="0.35">
      <c r="A100" s="7" t="str">
        <f t="shared" si="2"/>
        <v>GP078780B865</v>
      </c>
      <c r="B100" s="7" t="s">
        <v>7</v>
      </c>
      <c r="C100" s="7" t="s">
        <v>3139</v>
      </c>
      <c r="D100" s="7" t="s">
        <v>1040</v>
      </c>
      <c r="E100" s="7" t="s">
        <v>3140</v>
      </c>
      <c r="F100" s="7" t="s">
        <v>46</v>
      </c>
      <c r="G100" s="7" t="s">
        <v>47</v>
      </c>
      <c r="H100" s="7" t="s">
        <v>1262</v>
      </c>
      <c r="I100" s="7" t="s">
        <v>1276</v>
      </c>
      <c r="J100" s="29">
        <v>1</v>
      </c>
      <c r="K100" s="29">
        <v>0</v>
      </c>
      <c r="L100" s="29">
        <v>0</v>
      </c>
      <c r="M100" s="29">
        <v>0</v>
      </c>
    </row>
    <row r="101" spans="1:13" x14ac:dyDescent="0.35">
      <c r="A101" s="7" t="str">
        <f t="shared" si="2"/>
        <v>GP078780B867</v>
      </c>
      <c r="B101" s="7" t="s">
        <v>25</v>
      </c>
      <c r="C101" s="7" t="s">
        <v>3131</v>
      </c>
      <c r="D101" s="7" t="s">
        <v>1060</v>
      </c>
      <c r="E101" s="7" t="s">
        <v>3136</v>
      </c>
      <c r="F101" s="7" t="s">
        <v>46</v>
      </c>
      <c r="G101" s="7" t="s">
        <v>47</v>
      </c>
      <c r="H101" s="7" t="s">
        <v>1262</v>
      </c>
      <c r="I101" s="7" t="s">
        <v>1276</v>
      </c>
      <c r="J101" s="29">
        <v>1</v>
      </c>
      <c r="K101" s="29">
        <v>0</v>
      </c>
      <c r="L101" s="29">
        <v>0</v>
      </c>
      <c r="M101" s="29">
        <v>0</v>
      </c>
    </row>
    <row r="102" spans="1:13" x14ac:dyDescent="0.35">
      <c r="A102" s="7" t="str">
        <f t="shared" si="2"/>
        <v>GP082783B825</v>
      </c>
      <c r="B102" s="7" t="s">
        <v>16</v>
      </c>
      <c r="C102" s="7" t="s">
        <v>3127</v>
      </c>
      <c r="D102" s="7" t="s">
        <v>512</v>
      </c>
      <c r="E102" s="7" t="s">
        <v>3128</v>
      </c>
      <c r="F102" s="7" t="s">
        <v>50</v>
      </c>
      <c r="G102" s="7" t="s">
        <v>51</v>
      </c>
      <c r="H102" s="7" t="s">
        <v>1262</v>
      </c>
      <c r="I102" s="7" t="s">
        <v>2591</v>
      </c>
      <c r="J102" s="29">
        <v>1</v>
      </c>
      <c r="K102" s="29">
        <v>0</v>
      </c>
      <c r="L102" s="29">
        <v>0</v>
      </c>
      <c r="M102" s="29">
        <v>0</v>
      </c>
    </row>
    <row r="103" spans="1:13" x14ac:dyDescent="0.35">
      <c r="A103" s="7" t="str">
        <f t="shared" si="2"/>
        <v>GP082783B825</v>
      </c>
      <c r="B103" s="7" t="s">
        <v>16</v>
      </c>
      <c r="C103" s="7" t="s">
        <v>3127</v>
      </c>
      <c r="D103" s="7" t="s">
        <v>512</v>
      </c>
      <c r="E103" s="7" t="s">
        <v>3128</v>
      </c>
      <c r="F103" s="7" t="s">
        <v>50</v>
      </c>
      <c r="G103" s="7" t="s">
        <v>51</v>
      </c>
      <c r="H103" s="7" t="s">
        <v>1262</v>
      </c>
      <c r="I103" s="7" t="s">
        <v>1276</v>
      </c>
      <c r="J103" s="29">
        <v>1</v>
      </c>
      <c r="K103" s="29">
        <v>0</v>
      </c>
      <c r="L103" s="29">
        <v>0</v>
      </c>
      <c r="M103" s="29">
        <v>0</v>
      </c>
    </row>
    <row r="104" spans="1:13" x14ac:dyDescent="0.35">
      <c r="A104" s="7" t="str">
        <f t="shared" si="2"/>
        <v>GP082783B832</v>
      </c>
      <c r="B104" s="7" t="s">
        <v>19</v>
      </c>
      <c r="C104" s="7" t="s">
        <v>3125</v>
      </c>
      <c r="D104" s="7" t="s">
        <v>1177</v>
      </c>
      <c r="E104" s="7" t="s">
        <v>1177</v>
      </c>
      <c r="F104" s="7" t="s">
        <v>50</v>
      </c>
      <c r="G104" s="7" t="s">
        <v>51</v>
      </c>
      <c r="H104" s="7" t="s">
        <v>1262</v>
      </c>
      <c r="I104" s="7" t="s">
        <v>1177</v>
      </c>
      <c r="J104" s="29">
        <v>0</v>
      </c>
      <c r="K104" s="29">
        <v>1</v>
      </c>
      <c r="L104" s="29">
        <v>0</v>
      </c>
      <c r="M104" s="29">
        <v>0</v>
      </c>
    </row>
    <row r="105" spans="1:13" x14ac:dyDescent="0.35">
      <c r="A105" s="7" t="str">
        <f t="shared" si="2"/>
        <v>GP082783B832</v>
      </c>
      <c r="B105" s="7" t="s">
        <v>19</v>
      </c>
      <c r="C105" s="7" t="s">
        <v>3125</v>
      </c>
      <c r="D105" s="7" t="s">
        <v>654</v>
      </c>
      <c r="E105" s="7" t="s">
        <v>3126</v>
      </c>
      <c r="F105" s="7" t="s">
        <v>50</v>
      </c>
      <c r="G105" s="7" t="s">
        <v>51</v>
      </c>
      <c r="H105" s="7" t="s">
        <v>1262</v>
      </c>
      <c r="I105" s="7" t="s">
        <v>2591</v>
      </c>
      <c r="J105" s="29">
        <v>0</v>
      </c>
      <c r="K105" s="29">
        <v>0</v>
      </c>
      <c r="L105" s="29">
        <v>0</v>
      </c>
      <c r="M105" s="29">
        <v>0</v>
      </c>
    </row>
    <row r="106" spans="1:13" x14ac:dyDescent="0.35">
      <c r="A106" s="7" t="str">
        <f t="shared" si="2"/>
        <v>GP082783B832</v>
      </c>
      <c r="B106" s="7" t="s">
        <v>19</v>
      </c>
      <c r="C106" s="7" t="s">
        <v>3125</v>
      </c>
      <c r="D106" s="7" t="s">
        <v>654</v>
      </c>
      <c r="E106" s="7" t="s">
        <v>3126</v>
      </c>
      <c r="F106" s="7" t="s">
        <v>50</v>
      </c>
      <c r="G106" s="7" t="s">
        <v>51</v>
      </c>
      <c r="H106" s="7" t="s">
        <v>1262</v>
      </c>
      <c r="I106" s="7" t="s">
        <v>1276</v>
      </c>
      <c r="J106" s="29">
        <v>0</v>
      </c>
      <c r="K106" s="29">
        <v>0</v>
      </c>
      <c r="L106" s="29">
        <v>0</v>
      </c>
      <c r="M106" s="29">
        <v>0</v>
      </c>
    </row>
    <row r="107" spans="1:13" x14ac:dyDescent="0.35">
      <c r="A107" s="7" t="str">
        <f t="shared" si="2"/>
        <v>GP082783B833</v>
      </c>
      <c r="B107" s="7" t="s">
        <v>697</v>
      </c>
      <c r="C107" s="7" t="s">
        <v>3129</v>
      </c>
      <c r="D107" s="7" t="s">
        <v>699</v>
      </c>
      <c r="E107" s="7" t="s">
        <v>3130</v>
      </c>
      <c r="F107" s="7" t="s">
        <v>50</v>
      </c>
      <c r="G107" s="7" t="s">
        <v>51</v>
      </c>
      <c r="H107" s="7" t="s">
        <v>1262</v>
      </c>
      <c r="I107" s="7" t="s">
        <v>1276</v>
      </c>
      <c r="J107" s="29">
        <v>2</v>
      </c>
      <c r="K107" s="29">
        <v>0</v>
      </c>
      <c r="L107" s="29">
        <v>0</v>
      </c>
      <c r="M107" s="29">
        <v>0</v>
      </c>
    </row>
    <row r="108" spans="1:13" x14ac:dyDescent="0.35">
      <c r="A108" s="7" t="str">
        <f t="shared" si="2"/>
        <v>GP082783B838</v>
      </c>
      <c r="B108" s="7" t="s">
        <v>48</v>
      </c>
      <c r="C108" s="7" t="s">
        <v>3137</v>
      </c>
      <c r="D108" s="7" t="s">
        <v>745</v>
      </c>
      <c r="E108" s="7" t="s">
        <v>3138</v>
      </c>
      <c r="F108" s="7" t="s">
        <v>50</v>
      </c>
      <c r="G108" s="7" t="s">
        <v>51</v>
      </c>
      <c r="H108" s="7" t="s">
        <v>1262</v>
      </c>
      <c r="I108" s="7" t="s">
        <v>1276</v>
      </c>
      <c r="J108" s="29">
        <v>5</v>
      </c>
      <c r="K108" s="29">
        <v>0</v>
      </c>
      <c r="L108" s="29">
        <v>0</v>
      </c>
      <c r="M108" s="29">
        <v>0</v>
      </c>
    </row>
    <row r="109" spans="1:13" x14ac:dyDescent="0.35">
      <c r="A109" s="7" t="str">
        <f t="shared" si="2"/>
        <v>GP082783B856</v>
      </c>
      <c r="B109" s="7" t="s">
        <v>21</v>
      </c>
      <c r="C109" s="7" t="s">
        <v>3131</v>
      </c>
      <c r="D109" s="7" t="s">
        <v>853</v>
      </c>
      <c r="E109" s="7" t="s">
        <v>3132</v>
      </c>
      <c r="F109" s="7" t="s">
        <v>50</v>
      </c>
      <c r="G109" s="7" t="s">
        <v>51</v>
      </c>
      <c r="H109" s="7" t="s">
        <v>1262</v>
      </c>
      <c r="I109" s="7" t="s">
        <v>1276</v>
      </c>
      <c r="J109" s="29">
        <v>13</v>
      </c>
      <c r="K109" s="29">
        <v>0</v>
      </c>
      <c r="L109" s="29">
        <v>0</v>
      </c>
      <c r="M109" s="29">
        <v>0</v>
      </c>
    </row>
    <row r="110" spans="1:13" x14ac:dyDescent="0.35">
      <c r="A110" s="7" t="str">
        <f t="shared" si="2"/>
        <v>GP082783B857</v>
      </c>
      <c r="B110" s="7" t="s">
        <v>23</v>
      </c>
      <c r="C110" s="7" t="s">
        <v>3131</v>
      </c>
      <c r="D110" s="7" t="s">
        <v>959</v>
      </c>
      <c r="E110" s="7" t="s">
        <v>3133</v>
      </c>
      <c r="F110" s="7" t="s">
        <v>50</v>
      </c>
      <c r="G110" s="7" t="s">
        <v>51</v>
      </c>
      <c r="H110" s="7" t="s">
        <v>1262</v>
      </c>
      <c r="I110" s="7" t="s">
        <v>3112</v>
      </c>
      <c r="J110" s="29">
        <v>3</v>
      </c>
      <c r="K110" s="29">
        <v>0</v>
      </c>
      <c r="L110" s="29">
        <v>0</v>
      </c>
      <c r="M110" s="29">
        <v>0</v>
      </c>
    </row>
    <row r="111" spans="1:13" x14ac:dyDescent="0.35">
      <c r="A111" s="7" t="str">
        <f t="shared" si="2"/>
        <v>GP082783B857</v>
      </c>
      <c r="B111" s="7" t="s">
        <v>23</v>
      </c>
      <c r="C111" s="7" t="s">
        <v>3131</v>
      </c>
      <c r="D111" s="7" t="s">
        <v>959</v>
      </c>
      <c r="E111" s="7" t="s">
        <v>3133</v>
      </c>
      <c r="F111" s="7" t="s">
        <v>50</v>
      </c>
      <c r="G111" s="7" t="s">
        <v>51</v>
      </c>
      <c r="H111" s="7" t="s">
        <v>1262</v>
      </c>
      <c r="I111" s="7" t="s">
        <v>1276</v>
      </c>
      <c r="J111" s="29">
        <v>0</v>
      </c>
      <c r="K111" s="29">
        <v>0</v>
      </c>
      <c r="L111" s="29">
        <v>0</v>
      </c>
      <c r="M111" s="29">
        <v>0</v>
      </c>
    </row>
    <row r="112" spans="1:13" x14ac:dyDescent="0.35">
      <c r="A112" s="7" t="str">
        <f t="shared" si="2"/>
        <v>GP082783B864</v>
      </c>
      <c r="B112" s="7" t="s">
        <v>10</v>
      </c>
      <c r="C112" s="7" t="s">
        <v>3134</v>
      </c>
      <c r="D112" s="7" t="s">
        <v>1011</v>
      </c>
      <c r="E112" s="7" t="s">
        <v>3135</v>
      </c>
      <c r="F112" s="7" t="s">
        <v>50</v>
      </c>
      <c r="G112" s="7" t="s">
        <v>51</v>
      </c>
      <c r="H112" s="7" t="s">
        <v>1262</v>
      </c>
      <c r="I112" s="7" t="s">
        <v>2591</v>
      </c>
      <c r="J112" s="29">
        <v>19</v>
      </c>
      <c r="K112" s="29">
        <v>0</v>
      </c>
      <c r="L112" s="29">
        <v>0</v>
      </c>
      <c r="M112" s="29">
        <v>0</v>
      </c>
    </row>
    <row r="113" spans="1:13" x14ac:dyDescent="0.35">
      <c r="A113" s="7" t="str">
        <f t="shared" si="2"/>
        <v>GP082783B864</v>
      </c>
      <c r="B113" s="7" t="s">
        <v>10</v>
      </c>
      <c r="C113" s="7" t="s">
        <v>3134</v>
      </c>
      <c r="D113" s="7" t="s">
        <v>1011</v>
      </c>
      <c r="E113" s="7" t="s">
        <v>3135</v>
      </c>
      <c r="F113" s="7" t="s">
        <v>50</v>
      </c>
      <c r="G113" s="7" t="s">
        <v>51</v>
      </c>
      <c r="H113" s="7" t="s">
        <v>1262</v>
      </c>
      <c r="I113" s="7" t="s">
        <v>1276</v>
      </c>
      <c r="J113" s="29">
        <v>0</v>
      </c>
      <c r="K113" s="29">
        <v>0</v>
      </c>
      <c r="L113" s="29">
        <v>0</v>
      </c>
      <c r="M113" s="29">
        <v>0</v>
      </c>
    </row>
    <row r="114" spans="1:13" x14ac:dyDescent="0.35">
      <c r="A114" s="7" t="str">
        <f t="shared" si="2"/>
        <v>GP082783B865</v>
      </c>
      <c r="B114" s="7" t="s">
        <v>7</v>
      </c>
      <c r="C114" s="7" t="s">
        <v>3139</v>
      </c>
      <c r="D114" s="7" t="s">
        <v>1040</v>
      </c>
      <c r="E114" s="7" t="s">
        <v>3140</v>
      </c>
      <c r="F114" s="7" t="s">
        <v>50</v>
      </c>
      <c r="G114" s="7" t="s">
        <v>51</v>
      </c>
      <c r="H114" s="7" t="s">
        <v>1262</v>
      </c>
      <c r="I114" s="7" t="s">
        <v>2591</v>
      </c>
      <c r="J114" s="29">
        <v>5</v>
      </c>
      <c r="K114" s="29">
        <v>0</v>
      </c>
      <c r="L114" s="29">
        <v>0</v>
      </c>
      <c r="M114" s="29">
        <v>0</v>
      </c>
    </row>
    <row r="115" spans="1:13" x14ac:dyDescent="0.35">
      <c r="A115" s="7" t="str">
        <f t="shared" si="2"/>
        <v>GP082783B865</v>
      </c>
      <c r="B115" s="7" t="s">
        <v>7</v>
      </c>
      <c r="C115" s="7" t="s">
        <v>3139</v>
      </c>
      <c r="D115" s="7" t="s">
        <v>1040</v>
      </c>
      <c r="E115" s="7" t="s">
        <v>3140</v>
      </c>
      <c r="F115" s="7" t="s">
        <v>50</v>
      </c>
      <c r="G115" s="7" t="s">
        <v>51</v>
      </c>
      <c r="H115" s="7" t="s">
        <v>1262</v>
      </c>
      <c r="I115" s="7" t="s">
        <v>1276</v>
      </c>
      <c r="J115" s="29">
        <v>3</v>
      </c>
      <c r="K115" s="29">
        <v>0</v>
      </c>
      <c r="L115" s="29">
        <v>0</v>
      </c>
      <c r="M115" s="29">
        <v>0</v>
      </c>
    </row>
    <row r="116" spans="1:13" x14ac:dyDescent="0.35">
      <c r="A116" s="7" t="str">
        <f t="shared" si="2"/>
        <v>GP082783B867</v>
      </c>
      <c r="B116" s="7" t="s">
        <v>25</v>
      </c>
      <c r="C116" s="7" t="s">
        <v>3131</v>
      </c>
      <c r="D116" s="7" t="s">
        <v>1060</v>
      </c>
      <c r="E116" s="7" t="s">
        <v>3136</v>
      </c>
      <c r="F116" s="7" t="s">
        <v>50</v>
      </c>
      <c r="G116" s="7" t="s">
        <v>51</v>
      </c>
      <c r="H116" s="7" t="s">
        <v>1262</v>
      </c>
      <c r="I116" s="7" t="s">
        <v>2591</v>
      </c>
      <c r="J116" s="29">
        <v>5</v>
      </c>
      <c r="K116" s="29">
        <v>0</v>
      </c>
      <c r="L116" s="29">
        <v>0</v>
      </c>
      <c r="M116" s="29">
        <v>0</v>
      </c>
    </row>
    <row r="117" spans="1:13" x14ac:dyDescent="0.35">
      <c r="A117" s="7" t="str">
        <f t="shared" si="2"/>
        <v>GP082783B867</v>
      </c>
      <c r="B117" s="7" t="s">
        <v>25</v>
      </c>
      <c r="C117" s="7" t="s">
        <v>3131</v>
      </c>
      <c r="D117" s="7" t="s">
        <v>1060</v>
      </c>
      <c r="E117" s="7" t="s">
        <v>3136</v>
      </c>
      <c r="F117" s="7" t="s">
        <v>50</v>
      </c>
      <c r="G117" s="7" t="s">
        <v>51</v>
      </c>
      <c r="H117" s="7" t="s">
        <v>1262</v>
      </c>
      <c r="I117" s="7" t="s">
        <v>1276</v>
      </c>
      <c r="J117" s="29">
        <v>4</v>
      </c>
      <c r="K117" s="29">
        <v>0</v>
      </c>
      <c r="L117" s="29">
        <v>0</v>
      </c>
      <c r="M117" s="29">
        <v>0</v>
      </c>
    </row>
    <row r="118" spans="1:13" x14ac:dyDescent="0.35">
      <c r="A118" s="7" t="str">
        <f t="shared" si="2"/>
        <v>GP091014B825</v>
      </c>
      <c r="B118" s="7" t="s">
        <v>16</v>
      </c>
      <c r="C118" s="7" t="s">
        <v>3127</v>
      </c>
      <c r="D118" s="7" t="s">
        <v>512</v>
      </c>
      <c r="E118" s="7" t="s">
        <v>3128</v>
      </c>
      <c r="F118" s="7" t="s">
        <v>52</v>
      </c>
      <c r="G118" s="7" t="s">
        <v>53</v>
      </c>
      <c r="H118" s="7" t="s">
        <v>1262</v>
      </c>
      <c r="I118" s="7" t="s">
        <v>1286</v>
      </c>
      <c r="J118" s="29">
        <v>5</v>
      </c>
      <c r="K118" s="29">
        <v>0</v>
      </c>
      <c r="L118" s="29">
        <v>0</v>
      </c>
      <c r="M118" s="29">
        <v>0</v>
      </c>
    </row>
    <row r="119" spans="1:13" x14ac:dyDescent="0.35">
      <c r="A119" s="7" t="str">
        <f t="shared" si="2"/>
        <v>GP091014B832</v>
      </c>
      <c r="B119" s="7" t="s">
        <v>19</v>
      </c>
      <c r="C119" s="7" t="s">
        <v>3125</v>
      </c>
      <c r="D119" s="7" t="s">
        <v>654</v>
      </c>
      <c r="E119" s="7" t="s">
        <v>3126</v>
      </c>
      <c r="F119" s="7" t="s">
        <v>52</v>
      </c>
      <c r="G119" s="7" t="s">
        <v>53</v>
      </c>
      <c r="H119" s="7" t="s">
        <v>1262</v>
      </c>
      <c r="I119" s="7" t="s">
        <v>1286</v>
      </c>
      <c r="J119" s="29">
        <v>6</v>
      </c>
      <c r="K119" s="29">
        <v>0</v>
      </c>
      <c r="L119" s="29">
        <v>0</v>
      </c>
      <c r="M119" s="29">
        <v>0</v>
      </c>
    </row>
    <row r="120" spans="1:13" x14ac:dyDescent="0.35">
      <c r="A120" s="7" t="str">
        <f t="shared" si="2"/>
        <v>GP091014B838</v>
      </c>
      <c r="B120" s="7" t="s">
        <v>48</v>
      </c>
      <c r="C120" s="7" t="s">
        <v>3137</v>
      </c>
      <c r="D120" s="7" t="s">
        <v>745</v>
      </c>
      <c r="E120" s="7" t="s">
        <v>3138</v>
      </c>
      <c r="F120" s="7" t="s">
        <v>52</v>
      </c>
      <c r="G120" s="7" t="s">
        <v>53</v>
      </c>
      <c r="H120" s="7" t="s">
        <v>1262</v>
      </c>
      <c r="I120" s="7" t="s">
        <v>1286</v>
      </c>
      <c r="J120" s="29">
        <v>1</v>
      </c>
      <c r="K120" s="29">
        <v>0</v>
      </c>
      <c r="L120" s="29">
        <v>0</v>
      </c>
      <c r="M120" s="29">
        <v>0</v>
      </c>
    </row>
    <row r="121" spans="1:13" x14ac:dyDescent="0.35">
      <c r="A121" s="7" t="str">
        <f t="shared" si="2"/>
        <v>GP091145B825</v>
      </c>
      <c r="B121" s="7" t="s">
        <v>16</v>
      </c>
      <c r="C121" s="7" t="s">
        <v>3127</v>
      </c>
      <c r="D121" s="7" t="s">
        <v>512</v>
      </c>
      <c r="E121" s="7" t="s">
        <v>3128</v>
      </c>
      <c r="F121" s="7" t="s">
        <v>54</v>
      </c>
      <c r="G121" s="7" t="s">
        <v>55</v>
      </c>
      <c r="H121" s="7" t="s">
        <v>1262</v>
      </c>
      <c r="I121" s="7" t="s">
        <v>1276</v>
      </c>
      <c r="J121" s="29">
        <v>5</v>
      </c>
      <c r="K121" s="29">
        <v>0</v>
      </c>
      <c r="L121" s="29">
        <v>0</v>
      </c>
      <c r="M121" s="29">
        <v>0</v>
      </c>
    </row>
    <row r="122" spans="1:13" x14ac:dyDescent="0.35">
      <c r="A122" s="7" t="str">
        <f t="shared" si="2"/>
        <v>GP091145B838</v>
      </c>
      <c r="B122" s="7" t="s">
        <v>48</v>
      </c>
      <c r="C122" s="7" t="s">
        <v>3137</v>
      </c>
      <c r="D122" s="7" t="s">
        <v>745</v>
      </c>
      <c r="E122" s="7" t="s">
        <v>3138</v>
      </c>
      <c r="F122" s="7" t="s">
        <v>54</v>
      </c>
      <c r="G122" s="7" t="s">
        <v>55</v>
      </c>
      <c r="H122" s="7" t="s">
        <v>1262</v>
      </c>
      <c r="I122" s="7" t="s">
        <v>1276</v>
      </c>
      <c r="J122" s="29">
        <v>3</v>
      </c>
      <c r="K122" s="29">
        <v>0</v>
      </c>
      <c r="L122" s="29">
        <v>0</v>
      </c>
      <c r="M122" s="29">
        <v>0</v>
      </c>
    </row>
    <row r="123" spans="1:13" x14ac:dyDescent="0.35">
      <c r="A123" s="7" t="str">
        <f t="shared" si="2"/>
        <v>GP124403B856</v>
      </c>
      <c r="B123" s="7" t="s">
        <v>21</v>
      </c>
      <c r="C123" s="7" t="s">
        <v>3131</v>
      </c>
      <c r="D123" s="7" t="s">
        <v>853</v>
      </c>
      <c r="E123" s="7" t="s">
        <v>3132</v>
      </c>
      <c r="F123" s="7" t="s">
        <v>56</v>
      </c>
      <c r="G123" s="7" t="s">
        <v>58</v>
      </c>
      <c r="H123" s="7" t="s">
        <v>1262</v>
      </c>
      <c r="I123" s="7" t="s">
        <v>1276</v>
      </c>
      <c r="J123" s="29">
        <v>12</v>
      </c>
      <c r="K123" s="29">
        <v>0</v>
      </c>
      <c r="L123" s="29">
        <v>0</v>
      </c>
      <c r="M123" s="29">
        <v>0</v>
      </c>
    </row>
    <row r="124" spans="1:13" x14ac:dyDescent="0.35">
      <c r="A124" s="7" t="str">
        <f t="shared" si="2"/>
        <v>GP124403B857</v>
      </c>
      <c r="B124" s="7" t="s">
        <v>23</v>
      </c>
      <c r="C124" s="7" t="s">
        <v>3131</v>
      </c>
      <c r="D124" s="7" t="s">
        <v>959</v>
      </c>
      <c r="E124" s="7" t="s">
        <v>3133</v>
      </c>
      <c r="F124" s="7" t="s">
        <v>56</v>
      </c>
      <c r="G124" s="7" t="s">
        <v>58</v>
      </c>
      <c r="H124" s="7" t="s">
        <v>1262</v>
      </c>
      <c r="I124" s="7" t="s">
        <v>1276</v>
      </c>
      <c r="J124" s="29">
        <v>2</v>
      </c>
      <c r="K124" s="29">
        <v>0</v>
      </c>
      <c r="L124" s="29">
        <v>0</v>
      </c>
      <c r="M124" s="29">
        <v>0</v>
      </c>
    </row>
    <row r="125" spans="1:13" x14ac:dyDescent="0.35">
      <c r="A125" s="7" t="str">
        <f t="shared" si="2"/>
        <v>GP124403B864</v>
      </c>
      <c r="B125" s="7" t="s">
        <v>10</v>
      </c>
      <c r="C125" s="7" t="s">
        <v>3134</v>
      </c>
      <c r="D125" s="7" t="s">
        <v>1011</v>
      </c>
      <c r="E125" s="7" t="s">
        <v>3135</v>
      </c>
      <c r="F125" s="7" t="s">
        <v>56</v>
      </c>
      <c r="G125" s="7" t="s">
        <v>58</v>
      </c>
      <c r="H125" s="7" t="s">
        <v>1262</v>
      </c>
      <c r="I125" s="7" t="s">
        <v>1276</v>
      </c>
      <c r="J125" s="29">
        <v>10</v>
      </c>
      <c r="K125" s="29">
        <v>0</v>
      </c>
      <c r="L125" s="29">
        <v>0</v>
      </c>
      <c r="M125" s="29">
        <v>0</v>
      </c>
    </row>
    <row r="126" spans="1:13" x14ac:dyDescent="0.35">
      <c r="A126" s="7" t="str">
        <f t="shared" si="2"/>
        <v>GP124403B865</v>
      </c>
      <c r="B126" s="7" t="s">
        <v>7</v>
      </c>
      <c r="C126" s="7" t="s">
        <v>3139</v>
      </c>
      <c r="D126" s="7" t="s">
        <v>1040</v>
      </c>
      <c r="E126" s="7" t="s">
        <v>3140</v>
      </c>
      <c r="F126" s="7" t="s">
        <v>56</v>
      </c>
      <c r="G126" s="7" t="s">
        <v>58</v>
      </c>
      <c r="H126" s="7" t="s">
        <v>1262</v>
      </c>
      <c r="I126" s="7" t="s">
        <v>1276</v>
      </c>
      <c r="J126" s="29">
        <v>12</v>
      </c>
      <c r="K126" s="29">
        <v>0</v>
      </c>
      <c r="L126" s="29">
        <v>0</v>
      </c>
      <c r="M126" s="29">
        <v>0</v>
      </c>
    </row>
    <row r="127" spans="1:13" x14ac:dyDescent="0.35">
      <c r="A127" s="7" t="str">
        <f t="shared" si="2"/>
        <v>GP124403B867</v>
      </c>
      <c r="B127" s="7" t="s">
        <v>25</v>
      </c>
      <c r="C127" s="7" t="s">
        <v>3131</v>
      </c>
      <c r="D127" s="7" t="s">
        <v>1060</v>
      </c>
      <c r="E127" s="7" t="s">
        <v>3136</v>
      </c>
      <c r="F127" s="7" t="s">
        <v>56</v>
      </c>
      <c r="G127" s="7" t="s">
        <v>58</v>
      </c>
      <c r="H127" s="7" t="s">
        <v>1262</v>
      </c>
      <c r="I127" s="7" t="s">
        <v>1276</v>
      </c>
      <c r="J127" s="29">
        <v>6</v>
      </c>
      <c r="K127" s="29">
        <v>0</v>
      </c>
      <c r="L127" s="29">
        <v>0</v>
      </c>
      <c r="M127" s="29">
        <v>0</v>
      </c>
    </row>
    <row r="128" spans="1:13" x14ac:dyDescent="0.35">
      <c r="A128" s="7" t="str">
        <f t="shared" si="2"/>
        <v>GP127960B825</v>
      </c>
      <c r="B128" s="7" t="s">
        <v>16</v>
      </c>
      <c r="C128" s="7" t="s">
        <v>3127</v>
      </c>
      <c r="D128" s="7" t="s">
        <v>512</v>
      </c>
      <c r="E128" s="7" t="s">
        <v>3128</v>
      </c>
      <c r="F128" s="7" t="s">
        <v>60</v>
      </c>
      <c r="G128" s="7" t="s">
        <v>61</v>
      </c>
      <c r="H128" s="7" t="s">
        <v>1262</v>
      </c>
      <c r="I128" s="7" t="s">
        <v>2591</v>
      </c>
      <c r="J128" s="29">
        <v>2</v>
      </c>
      <c r="K128" s="29">
        <v>0</v>
      </c>
      <c r="L128" s="29">
        <v>0</v>
      </c>
      <c r="M128" s="29">
        <v>0</v>
      </c>
    </row>
    <row r="129" spans="1:13" x14ac:dyDescent="0.35">
      <c r="A129" s="7" t="str">
        <f t="shared" si="2"/>
        <v>GP127960B825</v>
      </c>
      <c r="B129" s="7" t="s">
        <v>16</v>
      </c>
      <c r="C129" s="7" t="s">
        <v>3127</v>
      </c>
      <c r="D129" s="7" t="s">
        <v>512</v>
      </c>
      <c r="E129" s="7" t="s">
        <v>3128</v>
      </c>
      <c r="F129" s="7" t="s">
        <v>60</v>
      </c>
      <c r="G129" s="7" t="s">
        <v>61</v>
      </c>
      <c r="H129" s="7" t="s">
        <v>1262</v>
      </c>
      <c r="I129" s="7" t="s">
        <v>1276</v>
      </c>
      <c r="J129" s="29">
        <v>8</v>
      </c>
      <c r="K129" s="29">
        <v>0</v>
      </c>
      <c r="L129" s="29">
        <v>0</v>
      </c>
      <c r="M129" s="29">
        <v>0</v>
      </c>
    </row>
    <row r="130" spans="1:13" x14ac:dyDescent="0.35">
      <c r="A130" s="7" t="str">
        <f t="shared" si="2"/>
        <v>GP127960B832</v>
      </c>
      <c r="B130" s="7" t="s">
        <v>19</v>
      </c>
      <c r="C130" s="7" t="s">
        <v>3125</v>
      </c>
      <c r="D130" s="7" t="s">
        <v>1177</v>
      </c>
      <c r="E130" s="7" t="s">
        <v>1177</v>
      </c>
      <c r="F130" s="7" t="s">
        <v>60</v>
      </c>
      <c r="G130" s="7" t="s">
        <v>61</v>
      </c>
      <c r="H130" s="7" t="s">
        <v>1262</v>
      </c>
      <c r="I130" s="7" t="s">
        <v>1177</v>
      </c>
      <c r="J130" s="29">
        <v>0</v>
      </c>
      <c r="K130" s="29">
        <v>2</v>
      </c>
      <c r="L130" s="29">
        <v>0</v>
      </c>
      <c r="M130" s="29">
        <v>0</v>
      </c>
    </row>
    <row r="131" spans="1:13" x14ac:dyDescent="0.35">
      <c r="A131" s="7" t="str">
        <f t="shared" ref="A131:A194" si="3">_xlfn.CONCAT(F131,B131)</f>
        <v>GP127960B832</v>
      </c>
      <c r="B131" s="7" t="s">
        <v>19</v>
      </c>
      <c r="C131" s="7" t="s">
        <v>3125</v>
      </c>
      <c r="D131" s="7" t="s">
        <v>654</v>
      </c>
      <c r="E131" s="7" t="s">
        <v>3126</v>
      </c>
      <c r="F131" s="7" t="s">
        <v>60</v>
      </c>
      <c r="G131" s="7" t="s">
        <v>61</v>
      </c>
      <c r="H131" s="7" t="s">
        <v>1262</v>
      </c>
      <c r="I131" s="7" t="s">
        <v>2591</v>
      </c>
      <c r="J131" s="29">
        <v>1</v>
      </c>
      <c r="K131" s="29">
        <v>0</v>
      </c>
      <c r="L131" s="29">
        <v>0</v>
      </c>
      <c r="M131" s="29">
        <v>0</v>
      </c>
    </row>
    <row r="132" spans="1:13" x14ac:dyDescent="0.35">
      <c r="A132" s="7" t="str">
        <f t="shared" si="3"/>
        <v>GP127960B833</v>
      </c>
      <c r="B132" s="7" t="s">
        <v>697</v>
      </c>
      <c r="C132" s="7" t="s">
        <v>3129</v>
      </c>
      <c r="D132" s="7" t="s">
        <v>699</v>
      </c>
      <c r="E132" s="7" t="s">
        <v>3130</v>
      </c>
      <c r="F132" s="7" t="s">
        <v>60</v>
      </c>
      <c r="G132" s="7" t="s">
        <v>61</v>
      </c>
      <c r="H132" s="7" t="s">
        <v>1262</v>
      </c>
      <c r="I132" s="7" t="s">
        <v>1276</v>
      </c>
      <c r="J132" s="29">
        <v>2</v>
      </c>
      <c r="K132" s="29">
        <v>0</v>
      </c>
      <c r="L132" s="29">
        <v>0</v>
      </c>
      <c r="M132" s="29">
        <v>0</v>
      </c>
    </row>
    <row r="133" spans="1:13" x14ac:dyDescent="0.35">
      <c r="A133" s="7" t="str">
        <f t="shared" si="3"/>
        <v>GP127960B838</v>
      </c>
      <c r="B133" s="7" t="s">
        <v>48</v>
      </c>
      <c r="C133" s="7" t="s">
        <v>3137</v>
      </c>
      <c r="D133" s="7" t="s">
        <v>745</v>
      </c>
      <c r="E133" s="7" t="s">
        <v>3138</v>
      </c>
      <c r="F133" s="7" t="s">
        <v>60</v>
      </c>
      <c r="G133" s="7" t="s">
        <v>61</v>
      </c>
      <c r="H133" s="7" t="s">
        <v>1262</v>
      </c>
      <c r="I133" s="7" t="s">
        <v>2591</v>
      </c>
      <c r="J133" s="29">
        <v>1</v>
      </c>
      <c r="K133" s="29">
        <v>0</v>
      </c>
      <c r="L133" s="29">
        <v>0</v>
      </c>
      <c r="M133" s="29">
        <v>0</v>
      </c>
    </row>
    <row r="134" spans="1:13" x14ac:dyDescent="0.35">
      <c r="A134" s="7" t="str">
        <f t="shared" si="3"/>
        <v>GP127960B838</v>
      </c>
      <c r="B134" s="7" t="s">
        <v>48</v>
      </c>
      <c r="C134" s="7" t="s">
        <v>3137</v>
      </c>
      <c r="D134" s="7" t="s">
        <v>745</v>
      </c>
      <c r="E134" s="7" t="s">
        <v>3138</v>
      </c>
      <c r="F134" s="7" t="s">
        <v>60</v>
      </c>
      <c r="G134" s="7" t="s">
        <v>61</v>
      </c>
      <c r="H134" s="7" t="s">
        <v>1262</v>
      </c>
      <c r="I134" s="7" t="s">
        <v>1276</v>
      </c>
      <c r="J134" s="29">
        <v>1</v>
      </c>
      <c r="K134" s="29">
        <v>0</v>
      </c>
      <c r="L134" s="29">
        <v>0</v>
      </c>
      <c r="M134" s="29">
        <v>0</v>
      </c>
    </row>
    <row r="135" spans="1:13" x14ac:dyDescent="0.35">
      <c r="A135" s="7" t="str">
        <f t="shared" si="3"/>
        <v>GP127960B856</v>
      </c>
      <c r="B135" s="7" t="s">
        <v>21</v>
      </c>
      <c r="C135" s="7" t="s">
        <v>3131</v>
      </c>
      <c r="D135" s="7" t="s">
        <v>853</v>
      </c>
      <c r="E135" s="7" t="s">
        <v>3132</v>
      </c>
      <c r="F135" s="7" t="s">
        <v>60</v>
      </c>
      <c r="G135" s="7" t="s">
        <v>61</v>
      </c>
      <c r="H135" s="7" t="s">
        <v>1262</v>
      </c>
      <c r="I135" s="7" t="s">
        <v>1276</v>
      </c>
      <c r="J135" s="29">
        <v>2</v>
      </c>
      <c r="K135" s="29">
        <v>0</v>
      </c>
      <c r="L135" s="29">
        <v>0</v>
      </c>
      <c r="M135" s="29">
        <v>0</v>
      </c>
    </row>
    <row r="136" spans="1:13" x14ac:dyDescent="0.35">
      <c r="A136" s="7" t="str">
        <f t="shared" si="3"/>
        <v>GP127960B857</v>
      </c>
      <c r="B136" s="7" t="s">
        <v>23</v>
      </c>
      <c r="C136" s="7" t="s">
        <v>3131</v>
      </c>
      <c r="D136" s="7" t="s">
        <v>959</v>
      </c>
      <c r="E136" s="7" t="s">
        <v>3133</v>
      </c>
      <c r="F136" s="7" t="s">
        <v>60</v>
      </c>
      <c r="G136" s="7" t="s">
        <v>61</v>
      </c>
      <c r="H136" s="7" t="s">
        <v>1262</v>
      </c>
      <c r="I136" s="7" t="s">
        <v>1276</v>
      </c>
      <c r="J136" s="29">
        <v>3</v>
      </c>
      <c r="K136" s="29">
        <v>0</v>
      </c>
      <c r="L136" s="29">
        <v>0</v>
      </c>
      <c r="M136" s="29">
        <v>0</v>
      </c>
    </row>
    <row r="137" spans="1:13" x14ac:dyDescent="0.35">
      <c r="A137" s="7" t="str">
        <f t="shared" si="3"/>
        <v>GP127960B864</v>
      </c>
      <c r="B137" s="7" t="s">
        <v>10</v>
      </c>
      <c r="C137" s="7" t="s">
        <v>3134</v>
      </c>
      <c r="D137" s="7" t="s">
        <v>1011</v>
      </c>
      <c r="E137" s="7" t="s">
        <v>3135</v>
      </c>
      <c r="F137" s="7" t="s">
        <v>60</v>
      </c>
      <c r="G137" s="7" t="s">
        <v>61</v>
      </c>
      <c r="H137" s="7" t="s">
        <v>1262</v>
      </c>
      <c r="I137" s="7" t="s">
        <v>2591</v>
      </c>
      <c r="J137" s="29">
        <v>1</v>
      </c>
      <c r="K137" s="29">
        <v>0</v>
      </c>
      <c r="L137" s="29">
        <v>0</v>
      </c>
      <c r="M137" s="29">
        <v>0</v>
      </c>
    </row>
    <row r="138" spans="1:13" x14ac:dyDescent="0.35">
      <c r="A138" s="7" t="str">
        <f t="shared" si="3"/>
        <v>GP127960B864</v>
      </c>
      <c r="B138" s="7" t="s">
        <v>10</v>
      </c>
      <c r="C138" s="7" t="s">
        <v>3134</v>
      </c>
      <c r="D138" s="7" t="s">
        <v>1011</v>
      </c>
      <c r="E138" s="7" t="s">
        <v>3135</v>
      </c>
      <c r="F138" s="7" t="s">
        <v>60</v>
      </c>
      <c r="G138" s="7" t="s">
        <v>61</v>
      </c>
      <c r="H138" s="7" t="s">
        <v>1262</v>
      </c>
      <c r="I138" s="7" t="s">
        <v>1276</v>
      </c>
      <c r="J138" s="29">
        <v>2</v>
      </c>
      <c r="K138" s="29">
        <v>0</v>
      </c>
      <c r="L138" s="29">
        <v>0</v>
      </c>
      <c r="M138" s="29">
        <v>0</v>
      </c>
    </row>
    <row r="139" spans="1:13" x14ac:dyDescent="0.35">
      <c r="A139" s="7" t="str">
        <f t="shared" si="3"/>
        <v>GP127960B865</v>
      </c>
      <c r="B139" s="7" t="s">
        <v>7</v>
      </c>
      <c r="C139" s="7" t="s">
        <v>3139</v>
      </c>
      <c r="D139" s="7" t="s">
        <v>1177</v>
      </c>
      <c r="E139" s="7" t="s">
        <v>1177</v>
      </c>
      <c r="F139" s="7" t="s">
        <v>60</v>
      </c>
      <c r="G139" s="7" t="s">
        <v>61</v>
      </c>
      <c r="H139" s="7" t="s">
        <v>1262</v>
      </c>
      <c r="I139" s="7" t="s">
        <v>1177</v>
      </c>
      <c r="J139" s="29">
        <v>0</v>
      </c>
      <c r="K139" s="29">
        <v>1</v>
      </c>
      <c r="L139" s="29">
        <v>0</v>
      </c>
      <c r="M139" s="29">
        <v>0</v>
      </c>
    </row>
    <row r="140" spans="1:13" x14ac:dyDescent="0.35">
      <c r="A140" s="7" t="str">
        <f t="shared" si="3"/>
        <v>GP127960B865</v>
      </c>
      <c r="B140" s="7" t="s">
        <v>7</v>
      </c>
      <c r="C140" s="7" t="s">
        <v>3139</v>
      </c>
      <c r="D140" s="7" t="s">
        <v>1040</v>
      </c>
      <c r="E140" s="7" t="s">
        <v>3140</v>
      </c>
      <c r="F140" s="7" t="s">
        <v>60</v>
      </c>
      <c r="G140" s="7" t="s">
        <v>61</v>
      </c>
      <c r="H140" s="7" t="s">
        <v>1262</v>
      </c>
      <c r="I140" s="7" t="s">
        <v>1276</v>
      </c>
      <c r="J140" s="29">
        <v>4</v>
      </c>
      <c r="K140" s="29">
        <v>0</v>
      </c>
      <c r="L140" s="29">
        <v>0</v>
      </c>
      <c r="M140" s="29">
        <v>0</v>
      </c>
    </row>
    <row r="141" spans="1:13" x14ac:dyDescent="0.35">
      <c r="A141" s="7" t="str">
        <f t="shared" si="3"/>
        <v>GP127960B867</v>
      </c>
      <c r="B141" s="7" t="s">
        <v>25</v>
      </c>
      <c r="C141" s="7" t="s">
        <v>3131</v>
      </c>
      <c r="D141" s="7" t="s">
        <v>1060</v>
      </c>
      <c r="E141" s="7" t="s">
        <v>3136</v>
      </c>
      <c r="F141" s="7" t="s">
        <v>60</v>
      </c>
      <c r="G141" s="7" t="s">
        <v>61</v>
      </c>
      <c r="H141" s="7" t="s">
        <v>1262</v>
      </c>
      <c r="I141" s="7" t="s">
        <v>2591</v>
      </c>
      <c r="J141" s="29">
        <v>1</v>
      </c>
      <c r="K141" s="29">
        <v>0</v>
      </c>
      <c r="L141" s="29">
        <v>0</v>
      </c>
      <c r="M141" s="29">
        <v>0</v>
      </c>
    </row>
    <row r="142" spans="1:13" x14ac:dyDescent="0.35">
      <c r="A142" s="7" t="str">
        <f t="shared" si="3"/>
        <v>GP127960B867</v>
      </c>
      <c r="B142" s="7" t="s">
        <v>25</v>
      </c>
      <c r="C142" s="7" t="s">
        <v>3131</v>
      </c>
      <c r="D142" s="7" t="s">
        <v>1060</v>
      </c>
      <c r="E142" s="7" t="s">
        <v>3136</v>
      </c>
      <c r="F142" s="7" t="s">
        <v>60</v>
      </c>
      <c r="G142" s="7" t="s">
        <v>61</v>
      </c>
      <c r="H142" s="7" t="s">
        <v>1262</v>
      </c>
      <c r="I142" s="7" t="s">
        <v>1276</v>
      </c>
      <c r="J142" s="29">
        <v>2</v>
      </c>
      <c r="K142" s="29">
        <v>0</v>
      </c>
      <c r="L142" s="29">
        <v>0</v>
      </c>
      <c r="M142" s="29">
        <v>0</v>
      </c>
    </row>
    <row r="143" spans="1:13" x14ac:dyDescent="0.35">
      <c r="A143" s="7" t="str">
        <f t="shared" si="3"/>
        <v>GP131157B825</v>
      </c>
      <c r="B143" s="7" t="s">
        <v>16</v>
      </c>
      <c r="C143" s="7" t="s">
        <v>3127</v>
      </c>
      <c r="D143" s="7" t="s">
        <v>512</v>
      </c>
      <c r="E143" s="7" t="s">
        <v>3128</v>
      </c>
      <c r="F143" s="7" t="s">
        <v>62</v>
      </c>
      <c r="G143" s="7" t="s">
        <v>63</v>
      </c>
      <c r="H143" s="7" t="s">
        <v>1262</v>
      </c>
      <c r="I143" s="7" t="s">
        <v>1177</v>
      </c>
      <c r="J143" s="30">
        <v>1117.9000000000001</v>
      </c>
      <c r="K143" s="29">
        <v>0</v>
      </c>
      <c r="L143" s="29">
        <v>0</v>
      </c>
      <c r="M143" s="29">
        <v>0</v>
      </c>
    </row>
    <row r="144" spans="1:13" x14ac:dyDescent="0.35">
      <c r="A144" s="7" t="str">
        <f t="shared" si="3"/>
        <v>GP131157B832</v>
      </c>
      <c r="B144" s="7" t="s">
        <v>19</v>
      </c>
      <c r="C144" s="7" t="s">
        <v>3125</v>
      </c>
      <c r="D144" s="7" t="s">
        <v>1177</v>
      </c>
      <c r="E144" s="7" t="s">
        <v>1177</v>
      </c>
      <c r="F144" s="7" t="s">
        <v>62</v>
      </c>
      <c r="G144" s="7" t="s">
        <v>63</v>
      </c>
      <c r="H144" s="7" t="s">
        <v>1262</v>
      </c>
      <c r="I144" s="7" t="s">
        <v>1177</v>
      </c>
      <c r="J144" s="29">
        <v>0</v>
      </c>
      <c r="K144" s="29">
        <v>25</v>
      </c>
      <c r="L144" s="29">
        <v>0</v>
      </c>
      <c r="M144" s="29">
        <v>0</v>
      </c>
    </row>
    <row r="145" spans="1:13" x14ac:dyDescent="0.35">
      <c r="A145" s="7" t="str">
        <f t="shared" si="3"/>
        <v>GP131157B832</v>
      </c>
      <c r="B145" s="7" t="s">
        <v>19</v>
      </c>
      <c r="C145" s="7" t="s">
        <v>3125</v>
      </c>
      <c r="D145" s="7" t="s">
        <v>654</v>
      </c>
      <c r="E145" s="7" t="s">
        <v>3126</v>
      </c>
      <c r="F145" s="7" t="s">
        <v>62</v>
      </c>
      <c r="G145" s="7" t="s">
        <v>63</v>
      </c>
      <c r="H145" s="7" t="s">
        <v>1262</v>
      </c>
      <c r="I145" s="7" t="s">
        <v>1177</v>
      </c>
      <c r="J145" s="29">
        <v>257</v>
      </c>
      <c r="K145" s="29">
        <v>0</v>
      </c>
      <c r="L145" s="29">
        <v>0</v>
      </c>
      <c r="M145" s="29">
        <v>0</v>
      </c>
    </row>
    <row r="146" spans="1:13" x14ac:dyDescent="0.35">
      <c r="A146" s="7" t="str">
        <f t="shared" si="3"/>
        <v>GP131157B833</v>
      </c>
      <c r="B146" s="7" t="s">
        <v>697</v>
      </c>
      <c r="C146" s="7" t="s">
        <v>3129</v>
      </c>
      <c r="D146" s="7" t="s">
        <v>699</v>
      </c>
      <c r="E146" s="7" t="s">
        <v>3130</v>
      </c>
      <c r="F146" s="7" t="s">
        <v>62</v>
      </c>
      <c r="G146" s="7" t="s">
        <v>63</v>
      </c>
      <c r="H146" s="7" t="s">
        <v>1262</v>
      </c>
      <c r="I146" s="7" t="s">
        <v>1177</v>
      </c>
      <c r="J146" s="30">
        <v>8.5</v>
      </c>
      <c r="K146" s="29">
        <v>0</v>
      </c>
      <c r="L146" s="29">
        <v>0</v>
      </c>
      <c r="M146" s="29">
        <v>0</v>
      </c>
    </row>
    <row r="147" spans="1:13" x14ac:dyDescent="0.35">
      <c r="A147" s="7" t="str">
        <f t="shared" si="3"/>
        <v>GP131157B838</v>
      </c>
      <c r="B147" s="7" t="s">
        <v>48</v>
      </c>
      <c r="C147" s="7" t="s">
        <v>3137</v>
      </c>
      <c r="D147" s="7" t="s">
        <v>745</v>
      </c>
      <c r="E147" s="7" t="s">
        <v>3138</v>
      </c>
      <c r="F147" s="7" t="s">
        <v>62</v>
      </c>
      <c r="G147" s="7" t="s">
        <v>63</v>
      </c>
      <c r="H147" s="7" t="s">
        <v>1262</v>
      </c>
      <c r="I147" s="7" t="s">
        <v>1177</v>
      </c>
      <c r="J147" s="30">
        <v>14.8</v>
      </c>
      <c r="K147" s="29">
        <v>0</v>
      </c>
      <c r="L147" s="29">
        <v>0</v>
      </c>
      <c r="M147" s="29">
        <v>0</v>
      </c>
    </row>
    <row r="148" spans="1:13" x14ac:dyDescent="0.35">
      <c r="A148" s="7" t="str">
        <f t="shared" si="3"/>
        <v>GP131157B856</v>
      </c>
      <c r="B148" s="7" t="s">
        <v>21</v>
      </c>
      <c r="C148" s="7" t="s">
        <v>3131</v>
      </c>
      <c r="D148" s="7" t="s">
        <v>1177</v>
      </c>
      <c r="E148" s="7" t="s">
        <v>1177</v>
      </c>
      <c r="F148" s="7" t="s">
        <v>62</v>
      </c>
      <c r="G148" s="7" t="s">
        <v>63</v>
      </c>
      <c r="H148" s="7" t="s">
        <v>1262</v>
      </c>
      <c r="I148" s="7" t="s">
        <v>1177</v>
      </c>
      <c r="J148" s="29">
        <v>0</v>
      </c>
      <c r="K148" s="29">
        <v>600</v>
      </c>
      <c r="L148" s="29">
        <v>0</v>
      </c>
      <c r="M148" s="29">
        <v>0</v>
      </c>
    </row>
    <row r="149" spans="1:13" x14ac:dyDescent="0.35">
      <c r="A149" s="7" t="str">
        <f t="shared" si="3"/>
        <v>GP131157B856</v>
      </c>
      <c r="B149" s="7" t="s">
        <v>21</v>
      </c>
      <c r="C149" s="7" t="s">
        <v>3131</v>
      </c>
      <c r="D149" s="7" t="s">
        <v>853</v>
      </c>
      <c r="E149" s="7" t="s">
        <v>3132</v>
      </c>
      <c r="F149" s="7" t="s">
        <v>62</v>
      </c>
      <c r="G149" s="7" t="s">
        <v>63</v>
      </c>
      <c r="H149" s="7" t="s">
        <v>1262</v>
      </c>
      <c r="I149" s="7" t="s">
        <v>1177</v>
      </c>
      <c r="J149" s="30">
        <v>10.7</v>
      </c>
      <c r="K149" s="29">
        <v>0</v>
      </c>
      <c r="L149" s="29">
        <v>0</v>
      </c>
      <c r="M149" s="29">
        <v>0</v>
      </c>
    </row>
    <row r="150" spans="1:13" x14ac:dyDescent="0.35">
      <c r="A150" s="7" t="str">
        <f t="shared" si="3"/>
        <v>GP131157B857</v>
      </c>
      <c r="B150" s="7" t="s">
        <v>23</v>
      </c>
      <c r="C150" s="7" t="s">
        <v>3131</v>
      </c>
      <c r="D150" s="7" t="s">
        <v>959</v>
      </c>
      <c r="E150" s="7" t="s">
        <v>3133</v>
      </c>
      <c r="F150" s="7" t="s">
        <v>62</v>
      </c>
      <c r="G150" s="7" t="s">
        <v>63</v>
      </c>
      <c r="H150" s="7" t="s">
        <v>1262</v>
      </c>
      <c r="I150" s="7" t="s">
        <v>1177</v>
      </c>
      <c r="J150" s="30">
        <v>11.8</v>
      </c>
      <c r="K150" s="29">
        <v>0</v>
      </c>
      <c r="L150" s="29">
        <v>0</v>
      </c>
      <c r="M150" s="29">
        <v>0</v>
      </c>
    </row>
    <row r="151" spans="1:13" x14ac:dyDescent="0.35">
      <c r="A151" s="7" t="str">
        <f t="shared" si="3"/>
        <v>GP131157B864</v>
      </c>
      <c r="B151" s="7" t="s">
        <v>10</v>
      </c>
      <c r="C151" s="7" t="s">
        <v>3134</v>
      </c>
      <c r="D151" s="7" t="s">
        <v>1011</v>
      </c>
      <c r="E151" s="7" t="s">
        <v>3135</v>
      </c>
      <c r="F151" s="7" t="s">
        <v>62</v>
      </c>
      <c r="G151" s="7" t="s">
        <v>63</v>
      </c>
      <c r="H151" s="7" t="s">
        <v>1262</v>
      </c>
      <c r="I151" s="7" t="s">
        <v>1177</v>
      </c>
      <c r="J151" s="29">
        <v>194</v>
      </c>
      <c r="K151" s="29">
        <v>0</v>
      </c>
      <c r="L151" s="29">
        <v>0</v>
      </c>
      <c r="M151" s="29">
        <v>0</v>
      </c>
    </row>
    <row r="152" spans="1:13" x14ac:dyDescent="0.35">
      <c r="A152" s="7" t="str">
        <f t="shared" si="3"/>
        <v>GP131157B865</v>
      </c>
      <c r="B152" s="7" t="s">
        <v>7</v>
      </c>
      <c r="C152" s="7" t="s">
        <v>3139</v>
      </c>
      <c r="D152" s="7" t="s">
        <v>1177</v>
      </c>
      <c r="E152" s="7" t="s">
        <v>1177</v>
      </c>
      <c r="F152" s="7" t="s">
        <v>62</v>
      </c>
      <c r="G152" s="7" t="s">
        <v>63</v>
      </c>
      <c r="H152" s="7" t="s">
        <v>1262</v>
      </c>
      <c r="I152" s="7" t="s">
        <v>1177</v>
      </c>
      <c r="J152" s="29">
        <v>0</v>
      </c>
      <c r="K152" s="29">
        <v>150</v>
      </c>
      <c r="L152" s="29">
        <v>0</v>
      </c>
      <c r="M152" s="29">
        <v>0</v>
      </c>
    </row>
    <row r="153" spans="1:13" x14ac:dyDescent="0.35">
      <c r="A153" s="7" t="str">
        <f t="shared" si="3"/>
        <v>GP131157B865</v>
      </c>
      <c r="B153" s="7" t="s">
        <v>7</v>
      </c>
      <c r="C153" s="7" t="s">
        <v>3139</v>
      </c>
      <c r="D153" s="7" t="s">
        <v>1040</v>
      </c>
      <c r="E153" s="7" t="s">
        <v>3140</v>
      </c>
      <c r="F153" s="7" t="s">
        <v>62</v>
      </c>
      <c r="G153" s="7" t="s">
        <v>63</v>
      </c>
      <c r="H153" s="7" t="s">
        <v>1262</v>
      </c>
      <c r="I153" s="7" t="s">
        <v>1177</v>
      </c>
      <c r="J153" s="29">
        <v>0</v>
      </c>
      <c r="K153" s="29">
        <v>0</v>
      </c>
      <c r="L153" s="29">
        <v>0</v>
      </c>
      <c r="M153" s="29">
        <v>0</v>
      </c>
    </row>
    <row r="154" spans="1:13" x14ac:dyDescent="0.35">
      <c r="A154" s="7" t="str">
        <f t="shared" si="3"/>
        <v>GP131157B867</v>
      </c>
      <c r="B154" s="7" t="s">
        <v>25</v>
      </c>
      <c r="C154" s="7" t="s">
        <v>3131</v>
      </c>
      <c r="D154" s="7" t="s">
        <v>1177</v>
      </c>
      <c r="E154" s="7" t="s">
        <v>1177</v>
      </c>
      <c r="F154" s="7" t="s">
        <v>62</v>
      </c>
      <c r="G154" s="7" t="s">
        <v>63</v>
      </c>
      <c r="H154" s="7" t="s">
        <v>1262</v>
      </c>
      <c r="I154" s="7" t="s">
        <v>1177</v>
      </c>
      <c r="J154" s="29">
        <v>0</v>
      </c>
      <c r="K154" s="29">
        <v>500</v>
      </c>
      <c r="L154" s="29">
        <v>0</v>
      </c>
      <c r="M154" s="29">
        <v>0</v>
      </c>
    </row>
    <row r="155" spans="1:13" x14ac:dyDescent="0.35">
      <c r="A155" s="7" t="str">
        <f t="shared" si="3"/>
        <v>GP131157B867</v>
      </c>
      <c r="B155" s="7" t="s">
        <v>25</v>
      </c>
      <c r="C155" s="7" t="s">
        <v>3131</v>
      </c>
      <c r="D155" s="7" t="s">
        <v>1060</v>
      </c>
      <c r="E155" s="7" t="s">
        <v>3136</v>
      </c>
      <c r="F155" s="7" t="s">
        <v>62</v>
      </c>
      <c r="G155" s="7" t="s">
        <v>63</v>
      </c>
      <c r="H155" s="7" t="s">
        <v>1262</v>
      </c>
      <c r="I155" s="7" t="s">
        <v>1177</v>
      </c>
      <c r="J155" s="30">
        <v>83.1</v>
      </c>
      <c r="K155" s="29">
        <v>0</v>
      </c>
      <c r="L155" s="29">
        <v>0</v>
      </c>
      <c r="M155" s="29">
        <v>0</v>
      </c>
    </row>
    <row r="156" spans="1:13" x14ac:dyDescent="0.35">
      <c r="A156" s="7" t="str">
        <f t="shared" si="3"/>
        <v>GP135716B825</v>
      </c>
      <c r="B156" s="7" t="s">
        <v>16</v>
      </c>
      <c r="C156" s="7" t="s">
        <v>3127</v>
      </c>
      <c r="D156" s="7" t="s">
        <v>512</v>
      </c>
      <c r="E156" s="7" t="s">
        <v>3128</v>
      </c>
      <c r="F156" s="7" t="s">
        <v>64</v>
      </c>
      <c r="G156" s="7" t="s">
        <v>65</v>
      </c>
      <c r="H156" s="7" t="s">
        <v>1262</v>
      </c>
      <c r="I156" s="7" t="s">
        <v>1276</v>
      </c>
      <c r="J156" s="29">
        <v>8</v>
      </c>
      <c r="K156" s="29">
        <v>0</v>
      </c>
      <c r="L156" s="29">
        <v>0</v>
      </c>
      <c r="M156" s="29">
        <v>0</v>
      </c>
    </row>
    <row r="157" spans="1:13" x14ac:dyDescent="0.35">
      <c r="A157" s="7" t="str">
        <f t="shared" si="3"/>
        <v>GP135716B832</v>
      </c>
      <c r="B157" s="7" t="s">
        <v>19</v>
      </c>
      <c r="C157" s="7" t="s">
        <v>3125</v>
      </c>
      <c r="D157" s="7" t="s">
        <v>654</v>
      </c>
      <c r="E157" s="7" t="s">
        <v>3126</v>
      </c>
      <c r="F157" s="7" t="s">
        <v>64</v>
      </c>
      <c r="G157" s="7" t="s">
        <v>65</v>
      </c>
      <c r="H157" s="7" t="s">
        <v>1262</v>
      </c>
      <c r="I157" s="7" t="s">
        <v>1276</v>
      </c>
      <c r="J157" s="29">
        <v>3</v>
      </c>
      <c r="K157" s="29">
        <v>0</v>
      </c>
      <c r="L157" s="29">
        <v>0</v>
      </c>
      <c r="M157" s="29">
        <v>0</v>
      </c>
    </row>
    <row r="158" spans="1:13" x14ac:dyDescent="0.35">
      <c r="A158" s="7" t="str">
        <f t="shared" si="3"/>
        <v>GP135716B833</v>
      </c>
      <c r="B158" s="7" t="s">
        <v>697</v>
      </c>
      <c r="C158" s="7" t="s">
        <v>3129</v>
      </c>
      <c r="D158" s="7" t="s">
        <v>699</v>
      </c>
      <c r="E158" s="7" t="s">
        <v>3130</v>
      </c>
      <c r="F158" s="7" t="s">
        <v>64</v>
      </c>
      <c r="G158" s="7" t="s">
        <v>65</v>
      </c>
      <c r="H158" s="7" t="s">
        <v>1262</v>
      </c>
      <c r="I158" s="7" t="s">
        <v>1276</v>
      </c>
      <c r="J158" s="29">
        <v>1</v>
      </c>
      <c r="K158" s="29">
        <v>0</v>
      </c>
      <c r="L158" s="29">
        <v>0</v>
      </c>
      <c r="M158" s="29">
        <v>0</v>
      </c>
    </row>
    <row r="159" spans="1:13" x14ac:dyDescent="0.35">
      <c r="A159" s="7" t="str">
        <f t="shared" si="3"/>
        <v>GP135716B838</v>
      </c>
      <c r="B159" s="7" t="s">
        <v>48</v>
      </c>
      <c r="C159" s="7" t="s">
        <v>3137</v>
      </c>
      <c r="D159" s="7" t="s">
        <v>745</v>
      </c>
      <c r="E159" s="7" t="s">
        <v>3138</v>
      </c>
      <c r="F159" s="7" t="s">
        <v>64</v>
      </c>
      <c r="G159" s="7" t="s">
        <v>65</v>
      </c>
      <c r="H159" s="7" t="s">
        <v>1262</v>
      </c>
      <c r="I159" s="7" t="s">
        <v>1276</v>
      </c>
      <c r="J159" s="29">
        <v>8</v>
      </c>
      <c r="K159" s="29">
        <v>0</v>
      </c>
      <c r="L159" s="29">
        <v>0</v>
      </c>
      <c r="M159" s="29">
        <v>0</v>
      </c>
    </row>
    <row r="160" spans="1:13" x14ac:dyDescent="0.35">
      <c r="A160" s="7" t="str">
        <f t="shared" si="3"/>
        <v>GP135716B857</v>
      </c>
      <c r="B160" s="7" t="s">
        <v>23</v>
      </c>
      <c r="C160" s="7" t="s">
        <v>3131</v>
      </c>
      <c r="D160" s="7" t="s">
        <v>959</v>
      </c>
      <c r="E160" s="7" t="s">
        <v>3133</v>
      </c>
      <c r="F160" s="7" t="s">
        <v>64</v>
      </c>
      <c r="G160" s="7" t="s">
        <v>65</v>
      </c>
      <c r="H160" s="7" t="s">
        <v>1262</v>
      </c>
      <c r="I160" s="7" t="s">
        <v>1276</v>
      </c>
      <c r="J160" s="29">
        <v>16</v>
      </c>
      <c r="K160" s="29">
        <v>0</v>
      </c>
      <c r="L160" s="29">
        <v>0</v>
      </c>
      <c r="M160" s="29">
        <v>0</v>
      </c>
    </row>
    <row r="161" spans="1:13" x14ac:dyDescent="0.35">
      <c r="A161" s="7" t="str">
        <f t="shared" si="3"/>
        <v>GP135716B864</v>
      </c>
      <c r="B161" s="7" t="s">
        <v>10</v>
      </c>
      <c r="C161" s="7" t="s">
        <v>3134</v>
      </c>
      <c r="D161" s="7" t="s">
        <v>1011</v>
      </c>
      <c r="E161" s="7" t="s">
        <v>3135</v>
      </c>
      <c r="F161" s="7" t="s">
        <v>64</v>
      </c>
      <c r="G161" s="7" t="s">
        <v>65</v>
      </c>
      <c r="H161" s="7" t="s">
        <v>1262</v>
      </c>
      <c r="I161" s="7" t="s">
        <v>1276</v>
      </c>
      <c r="J161" s="29">
        <v>2</v>
      </c>
      <c r="K161" s="29">
        <v>0</v>
      </c>
      <c r="L161" s="29">
        <v>0</v>
      </c>
      <c r="M161" s="29">
        <v>0</v>
      </c>
    </row>
    <row r="162" spans="1:13" x14ac:dyDescent="0.35">
      <c r="A162" s="7" t="str">
        <f t="shared" si="3"/>
        <v>GP135716B865</v>
      </c>
      <c r="B162" s="7" t="s">
        <v>7</v>
      </c>
      <c r="C162" s="7" t="s">
        <v>3139</v>
      </c>
      <c r="D162" s="7" t="s">
        <v>1040</v>
      </c>
      <c r="E162" s="7" t="s">
        <v>3140</v>
      </c>
      <c r="F162" s="7" t="s">
        <v>64</v>
      </c>
      <c r="G162" s="7" t="s">
        <v>65</v>
      </c>
      <c r="H162" s="7" t="s">
        <v>1262</v>
      </c>
      <c r="I162" s="7" t="s">
        <v>1276</v>
      </c>
      <c r="J162" s="29">
        <v>2</v>
      </c>
      <c r="K162" s="29">
        <v>0</v>
      </c>
      <c r="L162" s="29">
        <v>0</v>
      </c>
      <c r="M162" s="29">
        <v>0</v>
      </c>
    </row>
    <row r="163" spans="1:13" x14ac:dyDescent="0.35">
      <c r="A163" s="7" t="str">
        <f t="shared" si="3"/>
        <v>GP135716B867</v>
      </c>
      <c r="B163" s="7" t="s">
        <v>25</v>
      </c>
      <c r="C163" s="7" t="s">
        <v>3131</v>
      </c>
      <c r="D163" s="7" t="s">
        <v>1060</v>
      </c>
      <c r="E163" s="7" t="s">
        <v>3136</v>
      </c>
      <c r="F163" s="7" t="s">
        <v>64</v>
      </c>
      <c r="G163" s="7" t="s">
        <v>65</v>
      </c>
      <c r="H163" s="7" t="s">
        <v>1262</v>
      </c>
      <c r="I163" s="7" t="s">
        <v>1276</v>
      </c>
      <c r="J163" s="29">
        <v>11</v>
      </c>
      <c r="K163" s="29">
        <v>0</v>
      </c>
      <c r="L163" s="29">
        <v>0</v>
      </c>
      <c r="M163" s="29">
        <v>0</v>
      </c>
    </row>
    <row r="164" spans="1:13" x14ac:dyDescent="0.35">
      <c r="A164" s="7" t="str">
        <f t="shared" si="3"/>
        <v>GP145852B825</v>
      </c>
      <c r="B164" s="7" t="s">
        <v>16</v>
      </c>
      <c r="C164" s="7" t="s">
        <v>3127</v>
      </c>
      <c r="D164" s="7" t="s">
        <v>512</v>
      </c>
      <c r="E164" s="7" t="s">
        <v>3128</v>
      </c>
      <c r="F164" s="7" t="s">
        <v>66</v>
      </c>
      <c r="G164" s="7" t="s">
        <v>67</v>
      </c>
      <c r="H164" s="7" t="s">
        <v>1262</v>
      </c>
      <c r="I164" s="7" t="s">
        <v>1286</v>
      </c>
      <c r="J164" s="29">
        <v>3</v>
      </c>
      <c r="K164" s="29">
        <v>0</v>
      </c>
      <c r="L164" s="29">
        <v>0</v>
      </c>
      <c r="M164" s="29">
        <v>0</v>
      </c>
    </row>
    <row r="165" spans="1:13" x14ac:dyDescent="0.35">
      <c r="A165" s="7" t="str">
        <f t="shared" si="3"/>
        <v>GP145852B832</v>
      </c>
      <c r="B165" s="7" t="s">
        <v>19</v>
      </c>
      <c r="C165" s="7" t="s">
        <v>3125</v>
      </c>
      <c r="D165" s="7" t="s">
        <v>654</v>
      </c>
      <c r="E165" s="7" t="s">
        <v>3126</v>
      </c>
      <c r="F165" s="7" t="s">
        <v>66</v>
      </c>
      <c r="G165" s="7" t="s">
        <v>67</v>
      </c>
      <c r="H165" s="7" t="s">
        <v>1262</v>
      </c>
      <c r="I165" s="7" t="s">
        <v>3111</v>
      </c>
      <c r="J165" s="29">
        <v>2</v>
      </c>
      <c r="K165" s="29">
        <v>0</v>
      </c>
      <c r="L165" s="29">
        <v>0</v>
      </c>
      <c r="M165" s="29">
        <v>0</v>
      </c>
    </row>
    <row r="166" spans="1:13" x14ac:dyDescent="0.35">
      <c r="A166" s="7" t="str">
        <f t="shared" si="3"/>
        <v>GP145852B832</v>
      </c>
      <c r="B166" s="7" t="s">
        <v>19</v>
      </c>
      <c r="C166" s="7" t="s">
        <v>3125</v>
      </c>
      <c r="D166" s="7" t="s">
        <v>654</v>
      </c>
      <c r="E166" s="7" t="s">
        <v>3126</v>
      </c>
      <c r="F166" s="7" t="s">
        <v>66</v>
      </c>
      <c r="G166" s="7" t="s">
        <v>67</v>
      </c>
      <c r="H166" s="7" t="s">
        <v>1262</v>
      </c>
      <c r="I166" s="7" t="s">
        <v>1286</v>
      </c>
      <c r="J166" s="29">
        <v>7</v>
      </c>
      <c r="K166" s="29">
        <v>0</v>
      </c>
      <c r="L166" s="29">
        <v>0</v>
      </c>
      <c r="M166" s="29">
        <v>0</v>
      </c>
    </row>
    <row r="167" spans="1:13" x14ac:dyDescent="0.35">
      <c r="A167" s="7" t="str">
        <f t="shared" si="3"/>
        <v>GP145852B833</v>
      </c>
      <c r="B167" s="7" t="s">
        <v>697</v>
      </c>
      <c r="C167" s="7" t="s">
        <v>3129</v>
      </c>
      <c r="D167" s="7" t="s">
        <v>699</v>
      </c>
      <c r="E167" s="7" t="s">
        <v>3130</v>
      </c>
      <c r="F167" s="7" t="s">
        <v>66</v>
      </c>
      <c r="G167" s="7" t="s">
        <v>67</v>
      </c>
      <c r="H167" s="7" t="s">
        <v>1262</v>
      </c>
      <c r="I167" s="7" t="s">
        <v>3111</v>
      </c>
      <c r="J167" s="29">
        <v>3</v>
      </c>
      <c r="K167" s="29">
        <v>0</v>
      </c>
      <c r="L167" s="29">
        <v>0</v>
      </c>
      <c r="M167" s="29">
        <v>0</v>
      </c>
    </row>
    <row r="168" spans="1:13" x14ac:dyDescent="0.35">
      <c r="A168" s="7" t="str">
        <f t="shared" si="3"/>
        <v>GP145852B833</v>
      </c>
      <c r="B168" s="7" t="s">
        <v>697</v>
      </c>
      <c r="C168" s="7" t="s">
        <v>3129</v>
      </c>
      <c r="D168" s="7" t="s">
        <v>699</v>
      </c>
      <c r="E168" s="7" t="s">
        <v>3130</v>
      </c>
      <c r="F168" s="7" t="s">
        <v>66</v>
      </c>
      <c r="G168" s="7" t="s">
        <v>67</v>
      </c>
      <c r="H168" s="7" t="s">
        <v>1262</v>
      </c>
      <c r="I168" s="7" t="s">
        <v>1286</v>
      </c>
      <c r="J168" s="29">
        <v>2</v>
      </c>
      <c r="K168" s="29">
        <v>0</v>
      </c>
      <c r="L168" s="29">
        <v>0</v>
      </c>
      <c r="M168" s="29">
        <v>0</v>
      </c>
    </row>
    <row r="169" spans="1:13" x14ac:dyDescent="0.35">
      <c r="A169" s="7" t="str">
        <f t="shared" si="3"/>
        <v>GP145852B838</v>
      </c>
      <c r="B169" s="7" t="s">
        <v>48</v>
      </c>
      <c r="C169" s="7" t="s">
        <v>3137</v>
      </c>
      <c r="D169" s="7" t="s">
        <v>745</v>
      </c>
      <c r="E169" s="7" t="s">
        <v>3138</v>
      </c>
      <c r="F169" s="7" t="s">
        <v>66</v>
      </c>
      <c r="G169" s="7" t="s">
        <v>67</v>
      </c>
      <c r="H169" s="7" t="s">
        <v>1262</v>
      </c>
      <c r="I169" s="7" t="s">
        <v>1286</v>
      </c>
      <c r="J169" s="29">
        <v>1</v>
      </c>
      <c r="K169" s="29">
        <v>0</v>
      </c>
      <c r="L169" s="29">
        <v>0</v>
      </c>
      <c r="M169" s="29">
        <v>0</v>
      </c>
    </row>
    <row r="170" spans="1:13" x14ac:dyDescent="0.35">
      <c r="A170" s="7" t="str">
        <f t="shared" si="3"/>
        <v>GP145852B856</v>
      </c>
      <c r="B170" s="7" t="s">
        <v>21</v>
      </c>
      <c r="C170" s="7" t="s">
        <v>3131</v>
      </c>
      <c r="D170" s="7" t="s">
        <v>853</v>
      </c>
      <c r="E170" s="7" t="s">
        <v>3132</v>
      </c>
      <c r="F170" s="7" t="s">
        <v>66</v>
      </c>
      <c r="G170" s="7" t="s">
        <v>67</v>
      </c>
      <c r="H170" s="7" t="s">
        <v>1262</v>
      </c>
      <c r="I170" s="7" t="s">
        <v>3111</v>
      </c>
      <c r="J170" s="29">
        <v>1</v>
      </c>
      <c r="K170" s="29">
        <v>0</v>
      </c>
      <c r="L170" s="29">
        <v>0</v>
      </c>
      <c r="M170" s="29">
        <v>0</v>
      </c>
    </row>
    <row r="171" spans="1:13" x14ac:dyDescent="0.35">
      <c r="A171" s="7" t="str">
        <f t="shared" si="3"/>
        <v>GP145852B856</v>
      </c>
      <c r="B171" s="7" t="s">
        <v>21</v>
      </c>
      <c r="C171" s="7" t="s">
        <v>3131</v>
      </c>
      <c r="D171" s="7" t="s">
        <v>853</v>
      </c>
      <c r="E171" s="7" t="s">
        <v>3132</v>
      </c>
      <c r="F171" s="7" t="s">
        <v>66</v>
      </c>
      <c r="G171" s="7" t="s">
        <v>67</v>
      </c>
      <c r="H171" s="7" t="s">
        <v>1262</v>
      </c>
      <c r="I171" s="7" t="s">
        <v>1286</v>
      </c>
      <c r="J171" s="29">
        <v>1</v>
      </c>
      <c r="K171" s="29">
        <v>0</v>
      </c>
      <c r="L171" s="29">
        <v>0</v>
      </c>
      <c r="M171" s="29">
        <v>0</v>
      </c>
    </row>
    <row r="172" spans="1:13" x14ac:dyDescent="0.35">
      <c r="A172" s="7" t="str">
        <f t="shared" si="3"/>
        <v>GP145852B857</v>
      </c>
      <c r="B172" s="7" t="s">
        <v>23</v>
      </c>
      <c r="C172" s="7" t="s">
        <v>3131</v>
      </c>
      <c r="D172" s="7" t="s">
        <v>959</v>
      </c>
      <c r="E172" s="7" t="s">
        <v>3133</v>
      </c>
      <c r="F172" s="7" t="s">
        <v>66</v>
      </c>
      <c r="G172" s="7" t="s">
        <v>67</v>
      </c>
      <c r="H172" s="7" t="s">
        <v>1262</v>
      </c>
      <c r="I172" s="7" t="s">
        <v>1286</v>
      </c>
      <c r="J172" s="29">
        <v>4</v>
      </c>
      <c r="K172" s="29">
        <v>0</v>
      </c>
      <c r="L172" s="29">
        <v>0</v>
      </c>
      <c r="M172" s="29">
        <v>0</v>
      </c>
    </row>
    <row r="173" spans="1:13" x14ac:dyDescent="0.35">
      <c r="A173" s="7" t="str">
        <f t="shared" si="3"/>
        <v>GP145852B867</v>
      </c>
      <c r="B173" s="7" t="s">
        <v>25</v>
      </c>
      <c r="C173" s="7" t="s">
        <v>3131</v>
      </c>
      <c r="D173" s="7" t="s">
        <v>1060</v>
      </c>
      <c r="E173" s="7" t="s">
        <v>3136</v>
      </c>
      <c r="F173" s="7" t="s">
        <v>66</v>
      </c>
      <c r="G173" s="7" t="s">
        <v>67</v>
      </c>
      <c r="H173" s="7" t="s">
        <v>1262</v>
      </c>
      <c r="I173" s="7" t="s">
        <v>1286</v>
      </c>
      <c r="J173" s="29">
        <v>0</v>
      </c>
      <c r="K173" s="29">
        <v>0</v>
      </c>
      <c r="L173" s="29">
        <v>0</v>
      </c>
      <c r="M173" s="29">
        <v>0</v>
      </c>
    </row>
    <row r="174" spans="1:13" x14ac:dyDescent="0.35">
      <c r="A174" s="7" t="str">
        <f t="shared" si="3"/>
        <v>GP224705B825</v>
      </c>
      <c r="B174" s="7" t="s">
        <v>16</v>
      </c>
      <c r="C174" s="7" t="s">
        <v>3127</v>
      </c>
      <c r="D174" s="7" t="s">
        <v>512</v>
      </c>
      <c r="E174" s="7" t="s">
        <v>3128</v>
      </c>
      <c r="F174" s="7" t="s">
        <v>68</v>
      </c>
      <c r="G174" s="7" t="s">
        <v>69</v>
      </c>
      <c r="H174" s="7" t="s">
        <v>1262</v>
      </c>
      <c r="I174" s="7" t="s">
        <v>2591</v>
      </c>
      <c r="J174" s="29">
        <v>1</v>
      </c>
      <c r="K174" s="29">
        <v>0</v>
      </c>
      <c r="L174" s="29">
        <v>0</v>
      </c>
      <c r="M174" s="29">
        <v>0</v>
      </c>
    </row>
    <row r="175" spans="1:13" x14ac:dyDescent="0.35">
      <c r="A175" s="7" t="str">
        <f t="shared" si="3"/>
        <v>GP224705B825</v>
      </c>
      <c r="B175" s="7" t="s">
        <v>16</v>
      </c>
      <c r="C175" s="7" t="s">
        <v>3127</v>
      </c>
      <c r="D175" s="7" t="s">
        <v>512</v>
      </c>
      <c r="E175" s="7" t="s">
        <v>3128</v>
      </c>
      <c r="F175" s="7" t="s">
        <v>68</v>
      </c>
      <c r="G175" s="7" t="s">
        <v>69</v>
      </c>
      <c r="H175" s="7" t="s">
        <v>1262</v>
      </c>
      <c r="I175" s="7" t="s">
        <v>1276</v>
      </c>
      <c r="J175" s="29">
        <v>2</v>
      </c>
      <c r="K175" s="29">
        <v>0</v>
      </c>
      <c r="L175" s="29">
        <v>0</v>
      </c>
      <c r="M175" s="29">
        <v>0</v>
      </c>
    </row>
    <row r="176" spans="1:13" x14ac:dyDescent="0.35">
      <c r="A176" s="7" t="str">
        <f t="shared" si="3"/>
        <v>GP224705B832</v>
      </c>
      <c r="B176" s="7" t="s">
        <v>19</v>
      </c>
      <c r="C176" s="7" t="s">
        <v>3125</v>
      </c>
      <c r="D176" s="7" t="s">
        <v>654</v>
      </c>
      <c r="E176" s="7" t="s">
        <v>3126</v>
      </c>
      <c r="F176" s="7" t="s">
        <v>68</v>
      </c>
      <c r="G176" s="7" t="s">
        <v>69</v>
      </c>
      <c r="H176" s="7" t="s">
        <v>1262</v>
      </c>
      <c r="I176" s="7" t="s">
        <v>1276</v>
      </c>
      <c r="J176" s="29">
        <v>3</v>
      </c>
      <c r="K176" s="29">
        <v>0</v>
      </c>
      <c r="L176" s="29">
        <v>0</v>
      </c>
      <c r="M176" s="29">
        <v>0</v>
      </c>
    </row>
    <row r="177" spans="1:13" x14ac:dyDescent="0.35">
      <c r="A177" s="7" t="str">
        <f t="shared" si="3"/>
        <v>GP224705B833</v>
      </c>
      <c r="B177" s="7" t="s">
        <v>697</v>
      </c>
      <c r="C177" s="7" t="s">
        <v>3129</v>
      </c>
      <c r="D177" s="7" t="s">
        <v>699</v>
      </c>
      <c r="E177" s="7" t="s">
        <v>3130</v>
      </c>
      <c r="F177" s="7" t="s">
        <v>68</v>
      </c>
      <c r="G177" s="7" t="s">
        <v>69</v>
      </c>
      <c r="H177" s="7" t="s">
        <v>1262</v>
      </c>
      <c r="I177" s="7" t="s">
        <v>2591</v>
      </c>
      <c r="J177" s="29">
        <v>1</v>
      </c>
      <c r="K177" s="29">
        <v>0</v>
      </c>
      <c r="L177" s="29">
        <v>0</v>
      </c>
      <c r="M177" s="29">
        <v>0</v>
      </c>
    </row>
    <row r="178" spans="1:13" x14ac:dyDescent="0.35">
      <c r="A178" s="7" t="str">
        <f t="shared" si="3"/>
        <v>GP224705B838</v>
      </c>
      <c r="B178" s="7" t="s">
        <v>48</v>
      </c>
      <c r="C178" s="7" t="s">
        <v>3137</v>
      </c>
      <c r="D178" s="7" t="s">
        <v>745</v>
      </c>
      <c r="E178" s="7" t="s">
        <v>3138</v>
      </c>
      <c r="F178" s="7" t="s">
        <v>68</v>
      </c>
      <c r="G178" s="7" t="s">
        <v>69</v>
      </c>
      <c r="H178" s="7" t="s">
        <v>1262</v>
      </c>
      <c r="I178" s="7" t="s">
        <v>1276</v>
      </c>
      <c r="J178" s="29">
        <v>2</v>
      </c>
      <c r="K178" s="29">
        <v>0</v>
      </c>
      <c r="L178" s="29">
        <v>0</v>
      </c>
      <c r="M178" s="29">
        <v>0</v>
      </c>
    </row>
    <row r="179" spans="1:13" x14ac:dyDescent="0.35">
      <c r="A179" s="7" t="str">
        <f t="shared" si="3"/>
        <v>GP224705B857</v>
      </c>
      <c r="B179" s="7" t="s">
        <v>23</v>
      </c>
      <c r="C179" s="7" t="s">
        <v>3131</v>
      </c>
      <c r="D179" s="7" t="s">
        <v>959</v>
      </c>
      <c r="E179" s="7" t="s">
        <v>3133</v>
      </c>
      <c r="F179" s="7" t="s">
        <v>68</v>
      </c>
      <c r="G179" s="7" t="s">
        <v>69</v>
      </c>
      <c r="H179" s="7" t="s">
        <v>1262</v>
      </c>
      <c r="I179" s="7" t="s">
        <v>1276</v>
      </c>
      <c r="J179" s="29">
        <v>3</v>
      </c>
      <c r="K179" s="29">
        <v>0</v>
      </c>
      <c r="L179" s="29">
        <v>0</v>
      </c>
      <c r="M179" s="29">
        <v>0</v>
      </c>
    </row>
    <row r="180" spans="1:13" x14ac:dyDescent="0.35">
      <c r="A180" s="7" t="str">
        <f t="shared" si="3"/>
        <v>GP224705B865</v>
      </c>
      <c r="B180" s="7" t="s">
        <v>7</v>
      </c>
      <c r="C180" s="7" t="s">
        <v>3139</v>
      </c>
      <c r="D180" s="7" t="s">
        <v>1040</v>
      </c>
      <c r="E180" s="7" t="s">
        <v>3140</v>
      </c>
      <c r="F180" s="7" t="s">
        <v>68</v>
      </c>
      <c r="G180" s="7" t="s">
        <v>69</v>
      </c>
      <c r="H180" s="7" t="s">
        <v>1262</v>
      </c>
      <c r="I180" s="7" t="s">
        <v>2591</v>
      </c>
      <c r="J180" s="29">
        <v>1</v>
      </c>
      <c r="K180" s="29">
        <v>0</v>
      </c>
      <c r="L180" s="29">
        <v>0</v>
      </c>
      <c r="M180" s="29">
        <v>0</v>
      </c>
    </row>
    <row r="181" spans="1:13" x14ac:dyDescent="0.35">
      <c r="A181" s="7" t="str">
        <f t="shared" si="3"/>
        <v>GP224705B867</v>
      </c>
      <c r="B181" s="7" t="s">
        <v>25</v>
      </c>
      <c r="C181" s="7" t="s">
        <v>3131</v>
      </c>
      <c r="D181" s="7" t="s">
        <v>1060</v>
      </c>
      <c r="E181" s="7" t="s">
        <v>3136</v>
      </c>
      <c r="F181" s="7" t="s">
        <v>68</v>
      </c>
      <c r="G181" s="7" t="s">
        <v>69</v>
      </c>
      <c r="H181" s="7" t="s">
        <v>1262</v>
      </c>
      <c r="I181" s="7" t="s">
        <v>1276</v>
      </c>
      <c r="J181" s="29">
        <v>6</v>
      </c>
      <c r="K181" s="29">
        <v>0</v>
      </c>
      <c r="L181" s="29">
        <v>0</v>
      </c>
      <c r="M181" s="29">
        <v>0</v>
      </c>
    </row>
    <row r="182" spans="1:13" x14ac:dyDescent="0.35">
      <c r="A182" s="7" t="str">
        <f t="shared" si="3"/>
        <v>GP241858B825</v>
      </c>
      <c r="B182" s="7" t="s">
        <v>16</v>
      </c>
      <c r="C182" s="7" t="s">
        <v>3127</v>
      </c>
      <c r="D182" s="7" t="s">
        <v>1177</v>
      </c>
      <c r="E182" s="7" t="s">
        <v>1177</v>
      </c>
      <c r="F182" s="7" t="s">
        <v>70</v>
      </c>
      <c r="G182" s="7" t="s">
        <v>71</v>
      </c>
      <c r="H182" s="7" t="s">
        <v>1262</v>
      </c>
      <c r="I182" s="7" t="s">
        <v>1177</v>
      </c>
      <c r="J182" s="29">
        <v>0</v>
      </c>
      <c r="K182" s="29">
        <v>14</v>
      </c>
      <c r="L182" s="29">
        <v>0</v>
      </c>
      <c r="M182" s="29">
        <v>0</v>
      </c>
    </row>
    <row r="183" spans="1:13" x14ac:dyDescent="0.35">
      <c r="A183" s="7" t="str">
        <f t="shared" si="3"/>
        <v>GP241858B825</v>
      </c>
      <c r="B183" s="7" t="s">
        <v>16</v>
      </c>
      <c r="C183" s="7" t="s">
        <v>3127</v>
      </c>
      <c r="D183" s="7" t="s">
        <v>512</v>
      </c>
      <c r="E183" s="7" t="s">
        <v>3128</v>
      </c>
      <c r="F183" s="7" t="s">
        <v>70</v>
      </c>
      <c r="G183" s="7" t="s">
        <v>71</v>
      </c>
      <c r="H183" s="7" t="s">
        <v>1262</v>
      </c>
      <c r="I183" s="7" t="s">
        <v>1276</v>
      </c>
      <c r="J183" s="29">
        <v>7</v>
      </c>
      <c r="K183" s="29">
        <v>0</v>
      </c>
      <c r="L183" s="29">
        <v>0</v>
      </c>
      <c r="M183" s="29">
        <v>0</v>
      </c>
    </row>
    <row r="184" spans="1:13" x14ac:dyDescent="0.35">
      <c r="A184" s="7" t="str">
        <f t="shared" si="3"/>
        <v>GP241858B832</v>
      </c>
      <c r="B184" s="7" t="s">
        <v>19</v>
      </c>
      <c r="C184" s="7" t="s">
        <v>3125</v>
      </c>
      <c r="D184" s="7" t="s">
        <v>654</v>
      </c>
      <c r="E184" s="7" t="s">
        <v>3126</v>
      </c>
      <c r="F184" s="7" t="s">
        <v>70</v>
      </c>
      <c r="G184" s="7" t="s">
        <v>71</v>
      </c>
      <c r="H184" s="7" t="s">
        <v>1262</v>
      </c>
      <c r="I184" s="7" t="s">
        <v>1276</v>
      </c>
      <c r="J184" s="29">
        <v>2</v>
      </c>
      <c r="K184" s="29">
        <v>0</v>
      </c>
      <c r="L184" s="29">
        <v>0</v>
      </c>
      <c r="M184" s="29">
        <v>0</v>
      </c>
    </row>
    <row r="185" spans="1:13" x14ac:dyDescent="0.35">
      <c r="A185" s="7" t="str">
        <f t="shared" si="3"/>
        <v>GP241858B833</v>
      </c>
      <c r="B185" s="7" t="s">
        <v>697</v>
      </c>
      <c r="C185" s="7" t="s">
        <v>3129</v>
      </c>
      <c r="D185" s="7" t="s">
        <v>699</v>
      </c>
      <c r="E185" s="7" t="s">
        <v>3130</v>
      </c>
      <c r="F185" s="7" t="s">
        <v>70</v>
      </c>
      <c r="G185" s="7" t="s">
        <v>71</v>
      </c>
      <c r="H185" s="7" t="s">
        <v>1262</v>
      </c>
      <c r="I185" s="7" t="s">
        <v>1276</v>
      </c>
      <c r="J185" s="29">
        <v>2</v>
      </c>
      <c r="K185" s="29">
        <v>0</v>
      </c>
      <c r="L185" s="29">
        <v>0</v>
      </c>
      <c r="M185" s="29">
        <v>0</v>
      </c>
    </row>
    <row r="186" spans="1:13" x14ac:dyDescent="0.35">
      <c r="A186" s="7" t="str">
        <f t="shared" si="3"/>
        <v>GP249817B825</v>
      </c>
      <c r="B186" s="7" t="s">
        <v>16</v>
      </c>
      <c r="C186" s="7" t="s">
        <v>3127</v>
      </c>
      <c r="D186" s="7" t="s">
        <v>512</v>
      </c>
      <c r="E186" s="7" t="s">
        <v>3128</v>
      </c>
      <c r="F186" s="7" t="s">
        <v>72</v>
      </c>
      <c r="G186" s="7" t="s">
        <v>73</v>
      </c>
      <c r="H186" s="7" t="s">
        <v>1262</v>
      </c>
      <c r="I186" s="7" t="s">
        <v>1276</v>
      </c>
      <c r="J186" s="29">
        <v>0</v>
      </c>
      <c r="K186" s="29">
        <v>0</v>
      </c>
      <c r="L186" s="29">
        <v>0</v>
      </c>
      <c r="M186" s="29">
        <v>0</v>
      </c>
    </row>
    <row r="187" spans="1:13" x14ac:dyDescent="0.35">
      <c r="A187" s="7" t="str">
        <f t="shared" si="3"/>
        <v>GP249817B832</v>
      </c>
      <c r="B187" s="7" t="s">
        <v>19</v>
      </c>
      <c r="C187" s="7" t="s">
        <v>3125</v>
      </c>
      <c r="D187" s="7" t="s">
        <v>654</v>
      </c>
      <c r="E187" s="7" t="s">
        <v>3126</v>
      </c>
      <c r="F187" s="7" t="s">
        <v>72</v>
      </c>
      <c r="G187" s="7" t="s">
        <v>73</v>
      </c>
      <c r="H187" s="7" t="s">
        <v>1262</v>
      </c>
      <c r="I187" s="7" t="s">
        <v>1276</v>
      </c>
      <c r="J187" s="29">
        <v>16</v>
      </c>
      <c r="K187" s="29">
        <v>0</v>
      </c>
      <c r="L187" s="29">
        <v>0</v>
      </c>
      <c r="M187" s="29">
        <v>0</v>
      </c>
    </row>
    <row r="188" spans="1:13" x14ac:dyDescent="0.35">
      <c r="A188" s="7" t="str">
        <f t="shared" si="3"/>
        <v>GP249817B838</v>
      </c>
      <c r="B188" s="7" t="s">
        <v>48</v>
      </c>
      <c r="C188" s="7" t="s">
        <v>3137</v>
      </c>
      <c r="D188" s="7" t="s">
        <v>745</v>
      </c>
      <c r="E188" s="7" t="s">
        <v>3138</v>
      </c>
      <c r="F188" s="7" t="s">
        <v>72</v>
      </c>
      <c r="G188" s="7" t="s">
        <v>73</v>
      </c>
      <c r="H188" s="7" t="s">
        <v>1262</v>
      </c>
      <c r="I188" s="7" t="s">
        <v>1276</v>
      </c>
      <c r="J188" s="29">
        <v>3</v>
      </c>
      <c r="K188" s="29">
        <v>0</v>
      </c>
      <c r="L188" s="29">
        <v>0</v>
      </c>
      <c r="M188" s="29">
        <v>0</v>
      </c>
    </row>
    <row r="189" spans="1:13" x14ac:dyDescent="0.35">
      <c r="A189" s="7" t="str">
        <f t="shared" si="3"/>
        <v>GP249817B856</v>
      </c>
      <c r="B189" s="7" t="s">
        <v>21</v>
      </c>
      <c r="C189" s="7" t="s">
        <v>3131</v>
      </c>
      <c r="D189" s="7" t="s">
        <v>1177</v>
      </c>
      <c r="E189" s="7" t="s">
        <v>1177</v>
      </c>
      <c r="F189" s="7" t="s">
        <v>72</v>
      </c>
      <c r="G189" s="7" t="s">
        <v>73</v>
      </c>
      <c r="H189" s="7" t="s">
        <v>1262</v>
      </c>
      <c r="I189" s="7" t="s">
        <v>1177</v>
      </c>
      <c r="J189" s="29">
        <v>0</v>
      </c>
      <c r="K189" s="29">
        <v>10</v>
      </c>
      <c r="L189" s="29">
        <v>0</v>
      </c>
      <c r="M189" s="29">
        <v>0</v>
      </c>
    </row>
    <row r="190" spans="1:13" x14ac:dyDescent="0.35">
      <c r="A190" s="7" t="str">
        <f t="shared" si="3"/>
        <v>GP249817B856</v>
      </c>
      <c r="B190" s="7" t="s">
        <v>21</v>
      </c>
      <c r="C190" s="7" t="s">
        <v>3131</v>
      </c>
      <c r="D190" s="7" t="s">
        <v>853</v>
      </c>
      <c r="E190" s="7" t="s">
        <v>3132</v>
      </c>
      <c r="F190" s="7" t="s">
        <v>72</v>
      </c>
      <c r="G190" s="7" t="s">
        <v>73</v>
      </c>
      <c r="H190" s="7" t="s">
        <v>1262</v>
      </c>
      <c r="I190" s="7" t="s">
        <v>1276</v>
      </c>
      <c r="J190" s="29">
        <v>5</v>
      </c>
      <c r="K190" s="29">
        <v>0</v>
      </c>
      <c r="L190" s="29">
        <v>0</v>
      </c>
      <c r="M190" s="29">
        <v>0</v>
      </c>
    </row>
    <row r="191" spans="1:13" x14ac:dyDescent="0.35">
      <c r="A191" s="7" t="str">
        <f t="shared" si="3"/>
        <v>GP249817B857</v>
      </c>
      <c r="B191" s="7" t="s">
        <v>23</v>
      </c>
      <c r="C191" s="7" t="s">
        <v>3131</v>
      </c>
      <c r="D191" s="7" t="s">
        <v>959</v>
      </c>
      <c r="E191" s="7" t="s">
        <v>3133</v>
      </c>
      <c r="F191" s="7" t="s">
        <v>72</v>
      </c>
      <c r="G191" s="7" t="s">
        <v>73</v>
      </c>
      <c r="H191" s="7" t="s">
        <v>1262</v>
      </c>
      <c r="I191" s="7" t="s">
        <v>1276</v>
      </c>
      <c r="J191" s="29">
        <v>3</v>
      </c>
      <c r="K191" s="29">
        <v>0</v>
      </c>
      <c r="L191" s="29">
        <v>0</v>
      </c>
      <c r="M191" s="29">
        <v>0</v>
      </c>
    </row>
    <row r="192" spans="1:13" x14ac:dyDescent="0.35">
      <c r="A192" s="7" t="str">
        <f t="shared" si="3"/>
        <v>GP249817B864</v>
      </c>
      <c r="B192" s="7" t="s">
        <v>10</v>
      </c>
      <c r="C192" s="7" t="s">
        <v>3134</v>
      </c>
      <c r="D192" s="7" t="s">
        <v>1011</v>
      </c>
      <c r="E192" s="7" t="s">
        <v>3135</v>
      </c>
      <c r="F192" s="7" t="s">
        <v>72</v>
      </c>
      <c r="G192" s="7" t="s">
        <v>73</v>
      </c>
      <c r="H192" s="7" t="s">
        <v>1262</v>
      </c>
      <c r="I192" s="7" t="s">
        <v>1276</v>
      </c>
      <c r="J192" s="29">
        <v>24</v>
      </c>
      <c r="K192" s="29">
        <v>0</v>
      </c>
      <c r="L192" s="29">
        <v>0</v>
      </c>
      <c r="M192" s="29">
        <v>0</v>
      </c>
    </row>
    <row r="193" spans="1:13" x14ac:dyDescent="0.35">
      <c r="A193" s="7" t="str">
        <f t="shared" si="3"/>
        <v>GP249817B865</v>
      </c>
      <c r="B193" s="7" t="s">
        <v>7</v>
      </c>
      <c r="C193" s="7" t="s">
        <v>3139</v>
      </c>
      <c r="D193" s="7" t="s">
        <v>1040</v>
      </c>
      <c r="E193" s="7" t="s">
        <v>3140</v>
      </c>
      <c r="F193" s="7" t="s">
        <v>72</v>
      </c>
      <c r="G193" s="7" t="s">
        <v>73</v>
      </c>
      <c r="H193" s="7" t="s">
        <v>1262</v>
      </c>
      <c r="I193" s="7" t="s">
        <v>1276</v>
      </c>
      <c r="J193" s="29">
        <v>4</v>
      </c>
      <c r="K193" s="29">
        <v>0</v>
      </c>
      <c r="L193" s="29">
        <v>0</v>
      </c>
      <c r="M193" s="29">
        <v>0</v>
      </c>
    </row>
    <row r="194" spans="1:13" x14ac:dyDescent="0.35">
      <c r="A194" s="7" t="str">
        <f t="shared" si="3"/>
        <v>GP249817B867</v>
      </c>
      <c r="B194" s="7" t="s">
        <v>25</v>
      </c>
      <c r="C194" s="7" t="s">
        <v>3131</v>
      </c>
      <c r="D194" s="7" t="s">
        <v>1177</v>
      </c>
      <c r="E194" s="7" t="s">
        <v>1177</v>
      </c>
      <c r="F194" s="7" t="s">
        <v>72</v>
      </c>
      <c r="G194" s="7" t="s">
        <v>73</v>
      </c>
      <c r="H194" s="7" t="s">
        <v>1262</v>
      </c>
      <c r="I194" s="7" t="s">
        <v>1177</v>
      </c>
      <c r="J194" s="29">
        <v>0</v>
      </c>
      <c r="K194" s="29">
        <v>5</v>
      </c>
      <c r="L194" s="29">
        <v>0</v>
      </c>
      <c r="M194" s="29">
        <v>0</v>
      </c>
    </row>
    <row r="195" spans="1:13" x14ac:dyDescent="0.35">
      <c r="A195" s="7" t="str">
        <f t="shared" ref="A195:A258" si="4">_xlfn.CONCAT(F195,B195)</f>
        <v>GP249817B867</v>
      </c>
      <c r="B195" s="7" t="s">
        <v>25</v>
      </c>
      <c r="C195" s="7" t="s">
        <v>3131</v>
      </c>
      <c r="D195" s="7" t="s">
        <v>1060</v>
      </c>
      <c r="E195" s="7" t="s">
        <v>3136</v>
      </c>
      <c r="F195" s="7" t="s">
        <v>72</v>
      </c>
      <c r="G195" s="7" t="s">
        <v>73</v>
      </c>
      <c r="H195" s="7" t="s">
        <v>1262</v>
      </c>
      <c r="I195" s="7" t="s">
        <v>1276</v>
      </c>
      <c r="J195" s="29">
        <v>14</v>
      </c>
      <c r="K195" s="29">
        <v>0</v>
      </c>
      <c r="L195" s="29">
        <v>0</v>
      </c>
      <c r="M195" s="29">
        <v>0</v>
      </c>
    </row>
    <row r="196" spans="1:13" x14ac:dyDescent="0.35">
      <c r="A196" s="7" t="str">
        <f t="shared" si="4"/>
        <v>GP254146B825</v>
      </c>
      <c r="B196" s="7" t="s">
        <v>16</v>
      </c>
      <c r="C196" s="7" t="s">
        <v>3127</v>
      </c>
      <c r="D196" s="7" t="s">
        <v>512</v>
      </c>
      <c r="E196" s="7" t="s">
        <v>3128</v>
      </c>
      <c r="F196" s="7" t="s">
        <v>74</v>
      </c>
      <c r="G196" s="7" t="s">
        <v>75</v>
      </c>
      <c r="H196" s="7" t="s">
        <v>1262</v>
      </c>
      <c r="I196" s="7" t="s">
        <v>1276</v>
      </c>
      <c r="J196" s="29">
        <v>2</v>
      </c>
      <c r="K196" s="29">
        <v>0</v>
      </c>
      <c r="L196" s="29">
        <v>0</v>
      </c>
      <c r="M196" s="29">
        <v>0</v>
      </c>
    </row>
    <row r="197" spans="1:13" x14ac:dyDescent="0.35">
      <c r="A197" s="7" t="str">
        <f t="shared" si="4"/>
        <v>GP254146B832</v>
      </c>
      <c r="B197" s="7" t="s">
        <v>19</v>
      </c>
      <c r="C197" s="7" t="s">
        <v>3125</v>
      </c>
      <c r="D197" s="7" t="s">
        <v>654</v>
      </c>
      <c r="E197" s="7" t="s">
        <v>3126</v>
      </c>
      <c r="F197" s="7" t="s">
        <v>74</v>
      </c>
      <c r="G197" s="7" t="s">
        <v>75</v>
      </c>
      <c r="H197" s="7" t="s">
        <v>1262</v>
      </c>
      <c r="I197" s="7" t="s">
        <v>1276</v>
      </c>
      <c r="J197" s="29">
        <v>2</v>
      </c>
      <c r="K197" s="29">
        <v>0</v>
      </c>
      <c r="L197" s="29">
        <v>0</v>
      </c>
      <c r="M197" s="29">
        <v>0</v>
      </c>
    </row>
    <row r="198" spans="1:13" x14ac:dyDescent="0.35">
      <c r="A198" s="7" t="str">
        <f t="shared" si="4"/>
        <v>GP254146B833</v>
      </c>
      <c r="B198" s="7" t="s">
        <v>697</v>
      </c>
      <c r="C198" s="7" t="s">
        <v>3129</v>
      </c>
      <c r="D198" s="7" t="s">
        <v>699</v>
      </c>
      <c r="E198" s="7" t="s">
        <v>3130</v>
      </c>
      <c r="F198" s="7" t="s">
        <v>74</v>
      </c>
      <c r="G198" s="7" t="s">
        <v>75</v>
      </c>
      <c r="H198" s="7" t="s">
        <v>1262</v>
      </c>
      <c r="I198" s="7" t="s">
        <v>1276</v>
      </c>
      <c r="J198" s="29">
        <v>5</v>
      </c>
      <c r="K198" s="29">
        <v>0</v>
      </c>
      <c r="L198" s="29">
        <v>0</v>
      </c>
      <c r="M198" s="29">
        <v>0</v>
      </c>
    </row>
    <row r="199" spans="1:13" x14ac:dyDescent="0.35">
      <c r="A199" s="7" t="str">
        <f t="shared" si="4"/>
        <v>GP254146B856</v>
      </c>
      <c r="B199" s="7" t="s">
        <v>21</v>
      </c>
      <c r="C199" s="7" t="s">
        <v>3131</v>
      </c>
      <c r="D199" s="7" t="s">
        <v>853</v>
      </c>
      <c r="E199" s="7" t="s">
        <v>3132</v>
      </c>
      <c r="F199" s="7" t="s">
        <v>74</v>
      </c>
      <c r="G199" s="7" t="s">
        <v>75</v>
      </c>
      <c r="H199" s="7" t="s">
        <v>1262</v>
      </c>
      <c r="I199" s="7" t="s">
        <v>1276</v>
      </c>
      <c r="J199" s="29">
        <v>2</v>
      </c>
      <c r="K199" s="29">
        <v>0</v>
      </c>
      <c r="L199" s="29">
        <v>0</v>
      </c>
      <c r="M199" s="29">
        <v>0</v>
      </c>
    </row>
    <row r="200" spans="1:13" x14ac:dyDescent="0.35">
      <c r="A200" s="7" t="str">
        <f t="shared" si="4"/>
        <v>GP254146B857</v>
      </c>
      <c r="B200" s="7" t="s">
        <v>23</v>
      </c>
      <c r="C200" s="7" t="s">
        <v>3131</v>
      </c>
      <c r="D200" s="7" t="s">
        <v>959</v>
      </c>
      <c r="E200" s="7" t="s">
        <v>3133</v>
      </c>
      <c r="F200" s="7" t="s">
        <v>74</v>
      </c>
      <c r="G200" s="7" t="s">
        <v>75</v>
      </c>
      <c r="H200" s="7" t="s">
        <v>1262</v>
      </c>
      <c r="I200" s="7" t="s">
        <v>1276</v>
      </c>
      <c r="J200" s="29">
        <v>2</v>
      </c>
      <c r="K200" s="29">
        <v>0</v>
      </c>
      <c r="L200" s="29">
        <v>0</v>
      </c>
      <c r="M200" s="29">
        <v>0</v>
      </c>
    </row>
    <row r="201" spans="1:13" x14ac:dyDescent="0.35">
      <c r="A201" s="7" t="str">
        <f t="shared" si="4"/>
        <v>GP254146B865</v>
      </c>
      <c r="B201" s="7" t="s">
        <v>7</v>
      </c>
      <c r="C201" s="7" t="s">
        <v>3139</v>
      </c>
      <c r="D201" s="7" t="s">
        <v>1040</v>
      </c>
      <c r="E201" s="7" t="s">
        <v>3140</v>
      </c>
      <c r="F201" s="7" t="s">
        <v>74</v>
      </c>
      <c r="G201" s="7" t="s">
        <v>75</v>
      </c>
      <c r="H201" s="7" t="s">
        <v>1262</v>
      </c>
      <c r="I201" s="7" t="s">
        <v>1276</v>
      </c>
      <c r="J201" s="29">
        <v>3</v>
      </c>
      <c r="K201" s="29">
        <v>0</v>
      </c>
      <c r="L201" s="29">
        <v>0</v>
      </c>
      <c r="M201" s="29">
        <v>0</v>
      </c>
    </row>
    <row r="202" spans="1:13" x14ac:dyDescent="0.35">
      <c r="A202" s="7" t="str">
        <f t="shared" si="4"/>
        <v>GP254146B867</v>
      </c>
      <c r="B202" s="7" t="s">
        <v>25</v>
      </c>
      <c r="C202" s="7" t="s">
        <v>3131</v>
      </c>
      <c r="D202" s="7" t="s">
        <v>1060</v>
      </c>
      <c r="E202" s="7" t="s">
        <v>3136</v>
      </c>
      <c r="F202" s="7" t="s">
        <v>74</v>
      </c>
      <c r="G202" s="7" t="s">
        <v>75</v>
      </c>
      <c r="H202" s="7" t="s">
        <v>1262</v>
      </c>
      <c r="I202" s="7" t="s">
        <v>1276</v>
      </c>
      <c r="J202" s="29">
        <v>2</v>
      </c>
      <c r="K202" s="29">
        <v>0</v>
      </c>
      <c r="L202" s="29">
        <v>0</v>
      </c>
      <c r="M202" s="29">
        <v>0</v>
      </c>
    </row>
    <row r="203" spans="1:13" x14ac:dyDescent="0.35">
      <c r="A203" s="7" t="str">
        <f t="shared" si="4"/>
        <v>GP269250B832</v>
      </c>
      <c r="B203" s="7" t="s">
        <v>19</v>
      </c>
      <c r="C203" s="7" t="s">
        <v>3125</v>
      </c>
      <c r="D203" s="7" t="s">
        <v>654</v>
      </c>
      <c r="E203" s="7" t="s">
        <v>3126</v>
      </c>
      <c r="F203" s="7" t="s">
        <v>76</v>
      </c>
      <c r="G203" s="7" t="s">
        <v>77</v>
      </c>
      <c r="H203" s="7" t="s">
        <v>1262</v>
      </c>
      <c r="I203" s="7" t="s">
        <v>1276</v>
      </c>
      <c r="J203" s="29">
        <v>2</v>
      </c>
      <c r="K203" s="29">
        <v>0</v>
      </c>
      <c r="L203" s="29">
        <v>0</v>
      </c>
      <c r="M203" s="29">
        <v>0</v>
      </c>
    </row>
    <row r="204" spans="1:13" x14ac:dyDescent="0.35">
      <c r="A204" s="7" t="str">
        <f t="shared" si="4"/>
        <v>GP269250B833</v>
      </c>
      <c r="B204" s="7" t="s">
        <v>697</v>
      </c>
      <c r="C204" s="7" t="s">
        <v>3129</v>
      </c>
      <c r="D204" s="7" t="s">
        <v>699</v>
      </c>
      <c r="E204" s="7" t="s">
        <v>3130</v>
      </c>
      <c r="F204" s="7" t="s">
        <v>76</v>
      </c>
      <c r="G204" s="7" t="s">
        <v>77</v>
      </c>
      <c r="H204" s="7" t="s">
        <v>1262</v>
      </c>
      <c r="I204" s="7" t="s">
        <v>1276</v>
      </c>
      <c r="J204" s="29">
        <v>2</v>
      </c>
      <c r="K204" s="29">
        <v>0</v>
      </c>
      <c r="L204" s="29">
        <v>0</v>
      </c>
      <c r="M204" s="29">
        <v>0</v>
      </c>
    </row>
    <row r="205" spans="1:13" x14ac:dyDescent="0.35">
      <c r="A205" s="7" t="str">
        <f t="shared" si="4"/>
        <v>GP269250B838</v>
      </c>
      <c r="B205" s="7" t="s">
        <v>48</v>
      </c>
      <c r="C205" s="7" t="s">
        <v>3137</v>
      </c>
      <c r="D205" s="7" t="s">
        <v>745</v>
      </c>
      <c r="E205" s="7" t="s">
        <v>3138</v>
      </c>
      <c r="F205" s="7" t="s">
        <v>76</v>
      </c>
      <c r="G205" s="7" t="s">
        <v>77</v>
      </c>
      <c r="H205" s="7" t="s">
        <v>1262</v>
      </c>
      <c r="I205" s="7" t="s">
        <v>1276</v>
      </c>
      <c r="J205" s="29">
        <v>2</v>
      </c>
      <c r="K205" s="29">
        <v>0</v>
      </c>
      <c r="L205" s="29">
        <v>0</v>
      </c>
      <c r="M205" s="29">
        <v>0</v>
      </c>
    </row>
    <row r="206" spans="1:13" x14ac:dyDescent="0.35">
      <c r="A206" s="7" t="str">
        <f t="shared" si="4"/>
        <v>GP269250B856</v>
      </c>
      <c r="B206" s="7" t="s">
        <v>21</v>
      </c>
      <c r="C206" s="7" t="s">
        <v>3131</v>
      </c>
      <c r="D206" s="7" t="s">
        <v>853</v>
      </c>
      <c r="E206" s="7" t="s">
        <v>3132</v>
      </c>
      <c r="F206" s="7" t="s">
        <v>76</v>
      </c>
      <c r="G206" s="7" t="s">
        <v>77</v>
      </c>
      <c r="H206" s="7" t="s">
        <v>1262</v>
      </c>
      <c r="I206" s="7" t="s">
        <v>1276</v>
      </c>
      <c r="J206" s="29">
        <v>0</v>
      </c>
      <c r="K206" s="29">
        <v>0</v>
      </c>
      <c r="L206" s="29">
        <v>0</v>
      </c>
      <c r="M206" s="29">
        <v>0</v>
      </c>
    </row>
    <row r="207" spans="1:13" x14ac:dyDescent="0.35">
      <c r="A207" s="7" t="str">
        <f t="shared" si="4"/>
        <v>GP269250B857</v>
      </c>
      <c r="B207" s="7" t="s">
        <v>23</v>
      </c>
      <c r="C207" s="7" t="s">
        <v>3131</v>
      </c>
      <c r="D207" s="7" t="s">
        <v>959</v>
      </c>
      <c r="E207" s="7" t="s">
        <v>3133</v>
      </c>
      <c r="F207" s="7" t="s">
        <v>76</v>
      </c>
      <c r="G207" s="7" t="s">
        <v>77</v>
      </c>
      <c r="H207" s="7" t="s">
        <v>1262</v>
      </c>
      <c r="I207" s="7" t="s">
        <v>1276</v>
      </c>
      <c r="J207" s="29">
        <v>4</v>
      </c>
      <c r="K207" s="29">
        <v>0</v>
      </c>
      <c r="L207" s="29">
        <v>0</v>
      </c>
      <c r="M207" s="29">
        <v>0</v>
      </c>
    </row>
    <row r="208" spans="1:13" x14ac:dyDescent="0.35">
      <c r="A208" s="7" t="str">
        <f t="shared" si="4"/>
        <v>GP269250B864</v>
      </c>
      <c r="B208" s="7" t="s">
        <v>10</v>
      </c>
      <c r="C208" s="7" t="s">
        <v>3134</v>
      </c>
      <c r="D208" s="7" t="s">
        <v>1011</v>
      </c>
      <c r="E208" s="7" t="s">
        <v>3135</v>
      </c>
      <c r="F208" s="7" t="s">
        <v>76</v>
      </c>
      <c r="G208" s="7" t="s">
        <v>77</v>
      </c>
      <c r="H208" s="7" t="s">
        <v>1262</v>
      </c>
      <c r="I208" s="7" t="s">
        <v>1276</v>
      </c>
      <c r="J208" s="29">
        <v>3</v>
      </c>
      <c r="K208" s="29">
        <v>0</v>
      </c>
      <c r="L208" s="29">
        <v>0</v>
      </c>
      <c r="M208" s="29">
        <v>0</v>
      </c>
    </row>
    <row r="209" spans="1:13" x14ac:dyDescent="0.35">
      <c r="A209" s="7" t="str">
        <f t="shared" si="4"/>
        <v>GP269250B865</v>
      </c>
      <c r="B209" s="7" t="s">
        <v>7</v>
      </c>
      <c r="C209" s="7" t="s">
        <v>3139</v>
      </c>
      <c r="D209" s="7" t="s">
        <v>1040</v>
      </c>
      <c r="E209" s="7" t="s">
        <v>3140</v>
      </c>
      <c r="F209" s="7" t="s">
        <v>76</v>
      </c>
      <c r="G209" s="7" t="s">
        <v>77</v>
      </c>
      <c r="H209" s="7" t="s">
        <v>1262</v>
      </c>
      <c r="I209" s="7" t="s">
        <v>1276</v>
      </c>
      <c r="J209" s="29">
        <v>4</v>
      </c>
      <c r="K209" s="29">
        <v>0</v>
      </c>
      <c r="L209" s="29">
        <v>0</v>
      </c>
      <c r="M209" s="29">
        <v>0</v>
      </c>
    </row>
    <row r="210" spans="1:13" x14ac:dyDescent="0.35">
      <c r="A210" s="7" t="str">
        <f t="shared" si="4"/>
        <v>GP269250B867</v>
      </c>
      <c r="B210" s="7" t="s">
        <v>25</v>
      </c>
      <c r="C210" s="7" t="s">
        <v>3131</v>
      </c>
      <c r="D210" s="7" t="s">
        <v>1060</v>
      </c>
      <c r="E210" s="7" t="s">
        <v>3136</v>
      </c>
      <c r="F210" s="7" t="s">
        <v>76</v>
      </c>
      <c r="G210" s="7" t="s">
        <v>77</v>
      </c>
      <c r="H210" s="7" t="s">
        <v>1262</v>
      </c>
      <c r="I210" s="7" t="s">
        <v>1276</v>
      </c>
      <c r="J210" s="29">
        <v>4</v>
      </c>
      <c r="K210" s="29">
        <v>0</v>
      </c>
      <c r="L210" s="29">
        <v>0</v>
      </c>
      <c r="M210" s="29">
        <v>0</v>
      </c>
    </row>
    <row r="211" spans="1:13" x14ac:dyDescent="0.35">
      <c r="A211" s="7" t="str">
        <f t="shared" si="4"/>
        <v>GP294080B825</v>
      </c>
      <c r="B211" s="7" t="s">
        <v>16</v>
      </c>
      <c r="C211" s="7" t="s">
        <v>3127</v>
      </c>
      <c r="D211" s="7" t="s">
        <v>512</v>
      </c>
      <c r="E211" s="7" t="s">
        <v>3128</v>
      </c>
      <c r="F211" s="7" t="s">
        <v>78</v>
      </c>
      <c r="G211" s="7" t="s">
        <v>79</v>
      </c>
      <c r="H211" s="7" t="s">
        <v>1262</v>
      </c>
      <c r="I211" s="7" t="s">
        <v>2591</v>
      </c>
      <c r="J211" s="29">
        <v>1</v>
      </c>
      <c r="K211" s="29">
        <v>0</v>
      </c>
      <c r="L211" s="29">
        <v>0</v>
      </c>
      <c r="M211" s="29">
        <v>0</v>
      </c>
    </row>
    <row r="212" spans="1:13" x14ac:dyDescent="0.35">
      <c r="A212" s="7" t="str">
        <f t="shared" si="4"/>
        <v>GP294080B825</v>
      </c>
      <c r="B212" s="7" t="s">
        <v>16</v>
      </c>
      <c r="C212" s="7" t="s">
        <v>3127</v>
      </c>
      <c r="D212" s="7" t="s">
        <v>512</v>
      </c>
      <c r="E212" s="7" t="s">
        <v>3128</v>
      </c>
      <c r="F212" s="7" t="s">
        <v>78</v>
      </c>
      <c r="G212" s="7" t="s">
        <v>79</v>
      </c>
      <c r="H212" s="7" t="s">
        <v>1262</v>
      </c>
      <c r="I212" s="7" t="s">
        <v>3112</v>
      </c>
      <c r="J212" s="29">
        <v>1</v>
      </c>
      <c r="K212" s="29">
        <v>0</v>
      </c>
      <c r="L212" s="29">
        <v>0</v>
      </c>
      <c r="M212" s="29">
        <v>0</v>
      </c>
    </row>
    <row r="213" spans="1:13" x14ac:dyDescent="0.35">
      <c r="A213" s="7" t="str">
        <f t="shared" si="4"/>
        <v>GP294080B825</v>
      </c>
      <c r="B213" s="7" t="s">
        <v>16</v>
      </c>
      <c r="C213" s="7" t="s">
        <v>3127</v>
      </c>
      <c r="D213" s="7" t="s">
        <v>512</v>
      </c>
      <c r="E213" s="7" t="s">
        <v>3128</v>
      </c>
      <c r="F213" s="7" t="s">
        <v>78</v>
      </c>
      <c r="G213" s="7" t="s">
        <v>79</v>
      </c>
      <c r="H213" s="7" t="s">
        <v>1262</v>
      </c>
      <c r="I213" s="7" t="s">
        <v>1276</v>
      </c>
      <c r="J213" s="29">
        <v>1</v>
      </c>
      <c r="K213" s="29">
        <v>0</v>
      </c>
      <c r="L213" s="29">
        <v>0</v>
      </c>
      <c r="M213" s="29">
        <v>0</v>
      </c>
    </row>
    <row r="214" spans="1:13" x14ac:dyDescent="0.35">
      <c r="A214" s="7" t="str">
        <f t="shared" si="4"/>
        <v>GP294080B832</v>
      </c>
      <c r="B214" s="7" t="s">
        <v>19</v>
      </c>
      <c r="C214" s="7" t="s">
        <v>3125</v>
      </c>
      <c r="D214" s="7" t="s">
        <v>1177</v>
      </c>
      <c r="E214" s="7" t="s">
        <v>1177</v>
      </c>
      <c r="F214" s="7" t="s">
        <v>78</v>
      </c>
      <c r="G214" s="7" t="s">
        <v>79</v>
      </c>
      <c r="H214" s="7" t="s">
        <v>1262</v>
      </c>
      <c r="I214" s="7" t="s">
        <v>1177</v>
      </c>
      <c r="J214" s="29">
        <v>0</v>
      </c>
      <c r="K214" s="29">
        <v>1</v>
      </c>
      <c r="L214" s="29">
        <v>0</v>
      </c>
      <c r="M214" s="29">
        <v>0</v>
      </c>
    </row>
    <row r="215" spans="1:13" x14ac:dyDescent="0.35">
      <c r="A215" s="7" t="str">
        <f t="shared" si="4"/>
        <v>GP294080B832</v>
      </c>
      <c r="B215" s="7" t="s">
        <v>19</v>
      </c>
      <c r="C215" s="7" t="s">
        <v>3125</v>
      </c>
      <c r="D215" s="7" t="s">
        <v>654</v>
      </c>
      <c r="E215" s="7" t="s">
        <v>3126</v>
      </c>
      <c r="F215" s="7" t="s">
        <v>78</v>
      </c>
      <c r="G215" s="7" t="s">
        <v>79</v>
      </c>
      <c r="H215" s="7" t="s">
        <v>1262</v>
      </c>
      <c r="I215" s="7" t="s">
        <v>2591</v>
      </c>
      <c r="J215" s="29">
        <v>1</v>
      </c>
      <c r="K215" s="29">
        <v>0</v>
      </c>
      <c r="L215" s="29">
        <v>0</v>
      </c>
      <c r="M215" s="29">
        <v>0</v>
      </c>
    </row>
    <row r="216" spans="1:13" x14ac:dyDescent="0.35">
      <c r="A216" s="7" t="str">
        <f t="shared" si="4"/>
        <v>GP294080B832</v>
      </c>
      <c r="B216" s="7" t="s">
        <v>19</v>
      </c>
      <c r="C216" s="7" t="s">
        <v>3125</v>
      </c>
      <c r="D216" s="7" t="s">
        <v>654</v>
      </c>
      <c r="E216" s="7" t="s">
        <v>3126</v>
      </c>
      <c r="F216" s="7" t="s">
        <v>78</v>
      </c>
      <c r="G216" s="7" t="s">
        <v>79</v>
      </c>
      <c r="H216" s="7" t="s">
        <v>1262</v>
      </c>
      <c r="I216" s="7" t="s">
        <v>1276</v>
      </c>
      <c r="J216" s="29">
        <v>2</v>
      </c>
      <c r="K216" s="29">
        <v>0</v>
      </c>
      <c r="L216" s="29">
        <v>0</v>
      </c>
      <c r="M216" s="29">
        <v>0</v>
      </c>
    </row>
    <row r="217" spans="1:13" x14ac:dyDescent="0.35">
      <c r="A217" s="7" t="str">
        <f t="shared" si="4"/>
        <v>GP295110B825</v>
      </c>
      <c r="B217" s="7" t="s">
        <v>16</v>
      </c>
      <c r="C217" s="7" t="s">
        <v>3127</v>
      </c>
      <c r="D217" s="7" t="s">
        <v>512</v>
      </c>
      <c r="E217" s="7" t="s">
        <v>3128</v>
      </c>
      <c r="F217" s="7" t="s">
        <v>81</v>
      </c>
      <c r="G217" s="7" t="s">
        <v>82</v>
      </c>
      <c r="H217" s="7" t="s">
        <v>1262</v>
      </c>
      <c r="I217" s="7" t="s">
        <v>1276</v>
      </c>
      <c r="J217" s="29">
        <v>2</v>
      </c>
      <c r="K217" s="29">
        <v>0</v>
      </c>
      <c r="L217" s="29">
        <v>0</v>
      </c>
      <c r="M217" s="29">
        <v>0</v>
      </c>
    </row>
    <row r="218" spans="1:13" x14ac:dyDescent="0.35">
      <c r="A218" s="7" t="str">
        <f t="shared" si="4"/>
        <v>GP295110B825</v>
      </c>
      <c r="B218" s="7" t="s">
        <v>16</v>
      </c>
      <c r="C218" s="7" t="s">
        <v>3127</v>
      </c>
      <c r="D218" s="7" t="s">
        <v>512</v>
      </c>
      <c r="E218" s="7" t="s">
        <v>3128</v>
      </c>
      <c r="F218" s="7" t="s">
        <v>81</v>
      </c>
      <c r="G218" s="7" t="s">
        <v>82</v>
      </c>
      <c r="H218" s="7" t="s">
        <v>1262</v>
      </c>
      <c r="I218" s="7" t="s">
        <v>1286</v>
      </c>
      <c r="J218" s="29">
        <v>13</v>
      </c>
      <c r="K218" s="29">
        <v>0</v>
      </c>
      <c r="L218" s="29">
        <v>0</v>
      </c>
      <c r="M218" s="29">
        <v>0</v>
      </c>
    </row>
    <row r="219" spans="1:13" x14ac:dyDescent="0.35">
      <c r="A219" s="7" t="str">
        <f t="shared" si="4"/>
        <v>GP295110B832</v>
      </c>
      <c r="B219" s="7" t="s">
        <v>19</v>
      </c>
      <c r="C219" s="7" t="s">
        <v>3125</v>
      </c>
      <c r="D219" s="7" t="s">
        <v>654</v>
      </c>
      <c r="E219" s="7" t="s">
        <v>3126</v>
      </c>
      <c r="F219" s="7" t="s">
        <v>81</v>
      </c>
      <c r="G219" s="7" t="s">
        <v>82</v>
      </c>
      <c r="H219" s="7" t="s">
        <v>1262</v>
      </c>
      <c r="I219" s="7" t="s">
        <v>1276</v>
      </c>
      <c r="J219" s="29">
        <v>8</v>
      </c>
      <c r="K219" s="29">
        <v>0</v>
      </c>
      <c r="L219" s="29">
        <v>0</v>
      </c>
      <c r="M219" s="29">
        <v>0</v>
      </c>
    </row>
    <row r="220" spans="1:13" x14ac:dyDescent="0.35">
      <c r="A220" s="7" t="str">
        <f t="shared" si="4"/>
        <v>GP295110B856</v>
      </c>
      <c r="B220" s="7" t="s">
        <v>21</v>
      </c>
      <c r="C220" s="7" t="s">
        <v>3131</v>
      </c>
      <c r="D220" s="7" t="s">
        <v>853</v>
      </c>
      <c r="E220" s="7" t="s">
        <v>3132</v>
      </c>
      <c r="F220" s="7" t="s">
        <v>81</v>
      </c>
      <c r="G220" s="7" t="s">
        <v>82</v>
      </c>
      <c r="H220" s="7" t="s">
        <v>1262</v>
      </c>
      <c r="I220" s="7" t="s">
        <v>1276</v>
      </c>
      <c r="J220" s="29">
        <v>2</v>
      </c>
      <c r="K220" s="29">
        <v>0</v>
      </c>
      <c r="L220" s="29">
        <v>0</v>
      </c>
      <c r="M220" s="29">
        <v>0</v>
      </c>
    </row>
    <row r="221" spans="1:13" x14ac:dyDescent="0.35">
      <c r="A221" s="7" t="str">
        <f t="shared" si="4"/>
        <v>GP296945B832</v>
      </c>
      <c r="B221" s="7" t="s">
        <v>19</v>
      </c>
      <c r="C221" s="7" t="s">
        <v>3125</v>
      </c>
      <c r="D221" s="7" t="s">
        <v>1177</v>
      </c>
      <c r="E221" s="7" t="s">
        <v>1177</v>
      </c>
      <c r="F221" s="7" t="s">
        <v>83</v>
      </c>
      <c r="G221" s="7" t="s">
        <v>84</v>
      </c>
      <c r="H221" s="7" t="s">
        <v>1262</v>
      </c>
      <c r="I221" s="7" t="s">
        <v>2591</v>
      </c>
      <c r="J221" s="29">
        <v>2</v>
      </c>
      <c r="K221" s="29">
        <v>0</v>
      </c>
      <c r="L221" s="29">
        <v>0</v>
      </c>
      <c r="M221" s="29">
        <v>0</v>
      </c>
    </row>
    <row r="222" spans="1:13" x14ac:dyDescent="0.35">
      <c r="A222" s="7" t="str">
        <f t="shared" si="4"/>
        <v>GP296945B832</v>
      </c>
      <c r="B222" s="7" t="s">
        <v>19</v>
      </c>
      <c r="C222" s="7" t="s">
        <v>3125</v>
      </c>
      <c r="D222" s="7" t="s">
        <v>654</v>
      </c>
      <c r="E222" s="7" t="s">
        <v>3126</v>
      </c>
      <c r="F222" s="7" t="s">
        <v>83</v>
      </c>
      <c r="G222" s="7" t="s">
        <v>84</v>
      </c>
      <c r="H222" s="7" t="s">
        <v>1262</v>
      </c>
      <c r="I222" s="7" t="s">
        <v>2591</v>
      </c>
      <c r="J222" s="29">
        <v>0</v>
      </c>
      <c r="K222" s="29">
        <v>0</v>
      </c>
      <c r="L222" s="29">
        <v>0</v>
      </c>
      <c r="M222" s="29">
        <v>0</v>
      </c>
    </row>
    <row r="223" spans="1:13" x14ac:dyDescent="0.35">
      <c r="A223" s="7" t="str">
        <f t="shared" si="4"/>
        <v>GP296945B833</v>
      </c>
      <c r="B223" s="7" t="s">
        <v>697</v>
      </c>
      <c r="C223" s="7" t="s">
        <v>3129</v>
      </c>
      <c r="D223" s="7" t="s">
        <v>699</v>
      </c>
      <c r="E223" s="7" t="s">
        <v>3130</v>
      </c>
      <c r="F223" s="7" t="s">
        <v>83</v>
      </c>
      <c r="G223" s="7" t="s">
        <v>84</v>
      </c>
      <c r="H223" s="7" t="s">
        <v>1262</v>
      </c>
      <c r="I223" s="7" t="s">
        <v>1276</v>
      </c>
      <c r="J223" s="29">
        <v>4</v>
      </c>
      <c r="K223" s="29">
        <v>0</v>
      </c>
      <c r="L223" s="29">
        <v>0</v>
      </c>
      <c r="M223" s="29">
        <v>0</v>
      </c>
    </row>
    <row r="224" spans="1:13" x14ac:dyDescent="0.35">
      <c r="A224" s="7" t="str">
        <f t="shared" si="4"/>
        <v>GP296945B838</v>
      </c>
      <c r="B224" s="7" t="s">
        <v>48</v>
      </c>
      <c r="C224" s="7" t="s">
        <v>3137</v>
      </c>
      <c r="D224" s="7" t="s">
        <v>745</v>
      </c>
      <c r="E224" s="7" t="s">
        <v>3138</v>
      </c>
      <c r="F224" s="7" t="s">
        <v>83</v>
      </c>
      <c r="G224" s="7" t="s">
        <v>84</v>
      </c>
      <c r="H224" s="7" t="s">
        <v>1262</v>
      </c>
      <c r="I224" s="7" t="s">
        <v>1276</v>
      </c>
      <c r="J224" s="29">
        <v>3</v>
      </c>
      <c r="K224" s="29">
        <v>0</v>
      </c>
      <c r="L224" s="29">
        <v>0</v>
      </c>
      <c r="M224" s="29">
        <v>0</v>
      </c>
    </row>
    <row r="225" spans="1:13" x14ac:dyDescent="0.35">
      <c r="A225" s="7" t="str">
        <f t="shared" si="4"/>
        <v>GP307720B825</v>
      </c>
      <c r="B225" s="7" t="s">
        <v>16</v>
      </c>
      <c r="C225" s="7" t="s">
        <v>3127</v>
      </c>
      <c r="D225" s="7" t="s">
        <v>1177</v>
      </c>
      <c r="E225" s="7" t="s">
        <v>1177</v>
      </c>
      <c r="F225" s="7" t="s">
        <v>85</v>
      </c>
      <c r="G225" s="7" t="s">
        <v>86</v>
      </c>
      <c r="H225" s="7" t="s">
        <v>1262</v>
      </c>
      <c r="I225" s="7" t="s">
        <v>1286</v>
      </c>
      <c r="J225" s="29">
        <v>1</v>
      </c>
      <c r="K225" s="29">
        <v>0</v>
      </c>
      <c r="L225" s="29">
        <v>0</v>
      </c>
      <c r="M225" s="29">
        <v>0</v>
      </c>
    </row>
    <row r="226" spans="1:13" x14ac:dyDescent="0.35">
      <c r="A226" s="7" t="str">
        <f t="shared" si="4"/>
        <v>GP307720B825</v>
      </c>
      <c r="B226" s="7" t="s">
        <v>16</v>
      </c>
      <c r="C226" s="7" t="s">
        <v>3127</v>
      </c>
      <c r="D226" s="7" t="s">
        <v>512</v>
      </c>
      <c r="E226" s="7" t="s">
        <v>3128</v>
      </c>
      <c r="F226" s="7" t="s">
        <v>85</v>
      </c>
      <c r="G226" s="7" t="s">
        <v>86</v>
      </c>
      <c r="H226" s="7" t="s">
        <v>1262</v>
      </c>
      <c r="I226" s="7" t="s">
        <v>3111</v>
      </c>
      <c r="J226" s="29">
        <v>1</v>
      </c>
      <c r="K226" s="29">
        <v>0</v>
      </c>
      <c r="L226" s="29">
        <v>0</v>
      </c>
      <c r="M226" s="29">
        <v>0</v>
      </c>
    </row>
    <row r="227" spans="1:13" x14ac:dyDescent="0.35">
      <c r="A227" s="7" t="str">
        <f t="shared" si="4"/>
        <v>GP307720B825</v>
      </c>
      <c r="B227" s="7" t="s">
        <v>16</v>
      </c>
      <c r="C227" s="7" t="s">
        <v>3127</v>
      </c>
      <c r="D227" s="7" t="s">
        <v>512</v>
      </c>
      <c r="E227" s="7" t="s">
        <v>3128</v>
      </c>
      <c r="F227" s="7" t="s">
        <v>85</v>
      </c>
      <c r="G227" s="7" t="s">
        <v>86</v>
      </c>
      <c r="H227" s="7" t="s">
        <v>1262</v>
      </c>
      <c r="I227" s="7" t="s">
        <v>3113</v>
      </c>
      <c r="J227" s="29">
        <v>1</v>
      </c>
      <c r="K227" s="29">
        <v>0</v>
      </c>
      <c r="L227" s="29">
        <v>0</v>
      </c>
      <c r="M227" s="29">
        <v>0</v>
      </c>
    </row>
    <row r="228" spans="1:13" x14ac:dyDescent="0.35">
      <c r="A228" s="7" t="str">
        <f t="shared" si="4"/>
        <v>GP307720B825</v>
      </c>
      <c r="B228" s="7" t="s">
        <v>16</v>
      </c>
      <c r="C228" s="7" t="s">
        <v>3127</v>
      </c>
      <c r="D228" s="7" t="s">
        <v>512</v>
      </c>
      <c r="E228" s="7" t="s">
        <v>3128</v>
      </c>
      <c r="F228" s="7" t="s">
        <v>85</v>
      </c>
      <c r="G228" s="7" t="s">
        <v>86</v>
      </c>
      <c r="H228" s="7" t="s">
        <v>1262</v>
      </c>
      <c r="I228" s="7" t="s">
        <v>1286</v>
      </c>
      <c r="J228" s="29">
        <v>0</v>
      </c>
      <c r="K228" s="29">
        <v>0</v>
      </c>
      <c r="L228" s="29">
        <v>0</v>
      </c>
      <c r="M228" s="29">
        <v>0</v>
      </c>
    </row>
    <row r="229" spans="1:13" x14ac:dyDescent="0.35">
      <c r="A229" s="7" t="str">
        <f t="shared" si="4"/>
        <v>GP307720B832</v>
      </c>
      <c r="B229" s="7" t="s">
        <v>19</v>
      </c>
      <c r="C229" s="7" t="s">
        <v>3125</v>
      </c>
      <c r="D229" s="7" t="s">
        <v>654</v>
      </c>
      <c r="E229" s="7" t="s">
        <v>3126</v>
      </c>
      <c r="F229" s="7" t="s">
        <v>85</v>
      </c>
      <c r="G229" s="7" t="s">
        <v>86</v>
      </c>
      <c r="H229" s="7" t="s">
        <v>1262</v>
      </c>
      <c r="I229" s="7" t="s">
        <v>3111</v>
      </c>
      <c r="J229" s="29">
        <v>0</v>
      </c>
      <c r="K229" s="29">
        <v>0</v>
      </c>
      <c r="L229" s="29">
        <v>0</v>
      </c>
      <c r="M229" s="29">
        <v>0</v>
      </c>
    </row>
    <row r="230" spans="1:13" x14ac:dyDescent="0.35">
      <c r="A230" s="7" t="str">
        <f t="shared" si="4"/>
        <v>GP307720B838</v>
      </c>
      <c r="B230" s="7" t="s">
        <v>48</v>
      </c>
      <c r="C230" s="7" t="s">
        <v>3137</v>
      </c>
      <c r="D230" s="7" t="s">
        <v>745</v>
      </c>
      <c r="E230" s="7" t="s">
        <v>3138</v>
      </c>
      <c r="F230" s="7" t="s">
        <v>85</v>
      </c>
      <c r="G230" s="7" t="s">
        <v>86</v>
      </c>
      <c r="H230" s="7" t="s">
        <v>1262</v>
      </c>
      <c r="I230" s="7" t="s">
        <v>3111</v>
      </c>
      <c r="J230" s="29">
        <v>1</v>
      </c>
      <c r="K230" s="29">
        <v>0</v>
      </c>
      <c r="L230" s="29">
        <v>0</v>
      </c>
      <c r="M230" s="29">
        <v>0</v>
      </c>
    </row>
    <row r="231" spans="1:13" x14ac:dyDescent="0.35">
      <c r="A231" s="7" t="str">
        <f t="shared" si="4"/>
        <v>GP307720B838</v>
      </c>
      <c r="B231" s="7" t="s">
        <v>48</v>
      </c>
      <c r="C231" s="7" t="s">
        <v>3137</v>
      </c>
      <c r="D231" s="7" t="s">
        <v>745</v>
      </c>
      <c r="E231" s="7" t="s">
        <v>3138</v>
      </c>
      <c r="F231" s="7" t="s">
        <v>85</v>
      </c>
      <c r="G231" s="7" t="s">
        <v>86</v>
      </c>
      <c r="H231" s="7" t="s">
        <v>1262</v>
      </c>
      <c r="I231" s="7" t="s">
        <v>1286</v>
      </c>
      <c r="J231" s="29">
        <v>1</v>
      </c>
      <c r="K231" s="29">
        <v>0</v>
      </c>
      <c r="L231" s="29">
        <v>0</v>
      </c>
      <c r="M231" s="29">
        <v>0</v>
      </c>
    </row>
    <row r="232" spans="1:13" x14ac:dyDescent="0.35">
      <c r="A232" s="7" t="str">
        <f t="shared" si="4"/>
        <v>GP335709B825</v>
      </c>
      <c r="B232" s="7" t="s">
        <v>16</v>
      </c>
      <c r="C232" s="7" t="s">
        <v>3127</v>
      </c>
      <c r="D232" s="7" t="s">
        <v>512</v>
      </c>
      <c r="E232" s="7" t="s">
        <v>3128</v>
      </c>
      <c r="F232" s="7" t="s">
        <v>87</v>
      </c>
      <c r="G232" s="7" t="s">
        <v>2950</v>
      </c>
      <c r="H232" s="7" t="s">
        <v>1262</v>
      </c>
      <c r="I232" s="7" t="s">
        <v>1177</v>
      </c>
      <c r="J232" s="29">
        <v>6</v>
      </c>
      <c r="K232" s="29">
        <v>0</v>
      </c>
      <c r="L232" s="29">
        <v>0</v>
      </c>
      <c r="M232" s="29">
        <v>0</v>
      </c>
    </row>
    <row r="233" spans="1:13" x14ac:dyDescent="0.35">
      <c r="A233" s="7" t="str">
        <f t="shared" si="4"/>
        <v>GP335709B832</v>
      </c>
      <c r="B233" s="7" t="s">
        <v>19</v>
      </c>
      <c r="C233" s="7" t="s">
        <v>3125</v>
      </c>
      <c r="D233" s="7" t="s">
        <v>654</v>
      </c>
      <c r="E233" s="7" t="s">
        <v>3126</v>
      </c>
      <c r="F233" s="7" t="s">
        <v>87</v>
      </c>
      <c r="G233" s="7" t="s">
        <v>2950</v>
      </c>
      <c r="H233" s="7" t="s">
        <v>1262</v>
      </c>
      <c r="I233" s="7" t="s">
        <v>1177</v>
      </c>
      <c r="J233" s="29">
        <v>0</v>
      </c>
      <c r="K233" s="29">
        <v>0</v>
      </c>
      <c r="L233" s="29">
        <v>0</v>
      </c>
      <c r="M233" s="29">
        <v>0</v>
      </c>
    </row>
    <row r="234" spans="1:13" x14ac:dyDescent="0.35">
      <c r="A234" s="7" t="str">
        <f t="shared" si="4"/>
        <v>GP335709B833</v>
      </c>
      <c r="B234" s="7" t="s">
        <v>697</v>
      </c>
      <c r="C234" s="7" t="s">
        <v>3129</v>
      </c>
      <c r="D234" s="7" t="s">
        <v>699</v>
      </c>
      <c r="E234" s="7" t="s">
        <v>3130</v>
      </c>
      <c r="F234" s="7" t="s">
        <v>87</v>
      </c>
      <c r="G234" s="7" t="s">
        <v>2950</v>
      </c>
      <c r="H234" s="7" t="s">
        <v>1262</v>
      </c>
      <c r="I234" s="7" t="s">
        <v>1177</v>
      </c>
      <c r="J234" s="29">
        <v>0</v>
      </c>
      <c r="K234" s="29">
        <v>0</v>
      </c>
      <c r="L234" s="29">
        <v>0</v>
      </c>
      <c r="M234" s="29">
        <v>0</v>
      </c>
    </row>
    <row r="235" spans="1:13" x14ac:dyDescent="0.35">
      <c r="A235" s="7" t="str">
        <f t="shared" si="4"/>
        <v>GP335709B838</v>
      </c>
      <c r="B235" s="7" t="s">
        <v>48</v>
      </c>
      <c r="C235" s="7" t="s">
        <v>3137</v>
      </c>
      <c r="D235" s="7" t="s">
        <v>745</v>
      </c>
      <c r="E235" s="7" t="s">
        <v>3138</v>
      </c>
      <c r="F235" s="7" t="s">
        <v>87</v>
      </c>
      <c r="G235" s="7" t="s">
        <v>2950</v>
      </c>
      <c r="H235" s="7" t="s">
        <v>1262</v>
      </c>
      <c r="I235" s="7" t="s">
        <v>1177</v>
      </c>
      <c r="J235" s="29">
        <v>0</v>
      </c>
      <c r="K235" s="29">
        <v>0</v>
      </c>
      <c r="L235" s="29">
        <v>0</v>
      </c>
      <c r="M235" s="29">
        <v>0</v>
      </c>
    </row>
    <row r="236" spans="1:13" x14ac:dyDescent="0.35">
      <c r="A236" s="7" t="str">
        <f t="shared" si="4"/>
        <v>GP335709B856</v>
      </c>
      <c r="B236" s="7" t="s">
        <v>21</v>
      </c>
      <c r="C236" s="7" t="s">
        <v>3131</v>
      </c>
      <c r="D236" s="7" t="s">
        <v>853</v>
      </c>
      <c r="E236" s="7" t="s">
        <v>3132</v>
      </c>
      <c r="F236" s="7" t="s">
        <v>87</v>
      </c>
      <c r="G236" s="7" t="s">
        <v>2950</v>
      </c>
      <c r="H236" s="7" t="s">
        <v>1262</v>
      </c>
      <c r="I236" s="7" t="s">
        <v>1177</v>
      </c>
      <c r="J236" s="29">
        <v>0</v>
      </c>
      <c r="K236" s="29">
        <v>0</v>
      </c>
      <c r="L236" s="29">
        <v>0</v>
      </c>
      <c r="M236" s="29">
        <v>0</v>
      </c>
    </row>
    <row r="237" spans="1:13" x14ac:dyDescent="0.35">
      <c r="A237" s="7" t="str">
        <f t="shared" si="4"/>
        <v>GP335709B857</v>
      </c>
      <c r="B237" s="7" t="s">
        <v>23</v>
      </c>
      <c r="C237" s="7" t="s">
        <v>3131</v>
      </c>
      <c r="D237" s="7" t="s">
        <v>959</v>
      </c>
      <c r="E237" s="7" t="s">
        <v>3133</v>
      </c>
      <c r="F237" s="7" t="s">
        <v>87</v>
      </c>
      <c r="G237" s="7" t="s">
        <v>2950</v>
      </c>
      <c r="H237" s="7" t="s">
        <v>1262</v>
      </c>
      <c r="I237" s="7" t="s">
        <v>1177</v>
      </c>
      <c r="J237" s="29">
        <v>0</v>
      </c>
      <c r="K237" s="29">
        <v>0</v>
      </c>
      <c r="L237" s="29">
        <v>0</v>
      </c>
      <c r="M237" s="29">
        <v>0</v>
      </c>
    </row>
    <row r="238" spans="1:13" x14ac:dyDescent="0.35">
      <c r="A238" s="7" t="str">
        <f t="shared" si="4"/>
        <v>GP335709B864</v>
      </c>
      <c r="B238" s="7" t="s">
        <v>10</v>
      </c>
      <c r="C238" s="7" t="s">
        <v>3134</v>
      </c>
      <c r="D238" s="7" t="s">
        <v>1011</v>
      </c>
      <c r="E238" s="7" t="s">
        <v>3135</v>
      </c>
      <c r="F238" s="7" t="s">
        <v>87</v>
      </c>
      <c r="G238" s="7" t="s">
        <v>2950</v>
      </c>
      <c r="H238" s="7" t="s">
        <v>1262</v>
      </c>
      <c r="I238" s="7" t="s">
        <v>1177</v>
      </c>
      <c r="J238" s="29">
        <v>0</v>
      </c>
      <c r="K238" s="29">
        <v>0</v>
      </c>
      <c r="L238" s="29">
        <v>0</v>
      </c>
      <c r="M238" s="29">
        <v>0</v>
      </c>
    </row>
    <row r="239" spans="1:13" x14ac:dyDescent="0.35">
      <c r="A239" s="7" t="str">
        <f t="shared" si="4"/>
        <v>GP335709B865</v>
      </c>
      <c r="B239" s="7" t="s">
        <v>7</v>
      </c>
      <c r="C239" s="7" t="s">
        <v>3139</v>
      </c>
      <c r="D239" s="7" t="s">
        <v>1040</v>
      </c>
      <c r="E239" s="7" t="s">
        <v>3140</v>
      </c>
      <c r="F239" s="7" t="s">
        <v>87</v>
      </c>
      <c r="G239" s="7" t="s">
        <v>2950</v>
      </c>
      <c r="H239" s="7" t="s">
        <v>1262</v>
      </c>
      <c r="I239" s="7" t="s">
        <v>1177</v>
      </c>
      <c r="J239" s="29">
        <v>0</v>
      </c>
      <c r="K239" s="29">
        <v>0</v>
      </c>
      <c r="L239" s="29">
        <v>0</v>
      </c>
      <c r="M239" s="29">
        <v>0</v>
      </c>
    </row>
    <row r="240" spans="1:13" x14ac:dyDescent="0.35">
      <c r="A240" s="7" t="str">
        <f t="shared" si="4"/>
        <v>GP335709B867</v>
      </c>
      <c r="B240" s="7" t="s">
        <v>25</v>
      </c>
      <c r="C240" s="7" t="s">
        <v>3131</v>
      </c>
      <c r="D240" s="7" t="s">
        <v>1060</v>
      </c>
      <c r="E240" s="7" t="s">
        <v>3136</v>
      </c>
      <c r="F240" s="7" t="s">
        <v>87</v>
      </c>
      <c r="G240" s="7" t="s">
        <v>2950</v>
      </c>
      <c r="H240" s="7" t="s">
        <v>1262</v>
      </c>
      <c r="I240" s="7" t="s">
        <v>1177</v>
      </c>
      <c r="J240" s="29">
        <v>0</v>
      </c>
      <c r="K240" s="29">
        <v>0</v>
      </c>
      <c r="L240" s="29">
        <v>0</v>
      </c>
      <c r="M240" s="29">
        <v>0</v>
      </c>
    </row>
    <row r="241" spans="1:13" x14ac:dyDescent="0.35">
      <c r="A241" s="7" t="str">
        <f t="shared" si="4"/>
        <v>GP347294B856</v>
      </c>
      <c r="B241" s="7" t="s">
        <v>21</v>
      </c>
      <c r="C241" s="7" t="s">
        <v>3131</v>
      </c>
      <c r="D241" s="7" t="s">
        <v>1177</v>
      </c>
      <c r="E241" s="7" t="s">
        <v>1177</v>
      </c>
      <c r="F241" s="7" t="s">
        <v>89</v>
      </c>
      <c r="G241" s="7" t="s">
        <v>90</v>
      </c>
      <c r="H241" s="7" t="s">
        <v>1262</v>
      </c>
      <c r="I241" s="7" t="s">
        <v>1177</v>
      </c>
      <c r="J241" s="29">
        <v>0</v>
      </c>
      <c r="K241" s="29">
        <v>2</v>
      </c>
      <c r="L241" s="29">
        <v>0</v>
      </c>
      <c r="M241" s="29">
        <v>0</v>
      </c>
    </row>
    <row r="242" spans="1:13" x14ac:dyDescent="0.35">
      <c r="A242" s="7" t="str">
        <f t="shared" si="4"/>
        <v>GP347294B856</v>
      </c>
      <c r="B242" s="7" t="s">
        <v>21</v>
      </c>
      <c r="C242" s="7" t="s">
        <v>3131</v>
      </c>
      <c r="D242" s="7" t="s">
        <v>853</v>
      </c>
      <c r="E242" s="7" t="s">
        <v>3132</v>
      </c>
      <c r="F242" s="7" t="s">
        <v>89</v>
      </c>
      <c r="G242" s="7" t="s">
        <v>90</v>
      </c>
      <c r="H242" s="7" t="s">
        <v>1262</v>
      </c>
      <c r="I242" s="7" t="s">
        <v>1276</v>
      </c>
      <c r="J242" s="29">
        <v>2</v>
      </c>
      <c r="K242" s="29">
        <v>0</v>
      </c>
      <c r="L242" s="29">
        <v>0</v>
      </c>
      <c r="M242" s="29">
        <v>0</v>
      </c>
    </row>
    <row r="243" spans="1:13" x14ac:dyDescent="0.35">
      <c r="A243" s="7" t="str">
        <f t="shared" si="4"/>
        <v>GP347294B857</v>
      </c>
      <c r="B243" s="7" t="s">
        <v>23</v>
      </c>
      <c r="C243" s="7" t="s">
        <v>3131</v>
      </c>
      <c r="D243" s="7" t="s">
        <v>959</v>
      </c>
      <c r="E243" s="7" t="s">
        <v>3133</v>
      </c>
      <c r="F243" s="7" t="s">
        <v>89</v>
      </c>
      <c r="G243" s="7" t="s">
        <v>90</v>
      </c>
      <c r="H243" s="7" t="s">
        <v>1262</v>
      </c>
      <c r="I243" s="7" t="s">
        <v>1276</v>
      </c>
      <c r="J243" s="29">
        <v>2</v>
      </c>
      <c r="K243" s="29">
        <v>0</v>
      </c>
      <c r="L243" s="29">
        <v>0</v>
      </c>
      <c r="M243" s="29">
        <v>0</v>
      </c>
    </row>
    <row r="244" spans="1:13" x14ac:dyDescent="0.35">
      <c r="A244" s="7" t="str">
        <f t="shared" si="4"/>
        <v>GP347294B865</v>
      </c>
      <c r="B244" s="7" t="s">
        <v>7</v>
      </c>
      <c r="C244" s="7" t="s">
        <v>3139</v>
      </c>
      <c r="D244" s="7" t="s">
        <v>1040</v>
      </c>
      <c r="E244" s="7" t="s">
        <v>3140</v>
      </c>
      <c r="F244" s="7" t="s">
        <v>89</v>
      </c>
      <c r="G244" s="7" t="s">
        <v>90</v>
      </c>
      <c r="H244" s="7" t="s">
        <v>1262</v>
      </c>
      <c r="I244" s="7" t="s">
        <v>1276</v>
      </c>
      <c r="J244" s="29">
        <v>2</v>
      </c>
      <c r="K244" s="29">
        <v>0</v>
      </c>
      <c r="L244" s="29">
        <v>0</v>
      </c>
      <c r="M244" s="29">
        <v>0</v>
      </c>
    </row>
    <row r="245" spans="1:13" x14ac:dyDescent="0.35">
      <c r="A245" s="7" t="str">
        <f t="shared" si="4"/>
        <v>GP347294B867</v>
      </c>
      <c r="B245" s="7" t="s">
        <v>25</v>
      </c>
      <c r="C245" s="7" t="s">
        <v>3131</v>
      </c>
      <c r="D245" s="7" t="s">
        <v>1060</v>
      </c>
      <c r="E245" s="7" t="s">
        <v>3136</v>
      </c>
      <c r="F245" s="7" t="s">
        <v>89</v>
      </c>
      <c r="G245" s="7" t="s">
        <v>90</v>
      </c>
      <c r="H245" s="7" t="s">
        <v>1262</v>
      </c>
      <c r="I245" s="7" t="s">
        <v>1276</v>
      </c>
      <c r="J245" s="29">
        <v>2</v>
      </c>
      <c r="K245" s="29">
        <v>0</v>
      </c>
      <c r="L245" s="29">
        <v>0</v>
      </c>
      <c r="M245" s="29">
        <v>0</v>
      </c>
    </row>
    <row r="246" spans="1:13" x14ac:dyDescent="0.35">
      <c r="A246" s="7" t="str">
        <f t="shared" si="4"/>
        <v>GP347778B856</v>
      </c>
      <c r="B246" s="7" t="s">
        <v>21</v>
      </c>
      <c r="C246" s="7" t="s">
        <v>3131</v>
      </c>
      <c r="D246" s="7" t="s">
        <v>853</v>
      </c>
      <c r="E246" s="7" t="s">
        <v>3132</v>
      </c>
      <c r="F246" s="7" t="s">
        <v>91</v>
      </c>
      <c r="G246" s="7" t="s">
        <v>92</v>
      </c>
      <c r="H246" s="7" t="s">
        <v>1262</v>
      </c>
      <c r="I246" s="7" t="s">
        <v>1276</v>
      </c>
      <c r="J246" s="29">
        <v>8</v>
      </c>
      <c r="K246" s="29">
        <v>0</v>
      </c>
      <c r="L246" s="29">
        <v>0</v>
      </c>
      <c r="M246" s="29">
        <v>0</v>
      </c>
    </row>
    <row r="247" spans="1:13" x14ac:dyDescent="0.35">
      <c r="A247" s="7" t="str">
        <f t="shared" si="4"/>
        <v>GP347778B857</v>
      </c>
      <c r="B247" s="7" t="s">
        <v>23</v>
      </c>
      <c r="C247" s="7" t="s">
        <v>3131</v>
      </c>
      <c r="D247" s="7" t="s">
        <v>959</v>
      </c>
      <c r="E247" s="7" t="s">
        <v>3133</v>
      </c>
      <c r="F247" s="7" t="s">
        <v>91</v>
      </c>
      <c r="G247" s="7" t="s">
        <v>92</v>
      </c>
      <c r="H247" s="7" t="s">
        <v>1262</v>
      </c>
      <c r="I247" s="7" t="s">
        <v>1276</v>
      </c>
      <c r="J247" s="29">
        <v>2</v>
      </c>
      <c r="K247" s="29">
        <v>0</v>
      </c>
      <c r="L247" s="29">
        <v>0</v>
      </c>
      <c r="M247" s="29">
        <v>0</v>
      </c>
    </row>
    <row r="248" spans="1:13" x14ac:dyDescent="0.35">
      <c r="A248" s="7" t="str">
        <f t="shared" si="4"/>
        <v>GP347778B864</v>
      </c>
      <c r="B248" s="7" t="s">
        <v>10</v>
      </c>
      <c r="C248" s="7" t="s">
        <v>3134</v>
      </c>
      <c r="D248" s="7" t="s">
        <v>1011</v>
      </c>
      <c r="E248" s="7" t="s">
        <v>3135</v>
      </c>
      <c r="F248" s="7" t="s">
        <v>91</v>
      </c>
      <c r="G248" s="7" t="s">
        <v>92</v>
      </c>
      <c r="H248" s="7" t="s">
        <v>1262</v>
      </c>
      <c r="I248" s="7" t="s">
        <v>1276</v>
      </c>
      <c r="J248" s="29">
        <v>2</v>
      </c>
      <c r="K248" s="29">
        <v>0</v>
      </c>
      <c r="L248" s="29">
        <v>0</v>
      </c>
      <c r="M248" s="29">
        <v>0</v>
      </c>
    </row>
    <row r="249" spans="1:13" x14ac:dyDescent="0.35">
      <c r="A249" s="7" t="str">
        <f t="shared" si="4"/>
        <v>GP347778B865</v>
      </c>
      <c r="B249" s="7" t="s">
        <v>7</v>
      </c>
      <c r="C249" s="7" t="s">
        <v>3139</v>
      </c>
      <c r="D249" s="7" t="s">
        <v>1040</v>
      </c>
      <c r="E249" s="7" t="s">
        <v>3140</v>
      </c>
      <c r="F249" s="7" t="s">
        <v>91</v>
      </c>
      <c r="G249" s="7" t="s">
        <v>92</v>
      </c>
      <c r="H249" s="7" t="s">
        <v>1262</v>
      </c>
      <c r="I249" s="7" t="s">
        <v>1276</v>
      </c>
      <c r="J249" s="29">
        <v>6</v>
      </c>
      <c r="K249" s="29">
        <v>0</v>
      </c>
      <c r="L249" s="29">
        <v>0</v>
      </c>
      <c r="M249" s="29">
        <v>0</v>
      </c>
    </row>
    <row r="250" spans="1:13" x14ac:dyDescent="0.35">
      <c r="A250" s="7" t="str">
        <f t="shared" si="4"/>
        <v>GP347778B867</v>
      </c>
      <c r="B250" s="7" t="s">
        <v>25</v>
      </c>
      <c r="C250" s="7" t="s">
        <v>3131</v>
      </c>
      <c r="D250" s="7" t="s">
        <v>1060</v>
      </c>
      <c r="E250" s="7" t="s">
        <v>3136</v>
      </c>
      <c r="F250" s="7" t="s">
        <v>91</v>
      </c>
      <c r="G250" s="7" t="s">
        <v>92</v>
      </c>
      <c r="H250" s="7" t="s">
        <v>1262</v>
      </c>
      <c r="I250" s="7" t="s">
        <v>3112</v>
      </c>
      <c r="J250" s="29">
        <v>1</v>
      </c>
      <c r="K250" s="29">
        <v>0</v>
      </c>
      <c r="L250" s="29">
        <v>0</v>
      </c>
      <c r="M250" s="29">
        <v>0</v>
      </c>
    </row>
    <row r="251" spans="1:13" x14ac:dyDescent="0.35">
      <c r="A251" s="7" t="str">
        <f t="shared" si="4"/>
        <v>GP347778B867</v>
      </c>
      <c r="B251" s="7" t="s">
        <v>25</v>
      </c>
      <c r="C251" s="7" t="s">
        <v>3131</v>
      </c>
      <c r="D251" s="7" t="s">
        <v>1060</v>
      </c>
      <c r="E251" s="7" t="s">
        <v>3136</v>
      </c>
      <c r="F251" s="7" t="s">
        <v>91</v>
      </c>
      <c r="G251" s="7" t="s">
        <v>92</v>
      </c>
      <c r="H251" s="7" t="s">
        <v>1262</v>
      </c>
      <c r="I251" s="7" t="s">
        <v>1276</v>
      </c>
      <c r="J251" s="29">
        <v>6</v>
      </c>
      <c r="K251" s="29">
        <v>0</v>
      </c>
      <c r="L251" s="29">
        <v>0</v>
      </c>
      <c r="M251" s="29">
        <v>0</v>
      </c>
    </row>
    <row r="252" spans="1:13" x14ac:dyDescent="0.35">
      <c r="A252" s="7" t="str">
        <f t="shared" si="4"/>
        <v>GP351497B856</v>
      </c>
      <c r="B252" s="7" t="s">
        <v>21</v>
      </c>
      <c r="C252" s="7" t="s">
        <v>3131</v>
      </c>
      <c r="D252" s="7" t="s">
        <v>853</v>
      </c>
      <c r="E252" s="7" t="s">
        <v>3132</v>
      </c>
      <c r="F252" s="7" t="s">
        <v>93</v>
      </c>
      <c r="G252" s="7" t="s">
        <v>94</v>
      </c>
      <c r="H252" s="7" t="s">
        <v>1262</v>
      </c>
      <c r="I252" s="7" t="s">
        <v>1276</v>
      </c>
      <c r="J252" s="29">
        <v>2</v>
      </c>
      <c r="K252" s="29">
        <v>0</v>
      </c>
      <c r="L252" s="29">
        <v>0</v>
      </c>
      <c r="M252" s="29">
        <v>0</v>
      </c>
    </row>
    <row r="253" spans="1:13" x14ac:dyDescent="0.35">
      <c r="A253" s="7" t="str">
        <f t="shared" si="4"/>
        <v>GP351497B857</v>
      </c>
      <c r="B253" s="7" t="s">
        <v>23</v>
      </c>
      <c r="C253" s="7" t="s">
        <v>3131</v>
      </c>
      <c r="D253" s="7" t="s">
        <v>959</v>
      </c>
      <c r="E253" s="7" t="s">
        <v>3133</v>
      </c>
      <c r="F253" s="7" t="s">
        <v>93</v>
      </c>
      <c r="G253" s="7" t="s">
        <v>94</v>
      </c>
      <c r="H253" s="7" t="s">
        <v>1262</v>
      </c>
      <c r="I253" s="7" t="s">
        <v>1276</v>
      </c>
      <c r="J253" s="29">
        <v>4</v>
      </c>
      <c r="K253" s="29">
        <v>0</v>
      </c>
      <c r="L253" s="29">
        <v>0</v>
      </c>
      <c r="M253" s="29">
        <v>0</v>
      </c>
    </row>
    <row r="254" spans="1:13" x14ac:dyDescent="0.35">
      <c r="A254" s="7" t="str">
        <f t="shared" si="4"/>
        <v>GP351497B864</v>
      </c>
      <c r="B254" s="7" t="s">
        <v>10</v>
      </c>
      <c r="C254" s="7" t="s">
        <v>3134</v>
      </c>
      <c r="D254" s="7" t="s">
        <v>1011</v>
      </c>
      <c r="E254" s="7" t="s">
        <v>3135</v>
      </c>
      <c r="F254" s="7" t="s">
        <v>93</v>
      </c>
      <c r="G254" s="7" t="s">
        <v>94</v>
      </c>
      <c r="H254" s="7" t="s">
        <v>1262</v>
      </c>
      <c r="I254" s="7" t="s">
        <v>1276</v>
      </c>
      <c r="J254" s="29">
        <v>2</v>
      </c>
      <c r="K254" s="29">
        <v>0</v>
      </c>
      <c r="L254" s="29">
        <v>0</v>
      </c>
      <c r="M254" s="29">
        <v>0</v>
      </c>
    </row>
    <row r="255" spans="1:13" x14ac:dyDescent="0.35">
      <c r="A255" s="7" t="str">
        <f t="shared" si="4"/>
        <v>GP351497B865</v>
      </c>
      <c r="B255" s="7" t="s">
        <v>7</v>
      </c>
      <c r="C255" s="7" t="s">
        <v>3139</v>
      </c>
      <c r="D255" s="7" t="s">
        <v>1040</v>
      </c>
      <c r="E255" s="7" t="s">
        <v>3140</v>
      </c>
      <c r="F255" s="7" t="s">
        <v>93</v>
      </c>
      <c r="G255" s="7" t="s">
        <v>94</v>
      </c>
      <c r="H255" s="7" t="s">
        <v>1262</v>
      </c>
      <c r="I255" s="7" t="s">
        <v>1276</v>
      </c>
      <c r="J255" s="29">
        <v>2</v>
      </c>
      <c r="K255" s="29">
        <v>0</v>
      </c>
      <c r="L255" s="29">
        <v>0</v>
      </c>
      <c r="M255" s="29">
        <v>0</v>
      </c>
    </row>
    <row r="256" spans="1:13" x14ac:dyDescent="0.35">
      <c r="A256" s="7" t="str">
        <f t="shared" si="4"/>
        <v>GP351497B867</v>
      </c>
      <c r="B256" s="7" t="s">
        <v>25</v>
      </c>
      <c r="C256" s="7" t="s">
        <v>3131</v>
      </c>
      <c r="D256" s="7" t="s">
        <v>1060</v>
      </c>
      <c r="E256" s="7" t="s">
        <v>3136</v>
      </c>
      <c r="F256" s="7" t="s">
        <v>93</v>
      </c>
      <c r="G256" s="7" t="s">
        <v>94</v>
      </c>
      <c r="H256" s="7" t="s">
        <v>1262</v>
      </c>
      <c r="I256" s="7" t="s">
        <v>1276</v>
      </c>
      <c r="J256" s="29">
        <v>2</v>
      </c>
      <c r="K256" s="29">
        <v>0</v>
      </c>
      <c r="L256" s="29">
        <v>0</v>
      </c>
      <c r="M256" s="29">
        <v>0</v>
      </c>
    </row>
    <row r="257" spans="1:13" x14ac:dyDescent="0.35">
      <c r="A257" s="7" t="str">
        <f t="shared" si="4"/>
        <v>GP371842B825</v>
      </c>
      <c r="B257" s="7" t="s">
        <v>16</v>
      </c>
      <c r="C257" s="7" t="s">
        <v>3127</v>
      </c>
      <c r="D257" s="7" t="s">
        <v>512</v>
      </c>
      <c r="E257" s="7" t="s">
        <v>3128</v>
      </c>
      <c r="F257" s="7" t="s">
        <v>95</v>
      </c>
      <c r="G257" s="7" t="s">
        <v>96</v>
      </c>
      <c r="H257" s="7" t="s">
        <v>1262</v>
      </c>
      <c r="I257" s="7" t="s">
        <v>1276</v>
      </c>
      <c r="J257" s="29">
        <v>2</v>
      </c>
      <c r="K257" s="29">
        <v>0</v>
      </c>
      <c r="L257" s="29">
        <v>0</v>
      </c>
      <c r="M257" s="29">
        <v>0</v>
      </c>
    </row>
    <row r="258" spans="1:13" x14ac:dyDescent="0.35">
      <c r="A258" s="7" t="str">
        <f t="shared" si="4"/>
        <v>GP371842B832</v>
      </c>
      <c r="B258" s="7" t="s">
        <v>19</v>
      </c>
      <c r="C258" s="7" t="s">
        <v>3125</v>
      </c>
      <c r="D258" s="7" t="s">
        <v>654</v>
      </c>
      <c r="E258" s="7" t="s">
        <v>3126</v>
      </c>
      <c r="F258" s="7" t="s">
        <v>95</v>
      </c>
      <c r="G258" s="7" t="s">
        <v>96</v>
      </c>
      <c r="H258" s="7" t="s">
        <v>1262</v>
      </c>
      <c r="I258" s="7" t="s">
        <v>2591</v>
      </c>
      <c r="J258" s="29">
        <v>3</v>
      </c>
      <c r="K258" s="29">
        <v>0</v>
      </c>
      <c r="L258" s="29">
        <v>0</v>
      </c>
      <c r="M258" s="29">
        <v>0</v>
      </c>
    </row>
    <row r="259" spans="1:13" x14ac:dyDescent="0.35">
      <c r="A259" s="7" t="str">
        <f t="shared" ref="A259:A322" si="5">_xlfn.CONCAT(F259,B259)</f>
        <v>GP371842B832</v>
      </c>
      <c r="B259" s="7" t="s">
        <v>19</v>
      </c>
      <c r="C259" s="7" t="s">
        <v>3125</v>
      </c>
      <c r="D259" s="7" t="s">
        <v>654</v>
      </c>
      <c r="E259" s="7" t="s">
        <v>3126</v>
      </c>
      <c r="F259" s="7" t="s">
        <v>95</v>
      </c>
      <c r="G259" s="7" t="s">
        <v>96</v>
      </c>
      <c r="H259" s="7" t="s">
        <v>1262</v>
      </c>
      <c r="I259" s="7" t="s">
        <v>1276</v>
      </c>
      <c r="J259" s="29">
        <v>1</v>
      </c>
      <c r="K259" s="29">
        <v>0</v>
      </c>
      <c r="L259" s="29">
        <v>0</v>
      </c>
      <c r="M259" s="29">
        <v>0</v>
      </c>
    </row>
    <row r="260" spans="1:13" x14ac:dyDescent="0.35">
      <c r="A260" s="7" t="str">
        <f t="shared" si="5"/>
        <v>GP371842B838</v>
      </c>
      <c r="B260" s="7" t="s">
        <v>48</v>
      </c>
      <c r="C260" s="7" t="s">
        <v>3137</v>
      </c>
      <c r="D260" s="7" t="s">
        <v>745</v>
      </c>
      <c r="E260" s="7" t="s">
        <v>3138</v>
      </c>
      <c r="F260" s="7" t="s">
        <v>95</v>
      </c>
      <c r="G260" s="7" t="s">
        <v>96</v>
      </c>
      <c r="H260" s="7" t="s">
        <v>1262</v>
      </c>
      <c r="I260" s="7" t="s">
        <v>1276</v>
      </c>
      <c r="J260" s="29">
        <v>8</v>
      </c>
      <c r="K260" s="29">
        <v>0</v>
      </c>
      <c r="L260" s="29">
        <v>0</v>
      </c>
      <c r="M260" s="29">
        <v>0</v>
      </c>
    </row>
    <row r="261" spans="1:13" x14ac:dyDescent="0.35">
      <c r="A261" s="7" t="str">
        <f t="shared" si="5"/>
        <v>GP371842B856</v>
      </c>
      <c r="B261" s="7" t="s">
        <v>21</v>
      </c>
      <c r="C261" s="7" t="s">
        <v>3131</v>
      </c>
      <c r="D261" s="7" t="s">
        <v>1177</v>
      </c>
      <c r="E261" s="7" t="s">
        <v>1177</v>
      </c>
      <c r="F261" s="7" t="s">
        <v>95</v>
      </c>
      <c r="G261" s="7" t="s">
        <v>96</v>
      </c>
      <c r="H261" s="7" t="s">
        <v>1262</v>
      </c>
      <c r="I261" s="7" t="s">
        <v>1177</v>
      </c>
      <c r="J261" s="29">
        <v>0</v>
      </c>
      <c r="K261" s="29">
        <v>4</v>
      </c>
      <c r="L261" s="29">
        <v>0</v>
      </c>
      <c r="M261" s="29">
        <v>0</v>
      </c>
    </row>
    <row r="262" spans="1:13" x14ac:dyDescent="0.35">
      <c r="A262" s="7" t="str">
        <f t="shared" si="5"/>
        <v>GP371842B856</v>
      </c>
      <c r="B262" s="7" t="s">
        <v>21</v>
      </c>
      <c r="C262" s="7" t="s">
        <v>3131</v>
      </c>
      <c r="D262" s="7" t="s">
        <v>853</v>
      </c>
      <c r="E262" s="7" t="s">
        <v>3132</v>
      </c>
      <c r="F262" s="7" t="s">
        <v>95</v>
      </c>
      <c r="G262" s="7" t="s">
        <v>96</v>
      </c>
      <c r="H262" s="7" t="s">
        <v>1262</v>
      </c>
      <c r="I262" s="7" t="s">
        <v>1276</v>
      </c>
      <c r="J262" s="29">
        <v>0</v>
      </c>
      <c r="K262" s="29">
        <v>0</v>
      </c>
      <c r="L262" s="29">
        <v>0</v>
      </c>
      <c r="M262" s="29">
        <v>0</v>
      </c>
    </row>
    <row r="263" spans="1:13" x14ac:dyDescent="0.35">
      <c r="A263" s="7" t="str">
        <f t="shared" si="5"/>
        <v>GP371842B857</v>
      </c>
      <c r="B263" s="7" t="s">
        <v>23</v>
      </c>
      <c r="C263" s="7" t="s">
        <v>3131</v>
      </c>
      <c r="D263" s="7" t="s">
        <v>959</v>
      </c>
      <c r="E263" s="7" t="s">
        <v>3133</v>
      </c>
      <c r="F263" s="7" t="s">
        <v>95</v>
      </c>
      <c r="G263" s="7" t="s">
        <v>96</v>
      </c>
      <c r="H263" s="7" t="s">
        <v>1262</v>
      </c>
      <c r="I263" s="7" t="s">
        <v>1276</v>
      </c>
      <c r="J263" s="29">
        <v>1</v>
      </c>
      <c r="K263" s="29">
        <v>0</v>
      </c>
      <c r="L263" s="29">
        <v>0</v>
      </c>
      <c r="M263" s="29">
        <v>0</v>
      </c>
    </row>
    <row r="264" spans="1:13" x14ac:dyDescent="0.35">
      <c r="A264" s="7" t="str">
        <f t="shared" si="5"/>
        <v>GP371842B864</v>
      </c>
      <c r="B264" s="7" t="s">
        <v>10</v>
      </c>
      <c r="C264" s="7" t="s">
        <v>3134</v>
      </c>
      <c r="D264" s="7" t="s">
        <v>1011</v>
      </c>
      <c r="E264" s="7" t="s">
        <v>3135</v>
      </c>
      <c r="F264" s="7" t="s">
        <v>95</v>
      </c>
      <c r="G264" s="7" t="s">
        <v>96</v>
      </c>
      <c r="H264" s="7" t="s">
        <v>1262</v>
      </c>
      <c r="I264" s="7" t="s">
        <v>2591</v>
      </c>
      <c r="J264" s="29">
        <v>2</v>
      </c>
      <c r="K264" s="29">
        <v>0</v>
      </c>
      <c r="L264" s="29">
        <v>0</v>
      </c>
      <c r="M264" s="29">
        <v>0</v>
      </c>
    </row>
    <row r="265" spans="1:13" x14ac:dyDescent="0.35">
      <c r="A265" s="7" t="str">
        <f t="shared" si="5"/>
        <v>GP371842B864</v>
      </c>
      <c r="B265" s="7" t="s">
        <v>10</v>
      </c>
      <c r="C265" s="7" t="s">
        <v>3134</v>
      </c>
      <c r="D265" s="7" t="s">
        <v>1011</v>
      </c>
      <c r="E265" s="7" t="s">
        <v>3135</v>
      </c>
      <c r="F265" s="7" t="s">
        <v>95</v>
      </c>
      <c r="G265" s="7" t="s">
        <v>96</v>
      </c>
      <c r="H265" s="7" t="s">
        <v>1262</v>
      </c>
      <c r="I265" s="7" t="s">
        <v>1276</v>
      </c>
      <c r="J265" s="29">
        <v>4</v>
      </c>
      <c r="K265" s="29">
        <v>0</v>
      </c>
      <c r="L265" s="29">
        <v>0</v>
      </c>
      <c r="M265" s="29">
        <v>0</v>
      </c>
    </row>
    <row r="266" spans="1:13" x14ac:dyDescent="0.35">
      <c r="A266" s="7" t="str">
        <f t="shared" si="5"/>
        <v>GP371842B867</v>
      </c>
      <c r="B266" s="7" t="s">
        <v>25</v>
      </c>
      <c r="C266" s="7" t="s">
        <v>3131</v>
      </c>
      <c r="D266" s="7" t="s">
        <v>1060</v>
      </c>
      <c r="E266" s="7" t="s">
        <v>3136</v>
      </c>
      <c r="F266" s="7" t="s">
        <v>95</v>
      </c>
      <c r="G266" s="7" t="s">
        <v>96</v>
      </c>
      <c r="H266" s="7" t="s">
        <v>1262</v>
      </c>
      <c r="I266" s="7" t="s">
        <v>1276</v>
      </c>
      <c r="J266" s="29">
        <v>5</v>
      </c>
      <c r="K266" s="29">
        <v>0</v>
      </c>
      <c r="L266" s="29">
        <v>0</v>
      </c>
      <c r="M266" s="29">
        <v>0</v>
      </c>
    </row>
    <row r="267" spans="1:13" x14ac:dyDescent="0.35">
      <c r="A267" s="7" t="str">
        <f t="shared" si="5"/>
        <v>GP410281B856</v>
      </c>
      <c r="B267" s="7" t="s">
        <v>21</v>
      </c>
      <c r="C267" s="7" t="s">
        <v>3131</v>
      </c>
      <c r="D267" s="7" t="s">
        <v>1177</v>
      </c>
      <c r="E267" s="7" t="s">
        <v>1177</v>
      </c>
      <c r="F267" s="7" t="s">
        <v>97</v>
      </c>
      <c r="G267" s="7" t="s">
        <v>98</v>
      </c>
      <c r="H267" s="7" t="s">
        <v>1262</v>
      </c>
      <c r="I267" s="7" t="s">
        <v>1177</v>
      </c>
      <c r="J267" s="29">
        <v>0</v>
      </c>
      <c r="K267" s="29">
        <v>4</v>
      </c>
      <c r="L267" s="29">
        <v>0</v>
      </c>
      <c r="M267" s="29">
        <v>0</v>
      </c>
    </row>
    <row r="268" spans="1:13" x14ac:dyDescent="0.35">
      <c r="A268" s="7" t="str">
        <f t="shared" si="5"/>
        <v>GP410281B856</v>
      </c>
      <c r="B268" s="7" t="s">
        <v>21</v>
      </c>
      <c r="C268" s="7" t="s">
        <v>3131</v>
      </c>
      <c r="D268" s="7" t="s">
        <v>853</v>
      </c>
      <c r="E268" s="7" t="s">
        <v>3132</v>
      </c>
      <c r="F268" s="7" t="s">
        <v>97</v>
      </c>
      <c r="G268" s="7" t="s">
        <v>98</v>
      </c>
      <c r="H268" s="7" t="s">
        <v>1262</v>
      </c>
      <c r="I268" s="7" t="s">
        <v>1276</v>
      </c>
      <c r="J268" s="29">
        <v>5</v>
      </c>
      <c r="K268" s="29">
        <v>0</v>
      </c>
      <c r="L268" s="29">
        <v>0</v>
      </c>
      <c r="M268" s="29">
        <v>0</v>
      </c>
    </row>
    <row r="269" spans="1:13" x14ac:dyDescent="0.35">
      <c r="A269" s="7" t="str">
        <f t="shared" si="5"/>
        <v>GP410281B864</v>
      </c>
      <c r="B269" s="7" t="s">
        <v>10</v>
      </c>
      <c r="C269" s="7" t="s">
        <v>3134</v>
      </c>
      <c r="D269" s="7" t="s">
        <v>1011</v>
      </c>
      <c r="E269" s="7" t="s">
        <v>3135</v>
      </c>
      <c r="F269" s="7" t="s">
        <v>97</v>
      </c>
      <c r="G269" s="7" t="s">
        <v>98</v>
      </c>
      <c r="H269" s="7" t="s">
        <v>1262</v>
      </c>
      <c r="I269" s="7" t="s">
        <v>1276</v>
      </c>
      <c r="J269" s="29">
        <v>15</v>
      </c>
      <c r="K269" s="29">
        <v>0</v>
      </c>
      <c r="L269" s="29">
        <v>0</v>
      </c>
      <c r="M269" s="29">
        <v>0</v>
      </c>
    </row>
    <row r="270" spans="1:13" x14ac:dyDescent="0.35">
      <c r="A270" s="7" t="str">
        <f t="shared" si="5"/>
        <v>GP410281B865</v>
      </c>
      <c r="B270" s="7" t="s">
        <v>7</v>
      </c>
      <c r="C270" s="7" t="s">
        <v>3139</v>
      </c>
      <c r="D270" s="7" t="s">
        <v>1040</v>
      </c>
      <c r="E270" s="7" t="s">
        <v>3140</v>
      </c>
      <c r="F270" s="7" t="s">
        <v>97</v>
      </c>
      <c r="G270" s="7" t="s">
        <v>98</v>
      </c>
      <c r="H270" s="7" t="s">
        <v>1262</v>
      </c>
      <c r="I270" s="7" t="s">
        <v>1276</v>
      </c>
      <c r="J270" s="29">
        <v>7</v>
      </c>
      <c r="K270" s="29">
        <v>0</v>
      </c>
      <c r="L270" s="29">
        <v>0</v>
      </c>
      <c r="M270" s="29">
        <v>0</v>
      </c>
    </row>
    <row r="271" spans="1:13" x14ac:dyDescent="0.35">
      <c r="A271" s="7" t="str">
        <f t="shared" si="5"/>
        <v>GP410281B865</v>
      </c>
      <c r="B271" s="7" t="s">
        <v>7</v>
      </c>
      <c r="C271" s="7" t="s">
        <v>3139</v>
      </c>
      <c r="D271" s="7" t="s">
        <v>1040</v>
      </c>
      <c r="E271" s="7" t="s">
        <v>3140</v>
      </c>
      <c r="F271" s="7" t="s">
        <v>97</v>
      </c>
      <c r="G271" s="7" t="s">
        <v>98</v>
      </c>
      <c r="H271" s="7" t="s">
        <v>1262</v>
      </c>
      <c r="I271" s="7" t="s">
        <v>1286</v>
      </c>
      <c r="J271" s="29">
        <v>3</v>
      </c>
      <c r="K271" s="29">
        <v>0</v>
      </c>
      <c r="L271" s="29">
        <v>0</v>
      </c>
      <c r="M271" s="29">
        <v>0</v>
      </c>
    </row>
    <row r="272" spans="1:13" x14ac:dyDescent="0.35">
      <c r="A272" s="7" t="str">
        <f t="shared" si="5"/>
        <v>GP410282B856</v>
      </c>
      <c r="B272" s="7" t="s">
        <v>21</v>
      </c>
      <c r="C272" s="7" t="s">
        <v>3131</v>
      </c>
      <c r="D272" s="7" t="s">
        <v>853</v>
      </c>
      <c r="E272" s="7" t="s">
        <v>3132</v>
      </c>
      <c r="F272" s="7" t="s">
        <v>99</v>
      </c>
      <c r="G272" s="7" t="s">
        <v>98</v>
      </c>
      <c r="H272" s="7" t="s">
        <v>1262</v>
      </c>
      <c r="I272" s="7" t="s">
        <v>1276</v>
      </c>
      <c r="J272" s="29">
        <v>2</v>
      </c>
      <c r="K272" s="29">
        <v>0</v>
      </c>
      <c r="L272" s="29">
        <v>0</v>
      </c>
      <c r="M272" s="29">
        <v>0</v>
      </c>
    </row>
    <row r="273" spans="1:13" x14ac:dyDescent="0.35">
      <c r="A273" s="7" t="str">
        <f t="shared" si="5"/>
        <v>GP410282B857</v>
      </c>
      <c r="B273" s="7" t="s">
        <v>23</v>
      </c>
      <c r="C273" s="7" t="s">
        <v>3131</v>
      </c>
      <c r="D273" s="7" t="s">
        <v>959</v>
      </c>
      <c r="E273" s="7" t="s">
        <v>3133</v>
      </c>
      <c r="F273" s="7" t="s">
        <v>99</v>
      </c>
      <c r="G273" s="7" t="s">
        <v>98</v>
      </c>
      <c r="H273" s="7" t="s">
        <v>1262</v>
      </c>
      <c r="I273" s="7" t="s">
        <v>1276</v>
      </c>
      <c r="J273" s="29">
        <v>31</v>
      </c>
      <c r="K273" s="29">
        <v>0</v>
      </c>
      <c r="L273" s="29">
        <v>0</v>
      </c>
      <c r="M273" s="29">
        <v>0</v>
      </c>
    </row>
    <row r="274" spans="1:13" x14ac:dyDescent="0.35">
      <c r="A274" s="7" t="str">
        <f t="shared" si="5"/>
        <v>GP410282B864</v>
      </c>
      <c r="B274" s="7" t="s">
        <v>10</v>
      </c>
      <c r="C274" s="7" t="s">
        <v>3134</v>
      </c>
      <c r="D274" s="7" t="s">
        <v>1011</v>
      </c>
      <c r="E274" s="7" t="s">
        <v>3135</v>
      </c>
      <c r="F274" s="7" t="s">
        <v>99</v>
      </c>
      <c r="G274" s="7" t="s">
        <v>98</v>
      </c>
      <c r="H274" s="7" t="s">
        <v>1262</v>
      </c>
      <c r="I274" s="7" t="s">
        <v>1276</v>
      </c>
      <c r="J274" s="29">
        <v>15</v>
      </c>
      <c r="K274" s="29">
        <v>0</v>
      </c>
      <c r="L274" s="29">
        <v>0</v>
      </c>
      <c r="M274" s="29">
        <v>0</v>
      </c>
    </row>
    <row r="275" spans="1:13" x14ac:dyDescent="0.35">
      <c r="A275" s="7" t="str">
        <f t="shared" si="5"/>
        <v>GP410282B865</v>
      </c>
      <c r="B275" s="7" t="s">
        <v>7</v>
      </c>
      <c r="C275" s="7" t="s">
        <v>3139</v>
      </c>
      <c r="D275" s="7" t="s">
        <v>1040</v>
      </c>
      <c r="E275" s="7" t="s">
        <v>3140</v>
      </c>
      <c r="F275" s="7" t="s">
        <v>99</v>
      </c>
      <c r="G275" s="7" t="s">
        <v>98</v>
      </c>
      <c r="H275" s="7" t="s">
        <v>1262</v>
      </c>
      <c r="I275" s="7" t="s">
        <v>1276</v>
      </c>
      <c r="J275" s="29">
        <v>9</v>
      </c>
      <c r="K275" s="29">
        <v>0</v>
      </c>
      <c r="L275" s="29">
        <v>0</v>
      </c>
      <c r="M275" s="29">
        <v>0</v>
      </c>
    </row>
    <row r="276" spans="1:13" x14ac:dyDescent="0.35">
      <c r="A276" s="7" t="str">
        <f t="shared" si="5"/>
        <v>GP410282B865</v>
      </c>
      <c r="B276" s="7" t="s">
        <v>7</v>
      </c>
      <c r="C276" s="7" t="s">
        <v>3139</v>
      </c>
      <c r="D276" s="7" t="s">
        <v>1040</v>
      </c>
      <c r="E276" s="7" t="s">
        <v>3140</v>
      </c>
      <c r="F276" s="7" t="s">
        <v>99</v>
      </c>
      <c r="G276" s="7" t="s">
        <v>98</v>
      </c>
      <c r="H276" s="7" t="s">
        <v>1262</v>
      </c>
      <c r="I276" s="7" t="s">
        <v>1286</v>
      </c>
      <c r="J276" s="29">
        <v>2</v>
      </c>
      <c r="K276" s="29">
        <v>0</v>
      </c>
      <c r="L276" s="29">
        <v>0</v>
      </c>
      <c r="M276" s="29">
        <v>0</v>
      </c>
    </row>
    <row r="277" spans="1:13" x14ac:dyDescent="0.35">
      <c r="A277" s="7" t="str">
        <f t="shared" si="5"/>
        <v>GP410282B867</v>
      </c>
      <c r="B277" s="7" t="s">
        <v>25</v>
      </c>
      <c r="C277" s="7" t="s">
        <v>3131</v>
      </c>
      <c r="D277" s="7" t="s">
        <v>1060</v>
      </c>
      <c r="E277" s="7" t="s">
        <v>3136</v>
      </c>
      <c r="F277" s="7" t="s">
        <v>99</v>
      </c>
      <c r="G277" s="7" t="s">
        <v>98</v>
      </c>
      <c r="H277" s="7" t="s">
        <v>1262</v>
      </c>
      <c r="I277" s="7" t="s">
        <v>1276</v>
      </c>
      <c r="J277" s="29">
        <v>20</v>
      </c>
      <c r="K277" s="29">
        <v>0</v>
      </c>
      <c r="L277" s="29">
        <v>0</v>
      </c>
      <c r="M277" s="29">
        <v>0</v>
      </c>
    </row>
    <row r="278" spans="1:13" x14ac:dyDescent="0.35">
      <c r="A278" s="7" t="str">
        <f t="shared" si="5"/>
        <v>GP411469B856</v>
      </c>
      <c r="B278" s="7" t="s">
        <v>21</v>
      </c>
      <c r="C278" s="7" t="s">
        <v>3131</v>
      </c>
      <c r="D278" s="7" t="s">
        <v>1177</v>
      </c>
      <c r="E278" s="7" t="s">
        <v>1177</v>
      </c>
      <c r="F278" s="7" t="s">
        <v>100</v>
      </c>
      <c r="G278" s="7" t="s">
        <v>2765</v>
      </c>
      <c r="H278" s="7" t="s">
        <v>1262</v>
      </c>
      <c r="I278" s="7" t="s">
        <v>1177</v>
      </c>
      <c r="J278" s="29">
        <v>0</v>
      </c>
      <c r="K278" s="29">
        <v>2</v>
      </c>
      <c r="L278" s="29">
        <v>0</v>
      </c>
      <c r="M278" s="29">
        <v>0</v>
      </c>
    </row>
    <row r="279" spans="1:13" x14ac:dyDescent="0.35">
      <c r="A279" s="7" t="str">
        <f t="shared" si="5"/>
        <v>GP411469B856</v>
      </c>
      <c r="B279" s="7" t="s">
        <v>21</v>
      </c>
      <c r="C279" s="7" t="s">
        <v>3131</v>
      </c>
      <c r="D279" s="7" t="s">
        <v>853</v>
      </c>
      <c r="E279" s="7" t="s">
        <v>3132</v>
      </c>
      <c r="F279" s="7" t="s">
        <v>100</v>
      </c>
      <c r="G279" s="7" t="s">
        <v>2765</v>
      </c>
      <c r="H279" s="7" t="s">
        <v>1262</v>
      </c>
      <c r="I279" s="7" t="s">
        <v>1286</v>
      </c>
      <c r="J279" s="29">
        <v>1</v>
      </c>
      <c r="K279" s="29">
        <v>0</v>
      </c>
      <c r="L279" s="29">
        <v>0</v>
      </c>
      <c r="M279" s="29">
        <v>0</v>
      </c>
    </row>
    <row r="280" spans="1:13" x14ac:dyDescent="0.35">
      <c r="A280" s="7" t="str">
        <f t="shared" si="5"/>
        <v>GP411469B857</v>
      </c>
      <c r="B280" s="7" t="s">
        <v>23</v>
      </c>
      <c r="C280" s="7" t="s">
        <v>3131</v>
      </c>
      <c r="D280" s="7" t="s">
        <v>959</v>
      </c>
      <c r="E280" s="7" t="s">
        <v>3133</v>
      </c>
      <c r="F280" s="7" t="s">
        <v>100</v>
      </c>
      <c r="G280" s="7" t="s">
        <v>2765</v>
      </c>
      <c r="H280" s="7" t="s">
        <v>1262</v>
      </c>
      <c r="I280" s="7" t="s">
        <v>1286</v>
      </c>
      <c r="J280" s="29">
        <v>7</v>
      </c>
      <c r="K280" s="29">
        <v>0</v>
      </c>
      <c r="L280" s="29">
        <v>0</v>
      </c>
      <c r="M280" s="29">
        <v>0</v>
      </c>
    </row>
    <row r="281" spans="1:13" x14ac:dyDescent="0.35">
      <c r="A281" s="7" t="str">
        <f t="shared" si="5"/>
        <v>GP411469B864</v>
      </c>
      <c r="B281" s="7" t="s">
        <v>10</v>
      </c>
      <c r="C281" s="7" t="s">
        <v>3134</v>
      </c>
      <c r="D281" s="7" t="s">
        <v>1011</v>
      </c>
      <c r="E281" s="7" t="s">
        <v>3135</v>
      </c>
      <c r="F281" s="7" t="s">
        <v>100</v>
      </c>
      <c r="G281" s="7" t="s">
        <v>2765</v>
      </c>
      <c r="H281" s="7" t="s">
        <v>1262</v>
      </c>
      <c r="I281" s="7" t="s">
        <v>1286</v>
      </c>
      <c r="J281" s="29">
        <v>2</v>
      </c>
      <c r="K281" s="29">
        <v>0</v>
      </c>
      <c r="L281" s="29">
        <v>0</v>
      </c>
      <c r="M281" s="29">
        <v>0</v>
      </c>
    </row>
    <row r="282" spans="1:13" x14ac:dyDescent="0.35">
      <c r="A282" s="7" t="str">
        <f t="shared" si="5"/>
        <v>GP411469B865</v>
      </c>
      <c r="B282" s="7" t="s">
        <v>7</v>
      </c>
      <c r="C282" s="7" t="s">
        <v>3139</v>
      </c>
      <c r="D282" s="7" t="s">
        <v>1177</v>
      </c>
      <c r="E282" s="7" t="s">
        <v>1177</v>
      </c>
      <c r="F282" s="7" t="s">
        <v>100</v>
      </c>
      <c r="G282" s="7" t="s">
        <v>2765</v>
      </c>
      <c r="H282" s="7" t="s">
        <v>1262</v>
      </c>
      <c r="I282" s="7" t="s">
        <v>1177</v>
      </c>
      <c r="J282" s="29">
        <v>0</v>
      </c>
      <c r="K282" s="29">
        <v>2</v>
      </c>
      <c r="L282" s="29">
        <v>0</v>
      </c>
      <c r="M282" s="29">
        <v>0</v>
      </c>
    </row>
    <row r="283" spans="1:13" x14ac:dyDescent="0.35">
      <c r="A283" s="7" t="str">
        <f t="shared" si="5"/>
        <v>GP411469B865</v>
      </c>
      <c r="B283" s="7" t="s">
        <v>7</v>
      </c>
      <c r="C283" s="7" t="s">
        <v>3139</v>
      </c>
      <c r="D283" s="7" t="s">
        <v>1040</v>
      </c>
      <c r="E283" s="7" t="s">
        <v>3140</v>
      </c>
      <c r="F283" s="7" t="s">
        <v>100</v>
      </c>
      <c r="G283" s="7" t="s">
        <v>2765</v>
      </c>
      <c r="H283" s="7" t="s">
        <v>1262</v>
      </c>
      <c r="I283" s="7" t="s">
        <v>3111</v>
      </c>
      <c r="J283" s="29">
        <v>1</v>
      </c>
      <c r="K283" s="29">
        <v>0</v>
      </c>
      <c r="L283" s="29">
        <v>0</v>
      </c>
      <c r="M283" s="29">
        <v>0</v>
      </c>
    </row>
    <row r="284" spans="1:13" x14ac:dyDescent="0.35">
      <c r="A284" s="7" t="str">
        <f t="shared" si="5"/>
        <v>GP411469B865</v>
      </c>
      <c r="B284" s="7" t="s">
        <v>7</v>
      </c>
      <c r="C284" s="7" t="s">
        <v>3139</v>
      </c>
      <c r="D284" s="7" t="s">
        <v>1040</v>
      </c>
      <c r="E284" s="7" t="s">
        <v>3140</v>
      </c>
      <c r="F284" s="7" t="s">
        <v>100</v>
      </c>
      <c r="G284" s="7" t="s">
        <v>2765</v>
      </c>
      <c r="H284" s="7" t="s">
        <v>1262</v>
      </c>
      <c r="I284" s="7" t="s">
        <v>3113</v>
      </c>
      <c r="J284" s="29">
        <v>1</v>
      </c>
      <c r="K284" s="29">
        <v>0</v>
      </c>
      <c r="L284" s="29">
        <v>0</v>
      </c>
      <c r="M284" s="29">
        <v>0</v>
      </c>
    </row>
    <row r="285" spans="1:13" x14ac:dyDescent="0.35">
      <c r="A285" s="7" t="str">
        <f t="shared" si="5"/>
        <v>GP411469B865</v>
      </c>
      <c r="B285" s="7" t="s">
        <v>7</v>
      </c>
      <c r="C285" s="7" t="s">
        <v>3139</v>
      </c>
      <c r="D285" s="7" t="s">
        <v>1040</v>
      </c>
      <c r="E285" s="7" t="s">
        <v>3140</v>
      </c>
      <c r="F285" s="7" t="s">
        <v>100</v>
      </c>
      <c r="G285" s="7" t="s">
        <v>2765</v>
      </c>
      <c r="H285" s="7" t="s">
        <v>1262</v>
      </c>
      <c r="I285" s="7" t="s">
        <v>1286</v>
      </c>
      <c r="J285" s="29">
        <v>0</v>
      </c>
      <c r="K285" s="29">
        <v>0</v>
      </c>
      <c r="L285" s="29">
        <v>0</v>
      </c>
      <c r="M285" s="29">
        <v>0</v>
      </c>
    </row>
    <row r="286" spans="1:13" x14ac:dyDescent="0.35">
      <c r="A286" s="7" t="str">
        <f t="shared" si="5"/>
        <v>GP411469B867</v>
      </c>
      <c r="B286" s="7" t="s">
        <v>25</v>
      </c>
      <c r="C286" s="7" t="s">
        <v>3131</v>
      </c>
      <c r="D286" s="7" t="s">
        <v>1060</v>
      </c>
      <c r="E286" s="7" t="s">
        <v>3136</v>
      </c>
      <c r="F286" s="7" t="s">
        <v>100</v>
      </c>
      <c r="G286" s="7" t="s">
        <v>2765</v>
      </c>
      <c r="H286" s="7" t="s">
        <v>1262</v>
      </c>
      <c r="I286" s="7" t="s">
        <v>3111</v>
      </c>
      <c r="J286" s="29">
        <v>0</v>
      </c>
      <c r="K286" s="29">
        <v>0</v>
      </c>
      <c r="L286" s="29">
        <v>0</v>
      </c>
      <c r="M286" s="29">
        <v>0</v>
      </c>
    </row>
    <row r="287" spans="1:13" x14ac:dyDescent="0.35">
      <c r="A287" s="7" t="str">
        <f t="shared" si="5"/>
        <v>GP411469B867</v>
      </c>
      <c r="B287" s="7" t="s">
        <v>25</v>
      </c>
      <c r="C287" s="7" t="s">
        <v>3131</v>
      </c>
      <c r="D287" s="7" t="s">
        <v>1060</v>
      </c>
      <c r="E287" s="7" t="s">
        <v>3136</v>
      </c>
      <c r="F287" s="7" t="s">
        <v>100</v>
      </c>
      <c r="G287" s="7" t="s">
        <v>2765</v>
      </c>
      <c r="H287" s="7" t="s">
        <v>1262</v>
      </c>
      <c r="I287" s="7" t="s">
        <v>1286</v>
      </c>
      <c r="J287" s="29">
        <v>0</v>
      </c>
      <c r="K287" s="29">
        <v>0</v>
      </c>
      <c r="L287" s="29">
        <v>0</v>
      </c>
      <c r="M287" s="29">
        <v>0</v>
      </c>
    </row>
    <row r="288" spans="1:13" x14ac:dyDescent="0.35">
      <c r="A288" s="7" t="str">
        <f t="shared" si="5"/>
        <v>GP422280B856</v>
      </c>
      <c r="B288" s="7" t="s">
        <v>21</v>
      </c>
      <c r="C288" s="7" t="s">
        <v>3131</v>
      </c>
      <c r="D288" s="7" t="s">
        <v>1177</v>
      </c>
      <c r="E288" s="7" t="s">
        <v>1177</v>
      </c>
      <c r="F288" s="7" t="s">
        <v>102</v>
      </c>
      <c r="G288" s="7" t="s">
        <v>103</v>
      </c>
      <c r="H288" s="7" t="s">
        <v>1262</v>
      </c>
      <c r="I288" s="7" t="s">
        <v>1177</v>
      </c>
      <c r="J288" s="29">
        <v>0</v>
      </c>
      <c r="K288" s="29">
        <v>2</v>
      </c>
      <c r="L288" s="29">
        <v>0</v>
      </c>
      <c r="M288" s="29">
        <v>0</v>
      </c>
    </row>
    <row r="289" spans="1:13" x14ac:dyDescent="0.35">
      <c r="A289" s="7" t="str">
        <f t="shared" si="5"/>
        <v>GP422280B857</v>
      </c>
      <c r="B289" s="7" t="s">
        <v>23</v>
      </c>
      <c r="C289" s="7" t="s">
        <v>3131</v>
      </c>
      <c r="D289" s="7" t="s">
        <v>959</v>
      </c>
      <c r="E289" s="7" t="s">
        <v>3133</v>
      </c>
      <c r="F289" s="7" t="s">
        <v>102</v>
      </c>
      <c r="G289" s="7" t="s">
        <v>103</v>
      </c>
      <c r="H289" s="7" t="s">
        <v>1262</v>
      </c>
      <c r="I289" s="7" t="s">
        <v>1276</v>
      </c>
      <c r="J289" s="29">
        <v>1</v>
      </c>
      <c r="K289" s="29">
        <v>0</v>
      </c>
      <c r="L289" s="29">
        <v>0</v>
      </c>
      <c r="M289" s="29">
        <v>0</v>
      </c>
    </row>
    <row r="290" spans="1:13" x14ac:dyDescent="0.35">
      <c r="A290" s="7" t="str">
        <f t="shared" si="5"/>
        <v>GP422280B864</v>
      </c>
      <c r="B290" s="7" t="s">
        <v>10</v>
      </c>
      <c r="C290" s="7" t="s">
        <v>3134</v>
      </c>
      <c r="D290" s="7" t="s">
        <v>1011</v>
      </c>
      <c r="E290" s="7" t="s">
        <v>3135</v>
      </c>
      <c r="F290" s="7" t="s">
        <v>102</v>
      </c>
      <c r="G290" s="7" t="s">
        <v>103</v>
      </c>
      <c r="H290" s="7" t="s">
        <v>1262</v>
      </c>
      <c r="I290" s="7" t="s">
        <v>1276</v>
      </c>
      <c r="J290" s="29">
        <v>1</v>
      </c>
      <c r="K290" s="29">
        <v>0</v>
      </c>
      <c r="L290" s="29">
        <v>0</v>
      </c>
      <c r="M290" s="29">
        <v>0</v>
      </c>
    </row>
    <row r="291" spans="1:13" x14ac:dyDescent="0.35">
      <c r="A291" s="7" t="str">
        <f t="shared" si="5"/>
        <v>GP422280B865</v>
      </c>
      <c r="B291" s="7" t="s">
        <v>7</v>
      </c>
      <c r="C291" s="7" t="s">
        <v>3139</v>
      </c>
      <c r="D291" s="7" t="s">
        <v>1177</v>
      </c>
      <c r="E291" s="7" t="s">
        <v>1177</v>
      </c>
      <c r="F291" s="7" t="s">
        <v>102</v>
      </c>
      <c r="G291" s="7" t="s">
        <v>103</v>
      </c>
      <c r="H291" s="7" t="s">
        <v>1262</v>
      </c>
      <c r="I291" s="7" t="s">
        <v>1177</v>
      </c>
      <c r="J291" s="29">
        <v>0</v>
      </c>
      <c r="K291" s="29">
        <v>3</v>
      </c>
      <c r="L291" s="29">
        <v>0</v>
      </c>
      <c r="M291" s="29">
        <v>0</v>
      </c>
    </row>
    <row r="292" spans="1:13" x14ac:dyDescent="0.35">
      <c r="A292" s="7" t="str">
        <f t="shared" si="5"/>
        <v>GP422280B865</v>
      </c>
      <c r="B292" s="7" t="s">
        <v>7</v>
      </c>
      <c r="C292" s="7" t="s">
        <v>3139</v>
      </c>
      <c r="D292" s="7" t="s">
        <v>1040</v>
      </c>
      <c r="E292" s="7" t="s">
        <v>3140</v>
      </c>
      <c r="F292" s="7" t="s">
        <v>102</v>
      </c>
      <c r="G292" s="7" t="s">
        <v>103</v>
      </c>
      <c r="H292" s="7" t="s">
        <v>1262</v>
      </c>
      <c r="I292" s="7" t="s">
        <v>1276</v>
      </c>
      <c r="J292" s="29">
        <v>1</v>
      </c>
      <c r="K292" s="29">
        <v>0</v>
      </c>
      <c r="L292" s="29">
        <v>0</v>
      </c>
      <c r="M292" s="29">
        <v>0</v>
      </c>
    </row>
    <row r="293" spans="1:13" x14ac:dyDescent="0.35">
      <c r="A293" s="7" t="str">
        <f t="shared" si="5"/>
        <v>GP422280B867</v>
      </c>
      <c r="B293" s="7" t="s">
        <v>25</v>
      </c>
      <c r="C293" s="7" t="s">
        <v>3131</v>
      </c>
      <c r="D293" s="7" t="s">
        <v>1060</v>
      </c>
      <c r="E293" s="7" t="s">
        <v>3136</v>
      </c>
      <c r="F293" s="7" t="s">
        <v>102</v>
      </c>
      <c r="G293" s="7" t="s">
        <v>103</v>
      </c>
      <c r="H293" s="7" t="s">
        <v>1262</v>
      </c>
      <c r="I293" s="7" t="s">
        <v>1276</v>
      </c>
      <c r="J293" s="29">
        <v>0</v>
      </c>
      <c r="K293" s="29">
        <v>0</v>
      </c>
      <c r="L293" s="29">
        <v>0</v>
      </c>
      <c r="M293" s="29">
        <v>0</v>
      </c>
    </row>
    <row r="294" spans="1:13" x14ac:dyDescent="0.35">
      <c r="A294" s="7" t="str">
        <f t="shared" si="5"/>
        <v>GP459925B856</v>
      </c>
      <c r="B294" s="7" t="s">
        <v>21</v>
      </c>
      <c r="C294" s="7" t="s">
        <v>3131</v>
      </c>
      <c r="D294" s="7" t="s">
        <v>853</v>
      </c>
      <c r="E294" s="7" t="s">
        <v>3132</v>
      </c>
      <c r="F294" s="7" t="s">
        <v>104</v>
      </c>
      <c r="G294" s="7" t="s">
        <v>105</v>
      </c>
      <c r="H294" s="7" t="s">
        <v>1262</v>
      </c>
      <c r="I294" s="7" t="s">
        <v>1276</v>
      </c>
      <c r="J294" s="29">
        <v>1</v>
      </c>
      <c r="K294" s="29">
        <v>0</v>
      </c>
      <c r="L294" s="29">
        <v>0</v>
      </c>
      <c r="M294" s="29">
        <v>0</v>
      </c>
    </row>
    <row r="295" spans="1:13" x14ac:dyDescent="0.35">
      <c r="A295" s="7" t="str">
        <f t="shared" si="5"/>
        <v>GP467716B825</v>
      </c>
      <c r="B295" s="7" t="s">
        <v>16</v>
      </c>
      <c r="C295" s="7" t="s">
        <v>3127</v>
      </c>
      <c r="D295" s="7" t="s">
        <v>1177</v>
      </c>
      <c r="E295" s="7" t="s">
        <v>1177</v>
      </c>
      <c r="F295" s="7" t="s">
        <v>106</v>
      </c>
      <c r="G295" s="7" t="s">
        <v>107</v>
      </c>
      <c r="H295" s="7" t="s">
        <v>1262</v>
      </c>
      <c r="I295" s="7" t="s">
        <v>1177</v>
      </c>
      <c r="J295" s="29">
        <v>0</v>
      </c>
      <c r="K295" s="29">
        <v>5</v>
      </c>
      <c r="L295" s="29">
        <v>0</v>
      </c>
      <c r="M295" s="29">
        <v>0</v>
      </c>
    </row>
    <row r="296" spans="1:13" x14ac:dyDescent="0.35">
      <c r="A296" s="7" t="str">
        <f t="shared" si="5"/>
        <v>GP467716B825</v>
      </c>
      <c r="B296" s="7" t="s">
        <v>16</v>
      </c>
      <c r="C296" s="7" t="s">
        <v>3127</v>
      </c>
      <c r="D296" s="7" t="s">
        <v>512</v>
      </c>
      <c r="E296" s="7" t="s">
        <v>3128</v>
      </c>
      <c r="F296" s="7" t="s">
        <v>106</v>
      </c>
      <c r="G296" s="7" t="s">
        <v>107</v>
      </c>
      <c r="H296" s="7" t="s">
        <v>1262</v>
      </c>
      <c r="I296" s="7" t="s">
        <v>2591</v>
      </c>
      <c r="J296" s="29">
        <v>13</v>
      </c>
      <c r="K296" s="29">
        <v>0</v>
      </c>
      <c r="L296" s="29">
        <v>0</v>
      </c>
      <c r="M296" s="29">
        <v>0</v>
      </c>
    </row>
    <row r="297" spans="1:13" x14ac:dyDescent="0.35">
      <c r="A297" s="7" t="str">
        <f t="shared" si="5"/>
        <v>GP467716B825</v>
      </c>
      <c r="B297" s="7" t="s">
        <v>16</v>
      </c>
      <c r="C297" s="7" t="s">
        <v>3127</v>
      </c>
      <c r="D297" s="7" t="s">
        <v>512</v>
      </c>
      <c r="E297" s="7" t="s">
        <v>3128</v>
      </c>
      <c r="F297" s="7" t="s">
        <v>106</v>
      </c>
      <c r="G297" s="7" t="s">
        <v>107</v>
      </c>
      <c r="H297" s="7" t="s">
        <v>1262</v>
      </c>
      <c r="I297" s="7" t="s">
        <v>1276</v>
      </c>
      <c r="J297" s="29">
        <v>1</v>
      </c>
      <c r="K297" s="29">
        <v>0</v>
      </c>
      <c r="L297" s="29">
        <v>0</v>
      </c>
      <c r="M297" s="29">
        <v>0</v>
      </c>
    </row>
    <row r="298" spans="1:13" x14ac:dyDescent="0.35">
      <c r="A298" s="7" t="str">
        <f t="shared" si="5"/>
        <v>GP467716B832</v>
      </c>
      <c r="B298" s="7" t="s">
        <v>19</v>
      </c>
      <c r="C298" s="7" t="s">
        <v>3125</v>
      </c>
      <c r="D298" s="7" t="s">
        <v>654</v>
      </c>
      <c r="E298" s="7" t="s">
        <v>3126</v>
      </c>
      <c r="F298" s="7" t="s">
        <v>106</v>
      </c>
      <c r="G298" s="7" t="s">
        <v>107</v>
      </c>
      <c r="H298" s="7" t="s">
        <v>1262</v>
      </c>
      <c r="I298" s="7" t="s">
        <v>2591</v>
      </c>
      <c r="J298" s="29">
        <v>3</v>
      </c>
      <c r="K298" s="29">
        <v>0</v>
      </c>
      <c r="L298" s="29">
        <v>0</v>
      </c>
      <c r="M298" s="29">
        <v>0</v>
      </c>
    </row>
    <row r="299" spans="1:13" x14ac:dyDescent="0.35">
      <c r="A299" s="7" t="str">
        <f t="shared" si="5"/>
        <v>GP467716B832</v>
      </c>
      <c r="B299" s="7" t="s">
        <v>19</v>
      </c>
      <c r="C299" s="7" t="s">
        <v>3125</v>
      </c>
      <c r="D299" s="7" t="s">
        <v>654</v>
      </c>
      <c r="E299" s="7" t="s">
        <v>3126</v>
      </c>
      <c r="F299" s="7" t="s">
        <v>106</v>
      </c>
      <c r="G299" s="7" t="s">
        <v>107</v>
      </c>
      <c r="H299" s="7" t="s">
        <v>1262</v>
      </c>
      <c r="I299" s="7" t="s">
        <v>1276</v>
      </c>
      <c r="J299" s="29">
        <v>6</v>
      </c>
      <c r="K299" s="29">
        <v>0</v>
      </c>
      <c r="L299" s="29">
        <v>0</v>
      </c>
      <c r="M299" s="29">
        <v>0</v>
      </c>
    </row>
    <row r="300" spans="1:13" x14ac:dyDescent="0.35">
      <c r="A300" s="7" t="str">
        <f t="shared" si="5"/>
        <v>GP467716B838</v>
      </c>
      <c r="B300" s="7" t="s">
        <v>48</v>
      </c>
      <c r="C300" s="7" t="s">
        <v>3137</v>
      </c>
      <c r="D300" s="7" t="s">
        <v>1177</v>
      </c>
      <c r="E300" s="7" t="s">
        <v>1177</v>
      </c>
      <c r="F300" s="7" t="s">
        <v>106</v>
      </c>
      <c r="G300" s="7" t="s">
        <v>107</v>
      </c>
      <c r="H300" s="7" t="s">
        <v>1262</v>
      </c>
      <c r="I300" s="7" t="s">
        <v>1177</v>
      </c>
      <c r="J300" s="29">
        <v>0</v>
      </c>
      <c r="K300" s="29">
        <v>3</v>
      </c>
      <c r="L300" s="29">
        <v>0</v>
      </c>
      <c r="M300" s="29">
        <v>0</v>
      </c>
    </row>
    <row r="301" spans="1:13" x14ac:dyDescent="0.35">
      <c r="A301" s="7" t="str">
        <f t="shared" si="5"/>
        <v>GP467716B838</v>
      </c>
      <c r="B301" s="7" t="s">
        <v>48</v>
      </c>
      <c r="C301" s="7" t="s">
        <v>3137</v>
      </c>
      <c r="D301" s="7" t="s">
        <v>745</v>
      </c>
      <c r="E301" s="7" t="s">
        <v>3138</v>
      </c>
      <c r="F301" s="7" t="s">
        <v>106</v>
      </c>
      <c r="G301" s="7" t="s">
        <v>107</v>
      </c>
      <c r="H301" s="7" t="s">
        <v>1262</v>
      </c>
      <c r="I301" s="7" t="s">
        <v>1276</v>
      </c>
      <c r="J301" s="29">
        <v>3</v>
      </c>
      <c r="K301" s="29">
        <v>0</v>
      </c>
      <c r="L301" s="29">
        <v>0</v>
      </c>
      <c r="M301" s="29">
        <v>0</v>
      </c>
    </row>
    <row r="302" spans="1:13" x14ac:dyDescent="0.35">
      <c r="A302" s="7" t="str">
        <f t="shared" si="5"/>
        <v>GP486500B825</v>
      </c>
      <c r="B302" s="7" t="s">
        <v>16</v>
      </c>
      <c r="C302" s="7" t="s">
        <v>3127</v>
      </c>
      <c r="D302" s="7" t="s">
        <v>512</v>
      </c>
      <c r="E302" s="7" t="s">
        <v>3128</v>
      </c>
      <c r="F302" s="7" t="s">
        <v>108</v>
      </c>
      <c r="G302" s="7" t="s">
        <v>109</v>
      </c>
      <c r="H302" s="7" t="s">
        <v>1262</v>
      </c>
      <c r="I302" s="7" t="s">
        <v>1276</v>
      </c>
      <c r="J302" s="29">
        <v>17</v>
      </c>
      <c r="K302" s="29">
        <v>0</v>
      </c>
      <c r="L302" s="29">
        <v>0</v>
      </c>
      <c r="M302" s="29">
        <v>0</v>
      </c>
    </row>
    <row r="303" spans="1:13" x14ac:dyDescent="0.35">
      <c r="A303" s="7" t="str">
        <f t="shared" si="5"/>
        <v>GP486500B832</v>
      </c>
      <c r="B303" s="7" t="s">
        <v>19</v>
      </c>
      <c r="C303" s="7" t="s">
        <v>3125</v>
      </c>
      <c r="D303" s="7" t="s">
        <v>654</v>
      </c>
      <c r="E303" s="7" t="s">
        <v>3126</v>
      </c>
      <c r="F303" s="7" t="s">
        <v>108</v>
      </c>
      <c r="G303" s="7" t="s">
        <v>109</v>
      </c>
      <c r="H303" s="7" t="s">
        <v>1262</v>
      </c>
      <c r="I303" s="7" t="s">
        <v>1276</v>
      </c>
      <c r="J303" s="29">
        <v>6</v>
      </c>
      <c r="K303" s="29">
        <v>0</v>
      </c>
      <c r="L303" s="29">
        <v>0</v>
      </c>
      <c r="M303" s="29">
        <v>0</v>
      </c>
    </row>
    <row r="304" spans="1:13" x14ac:dyDescent="0.35">
      <c r="A304" s="7" t="str">
        <f t="shared" si="5"/>
        <v>GP486500B833</v>
      </c>
      <c r="B304" s="7" t="s">
        <v>697</v>
      </c>
      <c r="C304" s="7" t="s">
        <v>3129</v>
      </c>
      <c r="D304" s="7" t="s">
        <v>699</v>
      </c>
      <c r="E304" s="7" t="s">
        <v>3130</v>
      </c>
      <c r="F304" s="7" t="s">
        <v>108</v>
      </c>
      <c r="G304" s="7" t="s">
        <v>109</v>
      </c>
      <c r="H304" s="7" t="s">
        <v>1262</v>
      </c>
      <c r="I304" s="7" t="s">
        <v>1276</v>
      </c>
      <c r="J304" s="29">
        <v>2</v>
      </c>
      <c r="K304" s="29">
        <v>0</v>
      </c>
      <c r="L304" s="29">
        <v>0</v>
      </c>
      <c r="M304" s="29">
        <v>0</v>
      </c>
    </row>
    <row r="305" spans="1:13" x14ac:dyDescent="0.35">
      <c r="A305" s="7" t="str">
        <f t="shared" si="5"/>
        <v>GP486500B838</v>
      </c>
      <c r="B305" s="7" t="s">
        <v>48</v>
      </c>
      <c r="C305" s="7" t="s">
        <v>3137</v>
      </c>
      <c r="D305" s="7" t="s">
        <v>745</v>
      </c>
      <c r="E305" s="7" t="s">
        <v>3138</v>
      </c>
      <c r="F305" s="7" t="s">
        <v>108</v>
      </c>
      <c r="G305" s="7" t="s">
        <v>109</v>
      </c>
      <c r="H305" s="7" t="s">
        <v>1262</v>
      </c>
      <c r="I305" s="7" t="s">
        <v>1276</v>
      </c>
      <c r="J305" s="29">
        <v>2</v>
      </c>
      <c r="K305" s="29">
        <v>0</v>
      </c>
      <c r="L305" s="29">
        <v>0</v>
      </c>
      <c r="M305" s="29">
        <v>0</v>
      </c>
    </row>
    <row r="306" spans="1:13" x14ac:dyDescent="0.35">
      <c r="A306" s="7" t="str">
        <f t="shared" si="5"/>
        <v>GP486500B856</v>
      </c>
      <c r="B306" s="7" t="s">
        <v>21</v>
      </c>
      <c r="C306" s="7" t="s">
        <v>3131</v>
      </c>
      <c r="D306" s="7" t="s">
        <v>853</v>
      </c>
      <c r="E306" s="7" t="s">
        <v>3132</v>
      </c>
      <c r="F306" s="7" t="s">
        <v>108</v>
      </c>
      <c r="G306" s="7" t="s">
        <v>109</v>
      </c>
      <c r="H306" s="7" t="s">
        <v>1262</v>
      </c>
      <c r="I306" s="7" t="s">
        <v>1276</v>
      </c>
      <c r="J306" s="29">
        <v>5</v>
      </c>
      <c r="K306" s="29">
        <v>0</v>
      </c>
      <c r="L306" s="29">
        <v>0</v>
      </c>
      <c r="M306" s="29">
        <v>0</v>
      </c>
    </row>
    <row r="307" spans="1:13" x14ac:dyDescent="0.35">
      <c r="A307" s="7" t="str">
        <f t="shared" si="5"/>
        <v>GP486500B857</v>
      </c>
      <c r="B307" s="7" t="s">
        <v>23</v>
      </c>
      <c r="C307" s="7" t="s">
        <v>3131</v>
      </c>
      <c r="D307" s="7" t="s">
        <v>959</v>
      </c>
      <c r="E307" s="7" t="s">
        <v>3133</v>
      </c>
      <c r="F307" s="7" t="s">
        <v>108</v>
      </c>
      <c r="G307" s="7" t="s">
        <v>109</v>
      </c>
      <c r="H307" s="7" t="s">
        <v>1262</v>
      </c>
      <c r="I307" s="7" t="s">
        <v>1276</v>
      </c>
      <c r="J307" s="29">
        <v>6</v>
      </c>
      <c r="K307" s="29">
        <v>0</v>
      </c>
      <c r="L307" s="29">
        <v>0</v>
      </c>
      <c r="M307" s="29">
        <v>0</v>
      </c>
    </row>
    <row r="308" spans="1:13" x14ac:dyDescent="0.35">
      <c r="A308" s="7" t="str">
        <f t="shared" si="5"/>
        <v>GP486500B864</v>
      </c>
      <c r="B308" s="7" t="s">
        <v>10</v>
      </c>
      <c r="C308" s="7" t="s">
        <v>3134</v>
      </c>
      <c r="D308" s="7" t="s">
        <v>1011</v>
      </c>
      <c r="E308" s="7" t="s">
        <v>3135</v>
      </c>
      <c r="F308" s="7" t="s">
        <v>108</v>
      </c>
      <c r="G308" s="7" t="s">
        <v>109</v>
      </c>
      <c r="H308" s="7" t="s">
        <v>1262</v>
      </c>
      <c r="I308" s="7" t="s">
        <v>1276</v>
      </c>
      <c r="J308" s="29">
        <v>31</v>
      </c>
      <c r="K308" s="29">
        <v>0</v>
      </c>
      <c r="L308" s="29">
        <v>0</v>
      </c>
      <c r="M308" s="29">
        <v>0</v>
      </c>
    </row>
    <row r="309" spans="1:13" x14ac:dyDescent="0.35">
      <c r="A309" s="7" t="str">
        <f t="shared" si="5"/>
        <v>GP486500B865</v>
      </c>
      <c r="B309" s="7" t="s">
        <v>7</v>
      </c>
      <c r="C309" s="7" t="s">
        <v>3139</v>
      </c>
      <c r="D309" s="7" t="s">
        <v>1040</v>
      </c>
      <c r="E309" s="7" t="s">
        <v>3140</v>
      </c>
      <c r="F309" s="7" t="s">
        <v>108</v>
      </c>
      <c r="G309" s="7" t="s">
        <v>109</v>
      </c>
      <c r="H309" s="7" t="s">
        <v>1262</v>
      </c>
      <c r="I309" s="7" t="s">
        <v>1276</v>
      </c>
      <c r="J309" s="29">
        <v>16</v>
      </c>
      <c r="K309" s="29">
        <v>0</v>
      </c>
      <c r="L309" s="29">
        <v>0</v>
      </c>
      <c r="M309" s="29">
        <v>0</v>
      </c>
    </row>
    <row r="310" spans="1:13" x14ac:dyDescent="0.35">
      <c r="A310" s="7" t="str">
        <f t="shared" si="5"/>
        <v>GP486500B867</v>
      </c>
      <c r="B310" s="7" t="s">
        <v>25</v>
      </c>
      <c r="C310" s="7" t="s">
        <v>3131</v>
      </c>
      <c r="D310" s="7" t="s">
        <v>1060</v>
      </c>
      <c r="E310" s="7" t="s">
        <v>3136</v>
      </c>
      <c r="F310" s="7" t="s">
        <v>108</v>
      </c>
      <c r="G310" s="7" t="s">
        <v>109</v>
      </c>
      <c r="H310" s="7" t="s">
        <v>1262</v>
      </c>
      <c r="I310" s="7" t="s">
        <v>1276</v>
      </c>
      <c r="J310" s="29">
        <v>0</v>
      </c>
      <c r="K310" s="29">
        <v>0</v>
      </c>
      <c r="L310" s="29">
        <v>0</v>
      </c>
      <c r="M310" s="29">
        <v>0</v>
      </c>
    </row>
    <row r="311" spans="1:13" x14ac:dyDescent="0.35">
      <c r="A311" s="7" t="str">
        <f t="shared" si="5"/>
        <v>GP486978-004B825</v>
      </c>
      <c r="B311" s="7" t="s">
        <v>16</v>
      </c>
      <c r="C311" s="7" t="s">
        <v>3127</v>
      </c>
      <c r="D311" s="7" t="s">
        <v>1177</v>
      </c>
      <c r="E311" s="7" t="s">
        <v>1177</v>
      </c>
      <c r="F311" s="7" t="s">
        <v>193</v>
      </c>
      <c r="G311" s="7" t="s">
        <v>194</v>
      </c>
      <c r="H311" s="7" t="s">
        <v>1185</v>
      </c>
      <c r="I311" s="7" t="s">
        <v>1177</v>
      </c>
      <c r="J311" s="29">
        <v>0</v>
      </c>
      <c r="K311" s="30">
        <v>1457.4</v>
      </c>
      <c r="L311" s="29">
        <v>0</v>
      </c>
      <c r="M311" s="29">
        <v>0</v>
      </c>
    </row>
    <row r="312" spans="1:13" x14ac:dyDescent="0.35">
      <c r="A312" s="7" t="str">
        <f t="shared" si="5"/>
        <v>GP486978-004B825</v>
      </c>
      <c r="B312" s="7" t="s">
        <v>16</v>
      </c>
      <c r="C312" s="7" t="s">
        <v>3127</v>
      </c>
      <c r="D312" s="7" t="s">
        <v>512</v>
      </c>
      <c r="E312" s="7" t="s">
        <v>3128</v>
      </c>
      <c r="F312" s="7" t="s">
        <v>193</v>
      </c>
      <c r="G312" s="7" t="s">
        <v>194</v>
      </c>
      <c r="H312" s="7" t="s">
        <v>1185</v>
      </c>
      <c r="I312" s="7" t="s">
        <v>1177</v>
      </c>
      <c r="J312" s="30">
        <v>216.2</v>
      </c>
      <c r="K312" s="29">
        <v>0</v>
      </c>
      <c r="L312" s="29">
        <v>0</v>
      </c>
      <c r="M312" s="29">
        <v>0</v>
      </c>
    </row>
    <row r="313" spans="1:13" x14ac:dyDescent="0.35">
      <c r="A313" s="7" t="str">
        <f t="shared" si="5"/>
        <v>GP486978-004B832</v>
      </c>
      <c r="B313" s="7" t="s">
        <v>19</v>
      </c>
      <c r="C313" s="7" t="s">
        <v>3125</v>
      </c>
      <c r="D313" s="7" t="s">
        <v>1177</v>
      </c>
      <c r="E313" s="7" t="s">
        <v>1177</v>
      </c>
      <c r="F313" s="7" t="s">
        <v>193</v>
      </c>
      <c r="G313" s="7" t="s">
        <v>194</v>
      </c>
      <c r="H313" s="7" t="s">
        <v>1185</v>
      </c>
      <c r="I313" s="7" t="s">
        <v>1177</v>
      </c>
      <c r="J313" s="29">
        <v>0</v>
      </c>
      <c r="K313" s="29">
        <v>100</v>
      </c>
      <c r="L313" s="29">
        <v>0</v>
      </c>
      <c r="M313" s="29">
        <v>0</v>
      </c>
    </row>
    <row r="314" spans="1:13" x14ac:dyDescent="0.35">
      <c r="A314" s="7" t="str">
        <f t="shared" si="5"/>
        <v>GP486978-004B832</v>
      </c>
      <c r="B314" s="7" t="s">
        <v>19</v>
      </c>
      <c r="C314" s="7" t="s">
        <v>3125</v>
      </c>
      <c r="D314" s="7" t="s">
        <v>654</v>
      </c>
      <c r="E314" s="7" t="s">
        <v>3126</v>
      </c>
      <c r="F314" s="7" t="s">
        <v>193</v>
      </c>
      <c r="G314" s="7" t="s">
        <v>194</v>
      </c>
      <c r="H314" s="7" t="s">
        <v>1185</v>
      </c>
      <c r="I314" s="7" t="s">
        <v>1177</v>
      </c>
      <c r="J314" s="30">
        <v>4.5999999999999996</v>
      </c>
      <c r="K314" s="29">
        <v>0</v>
      </c>
      <c r="L314" s="29">
        <v>0</v>
      </c>
      <c r="M314" s="29">
        <v>0</v>
      </c>
    </row>
    <row r="315" spans="1:13" x14ac:dyDescent="0.35">
      <c r="A315" s="7" t="str">
        <f t="shared" si="5"/>
        <v>GP486978-004B833</v>
      </c>
      <c r="B315" s="7" t="s">
        <v>697</v>
      </c>
      <c r="C315" s="7" t="s">
        <v>3129</v>
      </c>
      <c r="D315" s="7" t="s">
        <v>699</v>
      </c>
      <c r="E315" s="7" t="s">
        <v>3130</v>
      </c>
      <c r="F315" s="7" t="s">
        <v>193</v>
      </c>
      <c r="G315" s="7" t="s">
        <v>194</v>
      </c>
      <c r="H315" s="7" t="s">
        <v>1185</v>
      </c>
      <c r="I315" s="7" t="s">
        <v>1177</v>
      </c>
      <c r="J315" s="30">
        <v>4.5999999999999996</v>
      </c>
      <c r="K315" s="29">
        <v>0</v>
      </c>
      <c r="L315" s="29">
        <v>0</v>
      </c>
      <c r="M315" s="29">
        <v>0</v>
      </c>
    </row>
    <row r="316" spans="1:13" x14ac:dyDescent="0.35">
      <c r="A316" s="7" t="str">
        <f t="shared" si="5"/>
        <v>GP486978-004B838</v>
      </c>
      <c r="B316" s="7" t="s">
        <v>48</v>
      </c>
      <c r="C316" s="7" t="s">
        <v>3137</v>
      </c>
      <c r="D316" s="7" t="s">
        <v>1177</v>
      </c>
      <c r="E316" s="7" t="s">
        <v>1177</v>
      </c>
      <c r="F316" s="7" t="s">
        <v>193</v>
      </c>
      <c r="G316" s="7" t="s">
        <v>194</v>
      </c>
      <c r="H316" s="7" t="s">
        <v>1185</v>
      </c>
      <c r="I316" s="7" t="s">
        <v>1177</v>
      </c>
      <c r="J316" s="29">
        <v>0</v>
      </c>
      <c r="K316" s="29">
        <v>209</v>
      </c>
      <c r="L316" s="29">
        <v>0</v>
      </c>
      <c r="M316" s="29">
        <v>0</v>
      </c>
    </row>
    <row r="317" spans="1:13" x14ac:dyDescent="0.35">
      <c r="A317" s="7" t="str">
        <f t="shared" si="5"/>
        <v>GP486978-004B838</v>
      </c>
      <c r="B317" s="7" t="s">
        <v>48</v>
      </c>
      <c r="C317" s="7" t="s">
        <v>3137</v>
      </c>
      <c r="D317" s="7" t="s">
        <v>745</v>
      </c>
      <c r="E317" s="7" t="s">
        <v>3138</v>
      </c>
      <c r="F317" s="7" t="s">
        <v>193</v>
      </c>
      <c r="G317" s="7" t="s">
        <v>194</v>
      </c>
      <c r="H317" s="7" t="s">
        <v>1185</v>
      </c>
      <c r="I317" s="7" t="s">
        <v>1177</v>
      </c>
      <c r="J317" s="30">
        <v>551.79999999999995</v>
      </c>
      <c r="K317" s="29">
        <v>0</v>
      </c>
      <c r="L317" s="29">
        <v>0</v>
      </c>
      <c r="M317" s="29">
        <v>0</v>
      </c>
    </row>
    <row r="318" spans="1:13" x14ac:dyDescent="0.35">
      <c r="A318" s="7" t="str">
        <f t="shared" si="5"/>
        <v>GP486978-004B856</v>
      </c>
      <c r="B318" s="7" t="s">
        <v>21</v>
      </c>
      <c r="C318" s="7" t="s">
        <v>3131</v>
      </c>
      <c r="D318" s="7" t="s">
        <v>853</v>
      </c>
      <c r="E318" s="7" t="s">
        <v>3132</v>
      </c>
      <c r="F318" s="7" t="s">
        <v>193</v>
      </c>
      <c r="G318" s="7" t="s">
        <v>194</v>
      </c>
      <c r="H318" s="7" t="s">
        <v>1185</v>
      </c>
      <c r="I318" s="7" t="s">
        <v>1177</v>
      </c>
      <c r="J318" s="29">
        <v>431</v>
      </c>
      <c r="K318" s="29">
        <v>0</v>
      </c>
      <c r="L318" s="29">
        <v>0</v>
      </c>
      <c r="M318" s="29">
        <v>0</v>
      </c>
    </row>
    <row r="319" spans="1:13" x14ac:dyDescent="0.35">
      <c r="A319" s="7" t="str">
        <f t="shared" si="5"/>
        <v>GP486978-004B857</v>
      </c>
      <c r="B319" s="7" t="s">
        <v>23</v>
      </c>
      <c r="C319" s="7" t="s">
        <v>3131</v>
      </c>
      <c r="D319" s="7" t="s">
        <v>959</v>
      </c>
      <c r="E319" s="7" t="s">
        <v>3133</v>
      </c>
      <c r="F319" s="7" t="s">
        <v>193</v>
      </c>
      <c r="G319" s="7" t="s">
        <v>194</v>
      </c>
      <c r="H319" s="7" t="s">
        <v>1185</v>
      </c>
      <c r="I319" s="7" t="s">
        <v>1177</v>
      </c>
      <c r="J319" s="29">
        <v>209</v>
      </c>
      <c r="K319" s="29">
        <v>0</v>
      </c>
      <c r="L319" s="29">
        <v>0</v>
      </c>
      <c r="M319" s="29">
        <v>0</v>
      </c>
    </row>
    <row r="320" spans="1:13" x14ac:dyDescent="0.35">
      <c r="A320" s="7" t="str">
        <f t="shared" si="5"/>
        <v>GP486978-004B864</v>
      </c>
      <c r="B320" s="7" t="s">
        <v>10</v>
      </c>
      <c r="C320" s="7" t="s">
        <v>3134</v>
      </c>
      <c r="D320" s="7" t="s">
        <v>1011</v>
      </c>
      <c r="E320" s="7" t="s">
        <v>3135</v>
      </c>
      <c r="F320" s="7" t="s">
        <v>193</v>
      </c>
      <c r="G320" s="7" t="s">
        <v>194</v>
      </c>
      <c r="H320" s="7" t="s">
        <v>1185</v>
      </c>
      <c r="I320" s="7" t="s">
        <v>1177</v>
      </c>
      <c r="J320" s="30">
        <v>14.8</v>
      </c>
      <c r="K320" s="29">
        <v>0</v>
      </c>
      <c r="L320" s="29">
        <v>0</v>
      </c>
      <c r="M320" s="29">
        <v>0</v>
      </c>
    </row>
    <row r="321" spans="1:13" x14ac:dyDescent="0.35">
      <c r="A321" s="7" t="str">
        <f t="shared" si="5"/>
        <v>GP486978-004B865</v>
      </c>
      <c r="B321" s="7" t="s">
        <v>7</v>
      </c>
      <c r="C321" s="7" t="s">
        <v>3139</v>
      </c>
      <c r="D321" s="7" t="s">
        <v>1040</v>
      </c>
      <c r="E321" s="7" t="s">
        <v>3140</v>
      </c>
      <c r="F321" s="7" t="s">
        <v>193</v>
      </c>
      <c r="G321" s="7" t="s">
        <v>194</v>
      </c>
      <c r="H321" s="7" t="s">
        <v>1185</v>
      </c>
      <c r="I321" s="7" t="s">
        <v>1177</v>
      </c>
      <c r="J321" s="30">
        <v>21.6</v>
      </c>
      <c r="K321" s="29">
        <v>0</v>
      </c>
      <c r="L321" s="29">
        <v>0</v>
      </c>
      <c r="M321" s="29">
        <v>0</v>
      </c>
    </row>
    <row r="322" spans="1:13" x14ac:dyDescent="0.35">
      <c r="A322" s="7" t="str">
        <f t="shared" si="5"/>
        <v>GP486978-004B867</v>
      </c>
      <c r="B322" s="7" t="s">
        <v>25</v>
      </c>
      <c r="C322" s="7" t="s">
        <v>3131</v>
      </c>
      <c r="D322" s="7" t="s">
        <v>1060</v>
      </c>
      <c r="E322" s="7" t="s">
        <v>3136</v>
      </c>
      <c r="F322" s="7" t="s">
        <v>193</v>
      </c>
      <c r="G322" s="7" t="s">
        <v>194</v>
      </c>
      <c r="H322" s="7" t="s">
        <v>1185</v>
      </c>
      <c r="I322" s="7" t="s">
        <v>1177</v>
      </c>
      <c r="J322" s="30">
        <v>672.8</v>
      </c>
      <c r="K322" s="29">
        <v>0</v>
      </c>
      <c r="L322" s="29">
        <v>0</v>
      </c>
      <c r="M322" s="29">
        <v>0</v>
      </c>
    </row>
    <row r="323" spans="1:13" x14ac:dyDescent="0.35">
      <c r="A323" s="7" t="str">
        <f t="shared" ref="A323:A328" si="6">_xlfn.CONCAT(F323,B323)</f>
        <v>GP525859B856</v>
      </c>
      <c r="B323" s="7" t="s">
        <v>21</v>
      </c>
      <c r="C323" s="7" t="s">
        <v>3131</v>
      </c>
      <c r="D323" s="7" t="s">
        <v>1177</v>
      </c>
      <c r="E323" s="7" t="s">
        <v>1177</v>
      </c>
      <c r="F323" s="7" t="s">
        <v>110</v>
      </c>
      <c r="G323" s="7" t="s">
        <v>111</v>
      </c>
      <c r="H323" s="7" t="s">
        <v>1262</v>
      </c>
      <c r="I323" s="7" t="s">
        <v>1177</v>
      </c>
      <c r="J323" s="29">
        <v>0</v>
      </c>
      <c r="K323" s="29">
        <v>2</v>
      </c>
      <c r="L323" s="29">
        <v>0</v>
      </c>
      <c r="M323" s="29">
        <v>0</v>
      </c>
    </row>
    <row r="324" spans="1:13" x14ac:dyDescent="0.35">
      <c r="A324" s="7" t="str">
        <f t="shared" si="6"/>
        <v>GP525859B856</v>
      </c>
      <c r="B324" s="7" t="s">
        <v>21</v>
      </c>
      <c r="C324" s="7" t="s">
        <v>3131</v>
      </c>
      <c r="D324" s="7" t="s">
        <v>853</v>
      </c>
      <c r="E324" s="7" t="s">
        <v>3132</v>
      </c>
      <c r="F324" s="7" t="s">
        <v>110</v>
      </c>
      <c r="G324" s="7" t="s">
        <v>111</v>
      </c>
      <c r="H324" s="7" t="s">
        <v>1262</v>
      </c>
      <c r="I324" s="7" t="s">
        <v>1276</v>
      </c>
      <c r="J324" s="29">
        <v>0</v>
      </c>
      <c r="K324" s="29">
        <v>0</v>
      </c>
      <c r="L324" s="29">
        <v>0</v>
      </c>
      <c r="M324" s="29">
        <v>0</v>
      </c>
    </row>
    <row r="325" spans="1:13" x14ac:dyDescent="0.35">
      <c r="A325" s="7" t="str">
        <f t="shared" si="6"/>
        <v>GP525859B857</v>
      </c>
      <c r="B325" s="7" t="s">
        <v>23</v>
      </c>
      <c r="C325" s="7" t="s">
        <v>3131</v>
      </c>
      <c r="D325" s="7" t="s">
        <v>959</v>
      </c>
      <c r="E325" s="7" t="s">
        <v>3133</v>
      </c>
      <c r="F325" s="7" t="s">
        <v>110</v>
      </c>
      <c r="G325" s="7" t="s">
        <v>111</v>
      </c>
      <c r="H325" s="7" t="s">
        <v>1262</v>
      </c>
      <c r="I325" s="7" t="s">
        <v>1276</v>
      </c>
      <c r="J325" s="29">
        <v>18</v>
      </c>
      <c r="K325" s="29">
        <v>0</v>
      </c>
      <c r="L325" s="29">
        <v>0</v>
      </c>
      <c r="M325" s="29">
        <v>0</v>
      </c>
    </row>
    <row r="326" spans="1:13" x14ac:dyDescent="0.35">
      <c r="A326" s="7" t="str">
        <f t="shared" si="6"/>
        <v>GP525859B864</v>
      </c>
      <c r="B326" s="7" t="s">
        <v>10</v>
      </c>
      <c r="C326" s="7" t="s">
        <v>3134</v>
      </c>
      <c r="D326" s="7" t="s">
        <v>1011</v>
      </c>
      <c r="E326" s="7" t="s">
        <v>3135</v>
      </c>
      <c r="F326" s="7" t="s">
        <v>110</v>
      </c>
      <c r="G326" s="7" t="s">
        <v>111</v>
      </c>
      <c r="H326" s="7" t="s">
        <v>1262</v>
      </c>
      <c r="I326" s="7" t="s">
        <v>1276</v>
      </c>
      <c r="J326" s="29">
        <v>15</v>
      </c>
      <c r="K326" s="29">
        <v>0</v>
      </c>
      <c r="L326" s="29">
        <v>0</v>
      </c>
      <c r="M326" s="29">
        <v>0</v>
      </c>
    </row>
    <row r="327" spans="1:13" x14ac:dyDescent="0.35">
      <c r="A327" s="7" t="str">
        <f t="shared" si="6"/>
        <v>GP525859B865</v>
      </c>
      <c r="B327" s="7" t="s">
        <v>7</v>
      </c>
      <c r="C327" s="7" t="s">
        <v>3139</v>
      </c>
      <c r="D327" s="7" t="s">
        <v>1040</v>
      </c>
      <c r="E327" s="7" t="s">
        <v>3140</v>
      </c>
      <c r="F327" s="7" t="s">
        <v>110</v>
      </c>
      <c r="G327" s="7" t="s">
        <v>111</v>
      </c>
      <c r="H327" s="7" t="s">
        <v>1262</v>
      </c>
      <c r="I327" s="7" t="s">
        <v>1276</v>
      </c>
      <c r="J327" s="29">
        <v>8</v>
      </c>
      <c r="K327" s="29">
        <v>0</v>
      </c>
      <c r="L327" s="29">
        <v>0</v>
      </c>
      <c r="M327" s="29">
        <v>0</v>
      </c>
    </row>
    <row r="328" spans="1:13" x14ac:dyDescent="0.35">
      <c r="A328" s="7" t="str">
        <f t="shared" si="6"/>
        <v>GP525859B867</v>
      </c>
      <c r="B328" s="7" t="s">
        <v>25</v>
      </c>
      <c r="C328" s="7" t="s">
        <v>3131</v>
      </c>
      <c r="D328" s="7" t="s">
        <v>1060</v>
      </c>
      <c r="E328" s="7" t="s">
        <v>3136</v>
      </c>
      <c r="F328" s="7" t="s">
        <v>110</v>
      </c>
      <c r="G328" s="7" t="s">
        <v>111</v>
      </c>
      <c r="H328" s="7" t="s">
        <v>1262</v>
      </c>
      <c r="I328" s="7" t="s">
        <v>1276</v>
      </c>
      <c r="J328" s="29">
        <v>2</v>
      </c>
      <c r="K328" s="29">
        <v>0</v>
      </c>
      <c r="L328" s="29">
        <v>0</v>
      </c>
      <c r="M328" s="29">
        <v>0</v>
      </c>
    </row>
  </sheetData>
  <autoFilter ref="A1:M328" xr:uid="{EA30555B-81A8-4910-BAB1-A3B1E6F0739D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FDE5-3C91-47DA-885C-ED1CADCF73FF}">
  <dimension ref="A1:E28"/>
  <sheetViews>
    <sheetView showGridLines="0" workbookViewId="0">
      <selection activeCell="E7" sqref="E7"/>
    </sheetView>
  </sheetViews>
  <sheetFormatPr defaultRowHeight="14.5" x14ac:dyDescent="0.35"/>
  <cols>
    <col min="1" max="1" width="12.54296875" bestFit="1" customWidth="1"/>
    <col min="2" max="2" width="15.453125" bestFit="1" customWidth="1"/>
    <col min="3" max="3" width="8.1796875" customWidth="1"/>
    <col min="4" max="4" width="17.7265625" bestFit="1" customWidth="1"/>
    <col min="5" max="5" width="15.453125" bestFit="1" customWidth="1"/>
    <col min="6" max="6" width="22.6328125" bestFit="1" customWidth="1"/>
    <col min="7" max="16" width="10.26953125" bestFit="1" customWidth="1"/>
    <col min="17" max="17" width="1.81640625" bestFit="1" customWidth="1"/>
    <col min="18" max="18" width="9.7265625" bestFit="1" customWidth="1"/>
    <col min="19" max="19" width="18.36328125" bestFit="1" customWidth="1"/>
    <col min="20" max="20" width="19.1796875" bestFit="1" customWidth="1"/>
    <col min="21" max="21" width="22.26953125" bestFit="1" customWidth="1"/>
    <col min="22" max="48" width="9.1796875" bestFit="1" customWidth="1"/>
    <col min="49" max="49" width="9.7265625" bestFit="1" customWidth="1"/>
  </cols>
  <sheetData>
    <row r="1" spans="1:5" x14ac:dyDescent="0.35">
      <c r="D1" s="10" t="s">
        <v>5</v>
      </c>
      <c r="E1" t="s">
        <v>124</v>
      </c>
    </row>
    <row r="3" spans="1:5" x14ac:dyDescent="0.35">
      <c r="A3" s="10" t="s">
        <v>3142</v>
      </c>
      <c r="B3" t="s">
        <v>113</v>
      </c>
      <c r="D3" s="10" t="s">
        <v>3143</v>
      </c>
      <c r="E3" t="s">
        <v>113</v>
      </c>
    </row>
    <row r="4" spans="1:5" x14ac:dyDescent="0.35">
      <c r="A4" s="5" t="s">
        <v>8</v>
      </c>
      <c r="B4" s="35">
        <v>1</v>
      </c>
      <c r="D4" s="5" t="s">
        <v>119</v>
      </c>
      <c r="E4" s="35">
        <v>3.4482758620689655E-2</v>
      </c>
    </row>
    <row r="5" spans="1:5" x14ac:dyDescent="0.35">
      <c r="A5" s="5" t="s">
        <v>114</v>
      </c>
      <c r="B5" s="11">
        <v>1</v>
      </c>
      <c r="D5" s="5" t="s">
        <v>117</v>
      </c>
      <c r="E5" s="35">
        <v>3.4482758620689655E-2</v>
      </c>
    </row>
    <row r="6" spans="1:5" x14ac:dyDescent="0.35">
      <c r="D6" s="5" t="s">
        <v>118</v>
      </c>
      <c r="E6" s="35">
        <v>6.8965517241379309E-2</v>
      </c>
    </row>
    <row r="7" spans="1:5" x14ac:dyDescent="0.35">
      <c r="D7" s="5" t="s">
        <v>3158</v>
      </c>
      <c r="E7" s="11">
        <v>8.6206896551724144E-2</v>
      </c>
    </row>
    <row r="8" spans="1:5" x14ac:dyDescent="0.35">
      <c r="D8" s="5" t="s">
        <v>120</v>
      </c>
      <c r="E8" s="35">
        <v>0.2413793103448276</v>
      </c>
    </row>
    <row r="9" spans="1:5" x14ac:dyDescent="0.35">
      <c r="D9" s="5" t="s">
        <v>121</v>
      </c>
      <c r="E9" s="35">
        <v>0.53448275862068961</v>
      </c>
    </row>
    <row r="10" spans="1:5" x14ac:dyDescent="0.35">
      <c r="D10" s="5" t="s">
        <v>114</v>
      </c>
      <c r="E10" s="11">
        <v>1</v>
      </c>
    </row>
    <row r="12" spans="1:5" ht="13.5" customHeight="1" x14ac:dyDescent="0.35"/>
    <row r="16" spans="1:5" x14ac:dyDescent="0.35">
      <c r="A16" s="10" t="s">
        <v>5</v>
      </c>
      <c r="B16" t="s">
        <v>113</v>
      </c>
      <c r="D16" s="10" t="s">
        <v>112</v>
      </c>
      <c r="E16" t="s">
        <v>113</v>
      </c>
    </row>
    <row r="17" spans="1:5" x14ac:dyDescent="0.35">
      <c r="A17" s="5" t="s">
        <v>3152</v>
      </c>
      <c r="B17" s="11">
        <v>0.32291666666666669</v>
      </c>
      <c r="D17" s="5" t="s">
        <v>3152</v>
      </c>
      <c r="E17" s="40">
        <v>5</v>
      </c>
    </row>
    <row r="18" spans="1:5" x14ac:dyDescent="0.35">
      <c r="A18" s="5" t="s">
        <v>18</v>
      </c>
      <c r="B18" s="11">
        <v>0.28125</v>
      </c>
      <c r="D18" s="5" t="s">
        <v>114</v>
      </c>
      <c r="E18" s="40">
        <v>5</v>
      </c>
    </row>
    <row r="19" spans="1:5" x14ac:dyDescent="0.35">
      <c r="A19" s="5" t="s">
        <v>34</v>
      </c>
      <c r="B19" s="11">
        <v>0.21875</v>
      </c>
    </row>
    <row r="20" spans="1:5" x14ac:dyDescent="0.35">
      <c r="A20" s="5" t="s">
        <v>31</v>
      </c>
      <c r="B20" s="11">
        <v>7.2916666666666671E-2</v>
      </c>
    </row>
    <row r="21" spans="1:5" x14ac:dyDescent="0.35">
      <c r="A21" s="5" t="s">
        <v>9</v>
      </c>
      <c r="B21" s="11">
        <v>6.25E-2</v>
      </c>
    </row>
    <row r="22" spans="1:5" x14ac:dyDescent="0.35">
      <c r="A22" s="5" t="s">
        <v>59</v>
      </c>
      <c r="B22" s="11">
        <v>3.125E-2</v>
      </c>
    </row>
    <row r="23" spans="1:5" x14ac:dyDescent="0.35">
      <c r="A23" s="5" t="s">
        <v>80</v>
      </c>
      <c r="B23" s="11">
        <v>1.0416666666666666E-2</v>
      </c>
    </row>
    <row r="24" spans="1:5" x14ac:dyDescent="0.35">
      <c r="A24" s="5" t="s">
        <v>114</v>
      </c>
      <c r="B24" s="11">
        <v>1</v>
      </c>
    </row>
    <row r="26" spans="1:5" x14ac:dyDescent="0.35">
      <c r="A26" s="5"/>
      <c r="B26" s="11"/>
      <c r="D26" s="5"/>
    </row>
    <row r="27" spans="1:5" x14ac:dyDescent="0.35">
      <c r="A27" t="s">
        <v>3141</v>
      </c>
    </row>
    <row r="28" spans="1:5" x14ac:dyDescent="0.35">
      <c r="A28" s="40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</vt:lpstr>
      <vt:lpstr>Grafico</vt:lpstr>
      <vt:lpstr>SQVI</vt:lpstr>
      <vt:lpstr>LRR</vt:lpstr>
      <vt:lpstr>Est. Parq.</vt:lpstr>
      <vt:lpstr>Din</vt:lpstr>
    </vt:vector>
  </TitlesOfParts>
  <Company>Siemens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de Souza, Thays (ext)</dc:creator>
  <cp:lastModifiedBy>Santos de Souza, Thays (ext)</cp:lastModifiedBy>
  <dcterms:created xsi:type="dcterms:W3CDTF">2026-09-10T22:26:29Z</dcterms:created>
  <dcterms:modified xsi:type="dcterms:W3CDTF">2026-10-23T18:25:20Z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2026-09-10T22:27:16Z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c483f341-32a7-4b9d-aa98-8115160b065e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10, 3, 0, 1</vt:lpwstr>
  </property>
</Properties>
</file>